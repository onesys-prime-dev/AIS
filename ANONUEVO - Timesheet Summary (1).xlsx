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visFintax -Olivia\Downloads\INTERNS MANUAL TIMESHEET\"/>
    </mc:Choice>
  </mc:AlternateContent>
  <xr:revisionPtr revIDLastSave="0" documentId="8_{470AC746-1D5C-49A9-B52D-198E12C0C309}" xr6:coauthVersionLast="47" xr6:coauthVersionMax="47" xr10:uidLastSave="{00000000-0000-0000-0000-000000000000}"/>
  <bookViews>
    <workbookView xWindow="-110" yWindow="-110" windowWidth="19420" windowHeight="10300" firstSheet="12" activeTab="12" xr2:uid="{00000000-000D-0000-FFFF-FFFF00000000}"/>
  </bookViews>
  <sheets>
    <sheet name="Sheet1" sheetId="4" state="hidden" r:id="rId1"/>
    <sheet name="JAN 26 to Feb 10 2026" sheetId="1" r:id="rId2"/>
    <sheet name="FEB 11  to FEB 25 2026" sheetId="5" r:id="rId3"/>
    <sheet name="FEB 26 to MARCH 10 2026" sheetId="6" r:id="rId4"/>
    <sheet name="MARCH 11 to MARCH 25 2026 (2)" sheetId="8" r:id="rId5"/>
    <sheet name="MARCH 25  APRIL 10 2026 (2)" sheetId="9" r:id="rId6"/>
    <sheet name="APRIL 11 to APRIL 25 2026" sheetId="7" r:id="rId7"/>
    <sheet name=" APRIL 26 to MAY 10 2026 (2)" sheetId="10" r:id="rId8"/>
    <sheet name=" APRIL 26 to MAY 10 2026 (3)" sheetId="11" state="hidden" r:id="rId9"/>
    <sheet name="MAY 11 to MAY 25 2026" sheetId="12" r:id="rId10"/>
    <sheet name="MAY 26 to JUNE 15 2026 (3)" sheetId="14" r:id="rId11"/>
    <sheet name="JULY 1 to JULY 15 2026" sheetId="13" r:id="rId12"/>
    <sheet name="JULY 16 to JULY 29 2026" sheetId="15" r:id="rId13"/>
  </sheets>
  <definedNames>
    <definedName name="_xlnm._FilterDatabase" localSheetId="7" hidden="1">' APRIL 26 to MAY 10 2026 (2)'!$B$11:$K$21</definedName>
    <definedName name="_xlnm._FilterDatabase" localSheetId="8" hidden="1">' APRIL 26 to MAY 10 2026 (3)'!$B$11:$K$120</definedName>
    <definedName name="_xlnm._FilterDatabase" localSheetId="6" hidden="1">'APRIL 11 to APRIL 25 2026'!$B$11:$K$19</definedName>
    <definedName name="_xlnm._FilterDatabase" localSheetId="2" hidden="1">'FEB 11  to FEB 25 2026'!$B$11:$K$21</definedName>
    <definedName name="_xlnm._FilterDatabase" localSheetId="3" hidden="1">'FEB 26 to MARCH 10 2026'!$B$11:$K$20</definedName>
    <definedName name="_xlnm._FilterDatabase" localSheetId="1" hidden="1">'JAN 26 to Feb 10 2026'!$B$11:$K$18</definedName>
    <definedName name="_xlnm._FilterDatabase" localSheetId="11" hidden="1">'JULY 1 to JULY 15 2026'!$B$11:$K$21</definedName>
    <definedName name="_xlnm._FilterDatabase" localSheetId="12" hidden="1">'JULY 16 to JULY 29 2026'!$B$11:$K$21</definedName>
    <definedName name="_xlnm._FilterDatabase" localSheetId="4" hidden="1">'MARCH 11 to MARCH 25 2026 (2)'!$B$11:$K$21</definedName>
    <definedName name="_xlnm._FilterDatabase" localSheetId="5" hidden="1">'MARCH 25  APRIL 10 2026 (2)'!$B$11:$K$20</definedName>
    <definedName name="_xlnm._FilterDatabase" localSheetId="9" hidden="1">'MAY 11 to MAY 25 2026'!$B$11:$K$21</definedName>
    <definedName name="_xlnm._FilterDatabase" localSheetId="10" hidden="1">'MAY 26 to JUNE 15 2026 (3)'!$B$11:$K$21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5" l="1"/>
  <c r="K23" i="15"/>
  <c r="K22" i="15"/>
  <c r="K21" i="15"/>
  <c r="K20" i="15"/>
  <c r="K19" i="15"/>
  <c r="K18" i="15"/>
  <c r="K17" i="15"/>
  <c r="K16" i="15"/>
  <c r="K15" i="15"/>
  <c r="K14" i="15"/>
  <c r="K13" i="15"/>
  <c r="K12" i="15"/>
  <c r="K2" i="15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2" i="14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2" i="13" s="1"/>
  <c r="K22" i="12"/>
  <c r="K21" i="12"/>
  <c r="K20" i="12"/>
  <c r="K19" i="12"/>
  <c r="K18" i="12"/>
  <c r="K17" i="12"/>
  <c r="K16" i="12"/>
  <c r="K15" i="12"/>
  <c r="K14" i="12"/>
  <c r="K13" i="12"/>
  <c r="K12" i="12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21" i="11"/>
  <c r="K20" i="11"/>
  <c r="K19" i="11"/>
  <c r="K18" i="11"/>
  <c r="K17" i="11"/>
  <c r="K16" i="11"/>
  <c r="K15" i="11"/>
  <c r="K14" i="11"/>
  <c r="K13" i="11"/>
  <c r="K12" i="11"/>
  <c r="K2" i="11"/>
  <c r="K21" i="10"/>
  <c r="K20" i="10"/>
  <c r="K19" i="10"/>
  <c r="K18" i="10"/>
  <c r="K17" i="10"/>
  <c r="K16" i="10"/>
  <c r="K15" i="10"/>
  <c r="K14" i="10"/>
  <c r="K13" i="10"/>
  <c r="K12" i="10"/>
  <c r="K2" i="10"/>
  <c r="K20" i="9"/>
  <c r="K19" i="9"/>
  <c r="K18" i="9"/>
  <c r="K17" i="9"/>
  <c r="K16" i="9"/>
  <c r="K15" i="9"/>
  <c r="K14" i="9"/>
  <c r="K13" i="9"/>
  <c r="K12" i="9"/>
  <c r="K2" i="9"/>
  <c r="K21" i="8"/>
  <c r="K20" i="8"/>
  <c r="K19" i="8"/>
  <c r="K18" i="8"/>
  <c r="K17" i="8"/>
  <c r="K16" i="8"/>
  <c r="K15" i="8"/>
  <c r="K14" i="8"/>
  <c r="K13" i="8"/>
  <c r="K12" i="8"/>
  <c r="K2" i="8"/>
  <c r="K19" i="7"/>
  <c r="K18" i="7"/>
  <c r="K17" i="7"/>
  <c r="K16" i="7"/>
  <c r="K15" i="7"/>
  <c r="K14" i="7"/>
  <c r="K13" i="7"/>
  <c r="K12" i="7"/>
  <c r="K20" i="6"/>
  <c r="K19" i="6"/>
  <c r="K18" i="6"/>
  <c r="K17" i="6"/>
  <c r="K16" i="6"/>
  <c r="K15" i="6"/>
  <c r="K14" i="6"/>
  <c r="K13" i="6"/>
  <c r="K12" i="6"/>
  <c r="K2" i="6"/>
  <c r="K12" i="5"/>
  <c r="K13" i="5"/>
  <c r="K14" i="5"/>
  <c r="K15" i="5"/>
  <c r="K16" i="5"/>
  <c r="K17" i="5"/>
  <c r="K18" i="5"/>
  <c r="K19" i="5"/>
  <c r="K21" i="5"/>
  <c r="K20" i="5"/>
  <c r="K2" i="5"/>
  <c r="K13" i="1"/>
  <c r="K14" i="1"/>
  <c r="K15" i="1"/>
  <c r="K16" i="1"/>
  <c r="K17" i="1"/>
  <c r="K18" i="1"/>
  <c r="K12" i="1"/>
  <c r="K2" i="1"/>
  <c r="K2" i="7"/>
  <c r="K2" i="12" l="1"/>
</calcChain>
</file>

<file path=xl/sharedStrings.xml><?xml version="1.0" encoding="utf-8"?>
<sst xmlns="http://schemas.openxmlformats.org/spreadsheetml/2006/main" count="533" uniqueCount="133">
  <si>
    <t>AIRSYS PHILIPPINES CORPORATION</t>
  </si>
  <si>
    <t>AIRSYS SINGAPORE PTE LTD</t>
  </si>
  <si>
    <t>AL TRINIDAD REALTY HOLDINGS CORP</t>
  </si>
  <si>
    <t>ALLSECH TECH MANILA INC</t>
  </si>
  <si>
    <t>ALPHACOATING CORPORATION</t>
  </si>
  <si>
    <t>ARCHIDEA BUILDING SOLUTIONS CO</t>
  </si>
  <si>
    <t>AXIEM CORPORATION</t>
  </si>
  <si>
    <t>BC FINANCE SERVICES PTY LTD</t>
  </si>
  <si>
    <t>BC SOLUTIONS PTY LTD</t>
  </si>
  <si>
    <t>BERKELEY ENERGY PHILS. BUSINESS SOLUTIONS CORPORATION</t>
  </si>
  <si>
    <t>BERNARD QUIACHON</t>
  </si>
  <si>
    <t>BETSY</t>
  </si>
  <si>
    <t>BOB EPROCURE SOLUTION INC</t>
  </si>
  <si>
    <t>BOUTIQUE OUTSOURCE SOLUTIONS PTY LTD - PHILIPPINE BRANCH</t>
  </si>
  <si>
    <t>BRZEE CORPORATION</t>
  </si>
  <si>
    <t>BUKANG LIWAYWAY CONNECTION BUILDERS</t>
  </si>
  <si>
    <t>CARMELITA CARREON CANLAS</t>
  </si>
  <si>
    <t>CITI HARBOR OUTFITTERS INC</t>
  </si>
  <si>
    <t>CNW COURIER NETWORK PHILIPPINES INC</t>
  </si>
  <si>
    <t>CONSUS THIRD PILLAR INC</t>
  </si>
  <si>
    <t>DITROLIC GREEN ENERGY INC</t>
  </si>
  <si>
    <t>DITROLIC SOLAR PHILIPPINES INC</t>
  </si>
  <si>
    <t>DR. MARK GOMEZ</t>
  </si>
  <si>
    <t>EASY PAYROLL GLOBAL PHILIPPINES INC.</t>
  </si>
  <si>
    <t>ECOVIS FINTAX PHILIPPINES INC</t>
  </si>
  <si>
    <t>ECOVIS-PHILIPPINES AUDITING SERVICES</t>
  </si>
  <si>
    <t>ELEVATE PHILIPPINES INC</t>
  </si>
  <si>
    <t>ENERSYS SOUTH EAST ASIA PTE. LTD - PHILIPPINE BRANCH</t>
  </si>
  <si>
    <t>ESPIRE INFOLABS INC</t>
  </si>
  <si>
    <t>EVERYWHEN VIDEO PRODUCTION</t>
  </si>
  <si>
    <t>FINTAX &amp; VISA CONSULTING CO</t>
  </si>
  <si>
    <t>FIRSTMAC OPERATIONS CENTER PTY LTD</t>
  </si>
  <si>
    <t>FORTRESS GYM &amp; RESORTS, INC</t>
  </si>
  <si>
    <t>GADENS OFFSHORE SERVICES NO.2 PTY LTD</t>
  </si>
  <si>
    <t>GB AND COMPANY CPAS</t>
  </si>
  <si>
    <t>GCP APPLIED TECHNOLOGIES OPERATIONS CENTER INC</t>
  </si>
  <si>
    <t>GOGLOBAL PHILIPPINES, INC</t>
  </si>
  <si>
    <t>GRAND PHARMA PHILIPPINES INC</t>
  </si>
  <si>
    <t>GREAT GOLDRICH TRADE AND SUPPLY INC</t>
  </si>
  <si>
    <t>INGUN PHILIPPINES REPRESENTATIVE OFFICE</t>
  </si>
  <si>
    <t>INGUN SOUTH EAST ASIA PTE. LTD</t>
  </si>
  <si>
    <t>JCO BALBASTRE BUILDERS CORPORATION</t>
  </si>
  <si>
    <t>JUSTWORKS GLOBAL VENTURES PHILIPPINES INC.</t>
  </si>
  <si>
    <t>MAGNUS DITROLIC SOLAR INCORPORATED</t>
  </si>
  <si>
    <t>MARCUM ASIA CPAS LLP (MASAGANANG BUHAY FINANCE PHILIPPINES CORPORATION</t>
  </si>
  <si>
    <t>MIRU-ICS-STCC-CPSTI JOINT VENTURE</t>
  </si>
  <si>
    <t>NATION EMPLOYMENT PTE LTD</t>
  </si>
  <si>
    <t>OFFSHORE BUSINESS PROCESSING INC.</t>
  </si>
  <si>
    <t>ONESYS PRIMESOLUTIONS CO</t>
  </si>
  <si>
    <t>ORBIUM INC</t>
  </si>
  <si>
    <t>PLUS EV SOLUTIONS INC</t>
  </si>
  <si>
    <t>PRIMUS PREMIER LAND</t>
  </si>
  <si>
    <t>RAM AUSTRALIA SERVICES NO. 2 LTY LIMITED</t>
  </si>
  <si>
    <t>RAMCO</t>
  </si>
  <si>
    <t>REALWORK MANAGEMENT AND CONSULTANCY</t>
  </si>
  <si>
    <t>SIX PILLARWS CONSTRUCTION INC</t>
  </si>
  <si>
    <t>SOLARVEST CORP</t>
  </si>
  <si>
    <t>SOLARVEST HOLDINGS BERHAD</t>
  </si>
  <si>
    <t>SOLES</t>
  </si>
  <si>
    <t>SUPERIOR OFFSHORE SOLUTIONS CORP</t>
  </si>
  <si>
    <t xml:space="preserve">T.Y. LIN INTERNATIONAL - PHILIPPINE BRANCH </t>
  </si>
  <si>
    <t>THE HAPPIBEANS FOOD ENTERPRISES CORP</t>
  </si>
  <si>
    <t>TOPCOATER INCORPORATED</t>
  </si>
  <si>
    <t>TRINITY</t>
  </si>
  <si>
    <t>UNI-PACIFIC POWDER COAT CORP</t>
  </si>
  <si>
    <t xml:space="preserve">UNI-PHARMA PHILIPPINES INC </t>
  </si>
  <si>
    <t>WASH N WAG DIY PET WASH OPC</t>
  </si>
  <si>
    <t>YOU TECHNOLOGIES PHILIPPINES INC</t>
  </si>
  <si>
    <t>EMPLOYEE TIMESHEET</t>
  </si>
  <si>
    <t>Total Hours</t>
  </si>
  <si>
    <t>Name:</t>
  </si>
  <si>
    <t>AÑONUEVO, STANLEY ARUGA</t>
  </si>
  <si>
    <t>Single Date:</t>
  </si>
  <si>
    <t>FROM</t>
  </si>
  <si>
    <t>TO</t>
  </si>
  <si>
    <t>Cut-off Period:</t>
  </si>
  <si>
    <t>Regular Time-out:</t>
  </si>
  <si>
    <t>Reference</t>
  </si>
  <si>
    <t>Date</t>
  </si>
  <si>
    <t>Time Start</t>
  </si>
  <si>
    <t>Time End</t>
  </si>
  <si>
    <t>Regular Hours</t>
  </si>
  <si>
    <t>10 PM OT Hrs.</t>
  </si>
  <si>
    <t>Plus 10 PM OT Hrs.</t>
  </si>
  <si>
    <t>Client</t>
  </si>
  <si>
    <t>Task Performed</t>
  </si>
  <si>
    <t xml:space="preserve">planning of system and team </t>
  </si>
  <si>
    <t>planning of system and team</t>
  </si>
  <si>
    <t>Requirements gathering and diagramming</t>
  </si>
  <si>
    <t>Discussion and drafting of a flowchart</t>
  </si>
  <si>
    <t>drafting of flowchart and sytem planning</t>
  </si>
  <si>
    <t>Diagramming and meeting with the accounting</t>
  </si>
  <si>
    <t>Diagramming and meeting with sir wilson and other project heads</t>
  </si>
  <si>
    <t>System Function Planning And General meeting with the heads</t>
  </si>
  <si>
    <t>System Function Planning</t>
  </si>
  <si>
    <t>Data review and System Function Planning</t>
  </si>
  <si>
    <t>drafting of diagrams and planning</t>
  </si>
  <si>
    <t>continuation of drafting of diagrams and planning</t>
  </si>
  <si>
    <t>meeting with sir henry and presentation with sir wilson</t>
  </si>
  <si>
    <t>System plan adjusment</t>
  </si>
  <si>
    <t>continuation of System plan adjusment</t>
  </si>
  <si>
    <t>System functions adjusments</t>
  </si>
  <si>
    <t>Diagrams adjusments and meeting with heads</t>
  </si>
  <si>
    <t>continuation of Diagrams adjusments</t>
  </si>
  <si>
    <t>presentation and verification of the whole payroll plan</t>
  </si>
  <si>
    <t>payroll system module development</t>
  </si>
  <si>
    <t>Coding Session</t>
  </si>
  <si>
    <t>Fieldwork</t>
  </si>
  <si>
    <t>QA TEST</t>
  </si>
  <si>
    <t>Total OJT Hours = 643.51</t>
  </si>
  <si>
    <t>System QA and Debug</t>
  </si>
  <si>
    <t>System plan and team meeting</t>
  </si>
  <si>
    <t>system debug and update</t>
  </si>
  <si>
    <t>Updated timesheet feature; added remember me/trusted device login option; updated payroll raw sheet view</t>
  </si>
  <si>
    <t>Continued fixing OT and night differential computation</t>
  </si>
  <si>
    <t>Fixed special holiday OT display; minor dashboard and payroll register updatesl</t>
  </si>
  <si>
    <t>worked on 13th month pay and payroll computations</t>
  </si>
  <si>
    <t>Added period tabs (Monthly/1st Half/2nd Half) and employee search to Payroll Status page; fixed loan form validation</t>
  </si>
  <si>
    <t>Fixed withholding tax and net pay computation mismatch</t>
  </si>
  <si>
    <t>Resolved withholding tax rounding issue</t>
  </si>
  <si>
    <t>Verified payslip data; started making Payroll Register editable</t>
  </si>
  <si>
    <t>Investigated and debugged withholding tax discrepancy in bulk payroll register; verified computations against Excel payroll register</t>
  </si>
  <si>
    <t>Adjusted payslip editing in the Payroll Register (edit income, deductions, loans, withholding tax)</t>
  </si>
  <si>
    <t>Added multi-break schedule support for attendance/timesheet; expanded Payroll Register editing and merged Payslip History into it; various employee, dashboard, and timesheet fixes; meeting with GTK</t>
  </si>
  <si>
    <t>Updated timesheet feature and columns</t>
  </si>
  <si>
    <t>Added a "Missed Clock-Out" flow for late clock-outs; fixed overtime not being gated by approval in payroll; added a Backdated Request badge and live filing notice for late overtime/undertime requests</t>
  </si>
  <si>
    <t xml:space="preserve"> Added a Payroll Audit Log page; fixed a query bug breaking the audit log; started investigating missing Regular/OT/Unapproved OT hours in timesheet display</t>
  </si>
  <si>
    <t>Repaired a corrupted database table that was preventing login; fixed the timesheet hours display bug; fixed task log "+N more" badge not opening; fixed Raw Sheet loan/advance edits not carrying into Payroll Register and payslips; fixed missing loan/advance line items on payslip view, PDF, and email; fixed a live payroll summary calculator bug; explored a Benefits/Scholarship request feature (later scrapped); committed and pushed payroll/timesheet/attendance updates</t>
  </si>
  <si>
    <t>meeting with client in qc</t>
  </si>
  <si>
    <t xml:space="preserve">HRIS additional feature planning and coding session </t>
  </si>
  <si>
    <t>Fixed employee profile photo not displaying; widened accepted photo file types; added pinch-to-zoom on the photo cropper; added an uploading indicator (a follow-up bug — file picker not responding — was reported but not yet resolved)</t>
  </si>
  <si>
    <t xml:space="preserve">HRIS coding session Report Generator / PAASCU Matrix Builder </t>
  </si>
  <si>
    <t xml:space="preserve">HRIS employee evaluation planning and coding session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</si>
</sst>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4">
    <font>
      <sz val="11"/>
      <color theme="1"/>
      <name val="Calibri"/>
      <family val="2"/>
      <scheme val="minor"/>
    </font>
    <font>
      <b/>
      <sz val="10"/>
      <color rgb="FFFFFFFF"/>
      <name val="Trebuchet MS"/>
      <family val="2"/>
    </font>
    <font>
      <sz val="10"/>
      <color theme="1"/>
      <name val="Arial"/>
      <family val="2"/>
    </font>
    <font>
      <sz val="10"/>
      <color theme="1"/>
      <name val="Trebuchet MS"/>
      <family val="2"/>
    </font>
    <font>
      <b/>
      <sz val="14"/>
      <color rgb="FF2D5333"/>
      <name val="Trebuchet MS"/>
      <family val="2"/>
    </font>
    <font>
      <b/>
      <sz val="11"/>
      <color rgb="FFFFFFFF"/>
      <name val="Arial"/>
      <family val="2"/>
    </font>
    <font>
      <sz val="12"/>
      <color rgb="FFFFFFFF"/>
      <name val="Trebuchet MS"/>
      <family val="2"/>
    </font>
    <font>
      <b/>
      <sz val="11"/>
      <color rgb="FFFF0000"/>
      <name val="Arial"/>
      <family val="2"/>
    </font>
    <font>
      <sz val="11"/>
      <color rgb="FFFFFFFF"/>
      <name val="Arial"/>
      <family val="2"/>
    </font>
    <font>
      <b/>
      <i/>
      <u/>
      <sz val="9"/>
      <color rgb="FFFF0000"/>
      <name val="Arial"/>
      <family val="2"/>
    </font>
    <font>
      <sz val="12"/>
      <color theme="1"/>
      <name val="Trebuchet MS"/>
      <family val="2"/>
    </font>
    <font>
      <sz val="10"/>
      <color rgb="FF000000"/>
      <name val="Arial"/>
      <charset val="1"/>
    </font>
    <font>
      <sz val="10"/>
      <color rgb="FF000000"/>
      <name val="Trebuchet MS"/>
      <charset val="1"/>
    </font>
    <font>
      <b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4E4E"/>
        <bgColor indexed="64"/>
      </patternFill>
    </fill>
    <fill>
      <patternFill patternType="solid">
        <fgColor rgb="FFF6D6D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FEFEF"/>
        <bgColor indexed="64"/>
      </patternFill>
    </fill>
  </fills>
  <borders count="17"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center" wrapText="1"/>
    </xf>
    <xf numFmtId="164" fontId="2" fillId="0" borderId="0" xfId="0" applyNumberFormat="1" applyFont="1" applyAlignment="1">
      <alignment wrapText="1"/>
    </xf>
    <xf numFmtId="164" fontId="2" fillId="0" borderId="3" xfId="0" applyNumberFormat="1" applyFont="1" applyBorder="1" applyAlignment="1">
      <alignment wrapText="1"/>
    </xf>
    <xf numFmtId="164" fontId="0" fillId="0" borderId="0" xfId="0" applyNumberFormat="1"/>
    <xf numFmtId="2" fontId="6" fillId="2" borderId="2" xfId="0" applyNumberFormat="1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164" fontId="1" fillId="2" borderId="11" xfId="0" applyNumberFormat="1" applyFont="1" applyFill="1" applyBorder="1" applyAlignment="1">
      <alignment horizontal="center" wrapText="1"/>
    </xf>
    <xf numFmtId="0" fontId="2" fillId="0" borderId="9" xfId="0" applyFont="1" applyBorder="1" applyAlignment="1">
      <alignment horizontal="right" wrapText="1"/>
    </xf>
    <xf numFmtId="164" fontId="2" fillId="0" borderId="9" xfId="0" applyNumberFormat="1" applyFont="1" applyBorder="1" applyAlignment="1">
      <alignment horizontal="right" wrapText="1"/>
    </xf>
    <xf numFmtId="21" fontId="3" fillId="0" borderId="9" xfId="0" applyNumberFormat="1" applyFont="1" applyBorder="1" applyAlignment="1">
      <alignment horizontal="right" wrapText="1"/>
    </xf>
    <xf numFmtId="0" fontId="2" fillId="0" borderId="9" xfId="0" applyFont="1" applyBorder="1" applyAlignment="1">
      <alignment wrapText="1"/>
    </xf>
    <xf numFmtId="0" fontId="3" fillId="0" borderId="9" xfId="0" applyFont="1" applyBorder="1" applyAlignment="1">
      <alignment horizontal="center" wrapText="1"/>
    </xf>
    <xf numFmtId="2" fontId="3" fillId="3" borderId="9" xfId="0" applyNumberFormat="1" applyFont="1" applyFill="1" applyBorder="1" applyAlignment="1">
      <alignment horizontal="center" wrapText="1"/>
    </xf>
    <xf numFmtId="0" fontId="3" fillId="0" borderId="9" xfId="0" applyFont="1" applyBorder="1" applyAlignment="1">
      <alignment horizontal="right" wrapText="1"/>
    </xf>
    <xf numFmtId="21" fontId="2" fillId="0" borderId="9" xfId="0" applyNumberFormat="1" applyFont="1" applyBorder="1" applyAlignment="1">
      <alignment horizontal="right" wrapText="1"/>
    </xf>
    <xf numFmtId="0" fontId="2" fillId="0" borderId="9" xfId="0" applyFont="1" applyBorder="1" applyAlignment="1">
      <alignment horizontal="center" wrapText="1"/>
    </xf>
    <xf numFmtId="164" fontId="2" fillId="0" borderId="9" xfId="0" applyNumberFormat="1" applyFont="1" applyBorder="1" applyAlignment="1">
      <alignment horizontal="center" wrapText="1"/>
    </xf>
    <xf numFmtId="0" fontId="2" fillId="0" borderId="9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8" fontId="10" fillId="5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 wrapText="1"/>
    </xf>
    <xf numFmtId="14" fontId="2" fillId="5" borderId="5" xfId="0" applyNumberFormat="1" applyFont="1" applyFill="1" applyBorder="1" applyAlignment="1">
      <alignment horizontal="center" vertical="center" wrapText="1"/>
    </xf>
    <xf numFmtId="14" fontId="11" fillId="0" borderId="0" xfId="0" applyNumberFormat="1" applyFont="1"/>
    <xf numFmtId="19" fontId="11" fillId="0" borderId="0" xfId="0" applyNumberFormat="1" applyFont="1"/>
    <xf numFmtId="21" fontId="3" fillId="0" borderId="12" xfId="0" applyNumberFormat="1" applyFont="1" applyBorder="1" applyAlignment="1">
      <alignment horizontal="right" wrapText="1"/>
    </xf>
    <xf numFmtId="164" fontId="2" fillId="0" borderId="12" xfId="0" applyNumberFormat="1" applyFont="1" applyBorder="1" applyAlignment="1">
      <alignment horizontal="center" wrapText="1"/>
    </xf>
    <xf numFmtId="0" fontId="2" fillId="0" borderId="13" xfId="0" applyFont="1" applyBorder="1" applyAlignment="1">
      <alignment horizontal="right" wrapText="1"/>
    </xf>
    <xf numFmtId="0" fontId="2" fillId="0" borderId="14" xfId="0" applyFont="1" applyBorder="1" applyAlignment="1">
      <alignment wrapText="1"/>
    </xf>
    <xf numFmtId="21" fontId="3" fillId="0" borderId="15" xfId="0" applyNumberFormat="1" applyFont="1" applyBorder="1" applyAlignment="1">
      <alignment horizontal="right" wrapText="1"/>
    </xf>
    <xf numFmtId="21" fontId="3" fillId="0" borderId="16" xfId="0" applyNumberFormat="1" applyFont="1" applyBorder="1" applyAlignment="1">
      <alignment horizontal="right" wrapText="1"/>
    </xf>
    <xf numFmtId="0" fontId="11" fillId="0" borderId="0" xfId="0" applyFont="1"/>
    <xf numFmtId="0" fontId="12" fillId="0" borderId="0" xfId="0" applyFont="1"/>
    <xf numFmtId="14" fontId="0" fillId="0" borderId="0" xfId="0" applyNumberForma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wrapText="1"/>
    </xf>
    <xf numFmtId="0" fontId="8" fillId="2" borderId="6" xfId="0" applyFont="1" applyFill="1" applyBorder="1" applyAlignment="1">
      <alignment wrapText="1"/>
    </xf>
    <xf numFmtId="0" fontId="8" fillId="2" borderId="7" xfId="0" applyFont="1" applyFill="1" applyBorder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7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14" fontId="10" fillId="5" borderId="6" xfId="0" applyNumberFormat="1" applyFont="1" applyFill="1" applyBorder="1" applyAlignment="1">
      <alignment horizontal="center" wrapText="1"/>
    </xf>
    <xf numFmtId="14" fontId="10" fillId="5" borderId="8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B8C49-BF9F-4AF3-856B-E71B616EC4B2}">
  <dimension ref="A1:A68"/>
  <sheetViews>
    <sheetView workbookViewId="0">
      <selection sqref="A1:A68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18"/>
  <sheetViews>
    <sheetView zoomScale="73" zoomScaleNormal="100" workbookViewId="0">
      <pane ySplit="2" topLeftCell="A12" activePane="bottomLeft" state="frozen"/>
      <selection pane="bottomLeft" activeCell="H12" sqref="H12"/>
    </sheetView>
  </sheetViews>
  <sheetFormatPr defaultRowHeight="15"/>
  <cols>
    <col min="2" max="2" width="16.140625" bestFit="1" customWidth="1"/>
    <col min="3" max="3" width="11.28515625" style="26" bestFit="1" customWidth="1"/>
    <col min="4" max="4" width="16.42578125" style="6" bestFit="1" customWidth="1"/>
    <col min="5" max="5" width="15.28515625" style="6" bestFit="1" customWidth="1"/>
    <col min="6" max="6" width="13.7109375" bestFit="1" customWidth="1"/>
    <col min="7" max="7" width="19.42578125" bestFit="1" customWidth="1"/>
    <col min="8" max="8" width="23.42578125" bestFit="1" customWidth="1"/>
    <col min="9" max="9" width="27.85546875" customWidth="1"/>
    <col min="10" max="10" width="20.85546875" style="26" bestFit="1" customWidth="1"/>
    <col min="11" max="11" width="17.28515625" bestFit="1" customWidth="1"/>
  </cols>
  <sheetData>
    <row r="1" spans="2:11" ht="18">
      <c r="B1" s="41" t="s">
        <v>68</v>
      </c>
      <c r="C1" s="41"/>
      <c r="D1" s="41"/>
      <c r="E1" s="41"/>
      <c r="F1" s="41"/>
      <c r="G1" s="41"/>
      <c r="H1" s="41"/>
      <c r="I1" s="41"/>
      <c r="J1" s="41"/>
      <c r="K1" s="41"/>
    </row>
    <row r="2" spans="2:11">
      <c r="B2" s="1"/>
      <c r="C2" s="23"/>
      <c r="D2" s="4"/>
      <c r="E2" s="4"/>
      <c r="F2" s="1"/>
      <c r="G2" s="1"/>
      <c r="H2" s="1"/>
      <c r="I2" s="1"/>
      <c r="J2" s="22" t="s">
        <v>69</v>
      </c>
      <c r="K2" s="7">
        <f>SUM(K12:K18)</f>
        <v>37.450000000000003</v>
      </c>
    </row>
    <row r="3" spans="2:11">
      <c r="B3" s="1"/>
      <c r="C3" s="23"/>
      <c r="D3" s="4"/>
      <c r="E3" s="4"/>
      <c r="F3" s="1"/>
      <c r="G3" s="1"/>
      <c r="H3" s="1"/>
      <c r="I3" s="1"/>
      <c r="J3" s="23"/>
      <c r="K3" s="1"/>
    </row>
    <row r="4" spans="2:11">
      <c r="B4" s="1"/>
      <c r="C4" s="23"/>
      <c r="D4" s="4"/>
      <c r="E4" s="4"/>
      <c r="F4" s="1"/>
      <c r="G4" s="1"/>
      <c r="H4" s="1"/>
      <c r="I4" s="1"/>
      <c r="J4" s="23"/>
      <c r="K4" s="1"/>
    </row>
    <row r="5" spans="2:11">
      <c r="B5" s="1"/>
      <c r="C5" s="23"/>
      <c r="D5" s="4"/>
      <c r="E5" s="4"/>
      <c r="F5" s="1"/>
      <c r="G5" s="1"/>
      <c r="H5" s="1"/>
      <c r="I5" s="1"/>
      <c r="J5" s="23"/>
      <c r="K5" s="1"/>
    </row>
    <row r="6" spans="2:11" ht="15.75" thickBot="1">
      <c r="B6" s="1"/>
      <c r="C6" s="24"/>
      <c r="D6" s="5"/>
      <c r="E6" s="5"/>
      <c r="F6" s="1"/>
      <c r="G6" s="1"/>
      <c r="H6" s="1"/>
      <c r="I6" s="1"/>
      <c r="J6" s="24"/>
      <c r="K6" s="1"/>
    </row>
    <row r="7" spans="2:11">
      <c r="B7" s="2" t="s">
        <v>70</v>
      </c>
      <c r="C7" s="42" t="s">
        <v>71</v>
      </c>
      <c r="D7" s="43"/>
      <c r="E7" s="44"/>
      <c r="F7" s="1"/>
      <c r="G7" s="1"/>
      <c r="H7" s="1"/>
      <c r="I7" s="2" t="s">
        <v>72</v>
      </c>
      <c r="J7" s="28"/>
      <c r="K7" s="1"/>
    </row>
    <row r="8" spans="2:11" ht="16.5" thickTop="1" thickBot="1">
      <c r="B8" s="1"/>
      <c r="C8" s="45" t="s">
        <v>73</v>
      </c>
      <c r="D8" s="45"/>
      <c r="E8" s="46" t="s">
        <v>74</v>
      </c>
      <c r="F8" s="46"/>
      <c r="G8" s="1"/>
      <c r="H8" s="1"/>
      <c r="I8" s="1"/>
      <c r="J8" s="24"/>
      <c r="K8" s="1"/>
    </row>
    <row r="9" spans="2:11" ht="16.5" customHeight="1">
      <c r="B9" s="3" t="s">
        <v>75</v>
      </c>
      <c r="C9" s="47">
        <v>46048</v>
      </c>
      <c r="D9" s="48"/>
      <c r="E9" s="47">
        <v>46063</v>
      </c>
      <c r="F9" s="48"/>
      <c r="G9" s="1"/>
      <c r="H9" s="1"/>
      <c r="I9" s="2" t="s">
        <v>76</v>
      </c>
      <c r="J9" s="25">
        <v>0.6875</v>
      </c>
      <c r="K9" s="1"/>
    </row>
    <row r="10" spans="2:11" ht="16.5" thickTop="1" thickBot="1"/>
    <row r="11" spans="2:11" ht="24.75">
      <c r="B11" s="8" t="s">
        <v>77</v>
      </c>
      <c r="C11" s="9" t="s">
        <v>78</v>
      </c>
      <c r="D11" s="10" t="s">
        <v>79</v>
      </c>
      <c r="E11" s="10" t="s">
        <v>80</v>
      </c>
      <c r="F11" s="9" t="s">
        <v>81</v>
      </c>
      <c r="G11" s="9" t="s">
        <v>82</v>
      </c>
      <c r="H11" s="9" t="s">
        <v>83</v>
      </c>
      <c r="I11" s="9" t="s">
        <v>84</v>
      </c>
      <c r="J11" s="9" t="s">
        <v>85</v>
      </c>
      <c r="K11" s="9" t="s">
        <v>69</v>
      </c>
    </row>
    <row r="12" spans="2:11" ht="24">
      <c r="B12" s="11"/>
      <c r="C12" s="27">
        <v>46058</v>
      </c>
      <c r="D12" s="20">
        <v>0.3125</v>
      </c>
      <c r="E12" s="20">
        <v>0.36736111111111114</v>
      </c>
      <c r="F12" s="13"/>
      <c r="G12" s="14"/>
      <c r="H12" s="14"/>
      <c r="I12" s="15" t="s">
        <v>48</v>
      </c>
      <c r="J12" s="21" t="s">
        <v>86</v>
      </c>
      <c r="K12" s="16">
        <f>(E12-D12)*24</f>
        <v>1.3166666666666673</v>
      </c>
    </row>
    <row r="13" spans="2:11" ht="15.75">
      <c r="B13" s="11"/>
      <c r="C13" s="27">
        <v>46058</v>
      </c>
      <c r="D13" s="20">
        <v>0.36736111111111114</v>
      </c>
      <c r="E13" s="20">
        <v>0.44722222222222224</v>
      </c>
      <c r="F13" s="13"/>
      <c r="G13" s="14"/>
      <c r="H13" s="14"/>
      <c r="I13" s="15" t="s">
        <v>48</v>
      </c>
      <c r="J13" s="37" t="s">
        <v>87</v>
      </c>
      <c r="K13" s="16">
        <f>(E13-D13)*24</f>
        <v>1.9166666666666665</v>
      </c>
    </row>
    <row r="14" spans="2:11" ht="15.75">
      <c r="B14" s="11"/>
      <c r="C14" s="27">
        <v>46058</v>
      </c>
      <c r="D14" s="20">
        <v>0.44722222222222224</v>
      </c>
      <c r="E14" s="20">
        <v>0.77083333333333337</v>
      </c>
      <c r="F14" s="13"/>
      <c r="G14" s="14"/>
      <c r="H14" s="14"/>
      <c r="I14" s="15" t="s">
        <v>48</v>
      </c>
      <c r="J14" s="37" t="s">
        <v>87</v>
      </c>
      <c r="K14" s="16">
        <f>(E14-D14)*24</f>
        <v>7.7666666666666675</v>
      </c>
    </row>
    <row r="15" spans="2:11" ht="24.75">
      <c r="B15" s="11"/>
      <c r="C15" s="27">
        <v>46059</v>
      </c>
      <c r="D15" s="20">
        <v>0.39930555555555558</v>
      </c>
      <c r="E15" s="20">
        <v>0.54166666666666663</v>
      </c>
      <c r="F15" s="13"/>
      <c r="G15" s="14"/>
      <c r="H15" s="14"/>
      <c r="I15" s="15" t="s">
        <v>48</v>
      </c>
      <c r="J15" s="21" t="s">
        <v>88</v>
      </c>
      <c r="K15" s="16">
        <f>(E15-D15)*24</f>
        <v>3.4166666666666652</v>
      </c>
    </row>
    <row r="16" spans="2:11" ht="24.75">
      <c r="B16" s="11"/>
      <c r="C16" s="29">
        <v>46059</v>
      </c>
      <c r="D16" s="30">
        <v>0.58333333333333337</v>
      </c>
      <c r="E16" s="30">
        <v>0.79305555555555551</v>
      </c>
      <c r="F16" s="13"/>
      <c r="G16" s="14"/>
      <c r="H16" s="14"/>
      <c r="I16" s="15" t="s">
        <v>48</v>
      </c>
      <c r="J16" s="21" t="s">
        <v>89</v>
      </c>
      <c r="K16" s="16">
        <f>(E16-D16)*24</f>
        <v>5.0333333333333314</v>
      </c>
    </row>
    <row r="17" spans="2:11" ht="24.75">
      <c r="B17" s="11"/>
      <c r="C17" s="29">
        <v>46062</v>
      </c>
      <c r="D17" s="20">
        <v>0.3125</v>
      </c>
      <c r="E17" s="20">
        <v>0.6875</v>
      </c>
      <c r="F17" s="13"/>
      <c r="G17" s="14"/>
      <c r="H17" s="14"/>
      <c r="I17" s="15" t="s">
        <v>48</v>
      </c>
      <c r="J17" s="21" t="s">
        <v>90</v>
      </c>
      <c r="K17" s="16">
        <f>(E17-D17)*24</f>
        <v>9</v>
      </c>
    </row>
    <row r="18" spans="2:11" ht="36">
      <c r="B18" s="11"/>
      <c r="C18" s="29">
        <v>46063</v>
      </c>
      <c r="D18" s="20">
        <v>0.375</v>
      </c>
      <c r="E18" s="20">
        <v>0.75</v>
      </c>
      <c r="F18" s="13"/>
      <c r="G18" s="14"/>
      <c r="H18" s="14"/>
      <c r="I18" s="15" t="s">
        <v>48</v>
      </c>
      <c r="J18" s="21" t="s">
        <v>91</v>
      </c>
      <c r="K18" s="16">
        <f>(E18-D18)*24</f>
        <v>9</v>
      </c>
    </row>
  </sheetData>
  <autoFilter ref="B11:K18" xr:uid="{00000000-0009-0000-0000-000000000000}"/>
  <mergeCells count="6">
    <mergeCell ref="B1:K1"/>
    <mergeCell ref="C7:E7"/>
    <mergeCell ref="C8:D8"/>
    <mergeCell ref="E8:F8"/>
    <mergeCell ref="C9:D9"/>
    <mergeCell ref="E9:F9"/>
  </mergeCells>
  <printOptions gridLines="1"/>
  <pageMargins left="0.7" right="0.7" top="0.75" bottom="0.75" header="0.3" footer="0.3"/>
  <pageSetup paperSize="9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BF476A-EAFC-4D3D-8271-D28C2D12EA44}">
          <x14:formula1>
            <xm:f>Sheet1!$A$1:$A$68</xm:f>
          </x14:formula1>
          <xm:sqref>I12:I18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1C1A-2C68-4DD4-ACF6-33B9681A063C}">
  <sheetPr>
    <pageSetUpPr fitToPage="1"/>
  </sheetPr>
  <dimension ref="B1:K21"/>
  <sheetViews>
    <sheetView zoomScale="73" zoomScaleNormal="100" workbookViewId="0">
      <pane ySplit="2" topLeftCell="A10" activePane="bottomLeft" state="frozen"/>
      <selection pane="bottomLeft" activeCell="A14" sqref="A14"/>
    </sheetView>
  </sheetViews>
  <sheetFormatPr defaultRowHeight="15"/>
  <cols>
    <col min="2" max="2" width="16.140625" bestFit="1" customWidth="1"/>
    <col min="3" max="3" width="11.28515625" style="26" bestFit="1" customWidth="1"/>
    <col min="4" max="4" width="16.42578125" style="6" bestFit="1" customWidth="1"/>
    <col min="5" max="5" width="15.28515625" style="6" bestFit="1" customWidth="1"/>
    <col min="6" max="6" width="13.7109375" bestFit="1" customWidth="1"/>
    <col min="7" max="7" width="19.42578125" bestFit="1" customWidth="1"/>
    <col min="8" max="8" width="23.42578125" bestFit="1" customWidth="1"/>
    <col min="9" max="9" width="27.85546875" customWidth="1"/>
    <col min="10" max="10" width="20.85546875" style="26" bestFit="1" customWidth="1"/>
    <col min="11" max="11" width="17.28515625" bestFit="1" customWidth="1"/>
  </cols>
  <sheetData>
    <row r="1" spans="2:11" ht="18">
      <c r="B1" s="41" t="s">
        <v>68</v>
      </c>
      <c r="C1" s="41"/>
      <c r="D1" s="41"/>
      <c r="E1" s="41"/>
      <c r="F1" s="41"/>
      <c r="G1" s="41"/>
      <c r="H1" s="41"/>
      <c r="I1" s="41"/>
      <c r="J1" s="41"/>
      <c r="K1" s="41"/>
    </row>
    <row r="2" spans="2:11">
      <c r="B2" s="1"/>
      <c r="C2" s="23"/>
      <c r="D2" s="4"/>
      <c r="E2" s="4"/>
      <c r="F2" s="1"/>
      <c r="G2" s="1"/>
      <c r="H2" s="1"/>
      <c r="I2" s="1"/>
      <c r="J2" s="22" t="s">
        <v>69</v>
      </c>
      <c r="K2" s="7">
        <f>SUM(K12:K21)</f>
        <v>98.666666666666671</v>
      </c>
    </row>
    <row r="3" spans="2:11">
      <c r="B3" s="1"/>
      <c r="C3" s="23"/>
      <c r="D3" s="4"/>
      <c r="E3" s="4"/>
      <c r="F3" s="1"/>
      <c r="G3" s="1"/>
      <c r="H3" s="1"/>
      <c r="I3" s="1"/>
      <c r="J3" s="23"/>
      <c r="K3" s="1"/>
    </row>
    <row r="4" spans="2:11">
      <c r="B4" s="1"/>
      <c r="C4" s="23"/>
      <c r="D4" s="4"/>
      <c r="E4" s="4"/>
      <c r="F4" s="1"/>
      <c r="G4" s="1"/>
      <c r="H4" s="1"/>
      <c r="I4" s="1"/>
      <c r="J4" s="23"/>
      <c r="K4" s="1"/>
    </row>
    <row r="5" spans="2:11">
      <c r="B5" s="1"/>
      <c r="C5" s="23"/>
      <c r="D5" s="4"/>
      <c r="E5" s="4"/>
      <c r="F5" s="1"/>
      <c r="G5" s="1"/>
      <c r="H5" s="1"/>
      <c r="I5" s="1"/>
      <c r="J5" s="23"/>
      <c r="K5" s="1"/>
    </row>
    <row r="6" spans="2:11">
      <c r="B6" s="1"/>
      <c r="C6" s="24"/>
      <c r="D6" s="5"/>
      <c r="E6" s="5"/>
      <c r="F6" s="1"/>
      <c r="G6" s="1"/>
      <c r="H6" s="1"/>
      <c r="I6" s="1"/>
      <c r="J6" s="24"/>
      <c r="K6" s="1"/>
    </row>
    <row r="7" spans="2:11">
      <c r="B7" s="2" t="s">
        <v>70</v>
      </c>
      <c r="C7" s="42" t="s">
        <v>71</v>
      </c>
      <c r="D7" s="43"/>
      <c r="E7" s="44"/>
      <c r="F7" s="1"/>
      <c r="G7" s="1"/>
      <c r="H7" s="1"/>
      <c r="I7" s="2" t="s">
        <v>72</v>
      </c>
      <c r="J7" s="28"/>
      <c r="K7" s="1"/>
    </row>
    <row r="8" spans="2:11">
      <c r="B8" s="1"/>
      <c r="C8" s="45" t="s">
        <v>73</v>
      </c>
      <c r="D8" s="45"/>
      <c r="E8" s="46" t="s">
        <v>74</v>
      </c>
      <c r="F8" s="46"/>
      <c r="G8" s="1"/>
      <c r="H8" s="1"/>
      <c r="I8" s="1"/>
      <c r="J8" s="24"/>
      <c r="K8" s="1"/>
    </row>
    <row r="9" spans="2:11" ht="16.5" customHeight="1">
      <c r="B9" s="3" t="s">
        <v>75</v>
      </c>
      <c r="C9" s="47">
        <v>46064</v>
      </c>
      <c r="D9" s="48"/>
      <c r="E9" s="47">
        <v>46078</v>
      </c>
      <c r="F9" s="48"/>
      <c r="G9" s="1"/>
      <c r="H9" s="1"/>
      <c r="I9" s="2" t="s">
        <v>76</v>
      </c>
      <c r="J9" s="25">
        <v>0.6875</v>
      </c>
      <c r="K9" s="1"/>
    </row>
    <row r="11" spans="2:11" ht="24.75">
      <c r="B11" s="8" t="s">
        <v>77</v>
      </c>
      <c r="C11" s="9" t="s">
        <v>78</v>
      </c>
      <c r="D11" s="10" t="s">
        <v>79</v>
      </c>
      <c r="E11" s="10" t="s">
        <v>80</v>
      </c>
      <c r="F11" s="9" t="s">
        <v>81</v>
      </c>
      <c r="G11" s="9" t="s">
        <v>82</v>
      </c>
      <c r="H11" s="9" t="s">
        <v>83</v>
      </c>
      <c r="I11" s="9" t="s">
        <v>84</v>
      </c>
      <c r="J11" s="9" t="s">
        <v>85</v>
      </c>
      <c r="K11" s="9" t="s">
        <v>69</v>
      </c>
    </row>
    <row r="12" spans="2:11" ht="36">
      <c r="B12" s="11"/>
      <c r="C12" s="29">
        <v>46064</v>
      </c>
      <c r="D12" s="20">
        <v>0.41319444444444442</v>
      </c>
      <c r="E12" s="20">
        <v>0.80208333333333337</v>
      </c>
      <c r="F12" s="13"/>
      <c r="G12" s="14"/>
      <c r="H12" s="14"/>
      <c r="I12" s="15" t="s">
        <v>48</v>
      </c>
      <c r="J12" s="21" t="s">
        <v>92</v>
      </c>
      <c r="K12" s="16">
        <f t="shared" ref="K12:K19" si="0">(E12-D12)*24</f>
        <v>9.3333333333333357</v>
      </c>
    </row>
    <row r="13" spans="2:11" ht="36">
      <c r="B13" s="11"/>
      <c r="C13" s="29">
        <v>46065</v>
      </c>
      <c r="D13" s="30">
        <v>0.3923611111111111</v>
      </c>
      <c r="E13" s="20">
        <v>0.84027777777777779</v>
      </c>
      <c r="F13" s="13"/>
      <c r="G13" s="14"/>
      <c r="H13" s="14"/>
      <c r="I13" s="15" t="s">
        <v>48</v>
      </c>
      <c r="J13" s="21" t="s">
        <v>93</v>
      </c>
      <c r="K13" s="16">
        <f t="shared" si="0"/>
        <v>10.75</v>
      </c>
    </row>
    <row r="14" spans="2:11" ht="29.25" customHeight="1">
      <c r="B14" s="11"/>
      <c r="C14" s="29">
        <v>46066</v>
      </c>
      <c r="D14" s="30">
        <v>0.31388888888888888</v>
      </c>
      <c r="E14" s="30">
        <v>0.69236111111111109</v>
      </c>
      <c r="F14" s="13"/>
      <c r="G14" s="14"/>
      <c r="H14" s="14"/>
      <c r="I14" s="15" t="s">
        <v>48</v>
      </c>
      <c r="J14" s="37" t="s">
        <v>94</v>
      </c>
      <c r="K14" s="16">
        <f t="shared" si="0"/>
        <v>9.0833333333333321</v>
      </c>
    </row>
    <row r="15" spans="2:11">
      <c r="B15" s="11"/>
      <c r="C15" s="29">
        <v>46069</v>
      </c>
      <c r="D15" s="30">
        <v>0.35416666666666669</v>
      </c>
      <c r="E15" s="30">
        <v>0.72986111111111107</v>
      </c>
      <c r="F15" s="35"/>
      <c r="G15" s="14"/>
      <c r="H15" s="14"/>
      <c r="I15" s="15" t="s">
        <v>48</v>
      </c>
      <c r="J15" s="37" t="s">
        <v>95</v>
      </c>
      <c r="K15" s="16">
        <f t="shared" si="0"/>
        <v>9.0166666666666657</v>
      </c>
    </row>
    <row r="16" spans="2:11" ht="24.75">
      <c r="B16" s="33"/>
      <c r="C16" s="29">
        <v>46071</v>
      </c>
      <c r="D16" s="30">
        <v>0.375</v>
      </c>
      <c r="E16" s="30">
        <v>0.81319444444444444</v>
      </c>
      <c r="F16" s="31"/>
      <c r="G16" s="34"/>
      <c r="H16" s="14"/>
      <c r="I16" s="15" t="s">
        <v>48</v>
      </c>
      <c r="J16" s="21" t="s">
        <v>96</v>
      </c>
      <c r="K16" s="16">
        <f t="shared" si="0"/>
        <v>10.516666666666666</v>
      </c>
    </row>
    <row r="17" spans="2:11" ht="24.75">
      <c r="B17" s="33"/>
      <c r="C17" s="29">
        <v>46072</v>
      </c>
      <c r="D17" s="30">
        <v>0.39583333333333331</v>
      </c>
      <c r="E17" s="30">
        <v>0.76041666666666663</v>
      </c>
      <c r="F17" s="31"/>
      <c r="G17" s="34"/>
      <c r="H17" s="14"/>
      <c r="I17" s="15" t="s">
        <v>48</v>
      </c>
      <c r="J17" s="21" t="s">
        <v>97</v>
      </c>
      <c r="K17" s="16">
        <f t="shared" si="0"/>
        <v>8.75</v>
      </c>
    </row>
    <row r="18" spans="2:11" ht="24.75">
      <c r="B18" s="33"/>
      <c r="C18" s="29">
        <v>46073</v>
      </c>
      <c r="D18" s="32">
        <v>0.3125</v>
      </c>
      <c r="E18" s="30">
        <v>0.69305555555555554</v>
      </c>
      <c r="F18" s="31"/>
      <c r="G18" s="34"/>
      <c r="H18" s="14"/>
      <c r="I18" s="15" t="s">
        <v>48</v>
      </c>
      <c r="J18" s="21" t="s">
        <v>97</v>
      </c>
      <c r="K18" s="16">
        <f t="shared" si="0"/>
        <v>9.1333333333333329</v>
      </c>
    </row>
    <row r="19" spans="2:11" ht="24.75">
      <c r="B19" s="33"/>
      <c r="C19" s="29">
        <v>46076</v>
      </c>
      <c r="D19" s="30">
        <v>0.33333333333333331</v>
      </c>
      <c r="E19" s="30">
        <v>0.73958333333333337</v>
      </c>
      <c r="F19" s="31"/>
      <c r="G19" s="34"/>
      <c r="H19" s="14"/>
      <c r="I19" s="15" t="s">
        <v>48</v>
      </c>
      <c r="J19" s="21" t="s">
        <v>97</v>
      </c>
      <c r="K19" s="16">
        <f t="shared" si="0"/>
        <v>9.7500000000000018</v>
      </c>
    </row>
    <row r="20" spans="2:11" ht="24.75">
      <c r="B20" s="33"/>
      <c r="C20" s="29">
        <v>46077</v>
      </c>
      <c r="D20" s="30">
        <v>0.40625</v>
      </c>
      <c r="E20" s="30">
        <v>0.80555555555555558</v>
      </c>
      <c r="F20" s="31"/>
      <c r="G20" s="34"/>
      <c r="H20" s="14"/>
      <c r="I20" s="15" t="s">
        <v>48</v>
      </c>
      <c r="J20" s="21" t="s">
        <v>97</v>
      </c>
      <c r="K20" s="16">
        <f>(E20-D20)*24</f>
        <v>9.5833333333333339</v>
      </c>
    </row>
    <row r="21" spans="2:11" ht="36">
      <c r="B21" s="11"/>
      <c r="C21" s="29">
        <v>46077</v>
      </c>
      <c r="D21" s="30">
        <v>0.38541666666666669</v>
      </c>
      <c r="E21" s="30">
        <v>0.91666666666666663</v>
      </c>
      <c r="F21" s="36"/>
      <c r="G21" s="14"/>
      <c r="H21" s="17"/>
      <c r="I21" s="15" t="s">
        <v>48</v>
      </c>
      <c r="J21" s="21" t="s">
        <v>98</v>
      </c>
      <c r="K21" s="16">
        <f>(E21-D21)*24</f>
        <v>12.75</v>
      </c>
    </row>
  </sheetData>
  <autoFilter ref="B11:K21" xr:uid="{00000000-0009-0000-0000-000000000000}"/>
  <mergeCells count="6">
    <mergeCell ref="B1:K1"/>
    <mergeCell ref="C7:E7"/>
    <mergeCell ref="C8:D8"/>
    <mergeCell ref="E8:F8"/>
    <mergeCell ref="C9:D9"/>
    <mergeCell ref="E9:F9"/>
  </mergeCells>
  <printOptions gridLines="1"/>
  <pageMargins left="0.7" right="0.7" top="0.75" bottom="0.75" header="0.3" footer="0.3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3D5CB1-DE2F-41B8-AF45-36EB2E44B324}">
          <x14:formula1>
            <xm:f>Sheet1!$A$1:$A$68</xm:f>
          </x14:formula1>
          <xm:sqref>I12:I21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41CF-93AE-4499-82CB-11AF3BD833C2}">
  <sheetPr>
    <pageSetUpPr fitToPage="1"/>
  </sheetPr>
  <dimension ref="B1:K20"/>
  <sheetViews>
    <sheetView topLeftCell="D1" zoomScale="73" zoomScaleNormal="100" workbookViewId="0">
      <pane ySplit="2" topLeftCell="A3" activePane="bottomLeft" state="frozen"/>
      <selection pane="bottomLeft" activeCell="G21" sqref="G21"/>
      <selection activeCell="D1" sqref="D1"/>
    </sheetView>
  </sheetViews>
  <sheetFormatPr defaultRowHeight="15"/>
  <cols>
    <col min="2" max="2" width="16.140625" bestFit="1" customWidth="1"/>
    <col min="3" max="3" width="11.28515625" style="26" bestFit="1" customWidth="1"/>
    <col min="4" max="4" width="16.42578125" style="6" bestFit="1" customWidth="1"/>
    <col min="5" max="5" width="15.28515625" style="6" bestFit="1" customWidth="1"/>
    <col min="6" max="6" width="13.7109375" bestFit="1" customWidth="1"/>
    <col min="7" max="7" width="19.42578125" bestFit="1" customWidth="1"/>
    <col min="8" max="8" width="23.42578125" bestFit="1" customWidth="1"/>
    <col min="9" max="9" width="27.85546875" customWidth="1"/>
    <col min="10" max="10" width="20.85546875" style="26" bestFit="1" customWidth="1"/>
    <col min="11" max="11" width="17.28515625" bestFit="1" customWidth="1"/>
  </cols>
  <sheetData>
    <row r="1" spans="2:11" ht="18">
      <c r="B1" s="41" t="s">
        <v>68</v>
      </c>
      <c r="C1" s="41"/>
      <c r="D1" s="41"/>
      <c r="E1" s="41"/>
      <c r="F1" s="41"/>
      <c r="G1" s="41"/>
      <c r="H1" s="41"/>
      <c r="I1" s="41"/>
      <c r="J1" s="41"/>
      <c r="K1" s="41"/>
    </row>
    <row r="2" spans="2:11">
      <c r="B2" s="1"/>
      <c r="C2" s="23"/>
      <c r="D2" s="4"/>
      <c r="E2" s="4"/>
      <c r="F2" s="1"/>
      <c r="G2" s="1"/>
      <c r="H2" s="1"/>
      <c r="I2" s="1"/>
      <c r="J2" s="22" t="s">
        <v>69</v>
      </c>
      <c r="K2" s="7">
        <f>SUM(K12:K20)</f>
        <v>79.283333333333317</v>
      </c>
    </row>
    <row r="3" spans="2:11">
      <c r="B3" s="1"/>
      <c r="C3" s="23"/>
      <c r="D3" s="4"/>
      <c r="E3" s="4"/>
      <c r="F3" s="1"/>
      <c r="G3" s="1"/>
      <c r="H3" s="1"/>
      <c r="I3" s="1"/>
      <c r="J3" s="23"/>
      <c r="K3" s="1"/>
    </row>
    <row r="4" spans="2:11">
      <c r="B4" s="1"/>
      <c r="C4" s="23"/>
      <c r="D4" s="4"/>
      <c r="E4" s="4"/>
      <c r="F4" s="1"/>
      <c r="G4" s="1"/>
      <c r="H4" s="1"/>
      <c r="I4" s="1"/>
      <c r="J4" s="23"/>
      <c r="K4" s="1"/>
    </row>
    <row r="5" spans="2:11">
      <c r="B5" s="1"/>
      <c r="C5" s="23"/>
      <c r="D5" s="4"/>
      <c r="E5" s="4"/>
      <c r="F5" s="1"/>
      <c r="G5" s="1"/>
      <c r="H5" s="1"/>
      <c r="I5" s="1"/>
      <c r="J5" s="23"/>
      <c r="K5" s="1"/>
    </row>
    <row r="6" spans="2:11">
      <c r="B6" s="1"/>
      <c r="C6" s="24"/>
      <c r="D6" s="5"/>
      <c r="E6" s="5"/>
      <c r="F6" s="1"/>
      <c r="G6" s="1"/>
      <c r="H6" s="1"/>
      <c r="I6" s="1"/>
      <c r="J6" s="24"/>
      <c r="K6" s="1"/>
    </row>
    <row r="7" spans="2:11">
      <c r="B7" s="2" t="s">
        <v>70</v>
      </c>
      <c r="C7" s="42" t="s">
        <v>71</v>
      </c>
      <c r="D7" s="43"/>
      <c r="E7" s="44"/>
      <c r="F7" s="1"/>
      <c r="G7" s="1"/>
      <c r="H7" s="1"/>
      <c r="I7" s="2" t="s">
        <v>72</v>
      </c>
      <c r="J7" s="28"/>
      <c r="K7" s="1"/>
    </row>
    <row r="8" spans="2:11">
      <c r="B8" s="1"/>
      <c r="C8" s="45" t="s">
        <v>73</v>
      </c>
      <c r="D8" s="45"/>
      <c r="E8" s="46" t="s">
        <v>74</v>
      </c>
      <c r="F8" s="46"/>
      <c r="G8" s="1"/>
      <c r="H8" s="1"/>
      <c r="I8" s="1"/>
      <c r="J8" s="24"/>
      <c r="K8" s="1"/>
    </row>
    <row r="9" spans="2:11" ht="16.5" customHeight="1">
      <c r="B9" s="3" t="s">
        <v>75</v>
      </c>
      <c r="C9" s="47">
        <v>46079</v>
      </c>
      <c r="D9" s="48"/>
      <c r="E9" s="47">
        <v>46091</v>
      </c>
      <c r="F9" s="48"/>
      <c r="G9" s="1"/>
      <c r="H9" s="1"/>
      <c r="I9" s="2" t="s">
        <v>76</v>
      </c>
      <c r="J9" s="25">
        <v>0.6875</v>
      </c>
      <c r="K9" s="1"/>
    </row>
    <row r="11" spans="2:11" ht="24.75">
      <c r="B11" s="8" t="s">
        <v>77</v>
      </c>
      <c r="C11" s="9" t="s">
        <v>78</v>
      </c>
      <c r="D11" s="10" t="s">
        <v>79</v>
      </c>
      <c r="E11" s="10" t="s">
        <v>80</v>
      </c>
      <c r="F11" s="9" t="s">
        <v>81</v>
      </c>
      <c r="G11" s="9" t="s">
        <v>82</v>
      </c>
      <c r="H11" s="9" t="s">
        <v>83</v>
      </c>
      <c r="I11" s="9" t="s">
        <v>84</v>
      </c>
      <c r="J11" s="9" t="s">
        <v>85</v>
      </c>
      <c r="K11" s="9" t="s">
        <v>69</v>
      </c>
    </row>
    <row r="12" spans="2:11">
      <c r="B12" s="11"/>
      <c r="C12" s="29">
        <v>46079</v>
      </c>
      <c r="D12" s="20">
        <v>0.3125</v>
      </c>
      <c r="E12" s="20">
        <v>0.6875</v>
      </c>
      <c r="F12" s="13"/>
      <c r="G12" s="14"/>
      <c r="H12" s="14"/>
      <c r="I12" s="15" t="s">
        <v>48</v>
      </c>
      <c r="J12" s="21" t="s">
        <v>99</v>
      </c>
      <c r="K12" s="16">
        <f t="shared" ref="K12" si="0">(E12-D12)*24</f>
        <v>9</v>
      </c>
    </row>
    <row r="13" spans="2:11" ht="24.75">
      <c r="B13" s="11"/>
      <c r="C13" s="29">
        <v>46080</v>
      </c>
      <c r="D13" s="20">
        <v>0.44791666666666669</v>
      </c>
      <c r="E13" s="20">
        <v>0.75694444444444442</v>
      </c>
      <c r="F13" s="18"/>
      <c r="G13" s="11"/>
      <c r="H13" s="11"/>
      <c r="I13" s="38" t="s">
        <v>48</v>
      </c>
      <c r="J13" s="21" t="s">
        <v>100</v>
      </c>
      <c r="K13" s="16">
        <f>(E13-D13)*24</f>
        <v>7.4166666666666661</v>
      </c>
    </row>
    <row r="14" spans="2:11" ht="24.75">
      <c r="B14" s="11"/>
      <c r="C14" s="29">
        <v>46083</v>
      </c>
      <c r="D14" s="30">
        <v>0.33333333333333331</v>
      </c>
      <c r="E14" s="20">
        <v>0.70833333333333337</v>
      </c>
      <c r="F14" s="18"/>
      <c r="G14" s="11"/>
      <c r="H14" s="11"/>
      <c r="I14" s="38" t="s">
        <v>48</v>
      </c>
      <c r="J14" s="21" t="s">
        <v>101</v>
      </c>
      <c r="K14" s="16">
        <f>(E14-D14)*24</f>
        <v>9.0000000000000018</v>
      </c>
    </row>
    <row r="15" spans="2:11" ht="24.75">
      <c r="B15" s="11"/>
      <c r="C15" s="29">
        <v>46084</v>
      </c>
      <c r="D15" s="20">
        <v>0.37847222222222221</v>
      </c>
      <c r="E15" s="20">
        <v>0.73263888888888884</v>
      </c>
      <c r="F15" s="18"/>
      <c r="G15" s="11"/>
      <c r="H15" s="11"/>
      <c r="I15" s="38" t="s">
        <v>48</v>
      </c>
      <c r="J15" s="21" t="s">
        <v>102</v>
      </c>
      <c r="K15" s="16">
        <f>(E15-D15)*24</f>
        <v>8.5</v>
      </c>
    </row>
    <row r="16" spans="2:11" ht="24.75">
      <c r="B16" s="11"/>
      <c r="C16" s="29">
        <v>46085</v>
      </c>
      <c r="D16" s="30">
        <v>0.43055555555555558</v>
      </c>
      <c r="E16" s="30">
        <v>0.79166666666666663</v>
      </c>
      <c r="F16" s="18"/>
      <c r="G16" s="11"/>
      <c r="H16" s="11"/>
      <c r="I16" s="38" t="s">
        <v>48</v>
      </c>
      <c r="J16" s="21" t="s">
        <v>103</v>
      </c>
      <c r="K16" s="16">
        <f>(E16-D16)*24</f>
        <v>8.6666666666666643</v>
      </c>
    </row>
    <row r="17" spans="2:11" ht="36">
      <c r="B17" s="11"/>
      <c r="C17" s="29">
        <v>46086</v>
      </c>
      <c r="D17" s="30">
        <v>0.42708333333333331</v>
      </c>
      <c r="E17" s="30">
        <v>0.8125</v>
      </c>
      <c r="F17" s="18"/>
      <c r="G17" s="11"/>
      <c r="H17" s="11"/>
      <c r="I17" s="38" t="s">
        <v>48</v>
      </c>
      <c r="J17" s="21" t="s">
        <v>104</v>
      </c>
      <c r="K17" s="16">
        <f>(E17-D17)*24</f>
        <v>9.25</v>
      </c>
    </row>
    <row r="18" spans="2:11" ht="24.75">
      <c r="B18" s="11"/>
      <c r="C18" s="27">
        <v>46087</v>
      </c>
      <c r="D18" s="20">
        <v>0.3263888888888889</v>
      </c>
      <c r="E18" s="20">
        <v>0.71875</v>
      </c>
      <c r="F18" s="18"/>
      <c r="G18" s="11"/>
      <c r="H18" s="11"/>
      <c r="I18" s="38" t="s">
        <v>48</v>
      </c>
      <c r="J18" s="21" t="s">
        <v>105</v>
      </c>
      <c r="K18" s="16">
        <f>(E18-D18)*24</f>
        <v>9.4166666666666661</v>
      </c>
    </row>
    <row r="19" spans="2:11">
      <c r="B19" s="11"/>
      <c r="C19" s="29">
        <v>46088</v>
      </c>
      <c r="D19" s="20">
        <v>0.40277777777777779</v>
      </c>
      <c r="E19" s="30">
        <v>0.78611111111111109</v>
      </c>
      <c r="F19" s="18"/>
      <c r="G19" s="11"/>
      <c r="H19" s="11"/>
      <c r="I19" s="38" t="s">
        <v>48</v>
      </c>
      <c r="J19" s="37" t="s">
        <v>105</v>
      </c>
      <c r="K19" s="16">
        <f>(E19-D19)*24</f>
        <v>9.1999999999999993</v>
      </c>
    </row>
    <row r="20" spans="2:11">
      <c r="B20" s="11"/>
      <c r="C20" s="27">
        <v>46091</v>
      </c>
      <c r="D20" s="20">
        <v>0.44444444444444442</v>
      </c>
      <c r="E20" s="20">
        <v>0.8125</v>
      </c>
      <c r="F20" s="18"/>
      <c r="G20" s="11"/>
      <c r="H20" s="11"/>
      <c r="I20" s="38" t="s">
        <v>48</v>
      </c>
      <c r="J20" s="37" t="s">
        <v>105</v>
      </c>
      <c r="K20" s="16">
        <f>(E20-D20)*24</f>
        <v>8.8333333333333339</v>
      </c>
    </row>
  </sheetData>
  <autoFilter ref="B11:K20" xr:uid="{00000000-0009-0000-0000-000000000000}"/>
  <mergeCells count="6">
    <mergeCell ref="B1:K1"/>
    <mergeCell ref="C7:E7"/>
    <mergeCell ref="C8:D8"/>
    <mergeCell ref="E8:F8"/>
    <mergeCell ref="C9:D9"/>
    <mergeCell ref="E9:F9"/>
  </mergeCells>
  <pageMargins left="0.7" right="0.7" top="0.75" bottom="0.75" header="0.3" footer="0.3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BFE859-4787-4C0F-AF9F-AA3BCB3EF3CC}">
          <x14:formula1>
            <xm:f>Sheet1!$A$1:$A$68</xm:f>
          </x14:formula1>
          <xm:sqref>I12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3E25-CD59-4EFA-9523-37078624CF1A}">
  <sheetPr>
    <pageSetUpPr fitToPage="1"/>
  </sheetPr>
  <dimension ref="B1:K21"/>
  <sheetViews>
    <sheetView topLeftCell="D1" zoomScale="73" zoomScaleNormal="100" workbookViewId="0">
      <pane ySplit="2" topLeftCell="A7" activePane="bottomLeft" state="frozen"/>
      <selection pane="bottomLeft" activeCell="L19" sqref="L19"/>
      <selection activeCell="D1" sqref="D1"/>
    </sheetView>
  </sheetViews>
  <sheetFormatPr defaultRowHeight="15"/>
  <cols>
    <col min="2" max="2" width="16.140625" bestFit="1" customWidth="1"/>
    <col min="3" max="3" width="11.28515625" style="26" bestFit="1" customWidth="1"/>
    <col min="4" max="4" width="16.42578125" style="6" bestFit="1" customWidth="1"/>
    <col min="5" max="5" width="15.28515625" style="6" bestFit="1" customWidth="1"/>
    <col min="6" max="6" width="13.7109375" bestFit="1" customWidth="1"/>
    <col min="7" max="7" width="19.42578125" bestFit="1" customWidth="1"/>
    <col min="8" max="8" width="23.42578125" bestFit="1" customWidth="1"/>
    <col min="9" max="9" width="27.85546875" customWidth="1"/>
    <col min="10" max="10" width="20.85546875" style="26" bestFit="1" customWidth="1"/>
    <col min="11" max="11" width="17.28515625" bestFit="1" customWidth="1"/>
  </cols>
  <sheetData>
    <row r="1" spans="2:11" ht="18.75">
      <c r="B1" s="41" t="s">
        <v>68</v>
      </c>
      <c r="C1" s="41"/>
      <c r="D1" s="41"/>
      <c r="E1" s="41"/>
      <c r="F1" s="41"/>
      <c r="G1" s="41"/>
      <c r="H1" s="41"/>
      <c r="I1" s="41"/>
      <c r="J1" s="41"/>
      <c r="K1" s="41"/>
    </row>
    <row r="2" spans="2:11" ht="18">
      <c r="B2" s="1"/>
      <c r="C2" s="23"/>
      <c r="D2" s="4"/>
      <c r="E2" s="4"/>
      <c r="F2" s="1"/>
      <c r="G2" s="1"/>
      <c r="H2" s="1"/>
      <c r="I2" s="1"/>
      <c r="J2" s="22" t="s">
        <v>69</v>
      </c>
      <c r="K2" s="7">
        <f>SUM(K12:K21)</f>
        <v>90.7</v>
      </c>
    </row>
    <row r="3" spans="2:11">
      <c r="B3" s="1"/>
      <c r="C3" s="23"/>
      <c r="D3" s="4"/>
      <c r="E3" s="4"/>
      <c r="F3" s="1"/>
      <c r="G3" s="1"/>
      <c r="H3" s="1"/>
      <c r="I3" s="1"/>
      <c r="J3" s="23"/>
      <c r="K3" s="1"/>
    </row>
    <row r="4" spans="2:11">
      <c r="B4" s="1"/>
      <c r="C4" s="23"/>
      <c r="D4" s="4"/>
      <c r="E4" s="4"/>
      <c r="F4" s="1"/>
      <c r="G4" s="1"/>
      <c r="H4" s="1"/>
      <c r="I4" s="1"/>
      <c r="J4" s="23"/>
      <c r="K4" s="1"/>
    </row>
    <row r="5" spans="2:11">
      <c r="B5" s="1"/>
      <c r="C5" s="23"/>
      <c r="D5" s="4"/>
      <c r="E5" s="4"/>
      <c r="F5" s="1"/>
      <c r="G5" s="1"/>
      <c r="H5" s="1"/>
      <c r="I5" s="1"/>
      <c r="J5" s="23"/>
      <c r="K5" s="1"/>
    </row>
    <row r="6" spans="2:11">
      <c r="B6" s="1"/>
      <c r="C6" s="24"/>
      <c r="D6" s="5"/>
      <c r="E6" s="5"/>
      <c r="F6" s="1"/>
      <c r="G6" s="1"/>
      <c r="H6" s="1"/>
      <c r="I6" s="1"/>
      <c r="J6" s="24"/>
      <c r="K6" s="1"/>
    </row>
    <row r="7" spans="2:11">
      <c r="B7" s="2" t="s">
        <v>70</v>
      </c>
      <c r="C7" s="42" t="s">
        <v>71</v>
      </c>
      <c r="D7" s="43"/>
      <c r="E7" s="44"/>
      <c r="F7" s="1"/>
      <c r="G7" s="1"/>
      <c r="H7" s="1"/>
      <c r="I7" s="2" t="s">
        <v>72</v>
      </c>
      <c r="J7" s="28"/>
      <c r="K7" s="1"/>
    </row>
    <row r="8" spans="2:11">
      <c r="B8" s="1"/>
      <c r="C8" s="45" t="s">
        <v>73</v>
      </c>
      <c r="D8" s="45"/>
      <c r="E8" s="46" t="s">
        <v>74</v>
      </c>
      <c r="F8" s="46"/>
      <c r="G8" s="1"/>
      <c r="H8" s="1"/>
      <c r="I8" s="1"/>
      <c r="J8" s="24"/>
      <c r="K8" s="1"/>
    </row>
    <row r="9" spans="2:11" ht="16.5" customHeight="1">
      <c r="B9" s="3" t="s">
        <v>75</v>
      </c>
      <c r="C9" s="47">
        <v>46092</v>
      </c>
      <c r="D9" s="48"/>
      <c r="E9" s="47">
        <v>46106</v>
      </c>
      <c r="F9" s="48"/>
      <c r="G9" s="1"/>
      <c r="H9" s="1"/>
      <c r="I9" s="2" t="s">
        <v>76</v>
      </c>
      <c r="J9" s="25">
        <v>0.6875</v>
      </c>
      <c r="K9" s="1"/>
    </row>
    <row r="11" spans="2:11">
      <c r="B11" s="8" t="s">
        <v>77</v>
      </c>
      <c r="C11" s="9" t="s">
        <v>78</v>
      </c>
      <c r="D11" s="10" t="s">
        <v>79</v>
      </c>
      <c r="E11" s="10" t="s">
        <v>80</v>
      </c>
      <c r="F11" s="9" t="s">
        <v>81</v>
      </c>
      <c r="G11" s="9" t="s">
        <v>82</v>
      </c>
      <c r="H11" s="9" t="s">
        <v>83</v>
      </c>
      <c r="I11" s="9" t="s">
        <v>84</v>
      </c>
      <c r="J11" s="9" t="s">
        <v>85</v>
      </c>
      <c r="K11" s="9" t="s">
        <v>69</v>
      </c>
    </row>
    <row r="12" spans="2:11" ht="15.75">
      <c r="B12" s="11"/>
      <c r="C12" s="29">
        <v>46092</v>
      </c>
      <c r="D12" s="20">
        <v>0.4375</v>
      </c>
      <c r="E12" s="30">
        <v>0.82291666666666663</v>
      </c>
      <c r="F12" s="18"/>
      <c r="G12" s="11"/>
      <c r="H12" s="11"/>
      <c r="I12" s="38" t="s">
        <v>48</v>
      </c>
      <c r="J12" s="37" t="s">
        <v>105</v>
      </c>
      <c r="K12" s="16">
        <f>(E12-D12)*24</f>
        <v>9.25</v>
      </c>
    </row>
    <row r="13" spans="2:11" ht="15.75">
      <c r="B13" s="11"/>
      <c r="C13" s="27">
        <v>46093</v>
      </c>
      <c r="D13" s="20">
        <v>0.4513888888888889</v>
      </c>
      <c r="E13" s="20">
        <v>0.77222222222222225</v>
      </c>
      <c r="F13" s="18"/>
      <c r="G13" s="11"/>
      <c r="H13" s="11"/>
      <c r="I13" s="38" t="s">
        <v>48</v>
      </c>
      <c r="J13" s="37" t="s">
        <v>106</v>
      </c>
      <c r="K13" s="16">
        <f>(E13-D13)*24</f>
        <v>7.7000000000000011</v>
      </c>
    </row>
    <row r="14" spans="2:11" ht="15.75">
      <c r="B14" s="11"/>
      <c r="C14" s="39">
        <v>46094</v>
      </c>
      <c r="D14" s="20">
        <v>0.39583333333333331</v>
      </c>
      <c r="E14" s="20">
        <v>0.79166666666666663</v>
      </c>
      <c r="F14" s="18"/>
      <c r="G14" s="11"/>
      <c r="H14" s="11"/>
      <c r="I14" s="38" t="s">
        <v>48</v>
      </c>
      <c r="J14" s="37" t="s">
        <v>106</v>
      </c>
      <c r="K14" s="16">
        <f>(E14-D14)*24</f>
        <v>9.5</v>
      </c>
    </row>
    <row r="15" spans="2:11" ht="15.75">
      <c r="B15" s="11"/>
      <c r="C15" s="27">
        <v>46097</v>
      </c>
      <c r="D15" s="20">
        <v>0.3298611111111111</v>
      </c>
      <c r="E15" s="20">
        <v>0.7055555555555556</v>
      </c>
      <c r="F15" s="13"/>
      <c r="G15" s="14"/>
      <c r="H15" s="14"/>
      <c r="I15" s="15" t="s">
        <v>48</v>
      </c>
      <c r="J15" s="37" t="s">
        <v>106</v>
      </c>
      <c r="K15" s="16">
        <f>(E15-D15)*24</f>
        <v>9.0166666666666675</v>
      </c>
    </row>
    <row r="16" spans="2:11" ht="15.75">
      <c r="B16" s="11"/>
      <c r="C16" s="27">
        <v>46098</v>
      </c>
      <c r="D16" s="20">
        <v>0.38541666666666669</v>
      </c>
      <c r="E16" s="30">
        <v>0.79166666666666663</v>
      </c>
      <c r="F16" s="13"/>
      <c r="G16" s="14"/>
      <c r="H16" s="14"/>
      <c r="I16" s="15" t="s">
        <v>48</v>
      </c>
      <c r="J16" s="37" t="s">
        <v>106</v>
      </c>
      <c r="K16" s="16">
        <f>(E16-D16)*24</f>
        <v>9.7499999999999982</v>
      </c>
    </row>
    <row r="17" spans="2:11" ht="15.75">
      <c r="B17" s="11"/>
      <c r="C17" s="27">
        <v>46099</v>
      </c>
      <c r="D17" s="20">
        <v>0.33819444444444446</v>
      </c>
      <c r="E17" s="20">
        <v>0.74027777777777781</v>
      </c>
      <c r="F17" s="13"/>
      <c r="G17" s="14"/>
      <c r="H17" s="14"/>
      <c r="I17" s="15" t="s">
        <v>48</v>
      </c>
      <c r="J17" s="37" t="s">
        <v>106</v>
      </c>
      <c r="K17" s="16">
        <f>(E17-D17)*24</f>
        <v>9.65</v>
      </c>
    </row>
    <row r="18" spans="2:11" ht="15.75">
      <c r="B18" s="11"/>
      <c r="C18" s="27">
        <v>46100</v>
      </c>
      <c r="D18" s="20">
        <v>0.3923611111111111</v>
      </c>
      <c r="E18" s="20">
        <v>0.79513888888888884</v>
      </c>
      <c r="F18" s="13"/>
      <c r="G18" s="17"/>
      <c r="H18" s="14"/>
      <c r="I18" s="38" t="s">
        <v>48</v>
      </c>
      <c r="J18" s="37" t="s">
        <v>106</v>
      </c>
      <c r="K18" s="16">
        <f>(E18-D18)*24</f>
        <v>9.6666666666666661</v>
      </c>
    </row>
    <row r="19" spans="2:11" ht="15.75">
      <c r="B19" s="11"/>
      <c r="C19" s="29">
        <v>46104</v>
      </c>
      <c r="D19" s="30">
        <v>0.3263888888888889</v>
      </c>
      <c r="E19" s="20">
        <v>0.70277777777777772</v>
      </c>
      <c r="F19" s="13"/>
      <c r="G19" s="14"/>
      <c r="H19" s="14"/>
      <c r="I19" s="38" t="s">
        <v>48</v>
      </c>
      <c r="J19" s="37" t="s">
        <v>106</v>
      </c>
      <c r="K19" s="16">
        <f>(E19-D19)*24</f>
        <v>9.0333333333333314</v>
      </c>
    </row>
    <row r="20" spans="2:11" ht="15.75">
      <c r="B20" s="11"/>
      <c r="C20" s="27">
        <v>46105</v>
      </c>
      <c r="D20" s="20">
        <v>0.41666666666666669</v>
      </c>
      <c r="E20" s="20">
        <v>0.75</v>
      </c>
      <c r="F20" s="13"/>
      <c r="G20" s="14"/>
      <c r="H20" s="14"/>
      <c r="I20" s="38" t="s">
        <v>48</v>
      </c>
      <c r="J20" s="37" t="s">
        <v>106</v>
      </c>
      <c r="K20" s="16">
        <f>(E20-D20)*24</f>
        <v>8</v>
      </c>
    </row>
    <row r="21" spans="2:11" ht="15.75">
      <c r="B21" s="11"/>
      <c r="C21" s="27">
        <v>46106</v>
      </c>
      <c r="D21" s="20">
        <v>0.33333333333333331</v>
      </c>
      <c r="E21" s="20">
        <v>0.71388888888888891</v>
      </c>
      <c r="F21" s="18"/>
      <c r="G21" s="11"/>
      <c r="H21" s="11"/>
      <c r="I21" s="38" t="s">
        <v>48</v>
      </c>
      <c r="J21" s="37" t="s">
        <v>106</v>
      </c>
      <c r="K21" s="16">
        <f>(E21-D21)*24</f>
        <v>9.1333333333333346</v>
      </c>
    </row>
  </sheetData>
  <autoFilter ref="B11:K21" xr:uid="{00000000-0009-0000-0000-000000000000}"/>
  <mergeCells count="6">
    <mergeCell ref="B1:K1"/>
    <mergeCell ref="C7:E7"/>
    <mergeCell ref="C8:D8"/>
    <mergeCell ref="E8:F8"/>
    <mergeCell ref="C9:D9"/>
    <mergeCell ref="E9:F9"/>
  </mergeCells>
  <printOptions gridLines="1"/>
  <pageMargins left="0.7" right="0.7" top="0.75" bottom="0.75" header="0.3" footer="0.3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14751A-ACDA-45CD-B047-770B25456959}">
          <x14:formula1>
            <xm:f>Sheet1!$A$1:$A$68</xm:f>
          </x14:formula1>
          <xm:sqref>I15:I17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3F04-2AB6-49A5-A67D-2D307692D53F}">
  <sheetPr>
    <pageSetUpPr fitToPage="1"/>
  </sheetPr>
  <dimension ref="B1:K20"/>
  <sheetViews>
    <sheetView topLeftCell="D1" zoomScale="73" zoomScaleNormal="100" workbookViewId="0">
      <pane ySplit="2" topLeftCell="A17" activePane="bottomLeft" state="frozen"/>
      <selection pane="bottomLeft" activeCell="H9" sqref="H9"/>
      <selection activeCell="D1" sqref="D1"/>
    </sheetView>
  </sheetViews>
  <sheetFormatPr defaultRowHeight="15"/>
  <cols>
    <col min="2" max="2" width="16.140625" bestFit="1" customWidth="1"/>
    <col min="3" max="3" width="11.28515625" style="26" bestFit="1" customWidth="1"/>
    <col min="4" max="4" width="16.42578125" style="6" bestFit="1" customWidth="1"/>
    <col min="5" max="5" width="15.28515625" style="6" bestFit="1" customWidth="1"/>
    <col min="6" max="6" width="13.7109375" bestFit="1" customWidth="1"/>
    <col min="7" max="7" width="19.42578125" bestFit="1" customWidth="1"/>
    <col min="8" max="8" width="23.42578125" bestFit="1" customWidth="1"/>
    <col min="9" max="9" width="27.85546875" customWidth="1"/>
    <col min="10" max="10" width="20.85546875" style="26" bestFit="1" customWidth="1"/>
    <col min="11" max="11" width="17.28515625" bestFit="1" customWidth="1"/>
  </cols>
  <sheetData>
    <row r="1" spans="2:11" ht="18.75">
      <c r="B1" s="41" t="s">
        <v>68</v>
      </c>
      <c r="C1" s="41"/>
      <c r="D1" s="41"/>
      <c r="E1" s="41"/>
      <c r="F1" s="41"/>
      <c r="G1" s="41"/>
      <c r="H1" s="41"/>
      <c r="I1" s="41"/>
      <c r="J1" s="41"/>
      <c r="K1" s="41"/>
    </row>
    <row r="2" spans="2:11" ht="18">
      <c r="B2" s="1"/>
      <c r="C2" s="23"/>
      <c r="D2" s="4"/>
      <c r="E2" s="4"/>
      <c r="F2" s="1"/>
      <c r="G2" s="1"/>
      <c r="H2" s="1"/>
      <c r="I2" s="1"/>
      <c r="J2" s="22" t="s">
        <v>69</v>
      </c>
      <c r="K2" s="7">
        <f>SUM(K12:K20)</f>
        <v>81.5</v>
      </c>
    </row>
    <row r="3" spans="2:11">
      <c r="B3" s="1"/>
      <c r="C3" s="23"/>
      <c r="D3" s="4"/>
      <c r="E3" s="4"/>
      <c r="F3" s="1"/>
      <c r="G3" s="1"/>
      <c r="H3" s="1"/>
      <c r="I3" s="1"/>
      <c r="J3" s="23"/>
      <c r="K3" s="1"/>
    </row>
    <row r="4" spans="2:11">
      <c r="B4" s="1"/>
      <c r="C4" s="23"/>
      <c r="D4" s="4"/>
      <c r="E4" s="4"/>
      <c r="F4" s="1"/>
      <c r="G4" s="1"/>
      <c r="H4" s="1"/>
      <c r="I4" s="1"/>
      <c r="J4" s="23"/>
      <c r="K4" s="1"/>
    </row>
    <row r="5" spans="2:11">
      <c r="B5" s="1"/>
      <c r="C5" s="23"/>
      <c r="D5" s="4"/>
      <c r="E5" s="4"/>
      <c r="F5" s="1"/>
      <c r="G5" s="1"/>
      <c r="H5" s="1"/>
      <c r="I5" s="1"/>
      <c r="J5" s="23"/>
      <c r="K5" s="1"/>
    </row>
    <row r="6" spans="2:11">
      <c r="B6" s="1"/>
      <c r="C6" s="24"/>
      <c r="D6" s="5"/>
      <c r="E6" s="5"/>
      <c r="F6" s="1"/>
      <c r="G6" s="1"/>
      <c r="H6" s="1"/>
      <c r="I6" s="1"/>
      <c r="J6" s="24"/>
      <c r="K6" s="1"/>
    </row>
    <row r="7" spans="2:11">
      <c r="B7" s="2" t="s">
        <v>70</v>
      </c>
      <c r="C7" s="42" t="s">
        <v>71</v>
      </c>
      <c r="D7" s="43"/>
      <c r="E7" s="44"/>
      <c r="F7" s="1"/>
      <c r="G7" s="1"/>
      <c r="H7" s="1"/>
      <c r="I7" s="2" t="s">
        <v>72</v>
      </c>
      <c r="J7" s="28"/>
      <c r="K7" s="1"/>
    </row>
    <row r="8" spans="2:11">
      <c r="B8" s="1"/>
      <c r="C8" s="45" t="s">
        <v>73</v>
      </c>
      <c r="D8" s="45"/>
      <c r="E8" s="46" t="s">
        <v>74</v>
      </c>
      <c r="F8" s="46"/>
      <c r="G8" s="1"/>
      <c r="H8" s="1"/>
      <c r="I8" s="1"/>
      <c r="J8" s="24"/>
      <c r="K8" s="1"/>
    </row>
    <row r="9" spans="2:11" ht="16.5" customHeight="1">
      <c r="B9" s="3" t="s">
        <v>75</v>
      </c>
      <c r="C9" s="47">
        <v>46107</v>
      </c>
      <c r="D9" s="48"/>
      <c r="E9" s="47">
        <v>46122</v>
      </c>
      <c r="F9" s="48"/>
      <c r="G9" s="1"/>
      <c r="H9" s="1"/>
      <c r="I9" s="2" t="s">
        <v>76</v>
      </c>
      <c r="J9" s="25">
        <v>0.6875</v>
      </c>
      <c r="K9" s="1"/>
    </row>
    <row r="11" spans="2:11">
      <c r="B11" s="8" t="s">
        <v>77</v>
      </c>
      <c r="C11" s="9" t="s">
        <v>78</v>
      </c>
      <c r="D11" s="10" t="s">
        <v>79</v>
      </c>
      <c r="E11" s="10" t="s">
        <v>80</v>
      </c>
      <c r="F11" s="9" t="s">
        <v>81</v>
      </c>
      <c r="G11" s="9" t="s">
        <v>82</v>
      </c>
      <c r="H11" s="9" t="s">
        <v>83</v>
      </c>
      <c r="I11" s="9" t="s">
        <v>84</v>
      </c>
      <c r="J11" s="9" t="s">
        <v>85</v>
      </c>
      <c r="K11" s="9" t="s">
        <v>69</v>
      </c>
    </row>
    <row r="12" spans="2:11" ht="15.75">
      <c r="B12" s="11"/>
      <c r="C12" s="27">
        <v>46107</v>
      </c>
      <c r="D12" s="20">
        <v>0.42708333333333331</v>
      </c>
      <c r="E12" s="20">
        <v>0.75694444444444442</v>
      </c>
      <c r="F12" s="18"/>
      <c r="G12" s="11"/>
      <c r="H12" s="11"/>
      <c r="I12" s="38" t="s">
        <v>48</v>
      </c>
      <c r="J12" s="37" t="s">
        <v>106</v>
      </c>
      <c r="K12" s="16">
        <f>(E12-D13)*24</f>
        <v>7.8333333333333321</v>
      </c>
    </row>
    <row r="13" spans="2:11" ht="15.75">
      <c r="B13" s="11"/>
      <c r="C13" s="27">
        <v>46108</v>
      </c>
      <c r="D13" s="20">
        <v>0.43055555555555558</v>
      </c>
      <c r="E13" s="20">
        <v>0.77777777777777779</v>
      </c>
      <c r="F13" s="18"/>
      <c r="G13" s="11"/>
      <c r="H13" s="11"/>
      <c r="I13" s="38" t="s">
        <v>48</v>
      </c>
      <c r="J13" s="37" t="s">
        <v>106</v>
      </c>
      <c r="K13" s="16">
        <f>(E13-D13)*24</f>
        <v>8.3333333333333321</v>
      </c>
    </row>
    <row r="14" spans="2:11" ht="15.75">
      <c r="B14" s="11"/>
      <c r="C14" s="39">
        <v>46111</v>
      </c>
      <c r="D14" s="20">
        <v>0.40625</v>
      </c>
      <c r="E14" s="20">
        <v>0.70833333333333337</v>
      </c>
      <c r="F14" s="18"/>
      <c r="G14" s="11"/>
      <c r="H14" s="11"/>
      <c r="I14" s="38" t="s">
        <v>48</v>
      </c>
      <c r="J14" s="37" t="s">
        <v>106</v>
      </c>
      <c r="K14" s="16">
        <f>(E14-D14)*24</f>
        <v>7.2500000000000009</v>
      </c>
    </row>
    <row r="15" spans="2:11" ht="15.75">
      <c r="B15" s="11"/>
      <c r="C15" s="27">
        <v>46112</v>
      </c>
      <c r="D15" s="30">
        <v>0.38194444444444442</v>
      </c>
      <c r="E15" s="30">
        <v>0.75694444444444442</v>
      </c>
      <c r="F15" s="13"/>
      <c r="G15" s="14"/>
      <c r="H15" s="14"/>
      <c r="I15" s="15" t="s">
        <v>48</v>
      </c>
      <c r="J15" s="37" t="s">
        <v>106</v>
      </c>
      <c r="K15" s="16">
        <f>(E15-D15)*24</f>
        <v>9</v>
      </c>
    </row>
    <row r="16" spans="2:11" ht="15.75">
      <c r="B16" s="11"/>
      <c r="C16" s="27">
        <v>46113</v>
      </c>
      <c r="D16" s="20">
        <v>0.41666666666666669</v>
      </c>
      <c r="E16" s="30">
        <v>0.80277777777777781</v>
      </c>
      <c r="F16" s="13"/>
      <c r="G16" s="14"/>
      <c r="H16" s="14"/>
      <c r="I16" s="15" t="s">
        <v>48</v>
      </c>
      <c r="J16" s="37" t="s">
        <v>106</v>
      </c>
      <c r="K16" s="16">
        <f>(E16-D16)*24</f>
        <v>9.2666666666666675</v>
      </c>
    </row>
    <row r="17" spans="2:11" ht="15.75">
      <c r="B17" s="11"/>
      <c r="C17" s="27">
        <v>46118</v>
      </c>
      <c r="D17" s="30">
        <v>0.30208333333333331</v>
      </c>
      <c r="E17" s="30">
        <v>0.75</v>
      </c>
      <c r="F17" s="13"/>
      <c r="G17" s="14"/>
      <c r="H17" s="14"/>
      <c r="I17" s="15" t="s">
        <v>48</v>
      </c>
      <c r="J17" s="37" t="s">
        <v>106</v>
      </c>
      <c r="K17" s="16">
        <f>(E17-D17)*24</f>
        <v>10.75</v>
      </c>
    </row>
    <row r="18" spans="2:11" ht="15.75">
      <c r="B18" s="11"/>
      <c r="C18" s="27">
        <v>46119</v>
      </c>
      <c r="D18" s="30">
        <v>0.34027777777777779</v>
      </c>
      <c r="E18" s="20">
        <v>0.75694444444444442</v>
      </c>
      <c r="F18" s="13"/>
      <c r="G18" s="17"/>
      <c r="H18" s="14"/>
      <c r="I18" s="38" t="s">
        <v>48</v>
      </c>
      <c r="J18" s="37" t="s">
        <v>106</v>
      </c>
      <c r="K18" s="16">
        <f>(E18-D18)*24</f>
        <v>10</v>
      </c>
    </row>
    <row r="19" spans="2:11" ht="15.75">
      <c r="B19" s="11"/>
      <c r="C19" s="29">
        <v>46120</v>
      </c>
      <c r="D19" s="30">
        <v>0.35833333333333334</v>
      </c>
      <c r="E19" s="30">
        <v>0.77777777777777779</v>
      </c>
      <c r="F19" s="13"/>
      <c r="G19" s="14"/>
      <c r="H19" s="14"/>
      <c r="I19" s="38" t="s">
        <v>48</v>
      </c>
      <c r="J19" s="37" t="s">
        <v>106</v>
      </c>
      <c r="K19" s="16">
        <f>(E19-D19)*24</f>
        <v>10.066666666666666</v>
      </c>
    </row>
    <row r="20" spans="2:11" ht="15.75">
      <c r="B20" s="11"/>
      <c r="C20" s="27">
        <v>46122</v>
      </c>
      <c r="D20" s="20">
        <v>0.40625</v>
      </c>
      <c r="E20" s="30">
        <v>0.78125</v>
      </c>
      <c r="F20" s="13"/>
      <c r="G20" s="14"/>
      <c r="H20" s="14"/>
      <c r="I20" s="38" t="s">
        <v>48</v>
      </c>
      <c r="J20" s="37" t="s">
        <v>106</v>
      </c>
      <c r="K20" s="16">
        <f>(E20-D20)*24</f>
        <v>9</v>
      </c>
    </row>
  </sheetData>
  <autoFilter ref="B11:K20" xr:uid="{00000000-0009-0000-0000-000000000000}"/>
  <mergeCells count="6">
    <mergeCell ref="B1:K1"/>
    <mergeCell ref="C7:E7"/>
    <mergeCell ref="C8:D8"/>
    <mergeCell ref="E8:F8"/>
    <mergeCell ref="C9:D9"/>
    <mergeCell ref="E9:F9"/>
  </mergeCells>
  <printOptions gridLines="1"/>
  <pageMargins left="0.7" right="0.7" top="0.75" bottom="0.75" header="0.3" footer="0.3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25E435-B651-42DB-B5A5-C1F56E94DF35}">
          <x14:formula1>
            <xm:f>Sheet1!$A$1:$A$68</xm:f>
          </x14:formula1>
          <xm:sqref>I15:I17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3D3A-94DF-4303-9285-1A16E25982C2}">
  <sheetPr>
    <pageSetUpPr fitToPage="1"/>
  </sheetPr>
  <dimension ref="B1:K19"/>
  <sheetViews>
    <sheetView topLeftCell="D1" zoomScale="73" zoomScaleNormal="100" workbookViewId="0">
      <pane ySplit="2" topLeftCell="A7" activePane="bottomLeft" state="frozen"/>
      <selection pane="bottomLeft" activeCell="J21" sqref="J21"/>
      <selection activeCell="D1" sqref="D1"/>
    </sheetView>
  </sheetViews>
  <sheetFormatPr defaultRowHeight="15"/>
  <cols>
    <col min="2" max="2" width="16.140625" bestFit="1" customWidth="1"/>
    <col min="3" max="3" width="11.28515625" style="26" bestFit="1" customWidth="1"/>
    <col min="4" max="4" width="16.42578125" style="6" bestFit="1" customWidth="1"/>
    <col min="5" max="5" width="15.28515625" style="6" bestFit="1" customWidth="1"/>
    <col min="6" max="6" width="13.7109375" bestFit="1" customWidth="1"/>
    <col min="7" max="7" width="19.42578125" bestFit="1" customWidth="1"/>
    <col min="8" max="8" width="23.42578125" bestFit="1" customWidth="1"/>
    <col min="9" max="9" width="27.85546875" customWidth="1"/>
    <col min="10" max="10" width="20.85546875" style="26" bestFit="1" customWidth="1"/>
    <col min="11" max="11" width="17.28515625" bestFit="1" customWidth="1"/>
  </cols>
  <sheetData>
    <row r="1" spans="2:11" ht="18.75">
      <c r="B1" s="41" t="s">
        <v>68</v>
      </c>
      <c r="C1" s="41"/>
      <c r="D1" s="41"/>
      <c r="E1" s="41"/>
      <c r="F1" s="41"/>
      <c r="G1" s="41"/>
      <c r="H1" s="41"/>
      <c r="I1" s="41"/>
      <c r="J1" s="41"/>
      <c r="K1" s="41"/>
    </row>
    <row r="2" spans="2:11" ht="18">
      <c r="B2" s="1"/>
      <c r="C2" s="23"/>
      <c r="D2" s="4"/>
      <c r="E2" s="4"/>
      <c r="F2" s="1"/>
      <c r="G2" s="1"/>
      <c r="H2" s="1"/>
      <c r="I2" s="1"/>
      <c r="J2" s="22" t="s">
        <v>69</v>
      </c>
      <c r="K2" s="7">
        <f>SUM(K12:K19)</f>
        <v>80.050000000000011</v>
      </c>
    </row>
    <row r="3" spans="2:11">
      <c r="B3" s="1"/>
      <c r="C3" s="23"/>
      <c r="D3" s="4"/>
      <c r="E3" s="4"/>
      <c r="F3" s="1"/>
      <c r="G3" s="1"/>
      <c r="H3" s="1"/>
      <c r="I3" s="1"/>
      <c r="J3" s="23"/>
      <c r="K3" s="1"/>
    </row>
    <row r="4" spans="2:11">
      <c r="B4" s="1"/>
      <c r="C4" s="23"/>
      <c r="D4" s="4"/>
      <c r="E4" s="4"/>
      <c r="F4" s="1"/>
      <c r="G4" s="1"/>
      <c r="H4" s="1"/>
      <c r="I4" s="1"/>
      <c r="J4" s="23"/>
      <c r="K4" s="1"/>
    </row>
    <row r="5" spans="2:11">
      <c r="B5" s="1"/>
      <c r="C5" s="23"/>
      <c r="D5" s="4"/>
      <c r="E5" s="4"/>
      <c r="F5" s="1"/>
      <c r="G5" s="1"/>
      <c r="H5" s="1"/>
      <c r="I5" s="1"/>
      <c r="J5" s="23"/>
      <c r="K5" s="1"/>
    </row>
    <row r="6" spans="2:11">
      <c r="B6" s="1"/>
      <c r="C6" s="24"/>
      <c r="D6" s="5"/>
      <c r="E6" s="5"/>
      <c r="F6" s="1"/>
      <c r="G6" s="1"/>
      <c r="H6" s="1"/>
      <c r="I6" s="1"/>
      <c r="J6" s="24"/>
      <c r="K6" s="1"/>
    </row>
    <row r="7" spans="2:11">
      <c r="B7" s="2" t="s">
        <v>70</v>
      </c>
      <c r="C7" s="42" t="s">
        <v>71</v>
      </c>
      <c r="D7" s="43"/>
      <c r="E7" s="44"/>
      <c r="F7" s="1"/>
      <c r="G7" s="1"/>
      <c r="H7" s="1"/>
      <c r="I7" s="2" t="s">
        <v>72</v>
      </c>
      <c r="J7" s="28"/>
      <c r="K7" s="1"/>
    </row>
    <row r="8" spans="2:11">
      <c r="B8" s="1"/>
      <c r="C8" s="45" t="s">
        <v>73</v>
      </c>
      <c r="D8" s="45"/>
      <c r="E8" s="46" t="s">
        <v>74</v>
      </c>
      <c r="F8" s="46"/>
      <c r="G8" s="1"/>
      <c r="H8" s="1"/>
      <c r="I8" s="1"/>
      <c r="J8" s="24"/>
      <c r="K8" s="1"/>
    </row>
    <row r="9" spans="2:11" ht="16.5" customHeight="1">
      <c r="B9" s="3" t="s">
        <v>75</v>
      </c>
      <c r="C9" s="47">
        <v>46123</v>
      </c>
      <c r="D9" s="48"/>
      <c r="E9" s="47">
        <v>46137</v>
      </c>
      <c r="F9" s="48"/>
      <c r="G9" s="1"/>
      <c r="H9" s="1"/>
      <c r="I9" s="2" t="s">
        <v>76</v>
      </c>
      <c r="J9" s="25">
        <v>0.6875</v>
      </c>
      <c r="K9" s="1"/>
    </row>
    <row r="11" spans="2:11">
      <c r="B11" s="8" t="s">
        <v>77</v>
      </c>
      <c r="C11" s="9" t="s">
        <v>78</v>
      </c>
      <c r="D11" s="10" t="s">
        <v>79</v>
      </c>
      <c r="E11" s="10" t="s">
        <v>80</v>
      </c>
      <c r="F11" s="9" t="s">
        <v>81</v>
      </c>
      <c r="G11" s="9" t="s">
        <v>82</v>
      </c>
      <c r="H11" s="9" t="s">
        <v>83</v>
      </c>
      <c r="I11" s="9" t="s">
        <v>84</v>
      </c>
      <c r="J11" s="9" t="s">
        <v>85</v>
      </c>
      <c r="K11" s="9" t="s">
        <v>69</v>
      </c>
    </row>
    <row r="12" spans="2:11" ht="15.75">
      <c r="B12" s="11"/>
      <c r="C12" s="27">
        <v>46125</v>
      </c>
      <c r="D12" s="20">
        <v>0.3263888888888889</v>
      </c>
      <c r="E12" s="20">
        <v>0.70972222222222225</v>
      </c>
      <c r="F12" s="18"/>
      <c r="G12" s="11"/>
      <c r="H12" s="11"/>
      <c r="I12" s="38" t="s">
        <v>48</v>
      </c>
      <c r="J12" s="37" t="s">
        <v>106</v>
      </c>
      <c r="K12" s="16">
        <f>(E12-D12)*24</f>
        <v>9.2000000000000011</v>
      </c>
    </row>
    <row r="13" spans="2:11" ht="15.75">
      <c r="B13" s="11"/>
      <c r="C13" s="27">
        <v>46128</v>
      </c>
      <c r="D13" s="20">
        <v>0.40277777777777779</v>
      </c>
      <c r="E13" s="20">
        <v>0.82916666666666672</v>
      </c>
      <c r="F13" s="18"/>
      <c r="G13" s="11"/>
      <c r="H13" s="11"/>
      <c r="I13" s="38" t="s">
        <v>48</v>
      </c>
      <c r="J13" s="37" t="s">
        <v>106</v>
      </c>
      <c r="K13" s="16">
        <f>(E13-D13)*24</f>
        <v>10.233333333333334</v>
      </c>
    </row>
    <row r="14" spans="2:11" ht="15.75">
      <c r="B14" s="11"/>
      <c r="C14" s="27">
        <v>46129</v>
      </c>
      <c r="D14" s="20">
        <v>0.33888888888888891</v>
      </c>
      <c r="E14" s="20">
        <v>0.72569444444444442</v>
      </c>
      <c r="F14" s="18"/>
      <c r="G14" s="11"/>
      <c r="H14" s="11"/>
      <c r="I14" s="38" t="s">
        <v>48</v>
      </c>
      <c r="J14" s="37" t="s">
        <v>106</v>
      </c>
      <c r="K14" s="16">
        <f>(E14-D14)*24</f>
        <v>9.2833333333333314</v>
      </c>
    </row>
    <row r="15" spans="2:11" ht="15.75">
      <c r="B15" s="11"/>
      <c r="C15" s="27">
        <v>46132</v>
      </c>
      <c r="D15" s="20">
        <v>0.35416666666666669</v>
      </c>
      <c r="E15" s="20">
        <v>0.73958333333333337</v>
      </c>
      <c r="F15" s="18"/>
      <c r="G15" s="11"/>
      <c r="H15" s="11"/>
      <c r="I15" s="38" t="s">
        <v>48</v>
      </c>
      <c r="J15" s="37" t="s">
        <v>106</v>
      </c>
      <c r="K15" s="16">
        <f>(E15-D15)*24</f>
        <v>9.25</v>
      </c>
    </row>
    <row r="16" spans="2:11" ht="15.75">
      <c r="B16" s="11"/>
      <c r="C16" s="27">
        <v>46133</v>
      </c>
      <c r="D16" s="20">
        <v>0.34861111111111109</v>
      </c>
      <c r="E16" s="20">
        <v>0.76875000000000004</v>
      </c>
      <c r="F16" s="18"/>
      <c r="G16" s="11"/>
      <c r="H16" s="11"/>
      <c r="I16" s="38" t="s">
        <v>48</v>
      </c>
      <c r="J16" s="37" t="s">
        <v>106</v>
      </c>
      <c r="K16" s="16">
        <f>(E16-D16)*24</f>
        <v>10.083333333333336</v>
      </c>
    </row>
    <row r="17" spans="2:11" ht="15.75">
      <c r="B17" s="11"/>
      <c r="C17" s="27">
        <v>46134</v>
      </c>
      <c r="D17" s="20">
        <v>0.41666666666666669</v>
      </c>
      <c r="E17" s="20">
        <v>0.98055555555555551</v>
      </c>
      <c r="F17" s="18"/>
      <c r="G17" s="11"/>
      <c r="H17" s="11"/>
      <c r="I17" s="38" t="s">
        <v>48</v>
      </c>
      <c r="J17" s="37" t="s">
        <v>106</v>
      </c>
      <c r="K17" s="16">
        <f>(E17-D17)*24</f>
        <v>13.533333333333333</v>
      </c>
    </row>
    <row r="18" spans="2:11" ht="15.75">
      <c r="B18" s="11"/>
      <c r="C18" s="27">
        <v>46135</v>
      </c>
      <c r="D18" s="20">
        <v>0.35416666666666669</v>
      </c>
      <c r="E18" s="20">
        <v>0.73958333333333337</v>
      </c>
      <c r="F18" s="18"/>
      <c r="G18" s="11"/>
      <c r="H18" s="11"/>
      <c r="I18" s="38" t="s">
        <v>48</v>
      </c>
      <c r="J18" s="21" t="s">
        <v>107</v>
      </c>
      <c r="K18" s="16">
        <f>(E18-D18)*24</f>
        <v>9.25</v>
      </c>
    </row>
    <row r="19" spans="2:11" ht="15.75">
      <c r="B19" s="11"/>
      <c r="C19" s="27">
        <v>46136</v>
      </c>
      <c r="D19" s="20">
        <v>0.375</v>
      </c>
      <c r="E19" s="20">
        <v>0.75902777777777775</v>
      </c>
      <c r="F19" s="18"/>
      <c r="G19" s="11"/>
      <c r="H19" s="11"/>
      <c r="I19" s="38" t="s">
        <v>48</v>
      </c>
      <c r="J19" s="21" t="s">
        <v>107</v>
      </c>
      <c r="K19" s="16">
        <f>(E19-D19)*24</f>
        <v>9.216666666666665</v>
      </c>
    </row>
  </sheetData>
  <autoFilter ref="B11:K19" xr:uid="{00000000-0009-0000-0000-000000000000}"/>
  <mergeCells count="6">
    <mergeCell ref="B1:K1"/>
    <mergeCell ref="C7:E7"/>
    <mergeCell ref="C8:D8"/>
    <mergeCell ref="E8:F8"/>
    <mergeCell ref="C9:D9"/>
    <mergeCell ref="E9:F9"/>
  </mergeCells>
  <printOptions gridLines="1"/>
  <pageMargins left="0.7" right="0.7" top="0.75" bottom="0.75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0421-87E1-4418-A13E-FEDCAEA16264}">
  <sheetPr>
    <pageSetUpPr fitToPage="1"/>
  </sheetPr>
  <dimension ref="B1:K23"/>
  <sheetViews>
    <sheetView topLeftCell="D1" zoomScale="73" zoomScaleNormal="100" workbookViewId="0">
      <pane ySplit="2" topLeftCell="A8" activePane="bottomLeft" state="frozen"/>
      <selection pane="bottomLeft" activeCell="K25" sqref="K25"/>
      <selection activeCell="D1" sqref="D1"/>
    </sheetView>
  </sheetViews>
  <sheetFormatPr defaultRowHeight="15"/>
  <cols>
    <col min="2" max="2" width="16.140625" bestFit="1" customWidth="1"/>
    <col min="3" max="3" width="11.28515625" style="26" bestFit="1" customWidth="1"/>
    <col min="4" max="4" width="16.42578125" style="6" bestFit="1" customWidth="1"/>
    <col min="5" max="5" width="15.28515625" style="6" bestFit="1" customWidth="1"/>
    <col min="6" max="6" width="13.7109375" bestFit="1" customWidth="1"/>
    <col min="7" max="7" width="19.42578125" bestFit="1" customWidth="1"/>
    <col min="8" max="8" width="23.42578125" bestFit="1" customWidth="1"/>
    <col min="9" max="9" width="27.85546875" customWidth="1"/>
    <col min="10" max="10" width="20.85546875" style="26" bestFit="1" customWidth="1"/>
    <col min="11" max="11" width="17.28515625" bestFit="1" customWidth="1"/>
  </cols>
  <sheetData>
    <row r="1" spans="2:11" ht="18.75">
      <c r="B1" s="41" t="s">
        <v>68</v>
      </c>
      <c r="C1" s="41"/>
      <c r="D1" s="41"/>
      <c r="E1" s="41"/>
      <c r="F1" s="41"/>
      <c r="G1" s="41"/>
      <c r="H1" s="41"/>
      <c r="I1" s="41"/>
      <c r="J1" s="41"/>
      <c r="K1" s="41"/>
    </row>
    <row r="2" spans="2:11" ht="18">
      <c r="B2" s="1"/>
      <c r="C2" s="23"/>
      <c r="D2" s="4"/>
      <c r="E2" s="4"/>
      <c r="F2" s="1"/>
      <c r="G2" s="1"/>
      <c r="H2" s="1"/>
      <c r="I2" s="1"/>
      <c r="J2" s="22" t="s">
        <v>69</v>
      </c>
      <c r="K2" s="7">
        <f>SUM(K12:K21)</f>
        <v>87.933333333333323</v>
      </c>
    </row>
    <row r="3" spans="2:11">
      <c r="B3" s="1"/>
      <c r="C3" s="23"/>
      <c r="D3" s="4"/>
      <c r="E3" s="4"/>
      <c r="F3" s="1"/>
      <c r="G3" s="1"/>
      <c r="H3" s="1"/>
      <c r="I3" s="1"/>
      <c r="J3" s="23"/>
      <c r="K3" s="1"/>
    </row>
    <row r="4" spans="2:11">
      <c r="B4" s="1"/>
      <c r="C4" s="23"/>
      <c r="D4" s="4"/>
      <c r="E4" s="4"/>
      <c r="F4" s="1"/>
      <c r="G4" s="1"/>
      <c r="H4" s="1"/>
      <c r="I4" s="1"/>
      <c r="J4" s="23"/>
      <c r="K4" s="1"/>
    </row>
    <row r="5" spans="2:11">
      <c r="B5" s="1"/>
      <c r="C5" s="23"/>
      <c r="D5" s="4"/>
      <c r="E5" s="4"/>
      <c r="F5" s="1"/>
      <c r="G5" s="1"/>
      <c r="H5" s="1"/>
      <c r="I5" s="1"/>
      <c r="J5" s="23"/>
      <c r="K5" s="1"/>
    </row>
    <row r="6" spans="2:11">
      <c r="B6" s="1"/>
      <c r="C6" s="24"/>
      <c r="D6" s="5"/>
      <c r="E6" s="5"/>
      <c r="F6" s="1"/>
      <c r="G6" s="1"/>
      <c r="H6" s="1"/>
      <c r="I6" s="1"/>
      <c r="J6" s="24"/>
      <c r="K6" s="1"/>
    </row>
    <row r="7" spans="2:11">
      <c r="B7" s="2" t="s">
        <v>70</v>
      </c>
      <c r="C7" s="42" t="s">
        <v>71</v>
      </c>
      <c r="D7" s="43"/>
      <c r="E7" s="44"/>
      <c r="F7" s="1"/>
      <c r="G7" s="1"/>
      <c r="H7" s="1"/>
      <c r="I7" s="2" t="s">
        <v>72</v>
      </c>
      <c r="J7" s="28"/>
      <c r="K7" s="1"/>
    </row>
    <row r="8" spans="2:11">
      <c r="B8" s="1"/>
      <c r="C8" s="45" t="s">
        <v>73</v>
      </c>
      <c r="D8" s="45"/>
      <c r="E8" s="46" t="s">
        <v>74</v>
      </c>
      <c r="F8" s="46"/>
      <c r="G8" s="1"/>
      <c r="H8" s="1"/>
      <c r="I8" s="1"/>
      <c r="J8" s="24"/>
      <c r="K8" s="1"/>
    </row>
    <row r="9" spans="2:11" ht="16.5" customHeight="1">
      <c r="B9" s="3" t="s">
        <v>75</v>
      </c>
      <c r="C9" s="47">
        <v>46138</v>
      </c>
      <c r="D9" s="48"/>
      <c r="E9" s="47">
        <v>46152</v>
      </c>
      <c r="F9" s="48"/>
      <c r="G9" s="1"/>
      <c r="H9" s="1"/>
      <c r="I9" s="2" t="s">
        <v>76</v>
      </c>
      <c r="J9" s="25">
        <v>0.6875</v>
      </c>
      <c r="K9" s="1"/>
    </row>
    <row r="11" spans="2:11">
      <c r="B11" s="8" t="s">
        <v>77</v>
      </c>
      <c r="C11" s="9" t="s">
        <v>78</v>
      </c>
      <c r="D11" s="10" t="s">
        <v>79</v>
      </c>
      <c r="E11" s="10" t="s">
        <v>80</v>
      </c>
      <c r="F11" s="9" t="s">
        <v>81</v>
      </c>
      <c r="G11" s="9" t="s">
        <v>82</v>
      </c>
      <c r="H11" s="9" t="s">
        <v>83</v>
      </c>
      <c r="I11" s="9" t="s">
        <v>84</v>
      </c>
      <c r="J11" s="9" t="s">
        <v>85</v>
      </c>
      <c r="K11" s="9" t="s">
        <v>69</v>
      </c>
    </row>
    <row r="12" spans="2:11" ht="15.75">
      <c r="B12" s="11"/>
      <c r="C12" s="27">
        <v>46139</v>
      </c>
      <c r="D12" s="20">
        <v>0.3125</v>
      </c>
      <c r="E12" s="20">
        <v>0.7</v>
      </c>
      <c r="F12" s="18"/>
      <c r="G12" s="11"/>
      <c r="H12" s="11"/>
      <c r="I12" s="38" t="s">
        <v>48</v>
      </c>
      <c r="J12" s="37" t="s">
        <v>106</v>
      </c>
      <c r="K12" s="16">
        <f>(E12-D12)*24</f>
        <v>9.2999999999999989</v>
      </c>
    </row>
    <row r="13" spans="2:11" ht="15.75">
      <c r="B13" s="11"/>
      <c r="C13" s="27">
        <v>46140</v>
      </c>
      <c r="D13" s="20">
        <v>0.3263888888888889</v>
      </c>
      <c r="E13" s="20">
        <v>0.70138888888888884</v>
      </c>
      <c r="F13" s="18"/>
      <c r="G13" s="11"/>
      <c r="H13" s="11"/>
      <c r="I13" s="38" t="s">
        <v>48</v>
      </c>
      <c r="J13" s="37" t="s">
        <v>106</v>
      </c>
      <c r="K13" s="16">
        <f>(E13-D13)*24</f>
        <v>8.9999999999999982</v>
      </c>
    </row>
    <row r="14" spans="2:11" ht="15.75">
      <c r="B14" s="11"/>
      <c r="C14" s="27">
        <v>46140</v>
      </c>
      <c r="D14" s="20">
        <v>0.41666666666666669</v>
      </c>
      <c r="E14" s="20">
        <v>0.73958333333333337</v>
      </c>
      <c r="F14" s="18"/>
      <c r="G14" s="11"/>
      <c r="H14" s="11"/>
      <c r="I14" s="38" t="s">
        <v>48</v>
      </c>
      <c r="J14" s="37" t="s">
        <v>106</v>
      </c>
      <c r="K14" s="16">
        <f>(E14-D14)*24</f>
        <v>7.75</v>
      </c>
    </row>
    <row r="15" spans="2:11" ht="15.75">
      <c r="B15" s="11"/>
      <c r="C15" s="27">
        <v>46141</v>
      </c>
      <c r="D15" s="20">
        <v>0.41666666666666669</v>
      </c>
      <c r="E15" s="20">
        <v>0.73958333333333337</v>
      </c>
      <c r="F15" s="18"/>
      <c r="G15" s="11"/>
      <c r="H15" s="11"/>
      <c r="I15" s="38" t="s">
        <v>48</v>
      </c>
      <c r="J15" s="37" t="s">
        <v>106</v>
      </c>
      <c r="K15" s="16">
        <f>(E15-D15)*24</f>
        <v>7.75</v>
      </c>
    </row>
    <row r="16" spans="2:11" ht="15.75">
      <c r="B16" s="11"/>
      <c r="C16" s="27">
        <v>46142</v>
      </c>
      <c r="D16" s="20">
        <v>0.41666666666666669</v>
      </c>
      <c r="E16" s="20">
        <v>0.78472222222222221</v>
      </c>
      <c r="F16" s="18"/>
      <c r="G16" s="11"/>
      <c r="H16" s="11"/>
      <c r="I16" s="38" t="s">
        <v>48</v>
      </c>
      <c r="J16" s="37" t="s">
        <v>106</v>
      </c>
      <c r="K16" s="16">
        <f>(E16-D16)*24</f>
        <v>8.8333333333333321</v>
      </c>
    </row>
    <row r="17" spans="2:11" ht="15.75">
      <c r="B17" s="11"/>
      <c r="C17" s="27">
        <v>46146</v>
      </c>
      <c r="D17" s="20">
        <v>0.35555555555555557</v>
      </c>
      <c r="E17" s="20">
        <v>0.76111111111111107</v>
      </c>
      <c r="F17" s="18"/>
      <c r="G17" s="11"/>
      <c r="H17" s="11"/>
      <c r="I17" s="38" t="s">
        <v>48</v>
      </c>
      <c r="J17" s="37" t="s">
        <v>106</v>
      </c>
      <c r="K17" s="16">
        <f>(E17-D17)*24</f>
        <v>9.7333333333333325</v>
      </c>
    </row>
    <row r="18" spans="2:11" ht="15.75">
      <c r="B18" s="11"/>
      <c r="C18" s="27">
        <v>46147</v>
      </c>
      <c r="D18" s="20">
        <v>0.4375</v>
      </c>
      <c r="E18" s="20">
        <v>0.8125</v>
      </c>
      <c r="F18" s="18"/>
      <c r="G18" s="11"/>
      <c r="H18" s="11"/>
      <c r="I18" s="38" t="s">
        <v>48</v>
      </c>
      <c r="J18" s="37" t="s">
        <v>108</v>
      </c>
      <c r="K18" s="16">
        <f>(E18-D18)*24</f>
        <v>9</v>
      </c>
    </row>
    <row r="19" spans="2:11" ht="15.75">
      <c r="B19" s="11"/>
      <c r="C19" s="27">
        <v>46148</v>
      </c>
      <c r="D19" s="20">
        <v>0.4375</v>
      </c>
      <c r="E19" s="20">
        <v>0.75069444444444444</v>
      </c>
      <c r="F19" s="18"/>
      <c r="G19" s="11"/>
      <c r="H19" s="11"/>
      <c r="I19" s="38" t="s">
        <v>48</v>
      </c>
      <c r="J19" s="37" t="s">
        <v>108</v>
      </c>
      <c r="K19" s="16">
        <f>(E19-D19)*24</f>
        <v>7.5166666666666666</v>
      </c>
    </row>
    <row r="20" spans="2:11" ht="15.75">
      <c r="B20" s="11"/>
      <c r="C20" s="27">
        <v>46149</v>
      </c>
      <c r="D20" s="20">
        <v>0.32500000000000001</v>
      </c>
      <c r="E20" s="20">
        <v>0.72916666666666663</v>
      </c>
      <c r="F20" s="18"/>
      <c r="G20" s="11"/>
      <c r="H20" s="11"/>
      <c r="I20" s="38" t="s">
        <v>48</v>
      </c>
      <c r="J20" s="37" t="s">
        <v>108</v>
      </c>
      <c r="K20" s="16">
        <f>(E20-D20)*24</f>
        <v>9.6999999999999993</v>
      </c>
    </row>
    <row r="21" spans="2:11" ht="15.75">
      <c r="B21" s="11"/>
      <c r="C21" s="27">
        <v>46150</v>
      </c>
      <c r="D21" s="20">
        <v>0.375</v>
      </c>
      <c r="E21" s="20">
        <v>0.76458333333333328</v>
      </c>
      <c r="F21" s="18"/>
      <c r="G21" s="11"/>
      <c r="H21" s="11"/>
      <c r="I21" s="38" t="s">
        <v>48</v>
      </c>
      <c r="J21" s="37" t="s">
        <v>108</v>
      </c>
      <c r="K21" s="16">
        <f>(E21-D21)*24</f>
        <v>9.3499999999999979</v>
      </c>
    </row>
    <row r="23" spans="2:11">
      <c r="J23" s="40" t="s">
        <v>109</v>
      </c>
    </row>
  </sheetData>
  <autoFilter ref="B11:K21" xr:uid="{00000000-0009-0000-0000-000000000000}"/>
  <mergeCells count="6">
    <mergeCell ref="B1:K1"/>
    <mergeCell ref="C7:E7"/>
    <mergeCell ref="C8:D8"/>
    <mergeCell ref="E8:F8"/>
    <mergeCell ref="C9:D9"/>
    <mergeCell ref="E9:F9"/>
  </mergeCells>
  <pageMargins left="0.7" right="0.7" top="0.75" bottom="0.75" header="0.3" footer="0.3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5BC1-1A1B-4569-ACDD-CFB92E1D4AB0}">
  <dimension ref="B1:K120"/>
  <sheetViews>
    <sheetView topLeftCell="D1" zoomScale="73" zoomScaleNormal="100" workbookViewId="0">
      <pane ySplit="2" topLeftCell="A12" activePane="bottomLeft" state="frozen"/>
      <selection pane="bottomLeft" activeCell="J25" sqref="J25"/>
      <selection activeCell="D1" sqref="D1"/>
    </sheetView>
  </sheetViews>
  <sheetFormatPr defaultRowHeight="15"/>
  <cols>
    <col min="2" max="2" width="16.140625" bestFit="1" customWidth="1"/>
    <col min="3" max="3" width="11.28515625" style="26" bestFit="1" customWidth="1"/>
    <col min="4" max="4" width="16.42578125" style="6" bestFit="1" customWidth="1"/>
    <col min="5" max="5" width="15.28515625" style="6" bestFit="1" customWidth="1"/>
    <col min="6" max="6" width="13.7109375" bestFit="1" customWidth="1"/>
    <col min="7" max="7" width="19.42578125" bestFit="1" customWidth="1"/>
    <col min="8" max="8" width="23.42578125" bestFit="1" customWidth="1"/>
    <col min="9" max="9" width="27.85546875" customWidth="1"/>
    <col min="10" max="10" width="20.85546875" style="26" bestFit="1" customWidth="1"/>
    <col min="11" max="11" width="17.28515625" bestFit="1" customWidth="1"/>
  </cols>
  <sheetData>
    <row r="1" spans="2:11" ht="18.75">
      <c r="B1" s="41" t="s">
        <v>68</v>
      </c>
      <c r="C1" s="41"/>
      <c r="D1" s="41"/>
      <c r="E1" s="41"/>
      <c r="F1" s="41"/>
      <c r="G1" s="41"/>
      <c r="H1" s="41"/>
      <c r="I1" s="41"/>
      <c r="J1" s="41"/>
      <c r="K1" s="41"/>
    </row>
    <row r="2" spans="2:11" ht="18">
      <c r="B2" s="1"/>
      <c r="C2" s="23"/>
      <c r="D2" s="4"/>
      <c r="E2" s="4"/>
      <c r="F2" s="1"/>
      <c r="G2" s="1"/>
      <c r="H2" s="1"/>
      <c r="I2" s="1"/>
      <c r="J2" s="22" t="s">
        <v>69</v>
      </c>
      <c r="K2" s="7">
        <f>SUM(K12:K120)</f>
        <v>87.933333333333323</v>
      </c>
    </row>
    <row r="3" spans="2:11">
      <c r="B3" s="1"/>
      <c r="C3" s="23"/>
      <c r="D3" s="4"/>
      <c r="E3" s="4"/>
      <c r="F3" s="1"/>
      <c r="G3" s="1"/>
      <c r="H3" s="1"/>
      <c r="I3" s="1"/>
      <c r="J3" s="23"/>
      <c r="K3" s="1"/>
    </row>
    <row r="4" spans="2:11">
      <c r="B4" s="1"/>
      <c r="C4" s="23"/>
      <c r="D4" s="4"/>
      <c r="E4" s="4"/>
      <c r="F4" s="1"/>
      <c r="G4" s="1"/>
      <c r="H4" s="1"/>
      <c r="I4" s="1"/>
      <c r="J4" s="23"/>
      <c r="K4" s="1"/>
    </row>
    <row r="5" spans="2:11">
      <c r="B5" s="1"/>
      <c r="C5" s="23"/>
      <c r="D5" s="4"/>
      <c r="E5" s="4"/>
      <c r="F5" s="1"/>
      <c r="G5" s="1"/>
      <c r="H5" s="1"/>
      <c r="I5" s="1"/>
      <c r="J5" s="23"/>
      <c r="K5" s="1"/>
    </row>
    <row r="6" spans="2:11">
      <c r="B6" s="1"/>
      <c r="C6" s="24"/>
      <c r="D6" s="5"/>
      <c r="E6" s="5"/>
      <c r="F6" s="1"/>
      <c r="G6" s="1"/>
      <c r="H6" s="1"/>
      <c r="I6" s="1"/>
      <c r="J6" s="24"/>
      <c r="K6" s="1"/>
    </row>
    <row r="7" spans="2:11">
      <c r="B7" s="2" t="s">
        <v>70</v>
      </c>
      <c r="C7" s="42" t="s">
        <v>71</v>
      </c>
      <c r="D7" s="43"/>
      <c r="E7" s="44"/>
      <c r="F7" s="1"/>
      <c r="G7" s="1"/>
      <c r="H7" s="1"/>
      <c r="I7" s="2" t="s">
        <v>72</v>
      </c>
      <c r="J7" s="28"/>
      <c r="K7" s="1"/>
    </row>
    <row r="8" spans="2:11">
      <c r="B8" s="1"/>
      <c r="C8" s="45" t="s">
        <v>73</v>
      </c>
      <c r="D8" s="45"/>
      <c r="E8" s="46" t="s">
        <v>74</v>
      </c>
      <c r="F8" s="46"/>
      <c r="G8" s="1"/>
      <c r="H8" s="1"/>
      <c r="I8" s="1"/>
      <c r="J8" s="24"/>
      <c r="K8" s="1"/>
    </row>
    <row r="9" spans="2:11" ht="16.5" customHeight="1">
      <c r="B9" s="3" t="s">
        <v>75</v>
      </c>
      <c r="C9" s="47">
        <v>46123</v>
      </c>
      <c r="D9" s="48"/>
      <c r="E9" s="47">
        <v>46137</v>
      </c>
      <c r="F9" s="48"/>
      <c r="G9" s="1"/>
      <c r="H9" s="1"/>
      <c r="I9" s="2" t="s">
        <v>76</v>
      </c>
      <c r="J9" s="25">
        <v>0.6875</v>
      </c>
      <c r="K9" s="1"/>
    </row>
    <row r="11" spans="2:11">
      <c r="B11" s="8" t="s">
        <v>77</v>
      </c>
      <c r="C11" s="9" t="s">
        <v>78</v>
      </c>
      <c r="D11" s="10" t="s">
        <v>79</v>
      </c>
      <c r="E11" s="10" t="s">
        <v>80</v>
      </c>
      <c r="F11" s="9" t="s">
        <v>81</v>
      </c>
      <c r="G11" s="9" t="s">
        <v>82</v>
      </c>
      <c r="H11" s="9" t="s">
        <v>83</v>
      </c>
      <c r="I11" s="9" t="s">
        <v>84</v>
      </c>
      <c r="J11" s="9" t="s">
        <v>85</v>
      </c>
      <c r="K11" s="9" t="s">
        <v>69</v>
      </c>
    </row>
    <row r="12" spans="2:11" ht="15.75">
      <c r="B12" s="11"/>
      <c r="C12" s="27">
        <v>46139</v>
      </c>
      <c r="D12" s="20">
        <v>0.3125</v>
      </c>
      <c r="E12" s="20">
        <v>0.7</v>
      </c>
      <c r="F12" s="18"/>
      <c r="G12" s="11"/>
      <c r="H12" s="11"/>
      <c r="I12" s="38" t="s">
        <v>48</v>
      </c>
      <c r="J12" s="37" t="s">
        <v>106</v>
      </c>
      <c r="K12" s="16">
        <f>(E12-D12)*24</f>
        <v>9.2999999999999989</v>
      </c>
    </row>
    <row r="13" spans="2:11" ht="15.75">
      <c r="B13" s="11"/>
      <c r="C13" s="27">
        <v>46140</v>
      </c>
      <c r="D13" s="20">
        <v>0.3263888888888889</v>
      </c>
      <c r="E13" s="20">
        <v>0.70138888888888884</v>
      </c>
      <c r="F13" s="18"/>
      <c r="G13" s="11"/>
      <c r="H13" s="11"/>
      <c r="I13" s="38" t="s">
        <v>48</v>
      </c>
      <c r="J13" s="37" t="s">
        <v>106</v>
      </c>
      <c r="K13" s="16">
        <f>(E13-D13)*24</f>
        <v>8.9999999999999982</v>
      </c>
    </row>
    <row r="14" spans="2:11" ht="15.75">
      <c r="B14" s="11"/>
      <c r="C14" s="27">
        <v>46140</v>
      </c>
      <c r="D14" s="20">
        <v>0.41666666666666669</v>
      </c>
      <c r="E14" s="20">
        <v>0.73958333333333337</v>
      </c>
      <c r="F14" s="18"/>
      <c r="G14" s="11"/>
      <c r="H14" s="11"/>
      <c r="I14" s="38" t="s">
        <v>48</v>
      </c>
      <c r="J14" s="37" t="s">
        <v>106</v>
      </c>
      <c r="K14" s="16">
        <f>(E14-D14)*24</f>
        <v>7.75</v>
      </c>
    </row>
    <row r="15" spans="2:11" ht="15.75">
      <c r="B15" s="11"/>
      <c r="C15" s="27">
        <v>46141</v>
      </c>
      <c r="D15" s="20">
        <v>0.41666666666666669</v>
      </c>
      <c r="E15" s="20">
        <v>0.73958333333333337</v>
      </c>
      <c r="F15" s="18"/>
      <c r="G15" s="11"/>
      <c r="H15" s="11"/>
      <c r="I15" s="38" t="s">
        <v>48</v>
      </c>
      <c r="J15" s="37" t="s">
        <v>106</v>
      </c>
      <c r="K15" s="16">
        <f>(E15-D15)*24</f>
        <v>7.75</v>
      </c>
    </row>
    <row r="16" spans="2:11" ht="15.75">
      <c r="B16" s="11"/>
      <c r="C16" s="27">
        <v>46142</v>
      </c>
      <c r="D16" s="20">
        <v>0.41666666666666669</v>
      </c>
      <c r="E16" s="20">
        <v>0.78472222222222221</v>
      </c>
      <c r="F16" s="18"/>
      <c r="G16" s="11"/>
      <c r="H16" s="11"/>
      <c r="I16" s="38" t="s">
        <v>48</v>
      </c>
      <c r="J16" s="37" t="s">
        <v>106</v>
      </c>
      <c r="K16" s="16">
        <f>(E16-D16)*24</f>
        <v>8.8333333333333321</v>
      </c>
    </row>
    <row r="17" spans="2:11" ht="15.75">
      <c r="B17" s="11"/>
      <c r="C17" s="27">
        <v>46146</v>
      </c>
      <c r="D17" s="20">
        <v>0.35555555555555557</v>
      </c>
      <c r="E17" s="20">
        <v>0.76111111111111107</v>
      </c>
      <c r="F17" s="18"/>
      <c r="G17" s="11"/>
      <c r="H17" s="11"/>
      <c r="I17" s="38" t="s">
        <v>48</v>
      </c>
      <c r="J17" s="37" t="s">
        <v>106</v>
      </c>
      <c r="K17" s="16">
        <f>(E17-D17)*24</f>
        <v>9.7333333333333325</v>
      </c>
    </row>
    <row r="18" spans="2:11" ht="15.75">
      <c r="B18" s="11"/>
      <c r="C18" s="27">
        <v>46147</v>
      </c>
      <c r="D18" s="20">
        <v>0.4375</v>
      </c>
      <c r="E18" s="20">
        <v>0.8125</v>
      </c>
      <c r="F18" s="18"/>
      <c r="G18" s="11"/>
      <c r="H18" s="11"/>
      <c r="I18" s="38" t="s">
        <v>48</v>
      </c>
      <c r="J18" s="37" t="s">
        <v>108</v>
      </c>
      <c r="K18" s="16">
        <f>(E18-D18)*24</f>
        <v>9</v>
      </c>
    </row>
    <row r="19" spans="2:11" ht="15.75">
      <c r="B19" s="11"/>
      <c r="C19" s="27">
        <v>46148</v>
      </c>
      <c r="D19" s="20">
        <v>0.4375</v>
      </c>
      <c r="E19" s="20">
        <v>0.75069444444444444</v>
      </c>
      <c r="F19" s="18"/>
      <c r="G19" s="11"/>
      <c r="H19" s="11"/>
      <c r="I19" s="38" t="s">
        <v>48</v>
      </c>
      <c r="J19" s="37" t="s">
        <v>108</v>
      </c>
      <c r="K19" s="16">
        <f>(E19-D19)*24</f>
        <v>7.5166666666666666</v>
      </c>
    </row>
    <row r="20" spans="2:11" ht="15.75">
      <c r="B20" s="11"/>
      <c r="C20" s="27">
        <v>46149</v>
      </c>
      <c r="D20" s="20">
        <v>0.32500000000000001</v>
      </c>
      <c r="E20" s="20">
        <v>0.72916666666666663</v>
      </c>
      <c r="F20" s="18"/>
      <c r="G20" s="11"/>
      <c r="H20" s="11"/>
      <c r="I20" s="38" t="s">
        <v>48</v>
      </c>
      <c r="J20" s="37" t="s">
        <v>108</v>
      </c>
      <c r="K20" s="16">
        <f>(E20-D20)*24</f>
        <v>9.6999999999999993</v>
      </c>
    </row>
    <row r="21" spans="2:11" ht="15.75">
      <c r="B21" s="11"/>
      <c r="C21" s="27">
        <v>46150</v>
      </c>
      <c r="D21" s="20">
        <v>0.375</v>
      </c>
      <c r="E21" s="20">
        <v>0.76458333333333328</v>
      </c>
      <c r="F21" s="18"/>
      <c r="G21" s="11"/>
      <c r="H21" s="11"/>
      <c r="I21" s="38" t="s">
        <v>48</v>
      </c>
      <c r="J21" s="37" t="s">
        <v>108</v>
      </c>
      <c r="K21" s="16">
        <f>(E21-D21)*24</f>
        <v>9.3499999999999979</v>
      </c>
    </row>
    <row r="22" spans="2:11" ht="15.75">
      <c r="B22" s="11"/>
      <c r="C22" s="21"/>
      <c r="D22" s="12"/>
      <c r="E22" s="12"/>
      <c r="F22" s="18"/>
      <c r="G22" s="11"/>
      <c r="H22" s="11"/>
      <c r="I22" s="19"/>
      <c r="J22" s="21"/>
      <c r="K22" s="16">
        <f>(E22-D22)*24</f>
        <v>0</v>
      </c>
    </row>
    <row r="23" spans="2:11" ht="15.75">
      <c r="B23" s="11"/>
      <c r="C23" s="21"/>
      <c r="D23" s="12"/>
      <c r="E23" s="12"/>
      <c r="F23" s="18"/>
      <c r="G23" s="11"/>
      <c r="H23" s="11"/>
      <c r="I23" s="19"/>
      <c r="J23" s="21"/>
      <c r="K23" s="16">
        <f>(E23-D23)*24</f>
        <v>0</v>
      </c>
    </row>
    <row r="24" spans="2:11" ht="15.75">
      <c r="B24" s="11"/>
      <c r="C24" s="21"/>
      <c r="D24" s="12"/>
      <c r="E24" s="12"/>
      <c r="F24" s="18"/>
      <c r="G24" s="11"/>
      <c r="H24" s="11"/>
      <c r="I24" s="19"/>
      <c r="J24" s="21"/>
      <c r="K24" s="16">
        <f>(E24-D24)*24</f>
        <v>0</v>
      </c>
    </row>
    <row r="25" spans="2:11" ht="15.75">
      <c r="B25" s="11"/>
      <c r="C25" s="21"/>
      <c r="D25" s="12"/>
      <c r="E25" s="12"/>
      <c r="F25" s="18"/>
      <c r="G25" s="11"/>
      <c r="H25" s="11"/>
      <c r="I25" s="19"/>
      <c r="J25" s="21"/>
      <c r="K25" s="16">
        <f>(E25-D25)*24</f>
        <v>0</v>
      </c>
    </row>
    <row r="26" spans="2:11" ht="15.75">
      <c r="B26" s="11"/>
      <c r="C26" s="21"/>
      <c r="D26" s="12"/>
      <c r="E26" s="12"/>
      <c r="F26" s="18"/>
      <c r="G26" s="11"/>
      <c r="H26" s="11"/>
      <c r="I26" s="19"/>
      <c r="J26" s="21"/>
      <c r="K26" s="16">
        <f>(E26-D26)*24</f>
        <v>0</v>
      </c>
    </row>
    <row r="27" spans="2:11" ht="15.75">
      <c r="B27" s="11"/>
      <c r="C27" s="21"/>
      <c r="D27" s="12"/>
      <c r="E27" s="12"/>
      <c r="F27" s="18"/>
      <c r="G27" s="11"/>
      <c r="H27" s="11"/>
      <c r="I27" s="19"/>
      <c r="J27" s="21"/>
      <c r="K27" s="16">
        <f>(E27-D27)*24</f>
        <v>0</v>
      </c>
    </row>
    <row r="28" spans="2:11" ht="15.75">
      <c r="B28" s="11"/>
      <c r="C28" s="21"/>
      <c r="D28" s="12"/>
      <c r="E28" s="12"/>
      <c r="F28" s="18"/>
      <c r="G28" s="11"/>
      <c r="H28" s="11"/>
      <c r="I28" s="19"/>
      <c r="J28" s="21"/>
      <c r="K28" s="16">
        <f>(E28-D28)*24</f>
        <v>0</v>
      </c>
    </row>
    <row r="29" spans="2:11" ht="15.75">
      <c r="B29" s="11"/>
      <c r="C29" s="21"/>
      <c r="D29" s="12"/>
      <c r="E29" s="12"/>
      <c r="F29" s="18"/>
      <c r="G29" s="11"/>
      <c r="H29" s="11"/>
      <c r="I29" s="19"/>
      <c r="J29" s="21"/>
      <c r="K29" s="16">
        <f>(E29-D29)*24</f>
        <v>0</v>
      </c>
    </row>
    <row r="30" spans="2:11" ht="15.75">
      <c r="B30" s="11"/>
      <c r="C30" s="21"/>
      <c r="D30" s="12"/>
      <c r="E30" s="12"/>
      <c r="F30" s="18"/>
      <c r="G30" s="11"/>
      <c r="H30" s="11"/>
      <c r="I30" s="19"/>
      <c r="J30" s="21"/>
      <c r="K30" s="16">
        <f>(E30-D30)*24</f>
        <v>0</v>
      </c>
    </row>
    <row r="31" spans="2:11" ht="15.75">
      <c r="B31" s="11"/>
      <c r="C31" s="21"/>
      <c r="D31" s="12"/>
      <c r="E31" s="12"/>
      <c r="F31" s="18"/>
      <c r="G31" s="11"/>
      <c r="H31" s="11"/>
      <c r="I31" s="19"/>
      <c r="J31" s="21"/>
      <c r="K31" s="16">
        <f>(E31-D31)*24</f>
        <v>0</v>
      </c>
    </row>
    <row r="32" spans="2:11" ht="15.75">
      <c r="B32" s="11"/>
      <c r="C32" s="21"/>
      <c r="D32" s="12"/>
      <c r="E32" s="12"/>
      <c r="F32" s="18"/>
      <c r="G32" s="11"/>
      <c r="H32" s="11"/>
      <c r="I32" s="19"/>
      <c r="J32" s="21"/>
      <c r="K32" s="16">
        <f>(E32-D32)*24</f>
        <v>0</v>
      </c>
    </row>
    <row r="33" spans="2:11" ht="15.75">
      <c r="B33" s="11"/>
      <c r="C33" s="21"/>
      <c r="D33" s="12"/>
      <c r="E33" s="12"/>
      <c r="F33" s="18"/>
      <c r="G33" s="11"/>
      <c r="H33" s="11"/>
      <c r="I33" s="19"/>
      <c r="J33" s="21"/>
      <c r="K33" s="16">
        <f>(E33-D33)*24</f>
        <v>0</v>
      </c>
    </row>
    <row r="34" spans="2:11" ht="15.75">
      <c r="B34" s="11"/>
      <c r="C34" s="21"/>
      <c r="D34" s="12"/>
      <c r="E34" s="12"/>
      <c r="F34" s="18"/>
      <c r="G34" s="11"/>
      <c r="H34" s="11"/>
      <c r="I34" s="19"/>
      <c r="J34" s="21"/>
      <c r="K34" s="16">
        <f>(E34-D34)*24</f>
        <v>0</v>
      </c>
    </row>
    <row r="35" spans="2:11" ht="15.75">
      <c r="B35" s="11"/>
      <c r="C35" s="21"/>
      <c r="D35" s="12"/>
      <c r="E35" s="12"/>
      <c r="F35" s="18"/>
      <c r="G35" s="11"/>
      <c r="H35" s="11"/>
      <c r="I35" s="19"/>
      <c r="J35" s="21"/>
      <c r="K35" s="16">
        <f>(E35-D35)*24</f>
        <v>0</v>
      </c>
    </row>
    <row r="36" spans="2:11" ht="15.75">
      <c r="B36" s="11"/>
      <c r="C36" s="21"/>
      <c r="D36" s="12"/>
      <c r="E36" s="12"/>
      <c r="F36" s="18"/>
      <c r="G36" s="11"/>
      <c r="H36" s="11"/>
      <c r="I36" s="19"/>
      <c r="J36" s="21"/>
      <c r="K36" s="16">
        <f>(E36-D36)*24</f>
        <v>0</v>
      </c>
    </row>
    <row r="37" spans="2:11" ht="15.75">
      <c r="B37" s="11"/>
      <c r="C37" s="21"/>
      <c r="D37" s="12"/>
      <c r="E37" s="12"/>
      <c r="F37" s="18"/>
      <c r="G37" s="11"/>
      <c r="H37" s="11"/>
      <c r="I37" s="19"/>
      <c r="J37" s="21"/>
      <c r="K37" s="16">
        <f>(E37-D37)*24</f>
        <v>0</v>
      </c>
    </row>
    <row r="38" spans="2:11" ht="15.75">
      <c r="B38" s="11"/>
      <c r="C38" s="21"/>
      <c r="D38" s="12"/>
      <c r="E38" s="12"/>
      <c r="F38" s="18"/>
      <c r="G38" s="11"/>
      <c r="H38" s="11"/>
      <c r="I38" s="19"/>
      <c r="J38" s="21"/>
      <c r="K38" s="16">
        <f>(E38-D38)*24</f>
        <v>0</v>
      </c>
    </row>
    <row r="39" spans="2:11" ht="15.75">
      <c r="B39" s="11"/>
      <c r="C39" s="21"/>
      <c r="D39" s="12"/>
      <c r="E39" s="12"/>
      <c r="F39" s="18"/>
      <c r="G39" s="11"/>
      <c r="H39" s="11"/>
      <c r="I39" s="19"/>
      <c r="J39" s="21"/>
      <c r="K39" s="16">
        <f>(E39-D39)*24</f>
        <v>0</v>
      </c>
    </row>
    <row r="40" spans="2:11" ht="15.75">
      <c r="B40" s="11"/>
      <c r="C40" s="21"/>
      <c r="D40" s="12"/>
      <c r="E40" s="12"/>
      <c r="F40" s="18"/>
      <c r="G40" s="11"/>
      <c r="H40" s="11"/>
      <c r="I40" s="19"/>
      <c r="J40" s="21"/>
      <c r="K40" s="16">
        <f>(E40-D40)*24</f>
        <v>0</v>
      </c>
    </row>
    <row r="41" spans="2:11" ht="15.75">
      <c r="B41" s="11"/>
      <c r="C41" s="21"/>
      <c r="D41" s="12"/>
      <c r="E41" s="12"/>
      <c r="F41" s="18"/>
      <c r="G41" s="11"/>
      <c r="H41" s="11"/>
      <c r="I41" s="19"/>
      <c r="J41" s="21"/>
      <c r="K41" s="16">
        <f>(E41-D41)*24</f>
        <v>0</v>
      </c>
    </row>
    <row r="42" spans="2:11" ht="15.75">
      <c r="B42" s="11"/>
      <c r="C42" s="21"/>
      <c r="D42" s="12"/>
      <c r="E42" s="12"/>
      <c r="F42" s="18"/>
      <c r="G42" s="11"/>
      <c r="H42" s="11"/>
      <c r="I42" s="19"/>
      <c r="J42" s="21"/>
      <c r="K42" s="16">
        <f>(E42-D42)*24</f>
        <v>0</v>
      </c>
    </row>
    <row r="43" spans="2:11" ht="15.75">
      <c r="B43" s="11"/>
      <c r="C43" s="21"/>
      <c r="D43" s="12"/>
      <c r="E43" s="12"/>
      <c r="F43" s="18"/>
      <c r="G43" s="11"/>
      <c r="H43" s="11"/>
      <c r="I43" s="19"/>
      <c r="J43" s="21"/>
      <c r="K43" s="16">
        <f>(E43-D43)*24</f>
        <v>0</v>
      </c>
    </row>
    <row r="44" spans="2:11" ht="15.75">
      <c r="B44" s="11"/>
      <c r="C44" s="21"/>
      <c r="D44" s="12"/>
      <c r="E44" s="12"/>
      <c r="F44" s="18"/>
      <c r="G44" s="11"/>
      <c r="H44" s="11"/>
      <c r="I44" s="19"/>
      <c r="J44" s="21"/>
      <c r="K44" s="16">
        <f t="shared" ref="K44:K107" si="0">(E44-D44)*24</f>
        <v>0</v>
      </c>
    </row>
    <row r="45" spans="2:11" ht="15.75">
      <c r="B45" s="11"/>
      <c r="C45" s="21"/>
      <c r="D45" s="12"/>
      <c r="E45" s="12"/>
      <c r="F45" s="18"/>
      <c r="G45" s="11"/>
      <c r="H45" s="11"/>
      <c r="I45" s="19"/>
      <c r="J45" s="21"/>
      <c r="K45" s="16">
        <f t="shared" si="0"/>
        <v>0</v>
      </c>
    </row>
    <row r="46" spans="2:11" ht="15.75">
      <c r="B46" s="11"/>
      <c r="C46" s="21"/>
      <c r="D46" s="12"/>
      <c r="E46" s="12"/>
      <c r="F46" s="18"/>
      <c r="G46" s="11"/>
      <c r="H46" s="11"/>
      <c r="I46" s="19"/>
      <c r="J46" s="21"/>
      <c r="K46" s="16">
        <f t="shared" si="0"/>
        <v>0</v>
      </c>
    </row>
    <row r="47" spans="2:11" ht="15.75">
      <c r="B47" s="11"/>
      <c r="C47" s="21"/>
      <c r="D47" s="12"/>
      <c r="E47" s="12"/>
      <c r="F47" s="18"/>
      <c r="G47" s="11"/>
      <c r="H47" s="11"/>
      <c r="I47" s="19"/>
      <c r="J47" s="21"/>
      <c r="K47" s="16">
        <f t="shared" si="0"/>
        <v>0</v>
      </c>
    </row>
    <row r="48" spans="2:11" ht="15.75">
      <c r="B48" s="11"/>
      <c r="C48" s="21"/>
      <c r="D48" s="12"/>
      <c r="E48" s="12"/>
      <c r="F48" s="18"/>
      <c r="G48" s="11"/>
      <c r="H48" s="11"/>
      <c r="I48" s="19"/>
      <c r="J48" s="21"/>
      <c r="K48" s="16">
        <f t="shared" si="0"/>
        <v>0</v>
      </c>
    </row>
    <row r="49" spans="2:11" ht="15.75">
      <c r="B49" s="11"/>
      <c r="C49" s="21"/>
      <c r="D49" s="12"/>
      <c r="E49" s="12"/>
      <c r="F49" s="18"/>
      <c r="G49" s="11"/>
      <c r="H49" s="11"/>
      <c r="I49" s="19"/>
      <c r="J49" s="21"/>
      <c r="K49" s="16">
        <f t="shared" si="0"/>
        <v>0</v>
      </c>
    </row>
    <row r="50" spans="2:11" ht="15.75">
      <c r="B50" s="11"/>
      <c r="C50" s="21"/>
      <c r="D50" s="12"/>
      <c r="E50" s="12"/>
      <c r="F50" s="18"/>
      <c r="G50" s="11"/>
      <c r="H50" s="11"/>
      <c r="I50" s="19"/>
      <c r="J50" s="21"/>
      <c r="K50" s="16">
        <f t="shared" si="0"/>
        <v>0</v>
      </c>
    </row>
    <row r="51" spans="2:11" ht="15.75">
      <c r="B51" s="11"/>
      <c r="C51" s="21"/>
      <c r="D51" s="12"/>
      <c r="E51" s="12"/>
      <c r="F51" s="18"/>
      <c r="G51" s="11"/>
      <c r="H51" s="11"/>
      <c r="I51" s="19"/>
      <c r="J51" s="21"/>
      <c r="K51" s="16">
        <f t="shared" si="0"/>
        <v>0</v>
      </c>
    </row>
    <row r="52" spans="2:11" ht="15.75">
      <c r="B52" s="11"/>
      <c r="C52" s="21"/>
      <c r="D52" s="12"/>
      <c r="E52" s="12"/>
      <c r="F52" s="18"/>
      <c r="G52" s="11"/>
      <c r="H52" s="11"/>
      <c r="I52" s="19"/>
      <c r="J52" s="21"/>
      <c r="K52" s="16">
        <f t="shared" si="0"/>
        <v>0</v>
      </c>
    </row>
    <row r="53" spans="2:11" ht="15.75">
      <c r="B53" s="11"/>
      <c r="C53" s="21"/>
      <c r="D53" s="12"/>
      <c r="E53" s="12"/>
      <c r="F53" s="18"/>
      <c r="G53" s="11"/>
      <c r="H53" s="11"/>
      <c r="I53" s="19"/>
      <c r="J53" s="21"/>
      <c r="K53" s="16">
        <f t="shared" si="0"/>
        <v>0</v>
      </c>
    </row>
    <row r="54" spans="2:11" ht="15.75">
      <c r="B54" s="11"/>
      <c r="C54" s="27"/>
      <c r="D54" s="12"/>
      <c r="E54" s="12"/>
      <c r="F54" s="18"/>
      <c r="G54" s="11"/>
      <c r="H54" s="11"/>
      <c r="I54" s="19"/>
      <c r="J54" s="21"/>
      <c r="K54" s="16">
        <f t="shared" si="0"/>
        <v>0</v>
      </c>
    </row>
    <row r="55" spans="2:11" ht="15.75">
      <c r="B55" s="11"/>
      <c r="C55" s="27"/>
      <c r="D55" s="12"/>
      <c r="E55" s="12"/>
      <c r="F55" s="18"/>
      <c r="G55" s="11"/>
      <c r="H55" s="11"/>
      <c r="I55" s="19"/>
      <c r="J55" s="21"/>
      <c r="K55" s="16">
        <f t="shared" si="0"/>
        <v>0</v>
      </c>
    </row>
    <row r="56" spans="2:11" ht="15.75">
      <c r="B56" s="11"/>
      <c r="C56" s="27"/>
      <c r="D56" s="12"/>
      <c r="E56" s="12"/>
      <c r="F56" s="18"/>
      <c r="G56" s="11"/>
      <c r="H56" s="11"/>
      <c r="I56" s="19"/>
      <c r="J56" s="21"/>
      <c r="K56" s="16">
        <f t="shared" si="0"/>
        <v>0</v>
      </c>
    </row>
    <row r="57" spans="2:11" ht="15.75">
      <c r="B57" s="11"/>
      <c r="C57" s="27"/>
      <c r="D57" s="12"/>
      <c r="E57" s="12"/>
      <c r="F57" s="18"/>
      <c r="G57" s="11"/>
      <c r="H57" s="11"/>
      <c r="I57" s="19"/>
      <c r="J57" s="21"/>
      <c r="K57" s="16">
        <f t="shared" si="0"/>
        <v>0</v>
      </c>
    </row>
    <row r="58" spans="2:11" ht="15.75">
      <c r="B58" s="11"/>
      <c r="C58" s="27"/>
      <c r="D58" s="12"/>
      <c r="E58" s="12"/>
      <c r="F58" s="18"/>
      <c r="G58" s="11"/>
      <c r="H58" s="11"/>
      <c r="I58" s="19"/>
      <c r="J58" s="21"/>
      <c r="K58" s="16">
        <f t="shared" si="0"/>
        <v>0</v>
      </c>
    </row>
    <row r="59" spans="2:11" ht="15.75">
      <c r="B59" s="11"/>
      <c r="C59" s="27"/>
      <c r="D59" s="12"/>
      <c r="E59" s="12"/>
      <c r="F59" s="18"/>
      <c r="G59" s="11"/>
      <c r="H59" s="11"/>
      <c r="I59" s="19"/>
      <c r="J59" s="21"/>
      <c r="K59" s="16">
        <f t="shared" si="0"/>
        <v>0</v>
      </c>
    </row>
    <row r="60" spans="2:11" ht="15.75">
      <c r="B60" s="11"/>
      <c r="C60" s="21"/>
      <c r="D60" s="12"/>
      <c r="E60" s="12"/>
      <c r="F60" s="18"/>
      <c r="G60" s="11"/>
      <c r="H60" s="11"/>
      <c r="I60" s="19"/>
      <c r="J60" s="21"/>
      <c r="K60" s="16">
        <f t="shared" si="0"/>
        <v>0</v>
      </c>
    </row>
    <row r="61" spans="2:11" ht="15.75">
      <c r="B61" s="11"/>
      <c r="C61" s="21"/>
      <c r="D61" s="12"/>
      <c r="E61" s="12"/>
      <c r="F61" s="18"/>
      <c r="G61" s="11"/>
      <c r="H61" s="11"/>
      <c r="I61" s="19"/>
      <c r="J61" s="21"/>
      <c r="K61" s="16">
        <f t="shared" si="0"/>
        <v>0</v>
      </c>
    </row>
    <row r="62" spans="2:11" ht="15.75">
      <c r="B62" s="11"/>
      <c r="C62" s="21"/>
      <c r="D62" s="12"/>
      <c r="E62" s="12"/>
      <c r="F62" s="18"/>
      <c r="G62" s="11"/>
      <c r="H62" s="11"/>
      <c r="I62" s="19"/>
      <c r="J62" s="21"/>
      <c r="K62" s="16">
        <f t="shared" si="0"/>
        <v>0</v>
      </c>
    </row>
    <row r="63" spans="2:11" ht="15.75">
      <c r="B63" s="11"/>
      <c r="C63" s="21"/>
      <c r="D63" s="12"/>
      <c r="E63" s="12"/>
      <c r="F63" s="18"/>
      <c r="G63" s="11"/>
      <c r="H63" s="11"/>
      <c r="I63" s="19"/>
      <c r="J63" s="21"/>
      <c r="K63" s="16">
        <f t="shared" si="0"/>
        <v>0</v>
      </c>
    </row>
    <row r="64" spans="2:11" ht="15.75">
      <c r="B64" s="11"/>
      <c r="C64" s="21"/>
      <c r="D64" s="12"/>
      <c r="E64" s="12"/>
      <c r="F64" s="18"/>
      <c r="G64" s="11"/>
      <c r="H64" s="11"/>
      <c r="I64" s="19"/>
      <c r="J64" s="21"/>
      <c r="K64" s="16">
        <f t="shared" si="0"/>
        <v>0</v>
      </c>
    </row>
    <row r="65" spans="2:11" ht="15.75">
      <c r="B65" s="11"/>
      <c r="C65" s="21"/>
      <c r="D65" s="12"/>
      <c r="E65" s="12"/>
      <c r="F65" s="18"/>
      <c r="G65" s="11"/>
      <c r="H65" s="11"/>
      <c r="I65" s="19"/>
      <c r="J65" s="21"/>
      <c r="K65" s="16">
        <f t="shared" si="0"/>
        <v>0</v>
      </c>
    </row>
    <row r="66" spans="2:11" ht="15.75">
      <c r="B66" s="11"/>
      <c r="C66" s="21"/>
      <c r="D66" s="12"/>
      <c r="E66" s="12"/>
      <c r="F66" s="18"/>
      <c r="G66" s="11"/>
      <c r="H66" s="11"/>
      <c r="I66" s="19"/>
      <c r="J66" s="21"/>
      <c r="K66" s="16">
        <f t="shared" si="0"/>
        <v>0</v>
      </c>
    </row>
    <row r="67" spans="2:11" ht="15.75">
      <c r="B67" s="11"/>
      <c r="C67" s="21"/>
      <c r="D67" s="12"/>
      <c r="E67" s="12"/>
      <c r="F67" s="18"/>
      <c r="G67" s="11"/>
      <c r="H67" s="11"/>
      <c r="I67" s="19"/>
      <c r="J67" s="21"/>
      <c r="K67" s="16">
        <f t="shared" si="0"/>
        <v>0</v>
      </c>
    </row>
    <row r="68" spans="2:11" ht="15.75">
      <c r="B68" s="11"/>
      <c r="C68" s="21"/>
      <c r="D68" s="12"/>
      <c r="E68" s="12"/>
      <c r="F68" s="18"/>
      <c r="G68" s="11"/>
      <c r="H68" s="11"/>
      <c r="I68" s="19"/>
      <c r="J68" s="21"/>
      <c r="K68" s="16">
        <f t="shared" si="0"/>
        <v>0</v>
      </c>
    </row>
    <row r="69" spans="2:11" ht="15.75">
      <c r="B69" s="11"/>
      <c r="C69" s="21"/>
      <c r="D69" s="12"/>
      <c r="E69" s="12"/>
      <c r="F69" s="18"/>
      <c r="G69" s="11"/>
      <c r="H69" s="11"/>
      <c r="I69" s="19"/>
      <c r="J69" s="21"/>
      <c r="K69" s="16">
        <f t="shared" si="0"/>
        <v>0</v>
      </c>
    </row>
    <row r="70" spans="2:11" ht="15.75">
      <c r="B70" s="11"/>
      <c r="C70" s="21"/>
      <c r="D70" s="12"/>
      <c r="E70" s="12"/>
      <c r="F70" s="18"/>
      <c r="G70" s="11"/>
      <c r="H70" s="11"/>
      <c r="I70" s="19"/>
      <c r="J70" s="21"/>
      <c r="K70" s="16">
        <f t="shared" si="0"/>
        <v>0</v>
      </c>
    </row>
    <row r="71" spans="2:11" ht="15.75">
      <c r="B71" s="11"/>
      <c r="C71" s="21"/>
      <c r="D71" s="12"/>
      <c r="E71" s="12"/>
      <c r="F71" s="11"/>
      <c r="G71" s="18"/>
      <c r="H71" s="11"/>
      <c r="I71" s="19"/>
      <c r="J71" s="21"/>
      <c r="K71" s="16">
        <f t="shared" si="0"/>
        <v>0</v>
      </c>
    </row>
    <row r="72" spans="2:11" ht="15.75">
      <c r="B72" s="11"/>
      <c r="C72" s="21"/>
      <c r="D72" s="12"/>
      <c r="E72" s="12"/>
      <c r="F72" s="11"/>
      <c r="G72" s="18"/>
      <c r="H72" s="11"/>
      <c r="I72" s="19"/>
      <c r="J72" s="21"/>
      <c r="K72" s="16">
        <f t="shared" si="0"/>
        <v>0</v>
      </c>
    </row>
    <row r="73" spans="2:11" ht="15.75">
      <c r="B73" s="11"/>
      <c r="C73" s="27"/>
      <c r="D73" s="12"/>
      <c r="E73" s="12"/>
      <c r="F73" s="18"/>
      <c r="G73" s="11"/>
      <c r="H73" s="11"/>
      <c r="I73" s="19"/>
      <c r="J73" s="21"/>
      <c r="K73" s="16">
        <f t="shared" si="0"/>
        <v>0</v>
      </c>
    </row>
    <row r="74" spans="2:11" ht="15.75">
      <c r="B74" s="11"/>
      <c r="C74" s="27"/>
      <c r="D74" s="12"/>
      <c r="E74" s="12"/>
      <c r="F74" s="18"/>
      <c r="G74" s="11"/>
      <c r="H74" s="11"/>
      <c r="I74" s="19"/>
      <c r="J74" s="21"/>
      <c r="K74" s="16">
        <f t="shared" si="0"/>
        <v>0</v>
      </c>
    </row>
    <row r="75" spans="2:11" ht="15.75">
      <c r="B75" s="11"/>
      <c r="C75" s="27"/>
      <c r="D75" s="12"/>
      <c r="E75" s="12"/>
      <c r="F75" s="18"/>
      <c r="G75" s="11"/>
      <c r="H75" s="11"/>
      <c r="I75" s="19"/>
      <c r="J75" s="21"/>
      <c r="K75" s="16">
        <f t="shared" si="0"/>
        <v>0</v>
      </c>
    </row>
    <row r="76" spans="2:11" ht="15.75">
      <c r="B76" s="11"/>
      <c r="C76" s="27"/>
      <c r="D76" s="12"/>
      <c r="E76" s="12"/>
      <c r="F76" s="18"/>
      <c r="G76" s="11"/>
      <c r="H76" s="11"/>
      <c r="I76" s="19"/>
      <c r="J76" s="21"/>
      <c r="K76" s="16">
        <f t="shared" si="0"/>
        <v>0</v>
      </c>
    </row>
    <row r="77" spans="2:11" ht="15.75">
      <c r="B77" s="11"/>
      <c r="C77" s="27"/>
      <c r="D77" s="12"/>
      <c r="E77" s="12"/>
      <c r="F77" s="18"/>
      <c r="G77" s="11"/>
      <c r="H77" s="11"/>
      <c r="I77" s="19"/>
      <c r="J77" s="21"/>
      <c r="K77" s="16">
        <f t="shared" si="0"/>
        <v>0</v>
      </c>
    </row>
    <row r="78" spans="2:11" ht="15.75">
      <c r="B78" s="11"/>
      <c r="C78" s="27"/>
      <c r="D78" s="12"/>
      <c r="E78" s="12"/>
      <c r="F78" s="18"/>
      <c r="G78" s="11"/>
      <c r="H78" s="11"/>
      <c r="I78" s="19"/>
      <c r="J78" s="21"/>
      <c r="K78" s="16">
        <f t="shared" si="0"/>
        <v>0</v>
      </c>
    </row>
    <row r="79" spans="2:11" ht="15.75">
      <c r="B79" s="11"/>
      <c r="C79" s="27"/>
      <c r="D79" s="12"/>
      <c r="E79" s="12"/>
      <c r="F79" s="18"/>
      <c r="G79" s="11"/>
      <c r="H79" s="11"/>
      <c r="I79" s="19"/>
      <c r="J79" s="21"/>
      <c r="K79" s="16">
        <f t="shared" si="0"/>
        <v>0</v>
      </c>
    </row>
    <row r="80" spans="2:11" ht="15.75">
      <c r="B80" s="11"/>
      <c r="C80" s="27"/>
      <c r="D80" s="12"/>
      <c r="E80" s="12"/>
      <c r="F80" s="18"/>
      <c r="G80" s="11"/>
      <c r="H80" s="11"/>
      <c r="I80" s="19"/>
      <c r="J80" s="21"/>
      <c r="K80" s="16">
        <f t="shared" si="0"/>
        <v>0</v>
      </c>
    </row>
    <row r="81" spans="2:11" ht="15.75">
      <c r="B81" s="11"/>
      <c r="C81" s="27"/>
      <c r="D81" s="12"/>
      <c r="E81" s="12"/>
      <c r="F81" s="18"/>
      <c r="G81" s="11"/>
      <c r="H81" s="11"/>
      <c r="I81" s="19"/>
      <c r="J81" s="21"/>
      <c r="K81" s="16">
        <f t="shared" si="0"/>
        <v>0</v>
      </c>
    </row>
    <row r="82" spans="2:11" ht="15.75">
      <c r="B82" s="11"/>
      <c r="C82" s="21"/>
      <c r="D82" s="12"/>
      <c r="E82" s="12"/>
      <c r="F82" s="18"/>
      <c r="G82" s="11"/>
      <c r="H82" s="11"/>
      <c r="I82" s="19"/>
      <c r="J82" s="21"/>
      <c r="K82" s="16">
        <f t="shared" si="0"/>
        <v>0</v>
      </c>
    </row>
    <row r="83" spans="2:11" ht="15.75">
      <c r="B83" s="11"/>
      <c r="C83" s="21"/>
      <c r="D83" s="12"/>
      <c r="E83" s="12"/>
      <c r="F83" s="18"/>
      <c r="G83" s="11"/>
      <c r="H83" s="11"/>
      <c r="I83" s="19"/>
      <c r="J83" s="21"/>
      <c r="K83" s="16">
        <f t="shared" si="0"/>
        <v>0</v>
      </c>
    </row>
    <row r="84" spans="2:11" ht="15.75">
      <c r="B84" s="11"/>
      <c r="C84" s="21"/>
      <c r="D84" s="12"/>
      <c r="E84" s="12"/>
      <c r="F84" s="18"/>
      <c r="G84" s="11"/>
      <c r="H84" s="11"/>
      <c r="I84" s="19"/>
      <c r="J84" s="21"/>
      <c r="K84" s="16">
        <f t="shared" si="0"/>
        <v>0</v>
      </c>
    </row>
    <row r="85" spans="2:11" ht="15.75">
      <c r="B85" s="11"/>
      <c r="C85" s="21"/>
      <c r="D85" s="12"/>
      <c r="E85" s="12"/>
      <c r="F85" s="18"/>
      <c r="G85" s="11"/>
      <c r="H85" s="11"/>
      <c r="I85" s="19"/>
      <c r="J85" s="21"/>
      <c r="K85" s="16">
        <f t="shared" si="0"/>
        <v>0</v>
      </c>
    </row>
    <row r="86" spans="2:11" ht="15.75">
      <c r="B86" s="11"/>
      <c r="C86" s="21"/>
      <c r="D86" s="12"/>
      <c r="E86" s="12"/>
      <c r="F86" s="18"/>
      <c r="G86" s="11"/>
      <c r="H86" s="11"/>
      <c r="I86" s="19"/>
      <c r="J86" s="21"/>
      <c r="K86" s="16">
        <f t="shared" si="0"/>
        <v>0</v>
      </c>
    </row>
    <row r="87" spans="2:11" ht="15.75">
      <c r="B87" s="11"/>
      <c r="C87" s="21"/>
      <c r="D87" s="12"/>
      <c r="E87" s="12"/>
      <c r="F87" s="18"/>
      <c r="G87" s="11"/>
      <c r="H87" s="11"/>
      <c r="I87" s="19"/>
      <c r="J87" s="21"/>
      <c r="K87" s="16">
        <f t="shared" si="0"/>
        <v>0</v>
      </c>
    </row>
    <row r="88" spans="2:11" ht="15.75">
      <c r="B88" s="11"/>
      <c r="C88" s="21"/>
      <c r="D88" s="12"/>
      <c r="E88" s="12"/>
      <c r="F88" s="18"/>
      <c r="G88" s="11"/>
      <c r="H88" s="11"/>
      <c r="I88" s="19"/>
      <c r="J88" s="21"/>
      <c r="K88" s="16">
        <f t="shared" si="0"/>
        <v>0</v>
      </c>
    </row>
    <row r="89" spans="2:11" ht="15.75">
      <c r="B89" s="11"/>
      <c r="C89" s="21"/>
      <c r="D89" s="12"/>
      <c r="E89" s="12"/>
      <c r="F89" s="18"/>
      <c r="G89" s="11"/>
      <c r="H89" s="11"/>
      <c r="I89" s="19"/>
      <c r="J89" s="21"/>
      <c r="K89" s="16">
        <f t="shared" si="0"/>
        <v>0</v>
      </c>
    </row>
    <row r="90" spans="2:11" ht="15.75">
      <c r="B90" s="11"/>
      <c r="C90" s="21"/>
      <c r="D90" s="12"/>
      <c r="E90" s="12"/>
      <c r="F90" s="18"/>
      <c r="G90" s="11"/>
      <c r="H90" s="11"/>
      <c r="I90" s="19"/>
      <c r="J90" s="21"/>
      <c r="K90" s="16">
        <f t="shared" si="0"/>
        <v>0</v>
      </c>
    </row>
    <row r="91" spans="2:11" ht="15.75">
      <c r="B91" s="11"/>
      <c r="C91" s="21"/>
      <c r="D91" s="12"/>
      <c r="E91" s="12"/>
      <c r="F91" s="18"/>
      <c r="G91" s="11"/>
      <c r="H91" s="11"/>
      <c r="I91" s="19"/>
      <c r="J91" s="21"/>
      <c r="K91" s="16">
        <f t="shared" si="0"/>
        <v>0</v>
      </c>
    </row>
    <row r="92" spans="2:11" ht="15.75">
      <c r="B92" s="11"/>
      <c r="C92" s="27"/>
      <c r="D92" s="12"/>
      <c r="E92" s="12"/>
      <c r="F92" s="18"/>
      <c r="G92" s="11"/>
      <c r="H92" s="11"/>
      <c r="I92" s="19"/>
      <c r="J92" s="21"/>
      <c r="K92" s="16">
        <f t="shared" si="0"/>
        <v>0</v>
      </c>
    </row>
    <row r="93" spans="2:11" ht="15.75">
      <c r="B93" s="11"/>
      <c r="C93" s="27"/>
      <c r="D93" s="12"/>
      <c r="E93" s="12"/>
      <c r="F93" s="18"/>
      <c r="G93" s="11"/>
      <c r="H93" s="11"/>
      <c r="I93" s="19"/>
      <c r="J93" s="21"/>
      <c r="K93" s="16">
        <f t="shared" si="0"/>
        <v>0</v>
      </c>
    </row>
    <row r="94" spans="2:11" ht="15.75">
      <c r="B94" s="11"/>
      <c r="C94" s="27"/>
      <c r="D94" s="12"/>
      <c r="E94" s="12"/>
      <c r="F94" s="18"/>
      <c r="G94" s="11"/>
      <c r="H94" s="11"/>
      <c r="I94" s="19"/>
      <c r="J94" s="21"/>
      <c r="K94" s="16">
        <f t="shared" si="0"/>
        <v>0</v>
      </c>
    </row>
    <row r="95" spans="2:11" ht="15.75">
      <c r="B95" s="11"/>
      <c r="C95" s="27"/>
      <c r="D95" s="12"/>
      <c r="E95" s="12"/>
      <c r="F95" s="18"/>
      <c r="G95" s="11"/>
      <c r="H95" s="11"/>
      <c r="I95" s="19"/>
      <c r="J95" s="21"/>
      <c r="K95" s="16">
        <f t="shared" si="0"/>
        <v>0</v>
      </c>
    </row>
    <row r="96" spans="2:11" ht="15.75">
      <c r="B96" s="11"/>
      <c r="C96" s="27"/>
      <c r="D96" s="12"/>
      <c r="E96" s="12"/>
      <c r="F96" s="18"/>
      <c r="G96" s="11"/>
      <c r="H96" s="11"/>
      <c r="I96" s="19"/>
      <c r="J96" s="21"/>
      <c r="K96" s="16">
        <f t="shared" si="0"/>
        <v>0</v>
      </c>
    </row>
    <row r="97" spans="2:11" ht="15.75">
      <c r="B97" s="11"/>
      <c r="C97" s="27"/>
      <c r="D97" s="12"/>
      <c r="E97" s="12"/>
      <c r="F97" s="18"/>
      <c r="G97" s="11"/>
      <c r="H97" s="11"/>
      <c r="I97" s="19"/>
      <c r="J97" s="21"/>
      <c r="K97" s="16">
        <f t="shared" si="0"/>
        <v>0</v>
      </c>
    </row>
    <row r="98" spans="2:11" ht="15.75">
      <c r="B98" s="11"/>
      <c r="C98" s="27"/>
      <c r="D98" s="12"/>
      <c r="E98" s="12"/>
      <c r="F98" s="18"/>
      <c r="G98" s="11"/>
      <c r="H98" s="11"/>
      <c r="I98" s="19"/>
      <c r="J98" s="21"/>
      <c r="K98" s="16">
        <f t="shared" si="0"/>
        <v>0</v>
      </c>
    </row>
    <row r="99" spans="2:11" ht="15.75">
      <c r="B99" s="11"/>
      <c r="C99" s="27"/>
      <c r="D99" s="12"/>
      <c r="E99" s="12"/>
      <c r="F99" s="18"/>
      <c r="G99" s="11"/>
      <c r="H99" s="11"/>
      <c r="I99" s="19"/>
      <c r="J99" s="21"/>
      <c r="K99" s="16">
        <f t="shared" si="0"/>
        <v>0</v>
      </c>
    </row>
    <row r="100" spans="2:11" ht="15.75">
      <c r="B100" s="11"/>
      <c r="C100" s="27"/>
      <c r="D100" s="12"/>
      <c r="E100" s="12"/>
      <c r="F100" s="18"/>
      <c r="G100" s="11"/>
      <c r="H100" s="11"/>
      <c r="I100" s="19"/>
      <c r="J100" s="21"/>
      <c r="K100" s="16">
        <f t="shared" si="0"/>
        <v>0</v>
      </c>
    </row>
    <row r="101" spans="2:11" ht="15.75">
      <c r="B101" s="11"/>
      <c r="C101" s="27"/>
      <c r="D101" s="12"/>
      <c r="E101" s="12"/>
      <c r="F101" s="18"/>
      <c r="G101" s="11"/>
      <c r="H101" s="11"/>
      <c r="I101" s="19"/>
      <c r="J101" s="21"/>
      <c r="K101" s="16">
        <f t="shared" si="0"/>
        <v>0</v>
      </c>
    </row>
    <row r="102" spans="2:11" ht="15.75">
      <c r="B102" s="11"/>
      <c r="C102" s="27"/>
      <c r="D102" s="12"/>
      <c r="E102" s="12"/>
      <c r="F102" s="18"/>
      <c r="G102" s="11"/>
      <c r="H102" s="11"/>
      <c r="I102" s="19"/>
      <c r="J102" s="21"/>
      <c r="K102" s="16">
        <f t="shared" si="0"/>
        <v>0</v>
      </c>
    </row>
    <row r="103" spans="2:11" ht="15.75">
      <c r="B103" s="11"/>
      <c r="C103" s="27"/>
      <c r="D103" s="12"/>
      <c r="E103" s="12"/>
      <c r="F103" s="18"/>
      <c r="G103" s="11"/>
      <c r="H103" s="11"/>
      <c r="I103" s="19"/>
      <c r="J103" s="21"/>
      <c r="K103" s="16">
        <f t="shared" si="0"/>
        <v>0</v>
      </c>
    </row>
    <row r="104" spans="2:11" ht="15.75">
      <c r="B104" s="11"/>
      <c r="C104" s="27"/>
      <c r="D104" s="12"/>
      <c r="E104" s="12"/>
      <c r="F104" s="18"/>
      <c r="G104" s="11"/>
      <c r="H104" s="11"/>
      <c r="I104" s="19"/>
      <c r="J104" s="21"/>
      <c r="K104" s="16">
        <f t="shared" si="0"/>
        <v>0</v>
      </c>
    </row>
    <row r="105" spans="2:11" ht="15.75">
      <c r="B105" s="11"/>
      <c r="C105" s="27"/>
      <c r="D105" s="12"/>
      <c r="E105" s="12"/>
      <c r="F105" s="18"/>
      <c r="G105" s="11"/>
      <c r="H105" s="11"/>
      <c r="I105" s="19"/>
      <c r="J105" s="21"/>
      <c r="K105" s="16">
        <f t="shared" si="0"/>
        <v>0</v>
      </c>
    </row>
    <row r="106" spans="2:11" ht="15.75">
      <c r="B106" s="11"/>
      <c r="C106" s="27"/>
      <c r="D106" s="12"/>
      <c r="E106" s="12"/>
      <c r="F106" s="18"/>
      <c r="G106" s="11"/>
      <c r="H106" s="11"/>
      <c r="I106" s="19"/>
      <c r="J106" s="21"/>
      <c r="K106" s="16">
        <f t="shared" si="0"/>
        <v>0</v>
      </c>
    </row>
    <row r="107" spans="2:11" ht="15.75">
      <c r="B107" s="11"/>
      <c r="C107" s="27"/>
      <c r="D107" s="12"/>
      <c r="E107" s="12"/>
      <c r="F107" s="18"/>
      <c r="G107" s="11"/>
      <c r="H107" s="11"/>
      <c r="I107" s="19"/>
      <c r="J107" s="21"/>
      <c r="K107" s="16">
        <f t="shared" si="0"/>
        <v>0</v>
      </c>
    </row>
    <row r="108" spans="2:11" ht="15.75">
      <c r="B108" s="11"/>
      <c r="C108" s="21"/>
      <c r="D108" s="12"/>
      <c r="E108" s="12"/>
      <c r="F108" s="18"/>
      <c r="G108" s="11"/>
      <c r="H108" s="11"/>
      <c r="I108" s="19"/>
      <c r="J108" s="21"/>
      <c r="K108" s="16">
        <f t="shared" ref="K108:K120" si="1">(E108-D108)*24</f>
        <v>0</v>
      </c>
    </row>
    <row r="109" spans="2:11" ht="15.75">
      <c r="B109" s="11"/>
      <c r="C109" s="21"/>
      <c r="D109" s="12"/>
      <c r="E109" s="12"/>
      <c r="F109" s="18"/>
      <c r="G109" s="11"/>
      <c r="H109" s="11"/>
      <c r="I109" s="19"/>
      <c r="J109" s="21"/>
      <c r="K109" s="16">
        <f t="shared" si="1"/>
        <v>0</v>
      </c>
    </row>
    <row r="110" spans="2:11" ht="15.75">
      <c r="B110" s="11"/>
      <c r="C110" s="21"/>
      <c r="D110" s="12"/>
      <c r="E110" s="12"/>
      <c r="F110" s="18"/>
      <c r="G110" s="11"/>
      <c r="H110" s="11"/>
      <c r="I110" s="19"/>
      <c r="J110" s="21"/>
      <c r="K110" s="16">
        <f t="shared" si="1"/>
        <v>0</v>
      </c>
    </row>
    <row r="111" spans="2:11" ht="15.75">
      <c r="B111" s="11"/>
      <c r="C111" s="21"/>
      <c r="D111" s="12"/>
      <c r="E111" s="12"/>
      <c r="F111" s="18"/>
      <c r="G111" s="11"/>
      <c r="H111" s="11"/>
      <c r="I111" s="19"/>
      <c r="J111" s="21"/>
      <c r="K111" s="16">
        <f t="shared" si="1"/>
        <v>0</v>
      </c>
    </row>
    <row r="112" spans="2:11" ht="15.75">
      <c r="B112" s="11"/>
      <c r="C112" s="21"/>
      <c r="D112" s="12"/>
      <c r="E112" s="12"/>
      <c r="F112" s="11"/>
      <c r="G112" s="18"/>
      <c r="H112" s="11"/>
      <c r="I112" s="19"/>
      <c r="J112" s="21"/>
      <c r="K112" s="16">
        <f t="shared" si="1"/>
        <v>0</v>
      </c>
    </row>
    <row r="113" spans="2:11" ht="15.75">
      <c r="B113" s="11"/>
      <c r="C113" s="27"/>
      <c r="D113" s="12"/>
      <c r="E113" s="12"/>
      <c r="F113" s="18"/>
      <c r="G113" s="11"/>
      <c r="H113" s="11"/>
      <c r="I113" s="19"/>
      <c r="J113" s="21"/>
      <c r="K113" s="16">
        <f t="shared" si="1"/>
        <v>0</v>
      </c>
    </row>
    <row r="114" spans="2:11" ht="15.75">
      <c r="B114" s="11"/>
      <c r="C114" s="27"/>
      <c r="D114" s="12"/>
      <c r="E114" s="12"/>
      <c r="F114" s="18"/>
      <c r="G114" s="11"/>
      <c r="H114" s="11"/>
      <c r="I114" s="19"/>
      <c r="J114" s="21"/>
      <c r="K114" s="16">
        <f t="shared" si="1"/>
        <v>0</v>
      </c>
    </row>
    <row r="115" spans="2:11" ht="15.75">
      <c r="B115" s="11"/>
      <c r="C115" s="27"/>
      <c r="D115" s="12"/>
      <c r="E115" s="12"/>
      <c r="F115" s="18"/>
      <c r="G115" s="11"/>
      <c r="H115" s="11"/>
      <c r="I115" s="19"/>
      <c r="J115" s="21"/>
      <c r="K115" s="16">
        <f t="shared" si="1"/>
        <v>0</v>
      </c>
    </row>
    <row r="116" spans="2:11" ht="15.75">
      <c r="B116" s="11"/>
      <c r="C116" s="27"/>
      <c r="D116" s="12"/>
      <c r="E116" s="12"/>
      <c r="F116" s="18"/>
      <c r="G116" s="11"/>
      <c r="H116" s="11"/>
      <c r="I116" s="19"/>
      <c r="J116" s="21"/>
      <c r="K116" s="16">
        <f t="shared" si="1"/>
        <v>0</v>
      </c>
    </row>
    <row r="117" spans="2:11" ht="15.75">
      <c r="B117" s="11"/>
      <c r="C117" s="27"/>
      <c r="D117" s="12"/>
      <c r="E117" s="12"/>
      <c r="F117" s="18"/>
      <c r="G117" s="11"/>
      <c r="H117" s="11"/>
      <c r="I117" s="19"/>
      <c r="J117" s="21"/>
      <c r="K117" s="16">
        <f t="shared" si="1"/>
        <v>0</v>
      </c>
    </row>
    <row r="118" spans="2:11" ht="15.75">
      <c r="B118" s="11"/>
      <c r="C118" s="27"/>
      <c r="D118" s="12"/>
      <c r="E118" s="12"/>
      <c r="F118" s="18"/>
      <c r="G118" s="11"/>
      <c r="H118" s="11"/>
      <c r="I118" s="19"/>
      <c r="J118" s="21"/>
      <c r="K118" s="16">
        <f t="shared" si="1"/>
        <v>0</v>
      </c>
    </row>
    <row r="119" spans="2:11" ht="15.75">
      <c r="B119" s="11"/>
      <c r="C119" s="27"/>
      <c r="D119" s="12"/>
      <c r="E119" s="12"/>
      <c r="F119" s="18"/>
      <c r="G119" s="11"/>
      <c r="H119" s="11"/>
      <c r="I119" s="19"/>
      <c r="J119" s="21"/>
      <c r="K119" s="16">
        <f t="shared" si="1"/>
        <v>0</v>
      </c>
    </row>
    <row r="120" spans="2:11" ht="15.75">
      <c r="B120" s="11"/>
      <c r="C120" s="27"/>
      <c r="D120" s="12"/>
      <c r="E120" s="12"/>
      <c r="F120" s="18"/>
      <c r="G120" s="11"/>
      <c r="H120" s="11"/>
      <c r="I120" s="19"/>
      <c r="J120" s="21"/>
      <c r="K120" s="16">
        <f t="shared" si="1"/>
        <v>0</v>
      </c>
    </row>
  </sheetData>
  <autoFilter ref="B11:K120" xr:uid="{00000000-0009-0000-0000-000000000000}"/>
  <mergeCells count="6">
    <mergeCell ref="B1:K1"/>
    <mergeCell ref="C7:E7"/>
    <mergeCell ref="C8:D8"/>
    <mergeCell ref="E8:F8"/>
    <mergeCell ref="C9:D9"/>
    <mergeCell ref="E9:F9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33EE-C98D-4F96-B582-2BBDF1AE5A7C}">
  <sheetPr>
    <pageSetUpPr fitToPage="1"/>
  </sheetPr>
  <dimension ref="B1:K22"/>
  <sheetViews>
    <sheetView topLeftCell="D1" zoomScale="73" zoomScaleNormal="100" workbookViewId="0">
      <pane ySplit="2" topLeftCell="A19" activePane="bottomLeft" state="frozen"/>
      <selection pane="bottomLeft" activeCell="J25" sqref="J25"/>
      <selection activeCell="D1" sqref="D1"/>
    </sheetView>
  </sheetViews>
  <sheetFormatPr defaultRowHeight="15"/>
  <cols>
    <col min="2" max="2" width="16.140625" bestFit="1" customWidth="1"/>
    <col min="3" max="3" width="11.28515625" style="26" bestFit="1" customWidth="1"/>
    <col min="4" max="4" width="16.42578125" style="6" bestFit="1" customWidth="1"/>
    <col min="5" max="5" width="15.28515625" style="6" bestFit="1" customWidth="1"/>
    <col min="6" max="6" width="13.7109375" bestFit="1" customWidth="1"/>
    <col min="7" max="7" width="19.42578125" bestFit="1" customWidth="1"/>
    <col min="8" max="8" width="23.42578125" bestFit="1" customWidth="1"/>
    <col min="9" max="9" width="27.85546875" customWidth="1"/>
    <col min="10" max="10" width="20.85546875" style="26" bestFit="1" customWidth="1"/>
    <col min="11" max="11" width="17.28515625" bestFit="1" customWidth="1"/>
  </cols>
  <sheetData>
    <row r="1" spans="2:11" ht="18.75">
      <c r="B1" s="41" t="s">
        <v>68</v>
      </c>
      <c r="C1" s="41"/>
      <c r="D1" s="41"/>
      <c r="E1" s="41"/>
      <c r="F1" s="41"/>
      <c r="G1" s="41"/>
      <c r="H1" s="41"/>
      <c r="I1" s="41"/>
      <c r="J1" s="41"/>
      <c r="K1" s="41"/>
    </row>
    <row r="2" spans="2:11" ht="18">
      <c r="B2" s="1"/>
      <c r="C2" s="23"/>
      <c r="D2" s="4"/>
      <c r="E2" s="4"/>
      <c r="F2" s="1"/>
      <c r="G2" s="1"/>
      <c r="H2" s="1"/>
      <c r="I2" s="1"/>
      <c r="J2" s="22" t="s">
        <v>69</v>
      </c>
      <c r="K2" s="7">
        <f>SUM(K12:K22)</f>
        <v>99.116666666666646</v>
      </c>
    </row>
    <row r="3" spans="2:11">
      <c r="B3" s="1"/>
      <c r="C3" s="23"/>
      <c r="D3" s="4"/>
      <c r="E3" s="4"/>
      <c r="F3" s="1"/>
      <c r="G3" s="1"/>
      <c r="H3" s="1"/>
      <c r="I3" s="1"/>
      <c r="J3" s="23"/>
      <c r="K3" s="1"/>
    </row>
    <row r="4" spans="2:11">
      <c r="B4" s="1"/>
      <c r="C4" s="23"/>
      <c r="D4" s="4"/>
      <c r="E4" s="4"/>
      <c r="F4" s="1"/>
      <c r="G4" s="1"/>
      <c r="H4" s="1"/>
      <c r="I4" s="1"/>
      <c r="J4" s="23"/>
      <c r="K4" s="1"/>
    </row>
    <row r="5" spans="2:11">
      <c r="B5" s="1"/>
      <c r="C5" s="23"/>
      <c r="D5" s="4"/>
      <c r="E5" s="4"/>
      <c r="F5" s="1"/>
      <c r="G5" s="1"/>
      <c r="H5" s="1"/>
      <c r="I5" s="1"/>
      <c r="J5" s="23"/>
      <c r="K5" s="1"/>
    </row>
    <row r="6" spans="2:11">
      <c r="B6" s="1"/>
      <c r="C6" s="24"/>
      <c r="D6" s="5"/>
      <c r="E6" s="5"/>
      <c r="F6" s="1"/>
      <c r="G6" s="1"/>
      <c r="H6" s="1"/>
      <c r="I6" s="1"/>
      <c r="J6" s="24"/>
      <c r="K6" s="1"/>
    </row>
    <row r="7" spans="2:11">
      <c r="B7" s="2" t="s">
        <v>70</v>
      </c>
      <c r="C7" s="42" t="s">
        <v>71</v>
      </c>
      <c r="D7" s="43"/>
      <c r="E7" s="44"/>
      <c r="F7" s="1"/>
      <c r="G7" s="1"/>
      <c r="H7" s="1"/>
      <c r="I7" s="2" t="s">
        <v>72</v>
      </c>
      <c r="J7" s="28"/>
      <c r="K7" s="1"/>
    </row>
    <row r="8" spans="2:11">
      <c r="B8" s="1"/>
      <c r="C8" s="45" t="s">
        <v>73</v>
      </c>
      <c r="D8" s="45"/>
      <c r="E8" s="46" t="s">
        <v>74</v>
      </c>
      <c r="F8" s="46"/>
      <c r="G8" s="1"/>
      <c r="H8" s="1"/>
      <c r="I8" s="1"/>
      <c r="J8" s="24"/>
      <c r="K8" s="1"/>
    </row>
    <row r="9" spans="2:11" ht="16.5" customHeight="1">
      <c r="B9" s="3" t="s">
        <v>75</v>
      </c>
      <c r="C9" s="47">
        <v>46153</v>
      </c>
      <c r="D9" s="48"/>
      <c r="E9" s="47">
        <v>46167</v>
      </c>
      <c r="F9" s="48"/>
      <c r="G9" s="1"/>
      <c r="H9" s="1"/>
      <c r="I9" s="2" t="s">
        <v>76</v>
      </c>
      <c r="J9" s="25">
        <v>0.6875</v>
      </c>
      <c r="K9" s="1"/>
    </row>
    <row r="11" spans="2:11">
      <c r="B11" s="8" t="s">
        <v>77</v>
      </c>
      <c r="C11" s="9" t="s">
        <v>78</v>
      </c>
      <c r="D11" s="10" t="s">
        <v>79</v>
      </c>
      <c r="E11" s="10" t="s">
        <v>80</v>
      </c>
      <c r="F11" s="9" t="s">
        <v>81</v>
      </c>
      <c r="G11" s="9" t="s">
        <v>82</v>
      </c>
      <c r="H11" s="9" t="s">
        <v>83</v>
      </c>
      <c r="I11" s="9" t="s">
        <v>84</v>
      </c>
      <c r="J11" s="9" t="s">
        <v>85</v>
      </c>
      <c r="K11" s="9" t="s">
        <v>69</v>
      </c>
    </row>
    <row r="12" spans="2:11" ht="15.75">
      <c r="B12" s="11"/>
      <c r="C12" s="27">
        <v>46153</v>
      </c>
      <c r="D12" s="20">
        <v>0.41666666666666669</v>
      </c>
      <c r="E12" s="20">
        <v>0.77083333333333337</v>
      </c>
      <c r="F12" s="18"/>
      <c r="G12" s="11"/>
      <c r="H12" s="11"/>
      <c r="I12" s="38" t="s">
        <v>48</v>
      </c>
      <c r="J12" s="37" t="s">
        <v>106</v>
      </c>
      <c r="K12" s="16">
        <f>(E12-D12)*24</f>
        <v>8.5</v>
      </c>
    </row>
    <row r="13" spans="2:11" ht="15.75">
      <c r="B13" s="11"/>
      <c r="C13" s="27">
        <v>46154</v>
      </c>
      <c r="D13" s="20">
        <v>0.39583333333333331</v>
      </c>
      <c r="E13" s="20">
        <v>0.88194444444444442</v>
      </c>
      <c r="F13" s="18"/>
      <c r="G13" s="11"/>
      <c r="H13" s="11"/>
      <c r="I13" s="38" t="s">
        <v>48</v>
      </c>
      <c r="J13" s="37" t="s">
        <v>106</v>
      </c>
      <c r="K13" s="16">
        <f>(E13-D13)*24</f>
        <v>11.666666666666666</v>
      </c>
    </row>
    <row r="14" spans="2:11" ht="15.75">
      <c r="B14" s="11"/>
      <c r="C14" s="27">
        <v>46155</v>
      </c>
      <c r="D14" s="20">
        <v>0.46736111111111112</v>
      </c>
      <c r="E14" s="20">
        <v>0.85416666666666663</v>
      </c>
      <c r="F14" s="18"/>
      <c r="G14" s="11"/>
      <c r="H14" s="11"/>
      <c r="I14" s="38" t="s">
        <v>48</v>
      </c>
      <c r="J14" s="37" t="s">
        <v>106</v>
      </c>
      <c r="K14" s="16">
        <f>(E14-D14)*24</f>
        <v>9.2833333333333314</v>
      </c>
    </row>
    <row r="15" spans="2:11" ht="15.75">
      <c r="B15" s="11"/>
      <c r="C15" s="27">
        <v>46156</v>
      </c>
      <c r="D15" s="20">
        <v>0.47569444444444442</v>
      </c>
      <c r="E15" s="20">
        <v>0.80486111111111114</v>
      </c>
      <c r="F15" s="18"/>
      <c r="G15" s="11"/>
      <c r="H15" s="11"/>
      <c r="I15" s="38" t="s">
        <v>48</v>
      </c>
      <c r="J15" s="37" t="s">
        <v>106</v>
      </c>
      <c r="K15" s="16">
        <f>(E15-D15)*24</f>
        <v>7.9000000000000012</v>
      </c>
    </row>
    <row r="16" spans="2:11" ht="15.75">
      <c r="B16" s="11"/>
      <c r="C16" s="27">
        <v>46157</v>
      </c>
      <c r="D16" s="20">
        <v>0.38333333333333336</v>
      </c>
      <c r="E16" s="20">
        <v>0.76041666666666663</v>
      </c>
      <c r="F16" s="18"/>
      <c r="G16" s="11"/>
      <c r="H16" s="11"/>
      <c r="I16" s="38" t="s">
        <v>48</v>
      </c>
      <c r="J16" s="37" t="s">
        <v>106</v>
      </c>
      <c r="K16" s="16">
        <f>(E16-D16)*24</f>
        <v>9.0499999999999989</v>
      </c>
    </row>
    <row r="17" spans="2:11" ht="15.75">
      <c r="B17" s="11"/>
      <c r="C17" s="27">
        <v>46160</v>
      </c>
      <c r="D17" s="20">
        <v>0.36666666666666664</v>
      </c>
      <c r="E17" s="20">
        <v>0.79166666666666663</v>
      </c>
      <c r="F17" s="18"/>
      <c r="G17" s="11"/>
      <c r="H17" s="11"/>
      <c r="I17" s="38" t="s">
        <v>48</v>
      </c>
      <c r="J17" s="37" t="s">
        <v>106</v>
      </c>
      <c r="K17" s="16">
        <f>(E17-D17)*24</f>
        <v>10.199999999999999</v>
      </c>
    </row>
    <row r="18" spans="2:11" ht="15.75">
      <c r="B18" s="11"/>
      <c r="C18" s="27">
        <v>46161</v>
      </c>
      <c r="D18" s="20">
        <v>0.44791666666666669</v>
      </c>
      <c r="E18" s="20">
        <v>0.80555555555555558</v>
      </c>
      <c r="F18" s="18"/>
      <c r="G18" s="11"/>
      <c r="H18" s="11"/>
      <c r="I18" s="38" t="s">
        <v>48</v>
      </c>
      <c r="J18" s="37" t="s">
        <v>110</v>
      </c>
      <c r="K18" s="16">
        <f>(E18-D18)*24</f>
        <v>8.5833333333333339</v>
      </c>
    </row>
    <row r="19" spans="2:11" ht="15.75">
      <c r="B19" s="11"/>
      <c r="C19" s="27">
        <v>46162</v>
      </c>
      <c r="D19" s="20">
        <v>0.39583333333333331</v>
      </c>
      <c r="E19" s="20">
        <v>0.77083333333333337</v>
      </c>
      <c r="F19" s="18"/>
      <c r="G19" s="11"/>
      <c r="H19" s="11"/>
      <c r="I19" s="38" t="s">
        <v>48</v>
      </c>
      <c r="J19" s="37" t="s">
        <v>110</v>
      </c>
      <c r="K19" s="16">
        <f>(E19-D19)*24</f>
        <v>9.0000000000000018</v>
      </c>
    </row>
    <row r="20" spans="2:11" ht="15.75">
      <c r="B20" s="11"/>
      <c r="C20" s="27">
        <v>46163</v>
      </c>
      <c r="D20" s="20">
        <v>0.41597222222222224</v>
      </c>
      <c r="E20" s="20">
        <v>0.80555555555555558</v>
      </c>
      <c r="F20" s="18"/>
      <c r="G20" s="11"/>
      <c r="H20" s="11"/>
      <c r="I20" s="38" t="s">
        <v>48</v>
      </c>
      <c r="J20" s="37" t="s">
        <v>110</v>
      </c>
      <c r="K20" s="16">
        <f>(E20-D20)*24</f>
        <v>9.35</v>
      </c>
    </row>
    <row r="21" spans="2:11" ht="15.75">
      <c r="B21" s="11"/>
      <c r="C21" s="27">
        <v>46164</v>
      </c>
      <c r="D21" s="20">
        <v>0.43402777777777779</v>
      </c>
      <c r="E21" s="20">
        <v>0.6875</v>
      </c>
      <c r="F21" s="18"/>
      <c r="G21" s="11"/>
      <c r="H21" s="11"/>
      <c r="I21" s="38" t="s">
        <v>48</v>
      </c>
      <c r="J21" s="37" t="s">
        <v>110</v>
      </c>
      <c r="K21" s="16">
        <f>(E21-D21)*24</f>
        <v>6.083333333333333</v>
      </c>
    </row>
    <row r="22" spans="2:11" ht="15.75">
      <c r="B22" s="11"/>
      <c r="C22" s="27">
        <v>46167</v>
      </c>
      <c r="D22" s="20">
        <v>0.41666666666666669</v>
      </c>
      <c r="E22" s="20">
        <v>0.8125</v>
      </c>
      <c r="F22" s="18"/>
      <c r="G22" s="11"/>
      <c r="H22" s="11"/>
      <c r="I22" s="38" t="s">
        <v>48</v>
      </c>
      <c r="J22" s="37" t="s">
        <v>110</v>
      </c>
      <c r="K22" s="16">
        <f>(E22-D22)*24</f>
        <v>9.5</v>
      </c>
    </row>
  </sheetData>
  <autoFilter ref="B11:K21" xr:uid="{00000000-0009-0000-0000-000000000000}"/>
  <mergeCells count="6">
    <mergeCell ref="B1:K1"/>
    <mergeCell ref="C7:E7"/>
    <mergeCell ref="C8:D8"/>
    <mergeCell ref="E8:F8"/>
    <mergeCell ref="C9:D9"/>
    <mergeCell ref="E9:F9"/>
  </mergeCells>
  <pageMargins left="0.7" right="0.7" top="0.75" bottom="0.75" header="0.3" footer="0.3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38FA-DC11-477E-A00C-CEE104D3CD12}">
  <sheetPr>
    <pageSetUpPr fitToPage="1"/>
  </sheetPr>
  <dimension ref="B1:K24"/>
  <sheetViews>
    <sheetView topLeftCell="D1" zoomScale="73" zoomScaleNormal="100" workbookViewId="0">
      <pane ySplit="2" topLeftCell="A17" activePane="bottomLeft" state="frozen"/>
      <selection pane="bottomLeft" activeCell="G6" sqref="G6"/>
      <selection activeCell="D1" sqref="D1"/>
    </sheetView>
  </sheetViews>
  <sheetFormatPr defaultRowHeight="15"/>
  <cols>
    <col min="2" max="2" width="16.140625" bestFit="1" customWidth="1"/>
    <col min="3" max="3" width="11.28515625" style="26" bestFit="1" customWidth="1"/>
    <col min="4" max="4" width="16.42578125" style="6" bestFit="1" customWidth="1"/>
    <col min="5" max="5" width="15.28515625" style="6" bestFit="1" customWidth="1"/>
    <col min="6" max="6" width="13.7109375" bestFit="1" customWidth="1"/>
    <col min="7" max="7" width="19.42578125" bestFit="1" customWidth="1"/>
    <col min="8" max="8" width="23.42578125" bestFit="1" customWidth="1"/>
    <col min="9" max="9" width="27.85546875" customWidth="1"/>
    <col min="10" max="10" width="20.85546875" style="26" bestFit="1" customWidth="1"/>
    <col min="11" max="11" width="17.28515625" bestFit="1" customWidth="1"/>
  </cols>
  <sheetData>
    <row r="1" spans="2:11" ht="18.75">
      <c r="B1" s="41" t="s">
        <v>68</v>
      </c>
      <c r="C1" s="41"/>
      <c r="D1" s="41"/>
      <c r="E1" s="41"/>
      <c r="F1" s="41"/>
      <c r="G1" s="41"/>
      <c r="H1" s="41"/>
      <c r="I1" s="41"/>
      <c r="J1" s="41"/>
      <c r="K1" s="41"/>
    </row>
    <row r="2" spans="2:11" ht="18">
      <c r="B2" s="1"/>
      <c r="C2" s="23"/>
      <c r="D2" s="4"/>
      <c r="E2" s="4"/>
      <c r="F2" s="1"/>
      <c r="G2" s="1"/>
      <c r="H2" s="1"/>
      <c r="I2" s="1"/>
      <c r="J2" s="22" t="s">
        <v>69</v>
      </c>
      <c r="K2" s="7">
        <f>SUM(K12:K24)</f>
        <v>125.16666666666667</v>
      </c>
    </row>
    <row r="3" spans="2:11">
      <c r="B3" s="1"/>
      <c r="C3" s="23"/>
      <c r="D3" s="4"/>
      <c r="E3" s="4"/>
      <c r="F3" s="1"/>
      <c r="G3" s="1"/>
      <c r="H3" s="1"/>
      <c r="I3" s="1"/>
      <c r="J3" s="23"/>
      <c r="K3" s="1"/>
    </row>
    <row r="4" spans="2:11">
      <c r="B4" s="1"/>
      <c r="C4" s="23"/>
      <c r="D4" s="4"/>
      <c r="E4" s="4"/>
      <c r="F4" s="1"/>
      <c r="G4" s="1"/>
      <c r="H4" s="1"/>
      <c r="I4" s="1"/>
      <c r="J4" s="23"/>
      <c r="K4" s="1"/>
    </row>
    <row r="5" spans="2:11">
      <c r="B5" s="1"/>
      <c r="C5" s="23"/>
      <c r="D5" s="4"/>
      <c r="E5" s="4"/>
      <c r="F5" s="1"/>
      <c r="G5" s="1"/>
      <c r="H5" s="1"/>
      <c r="I5" s="1"/>
      <c r="J5" s="23"/>
      <c r="K5" s="1"/>
    </row>
    <row r="6" spans="2:11">
      <c r="B6" s="1"/>
      <c r="C6" s="24"/>
      <c r="D6" s="5"/>
      <c r="E6" s="5"/>
      <c r="F6" s="1"/>
      <c r="G6" s="1"/>
      <c r="H6" s="1"/>
      <c r="I6" s="1"/>
      <c r="J6" s="24"/>
      <c r="K6" s="1"/>
    </row>
    <row r="7" spans="2:11">
      <c r="B7" s="2" t="s">
        <v>70</v>
      </c>
      <c r="C7" s="42" t="s">
        <v>71</v>
      </c>
      <c r="D7" s="43"/>
      <c r="E7" s="44"/>
      <c r="F7" s="1"/>
      <c r="G7" s="1"/>
      <c r="H7" s="1"/>
      <c r="I7" s="2" t="s">
        <v>72</v>
      </c>
      <c r="J7" s="28"/>
      <c r="K7" s="1"/>
    </row>
    <row r="8" spans="2:11">
      <c r="B8" s="1"/>
      <c r="C8" s="45" t="s">
        <v>73</v>
      </c>
      <c r="D8" s="45"/>
      <c r="E8" s="46" t="s">
        <v>74</v>
      </c>
      <c r="F8" s="46"/>
      <c r="G8" s="1"/>
      <c r="H8" s="1"/>
      <c r="I8" s="1"/>
      <c r="J8" s="24"/>
      <c r="K8" s="1"/>
    </row>
    <row r="9" spans="2:11" ht="16.5" customHeight="1">
      <c r="B9" s="3" t="s">
        <v>75</v>
      </c>
      <c r="C9" s="47">
        <v>46168</v>
      </c>
      <c r="D9" s="48"/>
      <c r="E9" s="47">
        <v>46188</v>
      </c>
      <c r="F9" s="48"/>
      <c r="G9" s="1"/>
      <c r="H9" s="1"/>
      <c r="I9" s="2" t="s">
        <v>76</v>
      </c>
      <c r="J9" s="25">
        <v>0.6875</v>
      </c>
      <c r="K9" s="1"/>
    </row>
    <row r="11" spans="2:11">
      <c r="B11" s="8" t="s">
        <v>77</v>
      </c>
      <c r="C11" s="9" t="s">
        <v>78</v>
      </c>
      <c r="D11" s="10" t="s">
        <v>79</v>
      </c>
      <c r="E11" s="10" t="s">
        <v>80</v>
      </c>
      <c r="F11" s="9" t="s">
        <v>81</v>
      </c>
      <c r="G11" s="9" t="s">
        <v>82</v>
      </c>
      <c r="H11" s="9" t="s">
        <v>83</v>
      </c>
      <c r="I11" s="9" t="s">
        <v>84</v>
      </c>
      <c r="J11" s="9" t="s">
        <v>85</v>
      </c>
      <c r="K11" s="9" t="s">
        <v>69</v>
      </c>
    </row>
    <row r="12" spans="2:11" ht="15.75">
      <c r="B12" s="11"/>
      <c r="C12" s="27">
        <v>46168</v>
      </c>
      <c r="D12" s="20">
        <v>0.375</v>
      </c>
      <c r="E12" s="20">
        <v>0.77083333333333337</v>
      </c>
      <c r="F12" s="18"/>
      <c r="G12" s="11"/>
      <c r="H12" s="11"/>
      <c r="I12" s="38" t="s">
        <v>48</v>
      </c>
      <c r="J12" s="37" t="s">
        <v>106</v>
      </c>
      <c r="K12" s="16">
        <f>(E12-D12)*24</f>
        <v>9.5</v>
      </c>
    </row>
    <row r="13" spans="2:11" ht="15.75">
      <c r="B13" s="11"/>
      <c r="C13" s="27">
        <v>46170</v>
      </c>
      <c r="D13" s="20">
        <v>0.41666666666666669</v>
      </c>
      <c r="E13" s="20">
        <v>0.875</v>
      </c>
      <c r="F13" s="18"/>
      <c r="G13" s="11"/>
      <c r="H13" s="11"/>
      <c r="I13" s="38" t="s">
        <v>48</v>
      </c>
      <c r="J13" s="37" t="s">
        <v>111</v>
      </c>
      <c r="K13" s="16">
        <f>(E13-D13)*24</f>
        <v>11</v>
      </c>
    </row>
    <row r="14" spans="2:11" ht="15.75">
      <c r="B14" s="11"/>
      <c r="C14" s="27">
        <v>46171</v>
      </c>
      <c r="D14" s="20">
        <v>0.3611111111111111</v>
      </c>
      <c r="E14" s="20">
        <v>0.73958333333333337</v>
      </c>
      <c r="F14" s="18"/>
      <c r="G14" s="11"/>
      <c r="H14" s="11"/>
      <c r="I14" s="38" t="s">
        <v>48</v>
      </c>
      <c r="J14" s="37" t="s">
        <v>112</v>
      </c>
      <c r="K14" s="16">
        <f>(E14-D14)*24</f>
        <v>9.0833333333333339</v>
      </c>
    </row>
    <row r="15" spans="2:11" ht="15.75">
      <c r="B15" s="11"/>
      <c r="C15" s="27">
        <v>46174</v>
      </c>
      <c r="D15" s="20">
        <v>0.375</v>
      </c>
      <c r="E15" s="20">
        <v>0.75347222222222221</v>
      </c>
      <c r="F15" s="18"/>
      <c r="G15" s="11"/>
      <c r="H15" s="11"/>
      <c r="I15" s="38" t="s">
        <v>48</v>
      </c>
      <c r="J15" s="37" t="s">
        <v>112</v>
      </c>
      <c r="K15" s="16">
        <f>(E15-D15)*24</f>
        <v>9.0833333333333321</v>
      </c>
    </row>
    <row r="16" spans="2:11" ht="15.75">
      <c r="B16" s="11"/>
      <c r="C16" s="27">
        <v>46175</v>
      </c>
      <c r="D16" s="20">
        <v>0.375</v>
      </c>
      <c r="E16" s="20">
        <v>0.75</v>
      </c>
      <c r="F16" s="18"/>
      <c r="G16" s="11"/>
      <c r="H16" s="11"/>
      <c r="I16" s="38" t="s">
        <v>48</v>
      </c>
      <c r="J16" s="37" t="s">
        <v>112</v>
      </c>
      <c r="K16" s="16">
        <f>(E16-D16)*24</f>
        <v>9</v>
      </c>
    </row>
    <row r="17" spans="2:11" ht="15.75">
      <c r="B17" s="11"/>
      <c r="C17" s="27">
        <v>46176</v>
      </c>
      <c r="D17" s="20">
        <v>0.33194444444444443</v>
      </c>
      <c r="E17" s="20">
        <v>0.70833333333333337</v>
      </c>
      <c r="F17" s="18"/>
      <c r="G17" s="11"/>
      <c r="H17" s="11"/>
      <c r="I17" s="38" t="s">
        <v>48</v>
      </c>
      <c r="J17" s="37" t="s">
        <v>112</v>
      </c>
      <c r="K17" s="16">
        <f>(E17-D17)*24</f>
        <v>9.033333333333335</v>
      </c>
    </row>
    <row r="18" spans="2:11" ht="15.75">
      <c r="B18" s="11"/>
      <c r="C18" s="27">
        <v>46177</v>
      </c>
      <c r="D18" s="20">
        <v>0.38194444444444442</v>
      </c>
      <c r="E18" s="20">
        <v>0.75694444444444442</v>
      </c>
      <c r="F18" s="18"/>
      <c r="G18" s="11"/>
      <c r="H18" s="11"/>
      <c r="I18" s="38" t="s">
        <v>48</v>
      </c>
      <c r="J18" s="37" t="s">
        <v>112</v>
      </c>
      <c r="K18" s="16">
        <f>(E18-D18)*24</f>
        <v>9</v>
      </c>
    </row>
    <row r="19" spans="2:11" ht="15.75">
      <c r="B19" s="11"/>
      <c r="C19" s="27">
        <v>46178</v>
      </c>
      <c r="D19" s="20">
        <v>0.33333333333333331</v>
      </c>
      <c r="E19" s="20">
        <v>0.75347222222222221</v>
      </c>
      <c r="F19" s="18"/>
      <c r="G19" s="11"/>
      <c r="H19" s="11"/>
      <c r="I19" s="38" t="s">
        <v>48</v>
      </c>
      <c r="J19" s="37" t="s">
        <v>112</v>
      </c>
      <c r="K19" s="16">
        <f>(E19-D19)*24</f>
        <v>10.083333333333334</v>
      </c>
    </row>
    <row r="20" spans="2:11" ht="15.75">
      <c r="B20" s="11"/>
      <c r="C20" s="27">
        <v>46181</v>
      </c>
      <c r="D20" s="20">
        <v>0.33333333333333331</v>
      </c>
      <c r="E20" s="20">
        <v>0.70972222222222225</v>
      </c>
      <c r="F20" s="18"/>
      <c r="G20" s="11"/>
      <c r="H20" s="11"/>
      <c r="I20" s="38" t="s">
        <v>48</v>
      </c>
      <c r="J20" s="37" t="s">
        <v>112</v>
      </c>
      <c r="K20" s="16">
        <f>(E20-D20)*24</f>
        <v>9.033333333333335</v>
      </c>
    </row>
    <row r="21" spans="2:11" ht="15.75">
      <c r="B21" s="11"/>
      <c r="C21" s="27">
        <v>46182</v>
      </c>
      <c r="D21" s="20">
        <v>0.33333333333333331</v>
      </c>
      <c r="E21" s="20">
        <v>0.70833333333333337</v>
      </c>
      <c r="F21" s="18"/>
      <c r="G21" s="11"/>
      <c r="H21" s="11"/>
      <c r="I21" s="38" t="s">
        <v>48</v>
      </c>
      <c r="J21" s="37" t="s">
        <v>112</v>
      </c>
      <c r="K21" s="16">
        <f>(E21-D21)*24</f>
        <v>9.0000000000000018</v>
      </c>
    </row>
    <row r="22" spans="2:11" ht="15.75">
      <c r="B22" s="11"/>
      <c r="C22" s="27">
        <v>46183</v>
      </c>
      <c r="D22" s="20">
        <v>0.36458333333333331</v>
      </c>
      <c r="E22" s="20">
        <v>0.7680555555555556</v>
      </c>
      <c r="F22" s="18"/>
      <c r="G22" s="11"/>
      <c r="H22" s="11"/>
      <c r="I22" s="38" t="s">
        <v>48</v>
      </c>
      <c r="J22" s="37" t="s">
        <v>112</v>
      </c>
      <c r="K22" s="16">
        <f>(E22-D22)*24</f>
        <v>9.6833333333333353</v>
      </c>
    </row>
    <row r="23" spans="2:11" ht="15.75">
      <c r="B23" s="11"/>
      <c r="C23" s="27">
        <v>46184</v>
      </c>
      <c r="D23" s="20">
        <v>0.35416666666666669</v>
      </c>
      <c r="E23" s="20">
        <v>0.875</v>
      </c>
      <c r="F23" s="18"/>
      <c r="G23" s="11"/>
      <c r="H23" s="11"/>
      <c r="I23" s="38" t="s">
        <v>48</v>
      </c>
      <c r="J23" s="37" t="s">
        <v>112</v>
      </c>
      <c r="K23" s="16">
        <f>(E23-D23)*24</f>
        <v>12.499999999999998</v>
      </c>
    </row>
    <row r="24" spans="2:11" ht="15.75">
      <c r="B24" s="11"/>
      <c r="C24" s="27">
        <v>46188</v>
      </c>
      <c r="D24" s="20">
        <v>0.36805555555555558</v>
      </c>
      <c r="E24" s="20">
        <v>0.75</v>
      </c>
      <c r="F24" s="18"/>
      <c r="G24" s="11"/>
      <c r="H24" s="11"/>
      <c r="I24" s="38" t="s">
        <v>48</v>
      </c>
      <c r="J24" s="37" t="s">
        <v>112</v>
      </c>
      <c r="K24" s="16">
        <f>(E24-D24)*24</f>
        <v>9.1666666666666661</v>
      </c>
    </row>
  </sheetData>
  <autoFilter ref="B11:K21" xr:uid="{00000000-0009-0000-0000-000000000000}"/>
  <mergeCells count="6">
    <mergeCell ref="B1:K1"/>
    <mergeCell ref="C7:E7"/>
    <mergeCell ref="C8:D8"/>
    <mergeCell ref="E8:F8"/>
    <mergeCell ref="C9:D9"/>
    <mergeCell ref="E9:F9"/>
  </mergeCells>
  <pageMargins left="0.7" right="0.7" top="0.75" bottom="0.75" header="0.3" footer="0.3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4FE93-87BE-4C6F-92A2-4DF51A1AD509}">
  <sheetPr>
    <pageSetUpPr fitToPage="1"/>
  </sheetPr>
  <dimension ref="B1:K24"/>
  <sheetViews>
    <sheetView topLeftCell="D1" zoomScale="73" zoomScaleNormal="100" workbookViewId="0">
      <pane ySplit="2" topLeftCell="A17" activePane="bottomLeft" state="frozen"/>
      <selection pane="bottomLeft" activeCell="J22" sqref="J22"/>
      <selection activeCell="D1" sqref="D1"/>
    </sheetView>
  </sheetViews>
  <sheetFormatPr defaultRowHeight="15"/>
  <cols>
    <col min="2" max="2" width="16.140625" bestFit="1" customWidth="1"/>
    <col min="3" max="3" width="11.28515625" style="26" bestFit="1" customWidth="1"/>
    <col min="4" max="4" width="16.42578125" style="6" bestFit="1" customWidth="1"/>
    <col min="5" max="5" width="15.28515625" style="6" bestFit="1" customWidth="1"/>
    <col min="6" max="6" width="13.7109375" bestFit="1" customWidth="1"/>
    <col min="7" max="7" width="19.42578125" bestFit="1" customWidth="1"/>
    <col min="8" max="8" width="23.42578125" bestFit="1" customWidth="1"/>
    <col min="9" max="9" width="27.85546875" customWidth="1"/>
    <col min="10" max="10" width="20.85546875" style="26" bestFit="1" customWidth="1"/>
    <col min="11" max="11" width="17.28515625" bestFit="1" customWidth="1"/>
  </cols>
  <sheetData>
    <row r="1" spans="2:11" ht="18.75">
      <c r="B1" s="41" t="s">
        <v>68</v>
      </c>
      <c r="C1" s="41"/>
      <c r="D1" s="41"/>
      <c r="E1" s="41"/>
      <c r="F1" s="41"/>
      <c r="G1" s="41"/>
      <c r="H1" s="41"/>
      <c r="I1" s="41"/>
      <c r="J1" s="41"/>
      <c r="K1" s="41"/>
    </row>
    <row r="2" spans="2:11" ht="18">
      <c r="B2" s="1"/>
      <c r="C2" s="23"/>
      <c r="D2" s="4"/>
      <c r="E2" s="4"/>
      <c r="F2" s="1"/>
      <c r="G2" s="1"/>
      <c r="H2" s="1"/>
      <c r="I2" s="1"/>
      <c r="J2" s="22" t="s">
        <v>69</v>
      </c>
      <c r="K2" s="7">
        <f>SUM(K12:K24)</f>
        <v>105.8</v>
      </c>
    </row>
    <row r="3" spans="2:11">
      <c r="B3" s="1"/>
      <c r="C3" s="23"/>
      <c r="D3" s="4"/>
      <c r="E3" s="4"/>
      <c r="F3" s="1"/>
      <c r="G3" s="1"/>
      <c r="H3" s="1"/>
      <c r="I3" s="1"/>
      <c r="J3" s="23"/>
      <c r="K3" s="1"/>
    </row>
    <row r="4" spans="2:11">
      <c r="B4" s="1"/>
      <c r="C4" s="23"/>
      <c r="D4" s="4"/>
      <c r="E4" s="4"/>
      <c r="F4" s="1"/>
      <c r="G4" s="1"/>
      <c r="H4" s="1"/>
      <c r="I4" s="1"/>
      <c r="J4" s="23"/>
      <c r="K4" s="1"/>
    </row>
    <row r="5" spans="2:11">
      <c r="B5" s="1"/>
      <c r="C5" s="23"/>
      <c r="D5" s="4"/>
      <c r="E5" s="4"/>
      <c r="F5" s="1"/>
      <c r="G5" s="1"/>
      <c r="H5" s="1"/>
      <c r="I5" s="1"/>
      <c r="J5" s="23"/>
      <c r="K5" s="1"/>
    </row>
    <row r="6" spans="2:11">
      <c r="B6" s="1"/>
      <c r="C6" s="24"/>
      <c r="D6" s="5"/>
      <c r="E6" s="5"/>
      <c r="F6" s="1"/>
      <c r="G6" s="1"/>
      <c r="H6" s="1"/>
      <c r="I6" s="1"/>
      <c r="J6" s="24"/>
      <c r="K6" s="1"/>
    </row>
    <row r="7" spans="2:11">
      <c r="B7" s="2" t="s">
        <v>70</v>
      </c>
      <c r="C7" s="42" t="s">
        <v>71</v>
      </c>
      <c r="D7" s="43"/>
      <c r="E7" s="44"/>
      <c r="F7" s="1"/>
      <c r="G7" s="1"/>
      <c r="H7" s="1"/>
      <c r="I7" s="2" t="s">
        <v>72</v>
      </c>
      <c r="J7" s="28"/>
      <c r="K7" s="1"/>
    </row>
    <row r="8" spans="2:11">
      <c r="B8" s="1"/>
      <c r="C8" s="45" t="s">
        <v>73</v>
      </c>
      <c r="D8" s="45"/>
      <c r="E8" s="46" t="s">
        <v>74</v>
      </c>
      <c r="F8" s="46"/>
      <c r="G8" s="1"/>
      <c r="H8" s="1"/>
      <c r="I8" s="1"/>
      <c r="J8" s="24"/>
      <c r="K8" s="1"/>
    </row>
    <row r="9" spans="2:11" ht="16.5" customHeight="1">
      <c r="B9" s="3" t="s">
        <v>75</v>
      </c>
      <c r="C9" s="47">
        <v>46204</v>
      </c>
      <c r="D9" s="48"/>
      <c r="E9" s="47">
        <v>46218</v>
      </c>
      <c r="F9" s="48"/>
      <c r="G9" s="1"/>
      <c r="H9" s="1"/>
      <c r="I9" s="2" t="s">
        <v>76</v>
      </c>
      <c r="J9" s="25">
        <v>0.6875</v>
      </c>
      <c r="K9" s="1"/>
    </row>
    <row r="11" spans="2:11">
      <c r="B11" s="8" t="s">
        <v>77</v>
      </c>
      <c r="C11" s="9" t="s">
        <v>78</v>
      </c>
      <c r="D11" s="10" t="s">
        <v>79</v>
      </c>
      <c r="E11" s="10" t="s">
        <v>80</v>
      </c>
      <c r="F11" s="9" t="s">
        <v>81</v>
      </c>
      <c r="G11" s="9" t="s">
        <v>82</v>
      </c>
      <c r="H11" s="9" t="s">
        <v>83</v>
      </c>
      <c r="I11" s="9" t="s">
        <v>84</v>
      </c>
      <c r="J11" s="9" t="s">
        <v>85</v>
      </c>
      <c r="K11" s="9" t="s">
        <v>69</v>
      </c>
    </row>
    <row r="12" spans="2:11" ht="15.75">
      <c r="B12" s="11"/>
      <c r="C12" s="27">
        <v>46204</v>
      </c>
      <c r="D12" s="20">
        <v>0.3576388888888889</v>
      </c>
      <c r="E12" s="20">
        <v>0.78125</v>
      </c>
      <c r="F12" s="18"/>
      <c r="G12" s="11"/>
      <c r="H12" s="11"/>
      <c r="I12" s="38" t="s">
        <v>48</v>
      </c>
      <c r="J12" s="37" t="s">
        <v>113</v>
      </c>
      <c r="K12" s="16">
        <f>(E12-D12)*24</f>
        <v>10.166666666666666</v>
      </c>
    </row>
    <row r="13" spans="2:11" ht="15.75">
      <c r="B13" s="11"/>
      <c r="C13" s="27">
        <v>46205</v>
      </c>
      <c r="D13" s="20">
        <v>0.33333333333333331</v>
      </c>
      <c r="E13" s="20">
        <v>0.77083333333333337</v>
      </c>
      <c r="F13" s="18"/>
      <c r="G13" s="11"/>
      <c r="H13" s="11"/>
      <c r="I13" s="38" t="s">
        <v>48</v>
      </c>
      <c r="J13" s="37" t="s">
        <v>114</v>
      </c>
      <c r="K13" s="16">
        <f>(E13-D13)*24</f>
        <v>10.500000000000002</v>
      </c>
    </row>
    <row r="14" spans="2:11" ht="15.75">
      <c r="B14" s="11"/>
      <c r="C14" s="27">
        <v>46206</v>
      </c>
      <c r="D14" s="20">
        <v>0.38541666666666669</v>
      </c>
      <c r="E14" s="20">
        <v>0.76041666666666663</v>
      </c>
      <c r="F14" s="18"/>
      <c r="G14" s="11"/>
      <c r="H14" s="11"/>
      <c r="I14" s="38" t="s">
        <v>48</v>
      </c>
      <c r="J14" s="37" t="s">
        <v>115</v>
      </c>
      <c r="K14" s="16">
        <f>(E14-D14)*24</f>
        <v>8.9999999999999982</v>
      </c>
    </row>
    <row r="15" spans="2:11" ht="15.75">
      <c r="B15" s="11"/>
      <c r="C15" s="27">
        <v>46209</v>
      </c>
      <c r="D15" s="20">
        <v>0.33333333333333331</v>
      </c>
      <c r="E15" s="20">
        <v>0.73402777777777772</v>
      </c>
      <c r="F15" s="18"/>
      <c r="G15" s="11"/>
      <c r="H15" s="11"/>
      <c r="I15" s="38" t="s">
        <v>48</v>
      </c>
      <c r="J15" s="37" t="s">
        <v>116</v>
      </c>
      <c r="K15" s="16">
        <f>(E15-D15)*24</f>
        <v>9.6166666666666654</v>
      </c>
    </row>
    <row r="16" spans="2:11" ht="15.75">
      <c r="B16" s="11"/>
      <c r="C16" s="27">
        <v>46210</v>
      </c>
      <c r="D16" s="20">
        <v>0.375</v>
      </c>
      <c r="E16" s="20">
        <v>0.76249999999999996</v>
      </c>
      <c r="F16" s="18"/>
      <c r="G16" s="11"/>
      <c r="H16" s="11"/>
      <c r="I16" s="38" t="s">
        <v>48</v>
      </c>
      <c r="J16" s="37" t="s">
        <v>117</v>
      </c>
      <c r="K16" s="16">
        <f>(E16-D16)*24</f>
        <v>9.2999999999999989</v>
      </c>
    </row>
    <row r="17" spans="2:11" ht="15.75">
      <c r="B17" s="11"/>
      <c r="C17" s="27">
        <v>46211</v>
      </c>
      <c r="D17" s="20">
        <v>0.33333333333333331</v>
      </c>
      <c r="E17" s="20">
        <v>0.72638888888888886</v>
      </c>
      <c r="F17" s="18"/>
      <c r="G17" s="11"/>
      <c r="H17" s="11"/>
      <c r="I17" s="38" t="s">
        <v>48</v>
      </c>
      <c r="J17" s="37" t="s">
        <v>118</v>
      </c>
      <c r="K17" s="16">
        <f>(E17-D17)*24</f>
        <v>9.4333333333333336</v>
      </c>
    </row>
    <row r="18" spans="2:11" ht="15.75">
      <c r="B18" s="11"/>
      <c r="C18" s="27">
        <v>46212</v>
      </c>
      <c r="D18" s="20">
        <v>0.33402777777777776</v>
      </c>
      <c r="E18" s="20">
        <v>0.72430555555555554</v>
      </c>
      <c r="F18" s="18"/>
      <c r="G18" s="11"/>
      <c r="H18" s="11"/>
      <c r="I18" s="38" t="s">
        <v>48</v>
      </c>
      <c r="J18" s="37" t="s">
        <v>119</v>
      </c>
      <c r="K18" s="16">
        <f>(E18-D18)*24</f>
        <v>9.3666666666666671</v>
      </c>
    </row>
    <row r="19" spans="2:11" ht="15.75">
      <c r="B19" s="11"/>
      <c r="C19" s="27">
        <v>46213</v>
      </c>
      <c r="D19" s="20">
        <v>0.3840277777777778</v>
      </c>
      <c r="E19" s="20">
        <v>0.77083333333333337</v>
      </c>
      <c r="F19" s="18"/>
      <c r="G19" s="11"/>
      <c r="H19" s="11"/>
      <c r="I19" s="38" t="s">
        <v>48</v>
      </c>
      <c r="J19" s="37" t="s">
        <v>120</v>
      </c>
      <c r="K19" s="16">
        <f>(E19-D19)*24</f>
        <v>9.2833333333333332</v>
      </c>
    </row>
    <row r="20" spans="2:11" ht="15.75">
      <c r="B20" s="11"/>
      <c r="C20" s="27">
        <v>46216</v>
      </c>
      <c r="D20" s="20">
        <v>0.33333333333333331</v>
      </c>
      <c r="E20" s="20">
        <v>0.73611111111111116</v>
      </c>
      <c r="F20" s="18"/>
      <c r="G20" s="11"/>
      <c r="H20" s="11"/>
      <c r="I20" s="38" t="s">
        <v>48</v>
      </c>
      <c r="J20" s="37" t="s">
        <v>121</v>
      </c>
      <c r="K20" s="16">
        <f>(E20-D20)*24</f>
        <v>9.6666666666666679</v>
      </c>
    </row>
    <row r="21" spans="2:11" ht="15.75">
      <c r="B21" s="11"/>
      <c r="C21" s="27">
        <v>46217</v>
      </c>
      <c r="D21" s="20">
        <v>0.33333333333333331</v>
      </c>
      <c r="E21" s="20">
        <v>0.71458333333333335</v>
      </c>
      <c r="F21" s="18"/>
      <c r="G21" s="11"/>
      <c r="H21" s="11"/>
      <c r="I21" s="38" t="s">
        <v>48</v>
      </c>
      <c r="J21" s="37" t="s">
        <v>122</v>
      </c>
      <c r="K21" s="16">
        <f>(E21-D21)*24</f>
        <v>9.15</v>
      </c>
    </row>
    <row r="22" spans="2:11" ht="15.75">
      <c r="B22" s="11"/>
      <c r="C22" s="27">
        <v>46218</v>
      </c>
      <c r="D22" s="20">
        <v>0.39305555555555555</v>
      </c>
      <c r="E22" s="20">
        <v>0.82291666666666663</v>
      </c>
      <c r="F22" s="18"/>
      <c r="G22" s="11"/>
      <c r="H22" s="11"/>
      <c r="I22" s="38" t="s">
        <v>48</v>
      </c>
      <c r="J22" s="37" t="s">
        <v>123</v>
      </c>
      <c r="K22" s="16">
        <f>(E22-D22)*24</f>
        <v>10.316666666666666</v>
      </c>
    </row>
    <row r="23" spans="2:11" ht="15.75">
      <c r="B23" s="11"/>
      <c r="C23" s="27"/>
      <c r="D23" s="20"/>
      <c r="E23" s="20"/>
      <c r="F23" s="18"/>
      <c r="G23" s="11"/>
      <c r="H23" s="11"/>
      <c r="I23" s="38"/>
      <c r="J23" s="37"/>
      <c r="K23" s="16">
        <f>(E23-D23)*24</f>
        <v>0</v>
      </c>
    </row>
    <row r="24" spans="2:11" ht="15.75">
      <c r="B24" s="11"/>
      <c r="C24" s="27"/>
      <c r="D24" s="20"/>
      <c r="E24" s="20"/>
      <c r="F24" s="18"/>
      <c r="G24" s="11"/>
      <c r="H24" s="11"/>
      <c r="I24" s="38"/>
      <c r="J24" s="37"/>
      <c r="K24" s="16">
        <f>(E24-D24)*24</f>
        <v>0</v>
      </c>
    </row>
  </sheetData>
  <autoFilter ref="B11:K21" xr:uid="{00000000-0009-0000-0000-000000000000}"/>
  <mergeCells count="6">
    <mergeCell ref="B1:K1"/>
    <mergeCell ref="C7:E7"/>
    <mergeCell ref="C8:D8"/>
    <mergeCell ref="E8:F8"/>
    <mergeCell ref="C9:D9"/>
    <mergeCell ref="E9:F9"/>
  </mergeCells>
  <pageMargins left="0.7" right="0.7" top="0.75" bottom="0.75" header="0.3" footer="0.3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ECD3-7BC4-46B2-A07A-8B0F47868A5D}">
  <sheetPr>
    <pageSetUpPr fitToPage="1"/>
  </sheetPr>
  <dimension ref="B1:K24"/>
  <sheetViews>
    <sheetView tabSelected="1" topLeftCell="D1" zoomScale="73" zoomScaleNormal="100" workbookViewId="0">
      <pane ySplit="2" topLeftCell="A3" activePane="bottomLeft" state="frozen"/>
      <selection pane="bottomLeft" activeCell="E9" sqref="E9:F9"/>
      <selection activeCell="D1" sqref="D1"/>
    </sheetView>
  </sheetViews>
  <sheetFormatPr defaultRowHeight="15"/>
  <cols>
    <col min="2" max="2" width="16.140625" bestFit="1" customWidth="1"/>
    <col min="3" max="3" width="11.28515625" style="26" bestFit="1" customWidth="1"/>
    <col min="4" max="4" width="16.42578125" style="6" bestFit="1" customWidth="1"/>
    <col min="5" max="5" width="15.28515625" style="6" bestFit="1" customWidth="1"/>
    <col min="6" max="6" width="13.7109375" bestFit="1" customWidth="1"/>
    <col min="7" max="7" width="19.42578125" bestFit="1" customWidth="1"/>
    <col min="8" max="8" width="23.42578125" bestFit="1" customWidth="1"/>
    <col min="9" max="9" width="27.85546875" customWidth="1"/>
    <col min="10" max="10" width="20.85546875" style="26" bestFit="1" customWidth="1"/>
    <col min="11" max="11" width="17.28515625" bestFit="1" customWidth="1"/>
  </cols>
  <sheetData>
    <row r="1" spans="2:11" ht="18.75">
      <c r="B1" s="41" t="s">
        <v>68</v>
      </c>
      <c r="C1" s="41"/>
      <c r="D1" s="41"/>
      <c r="E1" s="41"/>
      <c r="F1" s="41"/>
      <c r="G1" s="41"/>
      <c r="H1" s="41"/>
      <c r="I1" s="41"/>
      <c r="J1" s="41"/>
      <c r="K1" s="41"/>
    </row>
    <row r="2" spans="2:11" ht="18">
      <c r="B2" s="1"/>
      <c r="C2" s="23"/>
      <c r="D2" s="4"/>
      <c r="E2" s="4"/>
      <c r="F2" s="1"/>
      <c r="G2" s="1"/>
      <c r="H2" s="1"/>
      <c r="I2" s="1"/>
      <c r="J2" s="22" t="s">
        <v>69</v>
      </c>
      <c r="K2" s="7">
        <f>SUM(K12:K24)</f>
        <v>99.633333333333326</v>
      </c>
    </row>
    <row r="3" spans="2:11">
      <c r="B3" s="1"/>
      <c r="C3" s="23"/>
      <c r="D3" s="4"/>
      <c r="E3" s="4"/>
      <c r="F3" s="1"/>
      <c r="G3" s="1"/>
      <c r="H3" s="1"/>
      <c r="I3" s="1"/>
      <c r="J3" s="23"/>
      <c r="K3" s="1"/>
    </row>
    <row r="4" spans="2:11">
      <c r="B4" s="1"/>
      <c r="C4" s="23"/>
      <c r="D4" s="4"/>
      <c r="E4" s="4"/>
      <c r="F4" s="1"/>
      <c r="G4" s="1"/>
      <c r="H4" s="1"/>
      <c r="I4" s="1"/>
      <c r="J4" s="23"/>
      <c r="K4" s="1"/>
    </row>
    <row r="5" spans="2:11">
      <c r="B5" s="1"/>
      <c r="C5" s="23"/>
      <c r="D5" s="4"/>
      <c r="E5" s="4"/>
      <c r="F5" s="1"/>
      <c r="G5" s="1"/>
      <c r="H5" s="1"/>
      <c r="I5" s="1"/>
      <c r="J5" s="23"/>
      <c r="K5" s="1"/>
    </row>
    <row r="6" spans="2:11">
      <c r="B6" s="1"/>
      <c r="C6" s="24"/>
      <c r="D6" s="5"/>
      <c r="E6" s="5"/>
      <c r="F6" s="1"/>
      <c r="G6" s="1"/>
      <c r="H6" s="1"/>
      <c r="I6" s="1"/>
      <c r="J6" s="24"/>
      <c r="K6" s="1"/>
    </row>
    <row r="7" spans="2:11">
      <c r="B7" s="2" t="s">
        <v>70</v>
      </c>
      <c r="C7" s="42" t="s">
        <v>71</v>
      </c>
      <c r="D7" s="43"/>
      <c r="E7" s="44"/>
      <c r="F7" s="1"/>
      <c r="G7" s="1"/>
      <c r="H7" s="1"/>
      <c r="I7" s="2" t="s">
        <v>72</v>
      </c>
      <c r="J7" s="28"/>
      <c r="K7" s="1"/>
    </row>
    <row r="8" spans="2:11">
      <c r="B8" s="1"/>
      <c r="C8" s="45" t="s">
        <v>73</v>
      </c>
      <c r="D8" s="45"/>
      <c r="E8" s="46" t="s">
        <v>74</v>
      </c>
      <c r="F8" s="46"/>
      <c r="G8" s="1"/>
      <c r="H8" s="1"/>
      <c r="I8" s="1"/>
      <c r="J8" s="24"/>
      <c r="K8" s="1"/>
    </row>
    <row r="9" spans="2:11" ht="16.5" customHeight="1">
      <c r="B9" s="3" t="s">
        <v>75</v>
      </c>
      <c r="C9" s="47">
        <v>46219</v>
      </c>
      <c r="D9" s="48"/>
      <c r="E9" s="47">
        <v>46232</v>
      </c>
      <c r="F9" s="48"/>
      <c r="G9" s="1"/>
      <c r="H9" s="1"/>
      <c r="I9" s="2" t="s">
        <v>76</v>
      </c>
      <c r="J9" s="25">
        <v>0.6875</v>
      </c>
      <c r="K9" s="1"/>
    </row>
    <row r="11" spans="2:11">
      <c r="B11" s="8" t="s">
        <v>77</v>
      </c>
      <c r="C11" s="9" t="s">
        <v>78</v>
      </c>
      <c r="D11" s="10" t="s">
        <v>79</v>
      </c>
      <c r="E11" s="10" t="s">
        <v>80</v>
      </c>
      <c r="F11" s="9" t="s">
        <v>81</v>
      </c>
      <c r="G11" s="9" t="s">
        <v>82</v>
      </c>
      <c r="H11" s="9" t="s">
        <v>83</v>
      </c>
      <c r="I11" s="9" t="s">
        <v>84</v>
      </c>
      <c r="J11" s="9" t="s">
        <v>85</v>
      </c>
      <c r="K11" s="9" t="s">
        <v>69</v>
      </c>
    </row>
    <row r="12" spans="2:11" ht="15.75">
      <c r="B12" s="11"/>
      <c r="C12" s="27">
        <v>46219</v>
      </c>
      <c r="D12" s="20">
        <v>0.33402777777777776</v>
      </c>
      <c r="E12" s="20">
        <v>0.72569444444444442</v>
      </c>
      <c r="F12" s="18"/>
      <c r="G12" s="11"/>
      <c r="H12" s="11"/>
      <c r="I12" s="38" t="s">
        <v>48</v>
      </c>
      <c r="J12" s="37" t="s">
        <v>124</v>
      </c>
      <c r="K12" s="16">
        <f>(E12-D12)*24</f>
        <v>9.4</v>
      </c>
    </row>
    <row r="13" spans="2:11" ht="15.75">
      <c r="B13" s="11"/>
      <c r="C13" s="27">
        <v>46220</v>
      </c>
      <c r="D13" s="20">
        <v>0.40277777777777779</v>
      </c>
      <c r="E13" s="20">
        <v>0.80694444444444446</v>
      </c>
      <c r="F13" s="18"/>
      <c r="G13" s="11"/>
      <c r="H13" s="11"/>
      <c r="I13" s="38" t="s">
        <v>48</v>
      </c>
      <c r="J13" s="37" t="s">
        <v>125</v>
      </c>
      <c r="K13" s="16">
        <f>(E13-D13)*24</f>
        <v>9.6999999999999993</v>
      </c>
    </row>
    <row r="14" spans="2:11" ht="15.75">
      <c r="B14" s="11"/>
      <c r="C14" s="27">
        <v>46223</v>
      </c>
      <c r="D14" s="20">
        <v>0.3347222222222222</v>
      </c>
      <c r="E14" s="20">
        <v>0.72152777777777777</v>
      </c>
      <c r="F14" s="18"/>
      <c r="G14" s="11"/>
      <c r="H14" s="11"/>
      <c r="I14" s="38" t="s">
        <v>48</v>
      </c>
      <c r="J14" s="37" t="s">
        <v>115</v>
      </c>
      <c r="K14" s="16">
        <f>(E14-D14)*24</f>
        <v>9.2833333333333332</v>
      </c>
    </row>
    <row r="15" spans="2:11" ht="15.75">
      <c r="B15" s="11"/>
      <c r="C15" s="27">
        <v>46224</v>
      </c>
      <c r="D15" s="20">
        <v>0.35416666666666669</v>
      </c>
      <c r="E15" s="20">
        <v>0.79166666666666663</v>
      </c>
      <c r="F15" s="18"/>
      <c r="G15" s="11"/>
      <c r="H15" s="11"/>
      <c r="I15" s="38" t="s">
        <v>48</v>
      </c>
      <c r="J15" s="37" t="s">
        <v>126</v>
      </c>
      <c r="K15" s="16">
        <f>(E15-D15)*24</f>
        <v>10.499999999999998</v>
      </c>
    </row>
    <row r="16" spans="2:11" ht="15.75">
      <c r="B16" s="11"/>
      <c r="C16" s="27">
        <v>46225</v>
      </c>
      <c r="D16" s="20">
        <v>0.41666666666666669</v>
      </c>
      <c r="E16" s="20">
        <v>0.84097222222222223</v>
      </c>
      <c r="F16" s="18"/>
      <c r="G16" s="11"/>
      <c r="H16" s="11"/>
      <c r="I16" s="38" t="s">
        <v>48</v>
      </c>
      <c r="J16" s="37" t="s">
        <v>127</v>
      </c>
      <c r="K16" s="16">
        <f>(E16-D16)*24</f>
        <v>10.183333333333334</v>
      </c>
    </row>
    <row r="17" spans="2:11" ht="15.75">
      <c r="B17" s="11"/>
      <c r="C17" s="27">
        <v>46226</v>
      </c>
      <c r="D17" s="20">
        <v>0.38541666666666669</v>
      </c>
      <c r="E17" s="20">
        <v>0.8041666666666667</v>
      </c>
      <c r="F17" s="18"/>
      <c r="G17" s="11"/>
      <c r="H17" s="11"/>
      <c r="I17" s="38" t="s">
        <v>48</v>
      </c>
      <c r="J17" s="37" t="s">
        <v>128</v>
      </c>
      <c r="K17" s="16">
        <f>(E17-D17)*24</f>
        <v>10.050000000000001</v>
      </c>
    </row>
    <row r="18" spans="2:11" ht="15.75">
      <c r="B18" s="11"/>
      <c r="C18" s="27">
        <v>46227</v>
      </c>
      <c r="D18" s="20">
        <v>0.39583333333333331</v>
      </c>
      <c r="E18" s="20">
        <v>0.83611111111111114</v>
      </c>
      <c r="F18" s="18"/>
      <c r="G18" s="11"/>
      <c r="H18" s="11"/>
      <c r="I18" s="38" t="s">
        <v>48</v>
      </c>
      <c r="J18" s="37" t="s">
        <v>129</v>
      </c>
      <c r="K18" s="16">
        <f>(E18-D18)*24</f>
        <v>10.566666666666668</v>
      </c>
    </row>
    <row r="19" spans="2:11" ht="15.75">
      <c r="B19" s="11"/>
      <c r="C19" s="27">
        <v>46230</v>
      </c>
      <c r="D19" s="20">
        <v>0.3263888888888889</v>
      </c>
      <c r="E19" s="20">
        <v>0.75347222222222221</v>
      </c>
      <c r="F19" s="18"/>
      <c r="G19" s="11"/>
      <c r="H19" s="11"/>
      <c r="I19" s="38" t="s">
        <v>48</v>
      </c>
      <c r="J19" s="37" t="s">
        <v>130</v>
      </c>
      <c r="K19" s="16">
        <f>(E19-D19)*24</f>
        <v>10.25</v>
      </c>
    </row>
    <row r="20" spans="2:11" ht="15.75">
      <c r="B20" s="11"/>
      <c r="C20" s="27">
        <v>46231</v>
      </c>
      <c r="D20" s="20">
        <v>0.34513888888888888</v>
      </c>
      <c r="E20" s="20">
        <v>0.73472222222222228</v>
      </c>
      <c r="F20" s="18"/>
      <c r="G20" s="11"/>
      <c r="H20" s="11"/>
      <c r="I20" s="38" t="s">
        <v>48</v>
      </c>
      <c r="J20" s="37" t="s">
        <v>131</v>
      </c>
      <c r="K20" s="16">
        <f>(E20-D20)*24</f>
        <v>9.3500000000000014</v>
      </c>
    </row>
    <row r="21" spans="2:11" ht="15.75">
      <c r="B21" s="11"/>
      <c r="C21" s="27">
        <v>46232</v>
      </c>
      <c r="D21" s="20">
        <v>0.31597222222222221</v>
      </c>
      <c r="E21" s="20">
        <v>0.74722222222222223</v>
      </c>
      <c r="F21" s="18"/>
      <c r="G21" s="11"/>
      <c r="H21" s="11"/>
      <c r="I21" s="38" t="s">
        <v>48</v>
      </c>
      <c r="J21" s="37" t="s">
        <v>132</v>
      </c>
      <c r="K21" s="16">
        <f>(E21-D21)*24</f>
        <v>10.350000000000001</v>
      </c>
    </row>
    <row r="22" spans="2:11" ht="15.75">
      <c r="B22" s="11"/>
      <c r="C22" s="27"/>
      <c r="D22" s="20"/>
      <c r="E22" s="20"/>
      <c r="F22" s="18"/>
      <c r="G22" s="11"/>
      <c r="H22" s="11"/>
      <c r="I22" s="38"/>
      <c r="J22" s="37"/>
      <c r="K22" s="16">
        <f>(E22-D22)*24</f>
        <v>0</v>
      </c>
    </row>
    <row r="23" spans="2:11" ht="15.75">
      <c r="B23" s="11"/>
      <c r="C23" s="27"/>
      <c r="D23" s="20"/>
      <c r="E23" s="20"/>
      <c r="F23" s="18"/>
      <c r="G23" s="11"/>
      <c r="H23" s="11"/>
      <c r="I23" s="38"/>
      <c r="J23" s="37"/>
      <c r="K23" s="16">
        <f>(E23-D23)*24</f>
        <v>0</v>
      </c>
    </row>
    <row r="24" spans="2:11" ht="15.75">
      <c r="B24" s="11"/>
      <c r="C24" s="27"/>
      <c r="D24" s="20"/>
      <c r="E24" s="20"/>
      <c r="F24" s="18"/>
      <c r="G24" s="11"/>
      <c r="H24" s="11"/>
      <c r="I24" s="38"/>
      <c r="J24" s="37"/>
      <c r="K24" s="16">
        <f>(E24-D24)*24</f>
        <v>0</v>
      </c>
    </row>
  </sheetData>
  <autoFilter ref="B11:K21" xr:uid="{00000000-0009-0000-0000-000000000000}"/>
  <mergeCells count="6">
    <mergeCell ref="B1:K1"/>
    <mergeCell ref="C7:E7"/>
    <mergeCell ref="C8:D8"/>
    <mergeCell ref="E8:F8"/>
    <mergeCell ref="C9:D9"/>
    <mergeCell ref="E9:F9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Ecovisfintax-Luella</dc:creator>
  <cp:keywords/>
  <dc:description/>
  <cp:lastModifiedBy/>
  <cp:revision/>
  <dcterms:created xsi:type="dcterms:W3CDTF">2023-07-07T09:01:17Z</dcterms:created>
  <dcterms:modified xsi:type="dcterms:W3CDTF">2026-08-20T12:04:14Z</dcterms:modified>
  <cp:category/>
  <cp:contentStatus/>
</cp:coreProperties>
</file>