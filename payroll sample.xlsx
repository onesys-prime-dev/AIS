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covisFintax-Bridget\Downloads\"/>
    </mc:Choice>
  </mc:AlternateContent>
  <xr:revisionPtr revIDLastSave="0" documentId="8_{E58B24AD-9E5F-4E01-95A6-330ACAAD22AD}" xr6:coauthVersionLast="47" xr6:coauthVersionMax="47" xr10:uidLastSave="{00000000-0000-0000-0000-000000000000}"/>
  <bookViews>
    <workbookView xWindow="-110" yWindow="-110" windowWidth="19420" windowHeight="10300" firstSheet="5" activeTab="5" xr2:uid="{9F50BD92-C9FA-41C5-8CD7-4597290DACAA}"/>
  </bookViews>
  <sheets>
    <sheet name="Payroll Register" sheetId="2" r:id="rId1"/>
    <sheet name="PAYSLIP (1st)" sheetId="34" r:id="rId2"/>
    <sheet name="Timesheet" sheetId="38" r:id="rId3"/>
    <sheet name="Raw Sheet" sheetId="17" r:id="rId4"/>
    <sheet name="2025 SSS Table" sheetId="35" r:id="rId5"/>
    <sheet name="WTAX" sheetId="18" r:id="rId6"/>
    <sheet name="PHIC" sheetId="19" state="hidden" r:id="rId7"/>
    <sheet name="Albert Ato" sheetId="30" state="hidden" r:id="rId8"/>
  </sheets>
  <externalReferences>
    <externalReference r:id="rId9"/>
  </externalReferences>
  <definedNames>
    <definedName name="_xlnm._FilterDatabase" localSheetId="4" hidden="1">#N/A</definedName>
    <definedName name="_xlnm._FilterDatabase" localSheetId="0" hidden="1">#N/A</definedName>
    <definedName name="_xlnm._FilterDatabase" localSheetId="1" hidden="1">#N/A</definedName>
    <definedName name="_xlnm._FilterDatabase" localSheetId="3" hidden="1">#N/A</definedName>
    <definedName name="_xlnm._FilterDatabase" localSheetId="2" hidden="1">Timesheet!$A$1:$DD$19</definedName>
    <definedName name="_xlnm.Print_Area" localSheetId="0">#N/A</definedName>
    <definedName name="_xlnm.Print_Area" localSheetId="1">'PAYSLIP (1st)'!$KC:$KJ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D28" i="2" l="1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KJ4" i="34"/>
  <c r="KI4" i="34"/>
  <c r="KA4" i="34"/>
  <c r="JZ4" i="34"/>
  <c r="JR4" i="34"/>
  <c r="JQ4" i="34"/>
  <c r="JI4" i="34"/>
  <c r="JH4" i="34"/>
  <c r="IZ4" i="34"/>
  <c r="IY4" i="34"/>
  <c r="IQ4" i="34"/>
  <c r="IP4" i="34"/>
  <c r="IH4" i="34"/>
  <c r="IG4" i="34"/>
  <c r="HY4" i="34"/>
  <c r="HX4" i="34"/>
  <c r="HP4" i="34"/>
  <c r="HO4" i="34"/>
  <c r="HG4" i="34"/>
  <c r="HF4" i="34"/>
  <c r="GX4" i="34"/>
  <c r="GW4" i="34"/>
  <c r="GO4" i="34"/>
  <c r="GN4" i="34"/>
  <c r="JV11" i="34" l="1"/>
  <c r="HK11" i="34"/>
  <c r="AK13" i="2"/>
  <c r="EV10" i="34" s="1"/>
  <c r="AK28" i="2" l="1"/>
  <c r="AK26" i="2"/>
  <c r="AK25" i="2"/>
  <c r="AK24" i="2"/>
  <c r="AK23" i="2"/>
  <c r="IQ23" i="34" s="1"/>
  <c r="AK22" i="2"/>
  <c r="AK21" i="2"/>
  <c r="AK20" i="2"/>
  <c r="AK19" i="2"/>
  <c r="AK18" i="2"/>
  <c r="AK17" i="2"/>
  <c r="AK16" i="2"/>
  <c r="AK15" i="2"/>
  <c r="AK14" i="2"/>
  <c r="AK12" i="2"/>
  <c r="AK11" i="2"/>
  <c r="AK10" i="2"/>
  <c r="AK9" i="2"/>
  <c r="AK8" i="2"/>
  <c r="AK27" i="2" l="1"/>
  <c r="AJ28" i="2" l="1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1" i="2"/>
  <c r="AJ10" i="2"/>
  <c r="AJ9" i="2"/>
  <c r="AJ8" i="2"/>
  <c r="BK32" i="17"/>
  <c r="BK29" i="17"/>
  <c r="BK28" i="17"/>
  <c r="BK27" i="17"/>
  <c r="BK26" i="17"/>
  <c r="BK25" i="17"/>
  <c r="BK24" i="17"/>
  <c r="BK23" i="17"/>
  <c r="BK22" i="17"/>
  <c r="BK21" i="17"/>
  <c r="BK20" i="17"/>
  <c r="BK19" i="17"/>
  <c r="BK18" i="17"/>
  <c r="BK17" i="17"/>
  <c r="BK16" i="17"/>
  <c r="BK15" i="17"/>
  <c r="BK14" i="17"/>
  <c r="BK13" i="17"/>
  <c r="BK12" i="17"/>
  <c r="BK11" i="17"/>
  <c r="BK10" i="17"/>
  <c r="BK9" i="17"/>
  <c r="BK8" i="17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BG28" i="17"/>
  <c r="BG27" i="17"/>
  <c r="BG26" i="17"/>
  <c r="BG25" i="17"/>
  <c r="BG24" i="17"/>
  <c r="BG23" i="17"/>
  <c r="BG22" i="17"/>
  <c r="BG21" i="17"/>
  <c r="BG20" i="17"/>
  <c r="BG19" i="17"/>
  <c r="BG18" i="17"/>
  <c r="BG17" i="17"/>
  <c r="BG16" i="17"/>
  <c r="BG15" i="17"/>
  <c r="BG14" i="17"/>
  <c r="BG13" i="17"/>
  <c r="BG12" i="17"/>
  <c r="BG11" i="17"/>
  <c r="BG10" i="17"/>
  <c r="BG9" i="17"/>
  <c r="BG8" i="17"/>
  <c r="BC28" i="17"/>
  <c r="KE26" i="34" s="1"/>
  <c r="BC27" i="17"/>
  <c r="JV17" i="34" s="1"/>
  <c r="BC26" i="17"/>
  <c r="BC25" i="17"/>
  <c r="BC24" i="17"/>
  <c r="BC23" i="17"/>
  <c r="BC22" i="17"/>
  <c r="BC21" i="17"/>
  <c r="HT26" i="34" s="1"/>
  <c r="BC20" i="17"/>
  <c r="BC19" i="17"/>
  <c r="BC18" i="17"/>
  <c r="GS26" i="34" s="1"/>
  <c r="BC17" i="17"/>
  <c r="BC16" i="17"/>
  <c r="BC15" i="17"/>
  <c r="BC14" i="17"/>
  <c r="EZ26" i="34" s="1"/>
  <c r="BC13" i="17"/>
  <c r="EQ26" i="34" s="1"/>
  <c r="BC12" i="17"/>
  <c r="BC11" i="17"/>
  <c r="BC10" i="17"/>
  <c r="BC9" i="17"/>
  <c r="CX26" i="34" s="1"/>
  <c r="BC8" i="17"/>
  <c r="AP21" i="17"/>
  <c r="AP20" i="17"/>
  <c r="AP19" i="17"/>
  <c r="AP18" i="17"/>
  <c r="AP17" i="17"/>
  <c r="AP16" i="17"/>
  <c r="AP15" i="17"/>
  <c r="AP14" i="17"/>
  <c r="AP13" i="17"/>
  <c r="AP12" i="17"/>
  <c r="AP11" i="17"/>
  <c r="AP10" i="17"/>
  <c r="AP9" i="17"/>
  <c r="AP8" i="17"/>
  <c r="AN28" i="17"/>
  <c r="AN27" i="17"/>
  <c r="AN26" i="17"/>
  <c r="AN25" i="17"/>
  <c r="AN24" i="17"/>
  <c r="AN23" i="17"/>
  <c r="AN22" i="17"/>
  <c r="AN21" i="17"/>
  <c r="AN20" i="17"/>
  <c r="AN19" i="17"/>
  <c r="AN18" i="17"/>
  <c r="AN17" i="17"/>
  <c r="AN16" i="17"/>
  <c r="AN15" i="17"/>
  <c r="AN14" i="17"/>
  <c r="AN13" i="17"/>
  <c r="AN12" i="17"/>
  <c r="AN11" i="17"/>
  <c r="AN10" i="17"/>
  <c r="AK28" i="17"/>
  <c r="AK27" i="17"/>
  <c r="AK26" i="17"/>
  <c r="AK25" i="17"/>
  <c r="AK24" i="17"/>
  <c r="AK23" i="17"/>
  <c r="AK22" i="17"/>
  <c r="AK21" i="17"/>
  <c r="AK20" i="17"/>
  <c r="AK19" i="17"/>
  <c r="AK18" i="17"/>
  <c r="AK17" i="17"/>
  <c r="AK16" i="17"/>
  <c r="AK15" i="17"/>
  <c r="AK14" i="17"/>
  <c r="AK13" i="17"/>
  <c r="AK12" i="17"/>
  <c r="AK11" i="17"/>
  <c r="AK10" i="17"/>
  <c r="AK9" i="17"/>
  <c r="AK8" i="17"/>
  <c r="AI28" i="17"/>
  <c r="AI27" i="17"/>
  <c r="AI26" i="17"/>
  <c r="AI25" i="17"/>
  <c r="AI24" i="17"/>
  <c r="AI23" i="17"/>
  <c r="AI22" i="17"/>
  <c r="AI21" i="17"/>
  <c r="AI20" i="17"/>
  <c r="AI19" i="17"/>
  <c r="HB12" i="34" s="1"/>
  <c r="AI18" i="17"/>
  <c r="AI17" i="17"/>
  <c r="AI16" i="17"/>
  <c r="AI15" i="17"/>
  <c r="AI14" i="17"/>
  <c r="AI13" i="17"/>
  <c r="AI12" i="17"/>
  <c r="AI11" i="17"/>
  <c r="AI10" i="17"/>
  <c r="AI9" i="17"/>
  <c r="AI8" i="17"/>
  <c r="CY3" i="38"/>
  <c r="CY25" i="38" s="1"/>
  <c r="AG28" i="17"/>
  <c r="AG27" i="17"/>
  <c r="AG26" i="17"/>
  <c r="JM18" i="34" s="1"/>
  <c r="AG25" i="17"/>
  <c r="AG24" i="17"/>
  <c r="AG23" i="17"/>
  <c r="IL18" i="34" s="1"/>
  <c r="AG22" i="17"/>
  <c r="AG21" i="17"/>
  <c r="AG20" i="17"/>
  <c r="AG19" i="17"/>
  <c r="AG18" i="17"/>
  <c r="AG17" i="17"/>
  <c r="AG16" i="17"/>
  <c r="AG15" i="17"/>
  <c r="AG14" i="17"/>
  <c r="AG13" i="17"/>
  <c r="AG12" i="17"/>
  <c r="AG11" i="17"/>
  <c r="AG10" i="17"/>
  <c r="AG9" i="17"/>
  <c r="AG8" i="17"/>
  <c r="CV3" i="38"/>
  <c r="CU3" i="38"/>
  <c r="DC25" i="38"/>
  <c r="DB25" i="38"/>
  <c r="DA25" i="38"/>
  <c r="CZ25" i="38"/>
  <c r="CX25" i="38"/>
  <c r="CW25" i="38"/>
  <c r="CV25" i="38"/>
  <c r="CU25" i="38"/>
  <c r="CT25" i="38"/>
  <c r="AC28" i="17"/>
  <c r="AC27" i="17"/>
  <c r="AC26" i="17"/>
  <c r="AC25" i="17"/>
  <c r="AC24" i="17"/>
  <c r="AC23" i="17"/>
  <c r="AC22" i="17"/>
  <c r="AC21" i="17"/>
  <c r="AD21" i="17" s="1"/>
  <c r="AC20" i="17"/>
  <c r="AD20" i="17" s="1"/>
  <c r="AC19" i="17"/>
  <c r="AD19" i="17" s="1"/>
  <c r="AC18" i="17"/>
  <c r="AD18" i="17" s="1"/>
  <c r="AC17" i="17"/>
  <c r="AD17" i="17" s="1"/>
  <c r="AC16" i="17"/>
  <c r="AD16" i="17" s="1"/>
  <c r="AC15" i="17"/>
  <c r="AD15" i="17" s="1"/>
  <c r="AC14" i="17"/>
  <c r="AD14" i="17" s="1"/>
  <c r="AC13" i="17"/>
  <c r="AD13" i="17" s="1"/>
  <c r="AC12" i="17"/>
  <c r="AD12" i="17" s="1"/>
  <c r="AC11" i="17"/>
  <c r="AD11" i="17" s="1"/>
  <c r="AC10" i="17"/>
  <c r="AD10" i="17" s="1"/>
  <c r="AC9" i="17"/>
  <c r="AD9" i="17" s="1"/>
  <c r="AC8" i="17"/>
  <c r="AD8" i="17" s="1"/>
  <c r="AA28" i="17"/>
  <c r="AA26" i="17"/>
  <c r="AA25" i="17"/>
  <c r="AA24" i="17"/>
  <c r="AA23" i="17"/>
  <c r="AA22" i="17"/>
  <c r="AA21" i="17"/>
  <c r="AB21" i="17" s="1"/>
  <c r="AA20" i="17"/>
  <c r="AB20" i="17" s="1"/>
  <c r="AA19" i="17"/>
  <c r="AB19" i="17" s="1"/>
  <c r="AA18" i="17"/>
  <c r="AB18" i="17" s="1"/>
  <c r="AA17" i="17"/>
  <c r="AB17" i="17" s="1"/>
  <c r="AA16" i="17"/>
  <c r="AB16" i="17" s="1"/>
  <c r="AA15" i="17"/>
  <c r="AB15" i="17" s="1"/>
  <c r="AA14" i="17"/>
  <c r="AB14" i="17" s="1"/>
  <c r="AA13" i="17"/>
  <c r="AB13" i="17" s="1"/>
  <c r="AA12" i="17"/>
  <c r="AB12" i="17" s="1"/>
  <c r="AA11" i="17"/>
  <c r="AB11" i="17" s="1"/>
  <c r="AA10" i="17"/>
  <c r="AB10" i="17" s="1"/>
  <c r="AA9" i="17"/>
  <c r="AB9" i="17" s="1"/>
  <c r="AA8" i="17"/>
  <c r="AB8" i="17" s="1"/>
  <c r="AA27" i="17"/>
  <c r="CZ23" i="38"/>
  <c r="CY23" i="38"/>
  <c r="CX23" i="38"/>
  <c r="CW23" i="38"/>
  <c r="CV23" i="38"/>
  <c r="CU23" i="38"/>
  <c r="CT23" i="38"/>
  <c r="CZ22" i="38"/>
  <c r="CY22" i="38"/>
  <c r="CX22" i="38"/>
  <c r="CW22" i="38"/>
  <c r="CV22" i="38"/>
  <c r="CU22" i="38"/>
  <c r="CT22" i="38"/>
  <c r="CZ21" i="38"/>
  <c r="CY21" i="38"/>
  <c r="CX21" i="38"/>
  <c r="CW21" i="38"/>
  <c r="CV21" i="38"/>
  <c r="CU21" i="38"/>
  <c r="CT21" i="38"/>
  <c r="CZ20" i="38"/>
  <c r="CY20" i="38"/>
  <c r="CX20" i="38"/>
  <c r="CW20" i="38"/>
  <c r="CV20" i="38"/>
  <c r="CU20" i="38"/>
  <c r="CT20" i="38"/>
  <c r="CZ19" i="38"/>
  <c r="CY19" i="38"/>
  <c r="CX19" i="38"/>
  <c r="CW19" i="38"/>
  <c r="CV19" i="38"/>
  <c r="CU19" i="38"/>
  <c r="CT19" i="38"/>
  <c r="CZ18" i="38"/>
  <c r="CY18" i="38"/>
  <c r="CX18" i="38"/>
  <c r="CW18" i="38"/>
  <c r="CV18" i="38"/>
  <c r="CU18" i="38"/>
  <c r="CT18" i="38"/>
  <c r="CZ17" i="38"/>
  <c r="CY17" i="38"/>
  <c r="CX17" i="38"/>
  <c r="CW17" i="38"/>
  <c r="CV17" i="38"/>
  <c r="CU17" i="38"/>
  <c r="CT17" i="38"/>
  <c r="CZ16" i="38"/>
  <c r="CY16" i="38"/>
  <c r="CX16" i="38"/>
  <c r="CW16" i="38"/>
  <c r="CV16" i="38"/>
  <c r="CU16" i="38"/>
  <c r="CT16" i="38"/>
  <c r="CZ15" i="38"/>
  <c r="CY15" i="38"/>
  <c r="CX15" i="38"/>
  <c r="CW15" i="38"/>
  <c r="CV15" i="38"/>
  <c r="CU15" i="38"/>
  <c r="CT15" i="38"/>
  <c r="CZ14" i="38"/>
  <c r="CY14" i="38"/>
  <c r="CX14" i="38"/>
  <c r="CW14" i="38"/>
  <c r="CV14" i="38"/>
  <c r="CU14" i="38"/>
  <c r="CT14" i="38"/>
  <c r="CZ13" i="38"/>
  <c r="CY13" i="38"/>
  <c r="CX13" i="38"/>
  <c r="CW13" i="38"/>
  <c r="CV13" i="38"/>
  <c r="CU13" i="38"/>
  <c r="CT13" i="38"/>
  <c r="CZ12" i="38"/>
  <c r="CY12" i="38"/>
  <c r="CX12" i="38"/>
  <c r="CW12" i="38"/>
  <c r="CV12" i="38"/>
  <c r="CU12" i="38"/>
  <c r="CT12" i="38"/>
  <c r="CZ11" i="38"/>
  <c r="CY11" i="38"/>
  <c r="CX11" i="38"/>
  <c r="CW11" i="38"/>
  <c r="CV11" i="38"/>
  <c r="CU11" i="38"/>
  <c r="CT11" i="38"/>
  <c r="CZ10" i="38"/>
  <c r="CY10" i="38"/>
  <c r="CX10" i="38"/>
  <c r="CW10" i="38"/>
  <c r="CV10" i="38"/>
  <c r="CU10" i="38"/>
  <c r="CT10" i="38"/>
  <c r="CZ9" i="38"/>
  <c r="CY9" i="38"/>
  <c r="CX9" i="38"/>
  <c r="CW9" i="38"/>
  <c r="CV9" i="38"/>
  <c r="CU9" i="38"/>
  <c r="CT9" i="38"/>
  <c r="CZ8" i="38"/>
  <c r="CY8" i="38"/>
  <c r="CX8" i="38"/>
  <c r="CW8" i="38"/>
  <c r="CV8" i="38"/>
  <c r="CU8" i="38"/>
  <c r="CT8" i="38"/>
  <c r="CZ7" i="38"/>
  <c r="CY7" i="38"/>
  <c r="CX7" i="38"/>
  <c r="CW7" i="38"/>
  <c r="CV7" i="38"/>
  <c r="CU7" i="38"/>
  <c r="CT7" i="38"/>
  <c r="CZ6" i="38"/>
  <c r="CY6" i="38"/>
  <c r="CX6" i="38"/>
  <c r="CW6" i="38"/>
  <c r="CV6" i="38"/>
  <c r="CU6" i="38"/>
  <c r="CT6" i="38"/>
  <c r="CZ5" i="38"/>
  <c r="CY5" i="38"/>
  <c r="CX5" i="38"/>
  <c r="CW5" i="38"/>
  <c r="CV5" i="38"/>
  <c r="CU5" i="38"/>
  <c r="CT5" i="38"/>
  <c r="CZ4" i="38"/>
  <c r="CY4" i="38"/>
  <c r="CX4" i="38"/>
  <c r="CW4" i="38"/>
  <c r="CV4" i="38"/>
  <c r="CU4" i="38"/>
  <c r="CT4" i="38"/>
  <c r="CZ3" i="38"/>
  <c r="CX3" i="38"/>
  <c r="CW3" i="38"/>
  <c r="CT3" i="38"/>
  <c r="BJ20" i="17" l="1"/>
  <c r="P20" i="2" s="1"/>
  <c r="HL13" i="34" s="1"/>
  <c r="AB27" i="17"/>
  <c r="JV14" i="34"/>
  <c r="E29" i="2"/>
  <c r="I28" i="17"/>
  <c r="J28" i="17" s="1"/>
  <c r="H28" i="17"/>
  <c r="I27" i="17"/>
  <c r="J27" i="17" s="1"/>
  <c r="H27" i="17"/>
  <c r="I26" i="17"/>
  <c r="J26" i="17" s="1"/>
  <c r="H26" i="17"/>
  <c r="I25" i="17"/>
  <c r="J25" i="17" s="1"/>
  <c r="H25" i="17"/>
  <c r="I24" i="17"/>
  <c r="J24" i="17" s="1"/>
  <c r="H24" i="17"/>
  <c r="I23" i="17"/>
  <c r="J23" i="17" s="1"/>
  <c r="H23" i="17"/>
  <c r="I22" i="17"/>
  <c r="J22" i="17" s="1"/>
  <c r="H22" i="17"/>
  <c r="I21" i="17"/>
  <c r="J21" i="17" s="1"/>
  <c r="H21" i="17"/>
  <c r="I20" i="17"/>
  <c r="J20" i="17" s="1"/>
  <c r="H20" i="17"/>
  <c r="I19" i="17"/>
  <c r="J19" i="17" s="1"/>
  <c r="H19" i="17"/>
  <c r="I18" i="17"/>
  <c r="J18" i="17" s="1"/>
  <c r="H18" i="17"/>
  <c r="I17" i="17"/>
  <c r="J17" i="17" s="1"/>
  <c r="H17" i="17"/>
  <c r="I16" i="17"/>
  <c r="J16" i="17" s="1"/>
  <c r="H16" i="17"/>
  <c r="I15" i="17"/>
  <c r="J15" i="17" s="1"/>
  <c r="H15" i="17"/>
  <c r="I14" i="17"/>
  <c r="J14" i="17" s="1"/>
  <c r="H14" i="17"/>
  <c r="I13" i="17"/>
  <c r="J13" i="17" s="1"/>
  <c r="H13" i="17"/>
  <c r="I12" i="17"/>
  <c r="J12" i="17" s="1"/>
  <c r="H12" i="17"/>
  <c r="I11" i="17"/>
  <c r="J11" i="17" s="1"/>
  <c r="H11" i="17"/>
  <c r="I10" i="17"/>
  <c r="J10" i="17" s="1"/>
  <c r="H10" i="17"/>
  <c r="I9" i="17"/>
  <c r="J9" i="17" s="1"/>
  <c r="H9" i="17"/>
  <c r="FW4" i="34" l="1"/>
  <c r="FV4" i="34"/>
  <c r="FN4" i="34"/>
  <c r="FM4" i="34"/>
  <c r="EZ21" i="34"/>
  <c r="FE4" i="34"/>
  <c r="FD4" i="34"/>
  <c r="EV4" i="34" l="1"/>
  <c r="EU4" i="34"/>
  <c r="EM4" i="34" l="1"/>
  <c r="EL4" i="34"/>
  <c r="ED4" i="34"/>
  <c r="EC4" i="34"/>
  <c r="DU4" i="34"/>
  <c r="DT4" i="34"/>
  <c r="DC4" i="34"/>
  <c r="DB4" i="34"/>
  <c r="EZ28" i="34"/>
  <c r="BB15" i="17"/>
  <c r="CX28" i="34"/>
  <c r="BW28" i="34"/>
  <c r="EZ12" i="34"/>
  <c r="CX12" i="34"/>
  <c r="BW12" i="34"/>
  <c r="DP26" i="34"/>
  <c r="BW26" i="34"/>
  <c r="EZ17" i="34"/>
  <c r="DP17" i="34"/>
  <c r="CX17" i="34"/>
  <c r="FI11" i="34"/>
  <c r="EZ11" i="34"/>
  <c r="EQ11" i="34"/>
  <c r="EH11" i="34"/>
  <c r="DY11" i="34"/>
  <c r="DP11" i="34"/>
  <c r="CX11" i="34"/>
  <c r="BW11" i="34"/>
  <c r="X30" i="17" l="1"/>
  <c r="W30" i="17"/>
  <c r="V30" i="17"/>
  <c r="AJ12" i="2" l="1"/>
  <c r="EM22" i="34" s="1"/>
  <c r="AI28" i="2"/>
  <c r="AI27" i="2"/>
  <c r="AI26" i="2"/>
  <c r="AI25" i="2"/>
  <c r="AI24" i="2"/>
  <c r="AI23" i="2"/>
  <c r="AI22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21" i="2"/>
  <c r="Y4" i="17"/>
  <c r="Z4" i="17" s="1"/>
  <c r="AA4" i="17" s="1"/>
  <c r="AB4" i="17" s="1"/>
  <c r="AC4" i="17" s="1"/>
  <c r="AD4" i="17" s="1"/>
  <c r="AE4" i="17" s="1"/>
  <c r="AF4" i="17" s="1"/>
  <c r="AG4" i="17" s="1"/>
  <c r="AH4" i="17" s="1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BK4" i="17" s="1"/>
  <c r="X4" i="17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E3" i="2" l="1"/>
  <c r="D3" i="2"/>
  <c r="F2" i="17"/>
  <c r="H2" i="17" l="1"/>
  <c r="DC22" i="34"/>
  <c r="W29" i="2" l="1"/>
  <c r="KE12" i="34"/>
  <c r="JV12" i="34"/>
  <c r="JM12" i="34"/>
  <c r="JR22" i="34"/>
  <c r="JD12" i="34"/>
  <c r="IU12" i="34"/>
  <c r="IL12" i="34"/>
  <c r="IQ22" i="34"/>
  <c r="IC12" i="34"/>
  <c r="HT12" i="34"/>
  <c r="HY22" i="34"/>
  <c r="HK12" i="34"/>
  <c r="GS12" i="34"/>
  <c r="GJ12" i="34"/>
  <c r="GJ28" i="34"/>
  <c r="GJ26" i="34"/>
  <c r="FR12" i="34"/>
  <c r="FI12" i="34"/>
  <c r="EQ12" i="34"/>
  <c r="EH12" i="34"/>
  <c r="DY12" i="34"/>
  <c r="DP12" i="34"/>
  <c r="DU22" i="34"/>
  <c r="CB22" i="34"/>
  <c r="AP29" i="2" l="1"/>
  <c r="AI29" i="2"/>
  <c r="HY24" i="34"/>
  <c r="S51" i="2" l="1"/>
  <c r="AI31" i="2"/>
  <c r="KE19" i="34"/>
  <c r="KE21" i="34"/>
  <c r="KE24" i="34"/>
  <c r="KH24" i="34"/>
  <c r="JV19" i="34"/>
  <c r="JV21" i="34"/>
  <c r="JV24" i="34"/>
  <c r="JY24" i="34"/>
  <c r="JM19" i="34"/>
  <c r="JM21" i="34"/>
  <c r="JM24" i="34"/>
  <c r="JP24" i="34"/>
  <c r="JD19" i="34"/>
  <c r="JD21" i="34"/>
  <c r="JD24" i="34"/>
  <c r="JG24" i="34"/>
  <c r="IU19" i="34"/>
  <c r="IU21" i="34"/>
  <c r="IU24" i="34"/>
  <c r="IX24" i="34"/>
  <c r="IL19" i="34"/>
  <c r="IL21" i="34"/>
  <c r="IL24" i="34"/>
  <c r="IO24" i="34"/>
  <c r="IC19" i="34"/>
  <c r="IC21" i="34"/>
  <c r="IC24" i="34"/>
  <c r="IF24" i="34"/>
  <c r="HW24" i="34"/>
  <c r="HT24" i="34"/>
  <c r="HT21" i="34"/>
  <c r="HT19" i="34"/>
  <c r="HN24" i="34"/>
  <c r="HE24" i="34"/>
  <c r="GV24" i="34"/>
  <c r="GM24" i="34"/>
  <c r="FU24" i="34"/>
  <c r="FL24" i="34"/>
  <c r="FE22" i="34"/>
  <c r="FC24" i="34"/>
  <c r="ET24" i="34"/>
  <c r="EK24" i="34"/>
  <c r="EB24" i="34"/>
  <c r="DS24" i="34"/>
  <c r="DA24" i="34"/>
  <c r="CI25" i="34" l="1"/>
  <c r="CI24" i="34"/>
  <c r="CG13" i="34"/>
  <c r="HK24" i="34"/>
  <c r="HK21" i="34"/>
  <c r="HK19" i="34"/>
  <c r="HB24" i="34"/>
  <c r="HB21" i="34"/>
  <c r="HB18" i="34"/>
  <c r="HB19" i="34" s="1"/>
  <c r="GS24" i="34"/>
  <c r="GS21" i="34"/>
  <c r="GS18" i="34"/>
  <c r="GS19" i="34" s="1"/>
  <c r="GJ24" i="34"/>
  <c r="GJ21" i="34"/>
  <c r="GJ19" i="34"/>
  <c r="FR24" i="34"/>
  <c r="FR21" i="34"/>
  <c r="FR18" i="34"/>
  <c r="FR19" i="34" s="1"/>
  <c r="FI24" i="34"/>
  <c r="FI21" i="34"/>
  <c r="FI18" i="34"/>
  <c r="FI19" i="34" s="1"/>
  <c r="EZ24" i="34"/>
  <c r="EQ24" i="34"/>
  <c r="EQ21" i="34"/>
  <c r="EQ18" i="34"/>
  <c r="EQ19" i="34" s="1"/>
  <c r="EH24" i="34"/>
  <c r="EH21" i="34"/>
  <c r="EH18" i="34"/>
  <c r="EH19" i="34" s="1"/>
  <c r="DY24" i="34"/>
  <c r="DY21" i="34"/>
  <c r="DY18" i="34"/>
  <c r="DY19" i="34" s="1"/>
  <c r="DP24" i="34"/>
  <c r="DP21" i="34"/>
  <c r="CX24" i="34"/>
  <c r="CX21" i="34"/>
  <c r="CI22" i="34"/>
  <c r="CE5" i="34"/>
  <c r="CI23" i="34" l="1"/>
  <c r="CB4" i="34"/>
  <c r="CA4" i="34"/>
  <c r="CF4" i="34"/>
  <c r="CF11" i="34" s="1"/>
  <c r="AG30" i="17"/>
  <c r="AG32" i="17" s="1"/>
  <c r="BG30" i="17"/>
  <c r="BG32" i="17" s="1"/>
  <c r="BE30" i="17"/>
  <c r="BC30" i="17"/>
  <c r="BC32" i="17" s="1"/>
  <c r="BA30" i="17"/>
  <c r="AY30" i="17"/>
  <c r="AW30" i="17"/>
  <c r="AU30" i="17"/>
  <c r="AS30" i="17"/>
  <c r="AQ30" i="17"/>
  <c r="AO30" i="17"/>
  <c r="AM30" i="17"/>
  <c r="AK30" i="17"/>
  <c r="AK32" i="17" s="1"/>
  <c r="AI30" i="17"/>
  <c r="AI32" i="17" s="1"/>
  <c r="AC30" i="17"/>
  <c r="AC32" i="17" s="1"/>
  <c r="BZ24" i="34"/>
  <c r="BK30" i="17" l="1"/>
  <c r="AA30" i="17"/>
  <c r="AA32" i="17" s="1"/>
  <c r="AZ29" i="17" l="1"/>
  <c r="AK29" i="2"/>
  <c r="S48" i="2" s="1"/>
  <c r="Y29" i="2"/>
  <c r="AZ28" i="2"/>
  <c r="AZ27" i="2"/>
  <c r="AZ26" i="2"/>
  <c r="BH29" i="17"/>
  <c r="BD29" i="17"/>
  <c r="BB29" i="17"/>
  <c r="AX29" i="17"/>
  <c r="AV29" i="17"/>
  <c r="AR29" i="17"/>
  <c r="AP29" i="17"/>
  <c r="AL29" i="17"/>
  <c r="AJ29" i="17"/>
  <c r="AH29" i="17"/>
  <c r="AD29" i="17"/>
  <c r="AB29" i="17"/>
  <c r="Z30" i="17"/>
  <c r="U30" i="17"/>
  <c r="T30" i="17"/>
  <c r="S30" i="17"/>
  <c r="R30" i="17"/>
  <c r="Q30" i="17"/>
  <c r="P30" i="17"/>
  <c r="O30" i="17"/>
  <c r="K30" i="17"/>
  <c r="AD27" i="17"/>
  <c r="AD26" i="17"/>
  <c r="AZ25" i="2"/>
  <c r="AD25" i="17"/>
  <c r="B5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K39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53" i="35"/>
  <c r="M54" i="35"/>
  <c r="M55" i="35"/>
  <c r="M56" i="35"/>
  <c r="M57" i="35"/>
  <c r="M58" i="35"/>
  <c r="M59" i="35"/>
  <c r="M60" i="35"/>
  <c r="M61" i="35"/>
  <c r="M62" i="35"/>
  <c r="M63" i="35"/>
  <c r="M64" i="35"/>
  <c r="M65" i="35"/>
  <c r="K38" i="35"/>
  <c r="G38" i="35"/>
  <c r="G39" i="35"/>
  <c r="P37" i="35"/>
  <c r="M37" i="35"/>
  <c r="M38" i="35"/>
  <c r="L37" i="35"/>
  <c r="N37" i="35"/>
  <c r="K37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N36" i="35"/>
  <c r="K36" i="35"/>
  <c r="N35" i="35"/>
  <c r="K35" i="35"/>
  <c r="N34" i="35"/>
  <c r="K34" i="35"/>
  <c r="N33" i="35"/>
  <c r="K33" i="35"/>
  <c r="N32" i="35"/>
  <c r="K32" i="35"/>
  <c r="N31" i="35"/>
  <c r="K31" i="35"/>
  <c r="N30" i="35"/>
  <c r="K30" i="35"/>
  <c r="N29" i="35"/>
  <c r="K29" i="35"/>
  <c r="N28" i="35"/>
  <c r="K28" i="35"/>
  <c r="N27" i="35"/>
  <c r="K27" i="35"/>
  <c r="N26" i="35"/>
  <c r="K26" i="35"/>
  <c r="N25" i="35"/>
  <c r="K25" i="35"/>
  <c r="N24" i="35"/>
  <c r="K24" i="35"/>
  <c r="N23" i="35"/>
  <c r="K23" i="35"/>
  <c r="N22" i="35"/>
  <c r="K22" i="35"/>
  <c r="N21" i="35"/>
  <c r="K21" i="35"/>
  <c r="N20" i="35"/>
  <c r="K20" i="35"/>
  <c r="N19" i="35"/>
  <c r="K19" i="35"/>
  <c r="N18" i="35"/>
  <c r="K18" i="35"/>
  <c r="N17" i="35"/>
  <c r="K17" i="35"/>
  <c r="N16" i="35"/>
  <c r="K16" i="35"/>
  <c r="N15" i="35"/>
  <c r="K15" i="35"/>
  <c r="N14" i="35"/>
  <c r="K14" i="35"/>
  <c r="N13" i="35"/>
  <c r="K13" i="35"/>
  <c r="N12" i="35"/>
  <c r="K12" i="35"/>
  <c r="N11" i="35"/>
  <c r="K11" i="35"/>
  <c r="N10" i="35"/>
  <c r="K10" i="35"/>
  <c r="N9" i="35"/>
  <c r="K9" i="35"/>
  <c r="N8" i="35"/>
  <c r="K8" i="35"/>
  <c r="N7" i="35"/>
  <c r="K7" i="35"/>
  <c r="B7" i="35"/>
  <c r="A7" i="35"/>
  <c r="A8" i="35"/>
  <c r="A9" i="35"/>
  <c r="N6" i="35"/>
  <c r="K6" i="35"/>
  <c r="E6" i="35"/>
  <c r="G6" i="35"/>
  <c r="P6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B6" i="35"/>
  <c r="N5" i="35"/>
  <c r="K5" i="35"/>
  <c r="G5" i="35"/>
  <c r="H5" i="35"/>
  <c r="P5" i="35"/>
  <c r="F5" i="35"/>
  <c r="O5" i="35"/>
  <c r="Q5" i="35"/>
  <c r="E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AZ24" i="2"/>
  <c r="AZ23" i="2"/>
  <c r="AZ22" i="2"/>
  <c r="AD23" i="17"/>
  <c r="AZ21" i="2"/>
  <c r="AZ20" i="2"/>
  <c r="AZ19" i="2"/>
  <c r="AZ18" i="2"/>
  <c r="AZ8" i="2"/>
  <c r="AZ17" i="2"/>
  <c r="BH17" i="17"/>
  <c r="AZ16" i="2"/>
  <c r="AZ15" i="2"/>
  <c r="AX11" i="17"/>
  <c r="AZ14" i="2"/>
  <c r="AZ13" i="2"/>
  <c r="AZ12" i="2"/>
  <c r="AZ11" i="2"/>
  <c r="AZ10" i="2"/>
  <c r="AZ9" i="2"/>
  <c r="I8" i="17"/>
  <c r="H8" i="17"/>
  <c r="F11" i="30"/>
  <c r="F10" i="30"/>
  <c r="F8" i="30"/>
  <c r="F7" i="30"/>
  <c r="F6" i="30"/>
  <c r="F12" i="30"/>
  <c r="F5" i="30"/>
  <c r="D12" i="30"/>
  <c r="E12" i="30"/>
  <c r="E13" i="30"/>
  <c r="F9" i="30"/>
  <c r="B4" i="17"/>
  <c r="C4" i="17" s="1"/>
  <c r="F7" i="35"/>
  <c r="E8" i="35"/>
  <c r="F8" i="35"/>
  <c r="G7" i="35"/>
  <c r="P7" i="35"/>
  <c r="G40" i="35"/>
  <c r="P39" i="35"/>
  <c r="E9" i="35"/>
  <c r="F9" i="35"/>
  <c r="H7" i="35"/>
  <c r="O7" i="35"/>
  <c r="Q7" i="35"/>
  <c r="E10" i="35"/>
  <c r="F10" i="35"/>
  <c r="G9" i="35"/>
  <c r="P9" i="35"/>
  <c r="G41" i="35"/>
  <c r="P40" i="35"/>
  <c r="O10" i="35"/>
  <c r="G10" i="35"/>
  <c r="P10" i="35"/>
  <c r="E11" i="35"/>
  <c r="H8" i="35"/>
  <c r="O8" i="35"/>
  <c r="H9" i="35"/>
  <c r="O9" i="35"/>
  <c r="Q9" i="35"/>
  <c r="A10" i="35"/>
  <c r="B8" i="35"/>
  <c r="G8" i="35"/>
  <c r="P8" i="35"/>
  <c r="F6" i="35"/>
  <c r="P38" i="35"/>
  <c r="G42" i="35"/>
  <c r="P41" i="35"/>
  <c r="Q8" i="35"/>
  <c r="Q10" i="35"/>
  <c r="H6" i="35"/>
  <c r="O6" i="35"/>
  <c r="Q6" i="35"/>
  <c r="H10" i="35"/>
  <c r="A11" i="35"/>
  <c r="B9" i="35"/>
  <c r="G11" i="35"/>
  <c r="P11" i="35"/>
  <c r="F11" i="35"/>
  <c r="E12" i="35"/>
  <c r="H11" i="35"/>
  <c r="O11" i="35"/>
  <c r="Q11" i="35"/>
  <c r="G43" i="35"/>
  <c r="P42" i="35"/>
  <c r="F12" i="35"/>
  <c r="E13" i="35"/>
  <c r="G12" i="35"/>
  <c r="P12" i="35"/>
  <c r="A12" i="35"/>
  <c r="B10" i="35"/>
  <c r="F13" i="35"/>
  <c r="G13" i="35"/>
  <c r="P13" i="35"/>
  <c r="E14" i="35"/>
  <c r="H12" i="35"/>
  <c r="O12" i="35"/>
  <c r="Q12" i="35"/>
  <c r="B11" i="35"/>
  <c r="A13" i="35"/>
  <c r="G44" i="35"/>
  <c r="P43" i="35"/>
  <c r="F14" i="35"/>
  <c r="E15" i="35"/>
  <c r="G14" i="35"/>
  <c r="P14" i="35"/>
  <c r="P44" i="35"/>
  <c r="G45" i="35"/>
  <c r="H13" i="35"/>
  <c r="O13" i="35"/>
  <c r="Q13" i="35"/>
  <c r="B12" i="35"/>
  <c r="A14" i="35"/>
  <c r="P45" i="35"/>
  <c r="G46" i="35"/>
  <c r="B13" i="35"/>
  <c r="A15" i="35"/>
  <c r="F15" i="35"/>
  <c r="E16" i="35"/>
  <c r="G15" i="35"/>
  <c r="P15" i="35"/>
  <c r="H14" i="35"/>
  <c r="O14" i="35"/>
  <c r="Q14" i="35"/>
  <c r="F16" i="35"/>
  <c r="E17" i="35"/>
  <c r="G16" i="35"/>
  <c r="P16" i="35"/>
  <c r="O15" i="35"/>
  <c r="Q15" i="35"/>
  <c r="H15" i="35"/>
  <c r="B14" i="35"/>
  <c r="A16" i="35"/>
  <c r="G47" i="35"/>
  <c r="P46" i="35"/>
  <c r="G48" i="35"/>
  <c r="P47" i="35"/>
  <c r="G17" i="35"/>
  <c r="P17" i="35"/>
  <c r="F17" i="35"/>
  <c r="E18" i="35"/>
  <c r="B15" i="35"/>
  <c r="A17" i="35"/>
  <c r="H16" i="35"/>
  <c r="O16" i="35"/>
  <c r="Q16" i="35"/>
  <c r="H17" i="35"/>
  <c r="O17" i="35"/>
  <c r="Q17" i="35"/>
  <c r="E19" i="35"/>
  <c r="F18" i="35"/>
  <c r="G18" i="35"/>
  <c r="P18" i="35"/>
  <c r="A18" i="35"/>
  <c r="B16" i="35"/>
  <c r="P48" i="35"/>
  <c r="G49" i="35"/>
  <c r="P49" i="35"/>
  <c r="G50" i="35"/>
  <c r="H18" i="35"/>
  <c r="O18" i="35"/>
  <c r="Q18" i="35"/>
  <c r="F19" i="35"/>
  <c r="E20" i="35"/>
  <c r="G19" i="35"/>
  <c r="P19" i="35"/>
  <c r="B17" i="35"/>
  <c r="A19" i="35"/>
  <c r="G51" i="35"/>
  <c r="P50" i="35"/>
  <c r="E21" i="35"/>
  <c r="F20" i="35"/>
  <c r="G20" i="35"/>
  <c r="P20" i="35"/>
  <c r="O19" i="35"/>
  <c r="Q19" i="35"/>
  <c r="H19" i="35"/>
  <c r="A20" i="35"/>
  <c r="B18" i="35"/>
  <c r="F21" i="35"/>
  <c r="G21" i="35"/>
  <c r="P21" i="35"/>
  <c r="E22" i="35"/>
  <c r="B19" i="35"/>
  <c r="A21" i="35"/>
  <c r="H20" i="35"/>
  <c r="O20" i="35"/>
  <c r="Q20" i="35"/>
  <c r="P51" i="35"/>
  <c r="G52" i="35"/>
  <c r="O21" i="35"/>
  <c r="Q21" i="35"/>
  <c r="H21" i="35"/>
  <c r="B20" i="35"/>
  <c r="A22" i="35"/>
  <c r="F22" i="35"/>
  <c r="E23" i="35"/>
  <c r="G22" i="35"/>
  <c r="P22" i="35"/>
  <c r="P52" i="35"/>
  <c r="G53" i="35"/>
  <c r="A23" i="35"/>
  <c r="B21" i="35"/>
  <c r="H22" i="35"/>
  <c r="O22" i="35"/>
  <c r="Q22" i="35"/>
  <c r="P53" i="35"/>
  <c r="G54" i="35"/>
  <c r="F23" i="35"/>
  <c r="G23" i="35"/>
  <c r="P23" i="35"/>
  <c r="E24" i="35"/>
  <c r="E25" i="35"/>
  <c r="F24" i="35"/>
  <c r="G24" i="35"/>
  <c r="P24" i="35"/>
  <c r="O23" i="35"/>
  <c r="Q23" i="35"/>
  <c r="H23" i="35"/>
  <c r="A24" i="35"/>
  <c r="B22" i="35"/>
  <c r="P54" i="35"/>
  <c r="G55" i="35"/>
  <c r="B23" i="35"/>
  <c r="A25" i="35"/>
  <c r="H24" i="35"/>
  <c r="O24" i="35"/>
  <c r="Q24" i="35"/>
  <c r="G56" i="35"/>
  <c r="P55" i="35"/>
  <c r="F25" i="35"/>
  <c r="G25" i="35"/>
  <c r="P25" i="35"/>
  <c r="E26" i="35"/>
  <c r="E27" i="35"/>
  <c r="F26" i="35"/>
  <c r="G26" i="35"/>
  <c r="P26" i="35"/>
  <c r="G57" i="35"/>
  <c r="P56" i="35"/>
  <c r="O25" i="35"/>
  <c r="Q25" i="35"/>
  <c r="H25" i="35"/>
  <c r="A26" i="35"/>
  <c r="B24" i="35"/>
  <c r="A27" i="35"/>
  <c r="B25" i="35"/>
  <c r="G58" i="35"/>
  <c r="P57" i="35"/>
  <c r="H26" i="35"/>
  <c r="O26" i="35"/>
  <c r="Q26" i="35"/>
  <c r="G27" i="35"/>
  <c r="P27" i="35"/>
  <c r="F27" i="35"/>
  <c r="E28" i="35"/>
  <c r="O27" i="35"/>
  <c r="Q27" i="35"/>
  <c r="H27" i="35"/>
  <c r="G59" i="35"/>
  <c r="P58" i="35"/>
  <c r="E29" i="35"/>
  <c r="G28" i="35"/>
  <c r="P28" i="35"/>
  <c r="F28" i="35"/>
  <c r="B26" i="35"/>
  <c r="A28" i="35"/>
  <c r="H28" i="35"/>
  <c r="O28" i="35"/>
  <c r="Q28" i="35"/>
  <c r="F29" i="35"/>
  <c r="E30" i="35"/>
  <c r="G29" i="35"/>
  <c r="P29" i="35"/>
  <c r="G60" i="35"/>
  <c r="P59" i="35"/>
  <c r="A29" i="35"/>
  <c r="B27" i="35"/>
  <c r="F30" i="35"/>
  <c r="E31" i="35"/>
  <c r="G30" i="35"/>
  <c r="P30" i="35"/>
  <c r="O29" i="35"/>
  <c r="Q29" i="35"/>
  <c r="H29" i="35"/>
  <c r="B28" i="35"/>
  <c r="A30" i="35"/>
  <c r="G61" i="35"/>
  <c r="P60" i="35"/>
  <c r="B29" i="35"/>
  <c r="A31" i="35"/>
  <c r="E32" i="35"/>
  <c r="F31" i="35"/>
  <c r="G31" i="35"/>
  <c r="P31" i="35"/>
  <c r="H30" i="35"/>
  <c r="O30" i="35"/>
  <c r="Q30" i="35"/>
  <c r="G62" i="35"/>
  <c r="P61" i="35"/>
  <c r="B30" i="35"/>
  <c r="A32" i="35"/>
  <c r="G63" i="35"/>
  <c r="P62" i="35"/>
  <c r="H31" i="35"/>
  <c r="O31" i="35"/>
  <c r="Q31" i="35"/>
  <c r="G32" i="35"/>
  <c r="P32" i="35"/>
  <c r="E33" i="35"/>
  <c r="F32" i="35"/>
  <c r="G33" i="35"/>
  <c r="P33" i="35"/>
  <c r="E34" i="35"/>
  <c r="F33" i="35"/>
  <c r="B31" i="35"/>
  <c r="A33" i="35"/>
  <c r="H32" i="35"/>
  <c r="O32" i="35"/>
  <c r="Q32" i="35"/>
  <c r="G64" i="35"/>
  <c r="P63" i="35"/>
  <c r="P64" i="35"/>
  <c r="G65" i="35"/>
  <c r="P65" i="35"/>
  <c r="A34" i="35"/>
  <c r="B32" i="35"/>
  <c r="H33" i="35"/>
  <c r="O33" i="35"/>
  <c r="Q33" i="35"/>
  <c r="F34" i="35"/>
  <c r="G34" i="35"/>
  <c r="P34" i="35"/>
  <c r="E35" i="35"/>
  <c r="A35" i="35"/>
  <c r="B33" i="35"/>
  <c r="G35" i="35"/>
  <c r="P35" i="35"/>
  <c r="E36" i="35"/>
  <c r="F35" i="35"/>
  <c r="O34" i="35"/>
  <c r="Q34" i="35"/>
  <c r="H34" i="35"/>
  <c r="O35" i="35"/>
  <c r="Q35" i="35"/>
  <c r="H35" i="35"/>
  <c r="F36" i="35"/>
  <c r="G36" i="35"/>
  <c r="P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B34" i="35"/>
  <c r="A36" i="35"/>
  <c r="B35" i="35"/>
  <c r="A37" i="35"/>
  <c r="F37" i="35"/>
  <c r="O36" i="35"/>
  <c r="Q36" i="35"/>
  <c r="H36" i="35"/>
  <c r="A38" i="35"/>
  <c r="B36" i="35"/>
  <c r="H37" i="35"/>
  <c r="F38" i="35"/>
  <c r="O37" i="35"/>
  <c r="Q37" i="35"/>
  <c r="H38" i="35"/>
  <c r="O38" i="35"/>
  <c r="Q38" i="35"/>
  <c r="F39" i="35"/>
  <c r="A39" i="35"/>
  <c r="B37" i="35"/>
  <c r="B38" i="35"/>
  <c r="A40" i="35"/>
  <c r="F40" i="35"/>
  <c r="H39" i="35"/>
  <c r="O39" i="35"/>
  <c r="Q39" i="35"/>
  <c r="H40" i="35"/>
  <c r="O40" i="35"/>
  <c r="Q40" i="35"/>
  <c r="F41" i="35"/>
  <c r="A41" i="35"/>
  <c r="B39" i="35"/>
  <c r="B40" i="35"/>
  <c r="A42" i="35"/>
  <c r="F42" i="35"/>
  <c r="O41" i="35"/>
  <c r="Q41" i="35"/>
  <c r="H41" i="35"/>
  <c r="H42" i="35"/>
  <c r="O42" i="35"/>
  <c r="Q42" i="35"/>
  <c r="F43" i="35"/>
  <c r="B41" i="35"/>
  <c r="A43" i="35"/>
  <c r="A44" i="35"/>
  <c r="B42" i="35"/>
  <c r="F44" i="35"/>
  <c r="H43" i="35"/>
  <c r="O43" i="35"/>
  <c r="Q43" i="35"/>
  <c r="H44" i="35"/>
  <c r="O44" i="35"/>
  <c r="Q44" i="35"/>
  <c r="F45" i="35"/>
  <c r="A45" i="35"/>
  <c r="B43" i="35"/>
  <c r="B44" i="35"/>
  <c r="A46" i="35"/>
  <c r="F46" i="35"/>
  <c r="O45" i="35"/>
  <c r="Q45" i="35"/>
  <c r="H45" i="35"/>
  <c r="H46" i="35"/>
  <c r="O46" i="35"/>
  <c r="Q46" i="35"/>
  <c r="F47" i="35"/>
  <c r="A47" i="35"/>
  <c r="B45" i="35"/>
  <c r="B46" i="35"/>
  <c r="A48" i="35"/>
  <c r="F48" i="35"/>
  <c r="O47" i="35"/>
  <c r="Q47" i="35"/>
  <c r="H47" i="35"/>
  <c r="H48" i="35"/>
  <c r="O48" i="35"/>
  <c r="Q48" i="35"/>
  <c r="F49" i="35"/>
  <c r="A49" i="35"/>
  <c r="B47" i="35"/>
  <c r="F50" i="35"/>
  <c r="O49" i="35"/>
  <c r="Q49" i="35"/>
  <c r="H49" i="35"/>
  <c r="B48" i="35"/>
  <c r="A50" i="35"/>
  <c r="A51" i="35"/>
  <c r="B49" i="35"/>
  <c r="H50" i="35"/>
  <c r="O50" i="35"/>
  <c r="Q50" i="35"/>
  <c r="F51" i="35"/>
  <c r="F52" i="35"/>
  <c r="O51" i="35"/>
  <c r="Q51" i="35"/>
  <c r="H51" i="35"/>
  <c r="B50" i="35"/>
  <c r="A52" i="35"/>
  <c r="A53" i="35"/>
  <c r="B51" i="35"/>
  <c r="H52" i="35"/>
  <c r="O52" i="35"/>
  <c r="Q52" i="35"/>
  <c r="F53" i="35"/>
  <c r="B52" i="35"/>
  <c r="A54" i="35"/>
  <c r="F54" i="35"/>
  <c r="H53" i="35"/>
  <c r="O53" i="35"/>
  <c r="Q53" i="35"/>
  <c r="O54" i="35"/>
  <c r="Q54" i="35"/>
  <c r="H54" i="35"/>
  <c r="F55" i="35"/>
  <c r="A55" i="35"/>
  <c r="B53" i="35"/>
  <c r="F56" i="35"/>
  <c r="H55" i="35"/>
  <c r="O55" i="35"/>
  <c r="Q55" i="35"/>
  <c r="B54" i="35"/>
  <c r="A56" i="35"/>
  <c r="B55" i="35"/>
  <c r="A57" i="35"/>
  <c r="O56" i="35"/>
  <c r="Q56" i="35"/>
  <c r="H56" i="35"/>
  <c r="F57" i="35"/>
  <c r="A58" i="35"/>
  <c r="B56" i="35"/>
  <c r="F58" i="35"/>
  <c r="O57" i="35"/>
  <c r="Q57" i="35"/>
  <c r="H57" i="35"/>
  <c r="B57" i="35"/>
  <c r="A59" i="35"/>
  <c r="O58" i="35"/>
  <c r="Q58" i="35"/>
  <c r="H58" i="35"/>
  <c r="F59" i="35"/>
  <c r="A60" i="35"/>
  <c r="B58" i="35"/>
  <c r="F60" i="35"/>
  <c r="O59" i="35"/>
  <c r="Q59" i="35"/>
  <c r="H59" i="35"/>
  <c r="O60" i="35"/>
  <c r="Q60" i="35"/>
  <c r="H60" i="35"/>
  <c r="F61" i="35"/>
  <c r="B59" i="35"/>
  <c r="A61" i="35"/>
  <c r="A62" i="35"/>
  <c r="B60" i="35"/>
  <c r="O61" i="35"/>
  <c r="Q61" i="35"/>
  <c r="H61" i="35"/>
  <c r="F62" i="35"/>
  <c r="O62" i="35"/>
  <c r="Q62" i="35"/>
  <c r="H62" i="35"/>
  <c r="F63" i="35"/>
  <c r="B61" i="35"/>
  <c r="A63" i="35"/>
  <c r="A64" i="35"/>
  <c r="B62" i="35"/>
  <c r="H63" i="35"/>
  <c r="F64" i="35"/>
  <c r="O63" i="35"/>
  <c r="Q63" i="35"/>
  <c r="F65" i="35"/>
  <c r="H64" i="35"/>
  <c r="O64" i="35"/>
  <c r="Q64" i="35"/>
  <c r="A65" i="35"/>
  <c r="B64" i="35"/>
  <c r="B63" i="35"/>
  <c r="H65" i="35"/>
  <c r="O65" i="35"/>
  <c r="Q65" i="35"/>
  <c r="Y30" i="17"/>
  <c r="BZ23" i="34"/>
  <c r="DA23" i="34"/>
  <c r="Q29" i="34"/>
  <c r="AR29" i="34"/>
  <c r="DL29" i="34"/>
  <c r="BJ29" i="34"/>
  <c r="Z29" i="34"/>
  <c r="GF29" i="34"/>
  <c r="EB23" i="34"/>
  <c r="BS29" i="34"/>
  <c r="CT29" i="34"/>
  <c r="BA29" i="34"/>
  <c r="H29" i="34"/>
  <c r="AI29" i="34"/>
  <c r="V12" i="34"/>
  <c r="V15" i="34" s="1"/>
  <c r="Z18" i="34" s="1"/>
  <c r="Z32" i="34" s="1"/>
  <c r="D12" i="34"/>
  <c r="BF12" i="34"/>
  <c r="AW12" i="34"/>
  <c r="AE12" i="34"/>
  <c r="AN12" i="34"/>
  <c r="AN15" i="34" s="1"/>
  <c r="AR18" i="34" s="1"/>
  <c r="AR32" i="34" s="1"/>
  <c r="CP12" i="34"/>
  <c r="CP15" i="34" s="1"/>
  <c r="CT18" i="34" s="1"/>
  <c r="CT32" i="34" s="1"/>
  <c r="GB12" i="34"/>
  <c r="FU23" i="34"/>
  <c r="M12" i="34"/>
  <c r="DH12" i="34"/>
  <c r="FL23" i="34"/>
  <c r="HE23" i="34"/>
  <c r="BO12" i="34"/>
  <c r="BO15" i="34" s="1"/>
  <c r="BS18" i="34" s="1"/>
  <c r="BS32" i="34" s="1"/>
  <c r="ET23" i="34"/>
  <c r="JY23" i="34"/>
  <c r="JP23" i="34"/>
  <c r="JG23" i="34"/>
  <c r="IO23" i="34"/>
  <c r="IX23" i="34"/>
  <c r="FC23" i="34"/>
  <c r="HW23" i="34"/>
  <c r="BN18" i="34"/>
  <c r="GA18" i="34"/>
  <c r="DG18" i="34"/>
  <c r="C18" i="34"/>
  <c r="CF24" i="34"/>
  <c r="GA24" i="34"/>
  <c r="BN24" i="34"/>
  <c r="AV24" i="34"/>
  <c r="C24" i="34"/>
  <c r="BE24" i="34"/>
  <c r="U24" i="34"/>
  <c r="U21" i="34"/>
  <c r="AD24" i="34"/>
  <c r="CO18" i="34"/>
  <c r="GV23" i="34"/>
  <c r="KH23" i="34"/>
  <c r="L24" i="34"/>
  <c r="BW24" i="34"/>
  <c r="AV21" i="34"/>
  <c r="AD21" i="34"/>
  <c r="L21" i="34"/>
  <c r="BE18" i="34"/>
  <c r="GA21" i="34"/>
  <c r="BN21" i="34"/>
  <c r="AV18" i="34"/>
  <c r="CO24" i="34"/>
  <c r="GM23" i="34"/>
  <c r="DS23" i="34"/>
  <c r="AJ29" i="2"/>
  <c r="AH29" i="2"/>
  <c r="AH31" i="2" s="1"/>
  <c r="AW15" i="34"/>
  <c r="IF23" i="34"/>
  <c r="D15" i="34"/>
  <c r="DH15" i="34"/>
  <c r="DL18" i="34" s="1"/>
  <c r="DL32" i="34" s="1"/>
  <c r="GB15" i="34"/>
  <c r="AD18" i="34"/>
  <c r="L29" i="2"/>
  <c r="R37" i="2" s="1"/>
  <c r="I9" i="30"/>
  <c r="AM24" i="34"/>
  <c r="BW21" i="34"/>
  <c r="U18" i="34"/>
  <c r="L18" i="34"/>
  <c r="CF18" i="34"/>
  <c r="CF19" i="34" s="1"/>
  <c r="C21" i="34"/>
  <c r="AM21" i="34"/>
  <c r="M15" i="34"/>
  <c r="CF21" i="34"/>
  <c r="F29" i="2"/>
  <c r="BW18" i="34"/>
  <c r="AE15" i="34"/>
  <c r="CO21" i="34"/>
  <c r="BF15" i="34"/>
  <c r="J29" i="2"/>
  <c r="AM18" i="34"/>
  <c r="M29" i="2"/>
  <c r="AG29" i="2"/>
  <c r="AG31" i="2" s="1"/>
  <c r="D29" i="2"/>
  <c r="K29" i="2"/>
  <c r="BE21" i="34"/>
  <c r="EK23" i="34"/>
  <c r="HN23" i="34"/>
  <c r="FL22" i="34"/>
  <c r="EK22" i="34"/>
  <c r="BA18" i="34"/>
  <c r="BA32" i="34"/>
  <c r="GF18" i="34"/>
  <c r="GF32" i="34" s="1"/>
  <c r="BJ18" i="34"/>
  <c r="BJ32" i="34" s="1"/>
  <c r="Q18" i="34"/>
  <c r="Q32" i="34" s="1"/>
  <c r="H18" i="34"/>
  <c r="H32" i="34" s="1"/>
  <c r="AI18" i="34"/>
  <c r="GM22" i="34"/>
  <c r="HN22" i="34"/>
  <c r="DS22" i="34"/>
  <c r="KH22" i="34"/>
  <c r="JP22" i="34"/>
  <c r="IF22" i="34"/>
  <c r="FU22" i="34"/>
  <c r="HE22" i="34"/>
  <c r="DA22" i="34"/>
  <c r="AX16" i="2"/>
  <c r="IX22" i="34"/>
  <c r="IO22" i="34"/>
  <c r="AX21" i="2"/>
  <c r="AX10" i="2"/>
  <c r="FC22" i="34"/>
  <c r="AX26" i="2"/>
  <c r="AX9" i="2"/>
  <c r="JG22" i="34"/>
  <c r="EB22" i="34"/>
  <c r="JY22" i="34"/>
  <c r="ET22" i="34"/>
  <c r="HW22" i="34"/>
  <c r="GV22" i="34"/>
  <c r="V29" i="2"/>
  <c r="AO29" i="2"/>
  <c r="BZ22" i="34"/>
  <c r="U29" i="2"/>
  <c r="AN29" i="2"/>
  <c r="CK29" i="34"/>
  <c r="I11" i="30"/>
  <c r="I14" i="30"/>
  <c r="S44" i="2" l="1"/>
  <c r="AJ31" i="2"/>
  <c r="S50" i="2"/>
  <c r="T50" i="2" s="1"/>
  <c r="AS29" i="2"/>
  <c r="R40" i="2" s="1"/>
  <c r="AX15" i="2"/>
  <c r="AX25" i="2"/>
  <c r="KE4" i="34"/>
  <c r="JD4" i="34"/>
  <c r="IU4" i="34"/>
  <c r="HT4" i="34"/>
  <c r="IL4" i="34"/>
  <c r="JV4" i="34"/>
  <c r="JM4" i="34"/>
  <c r="IC4" i="34"/>
  <c r="GS4" i="34"/>
  <c r="DP4" i="34"/>
  <c r="HB4" i="34"/>
  <c r="DY4" i="34"/>
  <c r="HK4" i="34"/>
  <c r="EH4" i="34"/>
  <c r="EQ4" i="34"/>
  <c r="FR4" i="34"/>
  <c r="FI4" i="34"/>
  <c r="EZ4" i="34"/>
  <c r="CX4" i="34"/>
  <c r="GJ4" i="34"/>
  <c r="CG9" i="34"/>
  <c r="CF10" i="34"/>
  <c r="CG12" i="34" s="1"/>
  <c r="AX24" i="2"/>
  <c r="AX14" i="2"/>
  <c r="AX23" i="2"/>
  <c r="AX8" i="2"/>
  <c r="AX27" i="2"/>
  <c r="AX18" i="2"/>
  <c r="AX13" i="2"/>
  <c r="X29" i="2"/>
  <c r="AX17" i="2"/>
  <c r="AX19" i="2"/>
  <c r="AX28" i="2"/>
  <c r="AX22" i="2"/>
  <c r="AX11" i="2"/>
  <c r="AX20" i="2"/>
  <c r="AZ29" i="2"/>
  <c r="AY29" i="2"/>
  <c r="AQ29" i="2"/>
  <c r="AX12" i="2"/>
  <c r="AI32" i="34"/>
  <c r="D4" i="17"/>
  <c r="E4" i="17" s="1"/>
  <c r="F4" i="17" s="1"/>
  <c r="BW4" i="34"/>
  <c r="M30" i="17"/>
  <c r="AJ23" i="17"/>
  <c r="AH25" i="17"/>
  <c r="N30" i="17"/>
  <c r="L30" i="17"/>
  <c r="BJ29" i="17"/>
  <c r="G30" i="17"/>
  <c r="D31" i="2" s="1"/>
  <c r="AZ26" i="17"/>
  <c r="BB27" i="17"/>
  <c r="JW26" i="34" s="1"/>
  <c r="J8" i="17"/>
  <c r="AL8" i="17" s="1"/>
  <c r="BF12" i="17"/>
  <c r="BD19" i="17"/>
  <c r="Q19" i="2" s="1"/>
  <c r="AZ19" i="17"/>
  <c r="AX28" i="17"/>
  <c r="AL28" i="17"/>
  <c r="AR28" i="17"/>
  <c r="AB28" i="17"/>
  <c r="BH28" i="17"/>
  <c r="AP28" i="17"/>
  <c r="AV28" i="17"/>
  <c r="AZ28" i="17"/>
  <c r="AH28" i="17"/>
  <c r="BD28" i="17"/>
  <c r="Q28" i="2" s="1"/>
  <c r="KF26" i="34" s="1"/>
  <c r="AJ28" i="17"/>
  <c r="BB28" i="17"/>
  <c r="AD28" i="17"/>
  <c r="AJ10" i="17"/>
  <c r="AF10" i="17"/>
  <c r="BF10" i="17"/>
  <c r="AR10" i="17"/>
  <c r="BD10" i="17"/>
  <c r="Q10" i="2" s="1"/>
  <c r="AX10" i="17"/>
  <c r="BB10" i="17"/>
  <c r="AL21" i="17"/>
  <c r="AZ21" i="17"/>
  <c r="AJ21" i="17"/>
  <c r="AV21" i="17"/>
  <c r="BB21" i="17"/>
  <c r="HU27" i="34" s="1"/>
  <c r="AH19" i="17"/>
  <c r="AJ15" i="17"/>
  <c r="AL19" i="17"/>
  <c r="AX26" i="17"/>
  <c r="AZ11" i="17"/>
  <c r="AH11" i="17"/>
  <c r="BB11" i="17"/>
  <c r="AV19" i="17"/>
  <c r="BB19" i="17"/>
  <c r="BF19" i="17"/>
  <c r="AJ19" i="17"/>
  <c r="BH19" i="17"/>
  <c r="AR19" i="17"/>
  <c r="AF19" i="17"/>
  <c r="AD24" i="17"/>
  <c r="BH21" i="17"/>
  <c r="AR21" i="17"/>
  <c r="BD21" i="17"/>
  <c r="Q21" i="2" s="1"/>
  <c r="HU26" i="34" s="1"/>
  <c r="AX21" i="17"/>
  <c r="AH21" i="17"/>
  <c r="N21" i="2" s="1"/>
  <c r="AX19" i="17"/>
  <c r="AR20" i="17"/>
  <c r="BH20" i="17"/>
  <c r="BD17" i="17"/>
  <c r="Q17" i="2" s="1"/>
  <c r="AT11" i="17"/>
  <c r="BF11" i="17"/>
  <c r="AJ11" i="17"/>
  <c r="AR11" i="17"/>
  <c r="BD11" i="17"/>
  <c r="Q11" i="2" s="1"/>
  <c r="AL11" i="17"/>
  <c r="AR17" i="17"/>
  <c r="BB17" i="17"/>
  <c r="GK28" i="34" s="1"/>
  <c r="AF17" i="17"/>
  <c r="AJ17" i="17"/>
  <c r="AV17" i="17"/>
  <c r="AL17" i="17"/>
  <c r="AV20" i="17"/>
  <c r="AZ20" i="17"/>
  <c r="AX20" i="17"/>
  <c r="BB20" i="17"/>
  <c r="AL20" i="17"/>
  <c r="BD20" i="17"/>
  <c r="Q20" i="2" s="1"/>
  <c r="AF20" i="17"/>
  <c r="BF20" i="17"/>
  <c r="AH17" i="17"/>
  <c r="AZ17" i="17"/>
  <c r="AH20" i="17"/>
  <c r="BF17" i="17"/>
  <c r="AD22" i="17"/>
  <c r="AX17" i="17"/>
  <c r="AJ20" i="17"/>
  <c r="AV11" i="17"/>
  <c r="BH11" i="17"/>
  <c r="AF11" i="17"/>
  <c r="AT10" i="17"/>
  <c r="BH10" i="17"/>
  <c r="AL10" i="17"/>
  <c r="AH10" i="17"/>
  <c r="AV10" i="17"/>
  <c r="AZ10" i="17"/>
  <c r="BI29" i="17"/>
  <c r="BL29" i="17" s="1"/>
  <c r="N19" i="2" l="1"/>
  <c r="N17" i="2"/>
  <c r="GK18" i="34" s="1"/>
  <c r="N28" i="2"/>
  <c r="N20" i="2"/>
  <c r="N11" i="2"/>
  <c r="N10" i="2"/>
  <c r="O10" i="2"/>
  <c r="T28" i="2"/>
  <c r="AL28" i="2" s="1"/>
  <c r="T14" i="2"/>
  <c r="AL14" i="2" s="1"/>
  <c r="T27" i="2"/>
  <c r="AL27" i="2" s="1"/>
  <c r="T20" i="2"/>
  <c r="AL20" i="2" s="1"/>
  <c r="O20" i="2"/>
  <c r="T17" i="2"/>
  <c r="AL17" i="2" s="1"/>
  <c r="T9" i="2"/>
  <c r="AL9" i="2" s="1"/>
  <c r="T12" i="2"/>
  <c r="AL12" i="2" s="1"/>
  <c r="T25" i="2"/>
  <c r="AL25" i="2" s="1"/>
  <c r="T11" i="2"/>
  <c r="AL11" i="2" s="1"/>
  <c r="T8" i="2"/>
  <c r="CB9" i="34" s="1"/>
  <c r="T10" i="2"/>
  <c r="T22" i="2"/>
  <c r="AL22" i="2" s="1"/>
  <c r="T16" i="2"/>
  <c r="AL16" i="2" s="1"/>
  <c r="T13" i="2"/>
  <c r="T24" i="2"/>
  <c r="AL24" i="2" s="1"/>
  <c r="T21" i="2"/>
  <c r="AL21" i="2" s="1"/>
  <c r="T15" i="2"/>
  <c r="AL15" i="2" s="1"/>
  <c r="T18" i="2"/>
  <c r="AL18" i="2" s="1"/>
  <c r="T19" i="2"/>
  <c r="AL19" i="2" s="1"/>
  <c r="T23" i="2"/>
  <c r="AL23" i="2" s="1"/>
  <c r="T26" i="2"/>
  <c r="AL26" i="2" s="1"/>
  <c r="O11" i="2"/>
  <c r="O28" i="2"/>
  <c r="HL18" i="34"/>
  <c r="DQ17" i="34"/>
  <c r="O17" i="2"/>
  <c r="O19" i="2"/>
  <c r="DQ26" i="34"/>
  <c r="JE18" i="34"/>
  <c r="O21" i="2"/>
  <c r="KF18" i="34"/>
  <c r="HU18" i="34"/>
  <c r="I29" i="2"/>
  <c r="I31" i="2" s="1"/>
  <c r="H29" i="2"/>
  <c r="H31" i="2" s="1"/>
  <c r="G29" i="2"/>
  <c r="G31" i="2" s="1"/>
  <c r="GK26" i="34"/>
  <c r="S47" i="2"/>
  <c r="T47" i="2" s="1"/>
  <c r="CG15" i="34"/>
  <c r="CK18" i="34" s="1"/>
  <c r="CK32" i="34" s="1"/>
  <c r="CK35" i="34" s="1"/>
  <c r="G4" i="17"/>
  <c r="H4" i="17" s="1"/>
  <c r="I4" i="17" s="1"/>
  <c r="J4" i="17" s="1"/>
  <c r="IT5" i="34"/>
  <c r="KD5" i="34"/>
  <c r="HS5" i="34"/>
  <c r="IB5" i="34"/>
  <c r="JU5" i="34"/>
  <c r="JL5" i="34"/>
  <c r="JC5" i="34"/>
  <c r="IK5" i="34"/>
  <c r="HA5" i="34"/>
  <c r="DX5" i="34"/>
  <c r="EG5" i="34"/>
  <c r="HJ5" i="34"/>
  <c r="EP5" i="34"/>
  <c r="EY5" i="34"/>
  <c r="CW5" i="34"/>
  <c r="FQ5" i="34"/>
  <c r="GI5" i="34"/>
  <c r="FH5" i="34"/>
  <c r="GR5" i="34"/>
  <c r="DO5" i="34"/>
  <c r="BV5" i="34"/>
  <c r="R38" i="2"/>
  <c r="AX29" i="2"/>
  <c r="AR29" i="2"/>
  <c r="S46" i="2" s="1"/>
  <c r="T46" i="2" s="1"/>
  <c r="S45" i="2"/>
  <c r="AP23" i="17"/>
  <c r="AX27" i="17"/>
  <c r="AD30" i="17"/>
  <c r="BJ17" i="17"/>
  <c r="AB25" i="17"/>
  <c r="BH27" i="17"/>
  <c r="AZ25" i="17"/>
  <c r="AV26" i="17"/>
  <c r="AV23" i="17"/>
  <c r="AZ23" i="17"/>
  <c r="AP25" i="17"/>
  <c r="AJ25" i="17"/>
  <c r="AX23" i="17"/>
  <c r="AH23" i="17"/>
  <c r="AH26" i="17"/>
  <c r="AB23" i="17"/>
  <c r="BH23" i="17"/>
  <c r="BD26" i="17"/>
  <c r="Q26" i="2" s="1"/>
  <c r="AZ12" i="17"/>
  <c r="BB8" i="17"/>
  <c r="BX28" i="34" s="1"/>
  <c r="BH15" i="17"/>
  <c r="O15" i="2" s="1"/>
  <c r="I30" i="17"/>
  <c r="AT12" i="17"/>
  <c r="AX8" i="17"/>
  <c r="AN8" i="17"/>
  <c r="AP26" i="17"/>
  <c r="AB26" i="17"/>
  <c r="AR23" i="17"/>
  <c r="AJ26" i="17"/>
  <c r="AL15" i="17"/>
  <c r="BJ10" i="17"/>
  <c r="P10" i="2" s="1"/>
  <c r="BD25" i="17"/>
  <c r="Q25" i="2" s="1"/>
  <c r="BH25" i="17"/>
  <c r="BD23" i="17"/>
  <c r="Q23" i="2" s="1"/>
  <c r="AT15" i="17"/>
  <c r="BH26" i="17"/>
  <c r="AR26" i="17"/>
  <c r="AV25" i="17"/>
  <c r="H30" i="17"/>
  <c r="E31" i="2" s="1"/>
  <c r="BD8" i="17"/>
  <c r="Q8" i="2" s="1"/>
  <c r="AL26" i="17"/>
  <c r="BJ19" i="17"/>
  <c r="BB26" i="17"/>
  <c r="JN26" i="34" s="1"/>
  <c r="AT8" i="17"/>
  <c r="AL23" i="17"/>
  <c r="BB23" i="17"/>
  <c r="IM27" i="34" s="1"/>
  <c r="BD18" i="17"/>
  <c r="Q18" i="2" s="1"/>
  <c r="GT26" i="34" s="1"/>
  <c r="AL18" i="17"/>
  <c r="BF8" i="17"/>
  <c r="AR15" i="17"/>
  <c r="AH8" i="17"/>
  <c r="AP27" i="17"/>
  <c r="AJ27" i="17"/>
  <c r="AF18" i="17"/>
  <c r="AR8" i="17"/>
  <c r="AZ8" i="17"/>
  <c r="AV8" i="17"/>
  <c r="BD15" i="17"/>
  <c r="Q15" i="2" s="1"/>
  <c r="AF8" i="17"/>
  <c r="AL25" i="17"/>
  <c r="N25" i="2" s="1"/>
  <c r="BB25" i="17"/>
  <c r="JE27" i="34" s="1"/>
  <c r="AX25" i="17"/>
  <c r="AR25" i="17"/>
  <c r="AL12" i="17"/>
  <c r="AZ18" i="17"/>
  <c r="BH12" i="17"/>
  <c r="BD12" i="17"/>
  <c r="Q12" i="2" s="1"/>
  <c r="BB12" i="17"/>
  <c r="AH12" i="17"/>
  <c r="AV12" i="17"/>
  <c r="AX12" i="17"/>
  <c r="AF12" i="17"/>
  <c r="AZ15" i="17"/>
  <c r="AH15" i="17"/>
  <c r="AR27" i="17"/>
  <c r="AZ27" i="17"/>
  <c r="AL27" i="17"/>
  <c r="BD27" i="17"/>
  <c r="Q27" i="2" s="1"/>
  <c r="JW17" i="34" s="1"/>
  <c r="AH27" i="17"/>
  <c r="AV27" i="17"/>
  <c r="AH16" i="17"/>
  <c r="BJ21" i="17"/>
  <c r="AJ18" i="17"/>
  <c r="AJ8" i="17"/>
  <c r="AX15" i="17"/>
  <c r="BF15" i="17"/>
  <c r="BH8" i="17"/>
  <c r="BH18" i="17"/>
  <c r="AH18" i="17"/>
  <c r="BI21" i="17"/>
  <c r="AX18" i="17"/>
  <c r="BF18" i="17"/>
  <c r="AV18" i="17"/>
  <c r="AF15" i="17"/>
  <c r="BD16" i="17"/>
  <c r="Q16" i="2" s="1"/>
  <c r="AZ16" i="17"/>
  <c r="AV15" i="17"/>
  <c r="BI28" i="17"/>
  <c r="AJ12" i="17"/>
  <c r="AR12" i="17"/>
  <c r="BB18" i="17"/>
  <c r="GT27" i="34" s="1"/>
  <c r="AR18" i="17"/>
  <c r="BJ28" i="17"/>
  <c r="BI19" i="17"/>
  <c r="AX16" i="17"/>
  <c r="BF16" i="17"/>
  <c r="AJ16" i="17"/>
  <c r="AF16" i="17"/>
  <c r="BH16" i="17"/>
  <c r="AL16" i="17"/>
  <c r="BJ11" i="17"/>
  <c r="P11" i="2" s="1"/>
  <c r="BB16" i="17"/>
  <c r="FS26" i="34" s="1"/>
  <c r="AR24" i="17"/>
  <c r="AJ24" i="17"/>
  <c r="AP24" i="17"/>
  <c r="AV24" i="17"/>
  <c r="AZ24" i="17"/>
  <c r="BD24" i="17"/>
  <c r="Q24" i="2" s="1"/>
  <c r="BB24" i="17"/>
  <c r="IV27" i="34" s="1"/>
  <c r="BH24" i="17"/>
  <c r="AB24" i="17"/>
  <c r="AX24" i="17"/>
  <c r="AH24" i="17"/>
  <c r="AL24" i="17"/>
  <c r="AV16" i="17"/>
  <c r="AR16" i="17"/>
  <c r="BI11" i="17"/>
  <c r="AT9" i="17"/>
  <c r="BF9" i="17"/>
  <c r="AN9" i="17"/>
  <c r="BH9" i="17"/>
  <c r="BD9" i="17"/>
  <c r="Q9" i="2" s="1"/>
  <c r="CY26" i="34" s="1"/>
  <c r="BB9" i="17"/>
  <c r="CY28" i="34" s="1"/>
  <c r="AV9" i="17"/>
  <c r="AX9" i="17"/>
  <c r="AJ9" i="17"/>
  <c r="AR9" i="17"/>
  <c r="AZ9" i="17"/>
  <c r="AH9" i="17"/>
  <c r="AF9" i="17"/>
  <c r="AL9" i="17"/>
  <c r="BI20" i="17"/>
  <c r="AZ13" i="17"/>
  <c r="AL13" i="17"/>
  <c r="AH13" i="17"/>
  <c r="BD13" i="17"/>
  <c r="Q13" i="2" s="1"/>
  <c r="ER26" i="34" s="1"/>
  <c r="AJ13" i="17"/>
  <c r="AR13" i="17"/>
  <c r="BB13" i="17"/>
  <c r="AX13" i="17"/>
  <c r="BF13" i="17"/>
  <c r="AT13" i="17"/>
  <c r="AV13" i="17"/>
  <c r="BH13" i="17"/>
  <c r="AF13" i="17"/>
  <c r="BI17" i="17"/>
  <c r="AR22" i="17"/>
  <c r="BD22" i="17"/>
  <c r="Q22" i="2" s="1"/>
  <c r="BH22" i="17"/>
  <c r="AL22" i="17"/>
  <c r="AJ22" i="17"/>
  <c r="BB22" i="17"/>
  <c r="ID26" i="34" s="1"/>
  <c r="AV22" i="17"/>
  <c r="AH22" i="17"/>
  <c r="AZ22" i="17"/>
  <c r="AP22" i="17"/>
  <c r="AB22" i="17"/>
  <c r="AX22" i="17"/>
  <c r="BI10" i="17"/>
  <c r="BH14" i="17"/>
  <c r="AX14" i="17"/>
  <c r="AH14" i="17"/>
  <c r="AV14" i="17"/>
  <c r="AL14" i="17"/>
  <c r="AR14" i="17"/>
  <c r="AF14" i="17"/>
  <c r="AZ14" i="17"/>
  <c r="AJ14" i="17"/>
  <c r="BB14" i="17"/>
  <c r="FA28" i="34" s="1"/>
  <c r="AT14" i="17"/>
  <c r="BF14" i="17"/>
  <c r="BD14" i="17"/>
  <c r="Q14" i="2" s="1"/>
  <c r="FA26" i="34" s="1"/>
  <c r="N27" i="2" l="1"/>
  <c r="R20" i="2"/>
  <c r="N26" i="2"/>
  <c r="JN18" i="34" s="1"/>
  <c r="N24" i="2"/>
  <c r="R11" i="2"/>
  <c r="R10" i="2"/>
  <c r="N15" i="2"/>
  <c r="N23" i="2"/>
  <c r="IM18" i="34" s="1"/>
  <c r="KE11" i="34"/>
  <c r="P28" i="2"/>
  <c r="R28" i="2" s="1"/>
  <c r="N14" i="2"/>
  <c r="N22" i="2"/>
  <c r="ID18" i="34" s="1"/>
  <c r="GJ11" i="34"/>
  <c r="P17" i="2"/>
  <c r="R17" i="2" s="1"/>
  <c r="N9" i="2"/>
  <c r="N8" i="2"/>
  <c r="BI8" i="17"/>
  <c r="N12" i="2"/>
  <c r="HT11" i="34"/>
  <c r="P21" i="2"/>
  <c r="R21" i="2" s="1"/>
  <c r="HB11" i="34"/>
  <c r="P19" i="2"/>
  <c r="S19" i="2" s="1"/>
  <c r="N13" i="2"/>
  <c r="N18" i="2"/>
  <c r="N16" i="2"/>
  <c r="HC12" i="34"/>
  <c r="AL10" i="2"/>
  <c r="DU9" i="34"/>
  <c r="AL13" i="2"/>
  <c r="EV9" i="34"/>
  <c r="O27" i="2"/>
  <c r="O25" i="2"/>
  <c r="BJ26" i="17"/>
  <c r="BJ23" i="17"/>
  <c r="BJ13" i="17"/>
  <c r="P13" i="2" s="1"/>
  <c r="BJ27" i="17"/>
  <c r="P27" i="2" s="1"/>
  <c r="JW14" i="34" s="1"/>
  <c r="BJ18" i="17"/>
  <c r="BJ12" i="17"/>
  <c r="P12" i="2" s="1"/>
  <c r="BJ15" i="17"/>
  <c r="P15" i="2" s="1"/>
  <c r="BJ24" i="17"/>
  <c r="BJ14" i="17"/>
  <c r="P14" i="2" s="1"/>
  <c r="BJ16" i="17"/>
  <c r="O18" i="2"/>
  <c r="O14" i="2"/>
  <c r="BJ22" i="17"/>
  <c r="BJ9" i="17"/>
  <c r="P9" i="2" s="1"/>
  <c r="BJ25" i="17"/>
  <c r="T29" i="2"/>
  <c r="T31" i="2" s="1"/>
  <c r="AL8" i="2"/>
  <c r="O13" i="2"/>
  <c r="O16" i="2"/>
  <c r="O26" i="2"/>
  <c r="O22" i="2"/>
  <c r="IV18" i="34"/>
  <c r="O8" i="2"/>
  <c r="CY17" i="34"/>
  <c r="O23" i="2"/>
  <c r="BX26" i="34"/>
  <c r="S10" i="2"/>
  <c r="S20" i="2"/>
  <c r="O9" i="2"/>
  <c r="O24" i="2"/>
  <c r="JW18" i="34"/>
  <c r="FA17" i="34"/>
  <c r="O12" i="2"/>
  <c r="S11" i="2"/>
  <c r="FA21" i="34"/>
  <c r="R36" i="2"/>
  <c r="BX9" i="34"/>
  <c r="BL11" i="17"/>
  <c r="BL21" i="17"/>
  <c r="BL19" i="17"/>
  <c r="BL17" i="17"/>
  <c r="BI26" i="17"/>
  <c r="BL10" i="17"/>
  <c r="BL20" i="17"/>
  <c r="BL28" i="17"/>
  <c r="R39" i="2"/>
  <c r="HT10" i="34"/>
  <c r="HU12" i="34" s="1"/>
  <c r="IL10" i="34"/>
  <c r="IM12" i="34" s="1"/>
  <c r="JV10" i="34"/>
  <c r="JW12" i="34" s="1"/>
  <c r="JD10" i="34"/>
  <c r="JE12" i="34" s="1"/>
  <c r="JM10" i="34"/>
  <c r="JN12" i="34" s="1"/>
  <c r="KE10" i="34"/>
  <c r="KF12" i="34" s="1"/>
  <c r="IC10" i="34"/>
  <c r="ID12" i="34" s="1"/>
  <c r="IU10" i="34"/>
  <c r="IV12" i="34" s="1"/>
  <c r="EQ10" i="34"/>
  <c r="ER12" i="34" s="1"/>
  <c r="EZ10" i="34"/>
  <c r="DP10" i="34"/>
  <c r="DQ12" i="34" s="1"/>
  <c r="DY10" i="34"/>
  <c r="DZ12" i="34" s="1"/>
  <c r="FI10" i="34"/>
  <c r="FJ12" i="34" s="1"/>
  <c r="FR10" i="34"/>
  <c r="FS12" i="34" s="1"/>
  <c r="GJ10" i="34"/>
  <c r="GK12" i="34" s="1"/>
  <c r="GS10" i="34"/>
  <c r="GT12" i="34" s="1"/>
  <c r="HK10" i="34"/>
  <c r="HL12" i="34" s="1"/>
  <c r="EH10" i="34"/>
  <c r="EI12" i="34" s="1"/>
  <c r="HB10" i="34"/>
  <c r="HU9" i="34"/>
  <c r="JN9" i="34"/>
  <c r="JE9" i="34"/>
  <c r="IM9" i="34"/>
  <c r="KF9" i="34"/>
  <c r="JW9" i="34"/>
  <c r="ID9" i="34"/>
  <c r="IV9" i="34"/>
  <c r="HL9" i="34"/>
  <c r="EI9" i="34"/>
  <c r="ER9" i="34"/>
  <c r="GK9" i="34"/>
  <c r="GT9" i="34"/>
  <c r="FA9" i="34"/>
  <c r="FJ9" i="34"/>
  <c r="FS9" i="34"/>
  <c r="DQ9" i="34"/>
  <c r="HC9" i="34"/>
  <c r="DZ9" i="34"/>
  <c r="CY9" i="34"/>
  <c r="CX10" i="34"/>
  <c r="T45" i="2"/>
  <c r="AL30" i="17"/>
  <c r="AF30" i="17"/>
  <c r="AH30" i="17"/>
  <c r="AT30" i="17"/>
  <c r="AV30" i="17"/>
  <c r="AZ30" i="17"/>
  <c r="BF30" i="17"/>
  <c r="AR30" i="17"/>
  <c r="BB30" i="17"/>
  <c r="AJ30" i="17"/>
  <c r="BH30" i="17"/>
  <c r="BJ8" i="17"/>
  <c r="P8" i="2" s="1"/>
  <c r="AB30" i="17"/>
  <c r="AP30" i="17"/>
  <c r="BD30" i="17"/>
  <c r="AN30" i="17"/>
  <c r="K4" i="17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BW10" i="34"/>
  <c r="BX12" i="34" s="1"/>
  <c r="AX30" i="17"/>
  <c r="BI23" i="17"/>
  <c r="J30" i="17"/>
  <c r="AW18" i="2"/>
  <c r="BI25" i="17"/>
  <c r="AW20" i="2"/>
  <c r="AW12" i="2"/>
  <c r="BI27" i="17"/>
  <c r="AW25" i="2"/>
  <c r="BI12" i="17"/>
  <c r="BI18" i="17"/>
  <c r="AW26" i="2"/>
  <c r="AW16" i="2"/>
  <c r="AW10" i="2"/>
  <c r="AW24" i="2"/>
  <c r="AW11" i="2"/>
  <c r="AW23" i="2"/>
  <c r="AW17" i="2"/>
  <c r="BI16" i="17"/>
  <c r="BI15" i="17"/>
  <c r="BI24" i="17"/>
  <c r="BI9" i="17"/>
  <c r="BI22" i="17"/>
  <c r="BI13" i="17"/>
  <c r="BI14" i="17"/>
  <c r="S17" i="2" l="1"/>
  <c r="Z17" i="2" s="1"/>
  <c r="S28" i="2"/>
  <c r="Z28" i="2" s="1"/>
  <c r="R15" i="2"/>
  <c r="R19" i="2"/>
  <c r="R27" i="2"/>
  <c r="S21" i="2"/>
  <c r="Z21" i="2" s="1"/>
  <c r="R8" i="2"/>
  <c r="R12" i="2"/>
  <c r="IC11" i="34"/>
  <c r="P22" i="2"/>
  <c r="R22" i="2" s="1"/>
  <c r="GS11" i="34"/>
  <c r="P18" i="2"/>
  <c r="S18" i="2" s="1"/>
  <c r="R13" i="2"/>
  <c r="FR11" i="34"/>
  <c r="P16" i="2"/>
  <c r="R16" i="2" s="1"/>
  <c r="IL11" i="34"/>
  <c r="P23" i="2"/>
  <c r="R23" i="2" s="1"/>
  <c r="JM11" i="34"/>
  <c r="P26" i="2"/>
  <c r="S26" i="2" s="1"/>
  <c r="IU11" i="34"/>
  <c r="P24" i="2"/>
  <c r="R24" i="2" s="1"/>
  <c r="JD11" i="34"/>
  <c r="P25" i="2"/>
  <c r="JE14" i="34" s="1"/>
  <c r="JE15" i="34" s="1"/>
  <c r="JI18" i="34" s="1"/>
  <c r="FA12" i="34"/>
  <c r="FA15" i="34" s="1"/>
  <c r="FE18" i="34" s="1"/>
  <c r="R14" i="2"/>
  <c r="AL29" i="2"/>
  <c r="AL31" i="2" s="1"/>
  <c r="CY12" i="34"/>
  <c r="CY15" i="34" s="1"/>
  <c r="DC18" i="34" s="1"/>
  <c r="R9" i="2"/>
  <c r="JN15" i="34"/>
  <c r="JR18" i="34" s="1"/>
  <c r="S12" i="2"/>
  <c r="S14" i="2"/>
  <c r="N29" i="2"/>
  <c r="N31" i="2" s="1"/>
  <c r="Q29" i="2"/>
  <c r="Q31" i="2" s="1"/>
  <c r="S8" i="2"/>
  <c r="S13" i="2"/>
  <c r="S27" i="2"/>
  <c r="Z27" i="2" s="1"/>
  <c r="S9" i="2"/>
  <c r="S15" i="2"/>
  <c r="BX15" i="34"/>
  <c r="CB18" i="34" s="1"/>
  <c r="O29" i="2"/>
  <c r="O31" i="2" s="1"/>
  <c r="BJ30" i="17"/>
  <c r="BL26" i="17"/>
  <c r="Z11" i="2"/>
  <c r="Z10" i="2"/>
  <c r="BL23" i="17"/>
  <c r="BL27" i="17"/>
  <c r="BL15" i="17"/>
  <c r="BL12" i="17"/>
  <c r="BL14" i="17"/>
  <c r="BL13" i="17"/>
  <c r="BL16" i="17"/>
  <c r="BL9" i="17"/>
  <c r="BL24" i="17"/>
  <c r="BL18" i="17"/>
  <c r="BL25" i="17"/>
  <c r="BL22" i="17"/>
  <c r="GT15" i="34"/>
  <c r="GX18" i="34" s="1"/>
  <c r="HL15" i="34"/>
  <c r="HP18" i="34" s="1"/>
  <c r="HU15" i="34"/>
  <c r="HY18" i="34" s="1"/>
  <c r="IV15" i="34"/>
  <c r="IZ18" i="34" s="1"/>
  <c r="HC15" i="34"/>
  <c r="HG18" i="34" s="1"/>
  <c r="EI15" i="34"/>
  <c r="EM18" i="34" s="1"/>
  <c r="DQ15" i="34"/>
  <c r="DU18" i="34" s="1"/>
  <c r="ID15" i="34"/>
  <c r="IH18" i="34" s="1"/>
  <c r="GK15" i="34"/>
  <c r="GO18" i="34" s="1"/>
  <c r="JW15" i="34"/>
  <c r="KA18" i="34" s="1"/>
  <c r="FS15" i="34"/>
  <c r="FW18" i="34" s="1"/>
  <c r="FJ15" i="34"/>
  <c r="FN18" i="34" s="1"/>
  <c r="KF15" i="34"/>
  <c r="KJ18" i="34" s="1"/>
  <c r="IM15" i="34"/>
  <c r="IQ18" i="34" s="1"/>
  <c r="DZ15" i="34"/>
  <c r="ED18" i="34" s="1"/>
  <c r="ER15" i="34"/>
  <c r="EV18" i="34" s="1"/>
  <c r="BL8" i="17"/>
  <c r="BI30" i="17"/>
  <c r="Z20" i="2"/>
  <c r="AW22" i="2"/>
  <c r="AW13" i="2"/>
  <c r="AW14" i="2"/>
  <c r="AW28" i="2"/>
  <c r="AW21" i="2"/>
  <c r="AW27" i="2"/>
  <c r="AW9" i="2"/>
  <c r="AW19" i="2"/>
  <c r="Z19" i="2"/>
  <c r="AW15" i="2"/>
  <c r="S24" i="2" l="1"/>
  <c r="R25" i="2"/>
  <c r="S22" i="2"/>
  <c r="Z22" i="2" s="1"/>
  <c r="S23" i="2"/>
  <c r="Z23" i="2" s="1"/>
  <c r="S16" i="2"/>
  <c r="Z16" i="2" s="1"/>
  <c r="R26" i="2"/>
  <c r="S25" i="2"/>
  <c r="Z25" i="2" s="1"/>
  <c r="R18" i="2"/>
  <c r="AA21" i="2"/>
  <c r="AB21" i="2" s="1"/>
  <c r="AA28" i="2"/>
  <c r="AB28" i="2" s="1"/>
  <c r="AA10" i="2"/>
  <c r="AB10" i="2" s="1"/>
  <c r="AA11" i="2"/>
  <c r="AB11" i="2" s="1"/>
  <c r="AA19" i="2"/>
  <c r="AB19" i="2" s="1"/>
  <c r="AA17" i="2"/>
  <c r="AB17" i="2" s="1"/>
  <c r="AA20" i="2"/>
  <c r="AB20" i="2" s="1"/>
  <c r="AA27" i="2"/>
  <c r="AB27" i="2" s="1"/>
  <c r="Z26" i="2"/>
  <c r="P29" i="2"/>
  <c r="P31" i="2" s="1"/>
  <c r="Z8" i="2"/>
  <c r="Z13" i="2"/>
  <c r="Z9" i="2"/>
  <c r="Z18" i="2"/>
  <c r="Z14" i="2"/>
  <c r="Z15" i="2"/>
  <c r="Z12" i="2"/>
  <c r="Z24" i="2"/>
  <c r="AW8" i="2"/>
  <c r="AW29" i="2" s="1"/>
  <c r="AA22" i="2" l="1"/>
  <c r="AB22" i="2" s="1"/>
  <c r="AA14" i="2"/>
  <c r="AB14" i="2" s="1"/>
  <c r="AA23" i="2"/>
  <c r="AB23" i="2" s="1"/>
  <c r="AA24" i="2"/>
  <c r="AB24" i="2" s="1"/>
  <c r="AA13" i="2"/>
  <c r="AB13" i="2" s="1"/>
  <c r="AD11" i="2"/>
  <c r="AC11" i="2"/>
  <c r="AE11" i="2" s="1"/>
  <c r="AC10" i="2"/>
  <c r="AE10" i="2" s="1"/>
  <c r="AD10" i="2"/>
  <c r="AD28" i="2"/>
  <c r="AC28" i="2"/>
  <c r="AE28" i="2" s="1"/>
  <c r="AA9" i="2"/>
  <c r="AB9" i="2" s="1"/>
  <c r="AA12" i="2"/>
  <c r="AB12" i="2" s="1"/>
  <c r="AC17" i="2"/>
  <c r="AE17" i="2" s="1"/>
  <c r="AD17" i="2"/>
  <c r="AD27" i="2"/>
  <c r="AC27" i="2"/>
  <c r="AE27" i="2" s="1"/>
  <c r="AD19" i="2"/>
  <c r="AC19" i="2"/>
  <c r="AE19" i="2" s="1"/>
  <c r="AA18" i="2"/>
  <c r="AB18" i="2" s="1"/>
  <c r="AD20" i="2"/>
  <c r="AC20" i="2"/>
  <c r="AE20" i="2" s="1"/>
  <c r="AA25" i="2"/>
  <c r="AB25" i="2" s="1"/>
  <c r="AA8" i="2"/>
  <c r="AB8" i="2" s="1"/>
  <c r="AD21" i="2"/>
  <c r="AC21" i="2"/>
  <c r="AE21" i="2" s="1"/>
  <c r="AA15" i="2"/>
  <c r="AB15" i="2" s="1"/>
  <c r="AA16" i="2"/>
  <c r="AB16" i="2" s="1"/>
  <c r="AA26" i="2"/>
  <c r="AB26" i="2" s="1"/>
  <c r="R35" i="2"/>
  <c r="R52" i="2" s="1"/>
  <c r="R29" i="2"/>
  <c r="R32" i="2" s="1"/>
  <c r="Z29" i="2"/>
  <c r="S29" i="2"/>
  <c r="S31" i="2" s="1"/>
  <c r="AF17" i="2" l="1"/>
  <c r="GM25" i="34" s="1"/>
  <c r="GO29" i="34" s="1"/>
  <c r="GO32" i="34" s="1"/>
  <c r="AF11" i="2"/>
  <c r="EB25" i="34" s="1"/>
  <c r="ED29" i="34" s="1"/>
  <c r="ED32" i="34" s="1"/>
  <c r="AF10" i="2"/>
  <c r="DS25" i="34" s="1"/>
  <c r="DU29" i="34" s="1"/>
  <c r="DU32" i="34" s="1"/>
  <c r="AD12" i="2"/>
  <c r="AC12" i="2"/>
  <c r="AE12" i="2" s="1"/>
  <c r="AC26" i="2"/>
  <c r="AE26" i="2" s="1"/>
  <c r="AD26" i="2"/>
  <c r="AC9" i="2"/>
  <c r="AE9" i="2" s="1"/>
  <c r="AD9" i="2"/>
  <c r="AC24" i="2"/>
  <c r="AE24" i="2" s="1"/>
  <c r="AD24" i="2"/>
  <c r="AD22" i="2"/>
  <c r="AC22" i="2"/>
  <c r="AE22" i="2" s="1"/>
  <c r="AC15" i="2"/>
  <c r="AE15" i="2" s="1"/>
  <c r="AD15" i="2"/>
  <c r="AC23" i="2"/>
  <c r="AE23" i="2" s="1"/>
  <c r="AD23" i="2"/>
  <c r="AD13" i="2"/>
  <c r="AC13" i="2"/>
  <c r="AE13" i="2" s="1"/>
  <c r="AC18" i="2"/>
  <c r="AE18" i="2" s="1"/>
  <c r="AD18" i="2"/>
  <c r="AC25" i="2"/>
  <c r="AE25" i="2" s="1"/>
  <c r="AD25" i="2"/>
  <c r="AC16" i="2"/>
  <c r="AE16" i="2" s="1"/>
  <c r="AD16" i="2"/>
  <c r="AD14" i="2"/>
  <c r="AC14" i="2"/>
  <c r="AE14" i="2" s="1"/>
  <c r="R31" i="2"/>
  <c r="Z31" i="2"/>
  <c r="AA29" i="2"/>
  <c r="AF20" i="2"/>
  <c r="AM20" i="2" s="1"/>
  <c r="AF21" i="2"/>
  <c r="AM21" i="2" s="1"/>
  <c r="AF19" i="2"/>
  <c r="AM19" i="2" s="1"/>
  <c r="AD8" i="2"/>
  <c r="AC8" i="2"/>
  <c r="AE8" i="2" s="1"/>
  <c r="AF28" i="2"/>
  <c r="AM28" i="2" s="1"/>
  <c r="AB29" i="2"/>
  <c r="AM11" i="2" l="1"/>
  <c r="ED35" i="34" s="1"/>
  <c r="AM17" i="2"/>
  <c r="GO35" i="34" s="1"/>
  <c r="AF13" i="2"/>
  <c r="AM13" i="2" s="1"/>
  <c r="AM10" i="2"/>
  <c r="DU35" i="34" s="1"/>
  <c r="AF9" i="2"/>
  <c r="DA25" i="34" s="1"/>
  <c r="DC29" i="34" s="1"/>
  <c r="DC32" i="34" s="1"/>
  <c r="AF12" i="2"/>
  <c r="AM12" i="2" s="1"/>
  <c r="AF14" i="2"/>
  <c r="AM14" i="2" s="1"/>
  <c r="AF16" i="2"/>
  <c r="AF26" i="2"/>
  <c r="JP25" i="34" s="1"/>
  <c r="JR29" i="34" s="1"/>
  <c r="JR32" i="34" s="1"/>
  <c r="AF15" i="2"/>
  <c r="FL25" i="34" s="1"/>
  <c r="FN29" i="34" s="1"/>
  <c r="FN32" i="34" s="1"/>
  <c r="AF25" i="2"/>
  <c r="AM25" i="2" s="1"/>
  <c r="AF18" i="2"/>
  <c r="AM18" i="2" s="1"/>
  <c r="AF23" i="2"/>
  <c r="AF22" i="2"/>
  <c r="AF24" i="2"/>
  <c r="HN25" i="34"/>
  <c r="HP29" i="34" s="1"/>
  <c r="HP32" i="34" s="1"/>
  <c r="HP35" i="34" s="1"/>
  <c r="AF27" i="2"/>
  <c r="AM27" i="2" s="1"/>
  <c r="AE29" i="2"/>
  <c r="HW25" i="34"/>
  <c r="HY29" i="34" s="1"/>
  <c r="HY32" i="34" s="1"/>
  <c r="KH25" i="34"/>
  <c r="KJ29" i="34" s="1"/>
  <c r="KJ32" i="34" s="1"/>
  <c r="AD29" i="2"/>
  <c r="HE25" i="34"/>
  <c r="HG29" i="34" s="1"/>
  <c r="HG32" i="34" s="1"/>
  <c r="ET25" i="34" l="1"/>
  <c r="EV29" i="34" s="1"/>
  <c r="EV32" i="34" s="1"/>
  <c r="EV35" i="34" s="1"/>
  <c r="EK25" i="34"/>
  <c r="EM29" i="34" s="1"/>
  <c r="EM32" i="34" s="1"/>
  <c r="AM9" i="2"/>
  <c r="DC35" i="34" s="1"/>
  <c r="FC25" i="34"/>
  <c r="FE29" i="34" s="1"/>
  <c r="FE32" i="34" s="1"/>
  <c r="FE35" i="34" s="1"/>
  <c r="GV25" i="34"/>
  <c r="GX29" i="34" s="1"/>
  <c r="GX32" i="34" s="1"/>
  <c r="GX35" i="34" s="1"/>
  <c r="AM16" i="2"/>
  <c r="FU25" i="34"/>
  <c r="FW29" i="34" s="1"/>
  <c r="FW32" i="34" s="1"/>
  <c r="AM26" i="2"/>
  <c r="JR35" i="34" s="1"/>
  <c r="AM15" i="2"/>
  <c r="FN35" i="34" s="1"/>
  <c r="JG25" i="34"/>
  <c r="JI29" i="34" s="1"/>
  <c r="JI32" i="34" s="1"/>
  <c r="JI35" i="34" s="1"/>
  <c r="JY25" i="34"/>
  <c r="KA29" i="34" s="1"/>
  <c r="KA32" i="34" s="1"/>
  <c r="KA35" i="34" s="1"/>
  <c r="AM24" i="2"/>
  <c r="IX25" i="34"/>
  <c r="IZ29" i="34" s="1"/>
  <c r="IZ32" i="34" s="1"/>
  <c r="IO25" i="34"/>
  <c r="IQ29" i="34" s="1"/>
  <c r="IQ32" i="34" s="1"/>
  <c r="AM23" i="2"/>
  <c r="AM22" i="2"/>
  <c r="IF25" i="34"/>
  <c r="IH29" i="34" s="1"/>
  <c r="IH32" i="34" s="1"/>
  <c r="EM35" i="34"/>
  <c r="KJ35" i="34"/>
  <c r="AF8" i="2"/>
  <c r="HG35" i="34"/>
  <c r="HY35" i="34"/>
  <c r="IH35" i="34" l="1"/>
  <c r="FW35" i="34"/>
  <c r="IZ35" i="34"/>
  <c r="BZ25" i="34"/>
  <c r="CB29" i="34" s="1"/>
  <c r="CB32" i="34" s="1"/>
  <c r="AM8" i="2"/>
  <c r="AM29" i="2" s="1"/>
  <c r="IQ35" i="34"/>
  <c r="AF29" i="2"/>
  <c r="CB35" i="34" l="1"/>
  <c r="S49" i="2"/>
  <c r="T49" i="2" s="1"/>
  <c r="AM31" i="2"/>
  <c r="S43" i="2"/>
  <c r="AF31" i="2"/>
  <c r="CX18" i="34"/>
  <c r="DP19" i="34"/>
  <c r="EZ19" i="34"/>
  <c r="S52" i="2" l="1"/>
  <c r="S5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John Gimena</author>
    <author>pc</author>
    <author>EcovisFintax-Bridget</author>
  </authors>
  <commentList>
    <comment ref="E2" authorId="0" shapeId="0" xr:uid="{63C20574-7331-4040-B28F-C59C32C7BCD1}">
      <text>
        <r>
          <rPr>
            <sz val="12"/>
            <color indexed="81"/>
            <rFont val="Calibri"/>
            <family val="2"/>
          </rPr>
          <t>Enter the cut off date</t>
        </r>
      </text>
    </comment>
    <comment ref="AH7" authorId="1" shapeId="0" xr:uid="{984FABD1-B797-4C27-874D-9D1C2AB9CC0B}">
      <text>
        <r>
          <rPr>
            <b/>
            <sz val="9"/>
            <color indexed="81"/>
            <rFont val="Tahoma"/>
            <family val="2"/>
          </rPr>
          <t>addl 25%</t>
        </r>
      </text>
    </comment>
    <comment ref="AJ7" authorId="1" shapeId="0" xr:uid="{C0356745-6E69-4C93-BE0D-85F29A44EB7F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L7" authorId="1" shapeId="0" xr:uid="{95A316F0-362A-4653-B9D6-5A893DE8F583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N7" authorId="1" shapeId="0" xr:uid="{4664D503-67BE-4B16-A3DF-4FC92715451C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P7" authorId="1" shapeId="0" xr:uid="{5B5A3A09-9728-4E6D-BFFE-7B924F9C9130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R7" authorId="1" shapeId="0" xr:uid="{2C123950-21A1-4A88-B674-E785C0A9F0D1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T7" authorId="1" shapeId="0" xr:uid="{62ED1B21-BACA-4423-B305-6F77672AA8BB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V7" authorId="1" shapeId="0" xr:uid="{060B54CD-355A-4E40-ABF9-F7A2B23132D3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X7" authorId="1" shapeId="0" xr:uid="{6AF20E7E-221E-46C5-B5C9-C318EA4F8CAC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Z7" authorId="1" shapeId="0" xr:uid="{849675C2-F7C1-45D5-9529-0176A3D1B23C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BB7" authorId="1" shapeId="0" xr:uid="{1D2074EB-E6A3-486F-A63F-B355E3E8B924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BD7" authorId="1" shapeId="0" xr:uid="{0DBCD651-1250-44AB-A0F7-609200A347D7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F7" authorId="1" shapeId="0" xr:uid="{B9D7CC9C-304F-4F37-92D3-5B39B5C2FCE0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H7" authorId="1" shapeId="0" xr:uid="{DB62099C-E199-4A94-82C1-2CF45C8ADAA7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X21" authorId="2" shapeId="0" xr:uid="{D5A31DED-B606-49A7-ACC6-E2D08A17E7F6}">
      <text>
        <r>
          <rPr>
            <b/>
            <sz val="9"/>
            <color indexed="81"/>
            <rFont val="Tahoma"/>
            <charset val="1"/>
          </rPr>
          <t>EcovisFintax-Bridget:</t>
        </r>
        <r>
          <rPr>
            <sz val="9"/>
            <color indexed="81"/>
            <rFont val="Tahoma"/>
            <charset val="1"/>
          </rPr>
          <t xml:space="preserve">
Start deduction: January 20th payroll</t>
        </r>
      </text>
    </comment>
  </commentList>
</comments>
</file>

<file path=xl/sharedStrings.xml><?xml version="1.0" encoding="utf-8"?>
<sst xmlns="http://schemas.openxmlformats.org/spreadsheetml/2006/main" count="2593" uniqueCount="273">
  <si>
    <t>PAYROLL REGISTER</t>
  </si>
  <si>
    <t>Payroll Period:</t>
  </si>
  <si>
    <t>No.</t>
  </si>
  <si>
    <t>Name of Employees</t>
  </si>
  <si>
    <t>Monthly 
Basic Salary</t>
  </si>
  <si>
    <t>Semi-Monthly 
Basic Salary</t>
  </si>
  <si>
    <t>DE MINIMIS BENEFIT</t>
  </si>
  <si>
    <t>Other Non-Taxable Compensation</t>
  </si>
  <si>
    <t>Salary Adjustment</t>
  </si>
  <si>
    <t>Overtime</t>
  </si>
  <si>
    <t>NSD</t>
  </si>
  <si>
    <t>Absences / 
Tardiness</t>
  </si>
  <si>
    <t>Holiday Pay</t>
  </si>
  <si>
    <t>Gross 
Compensation</t>
  </si>
  <si>
    <t>Gross Taxable 
Compensation</t>
  </si>
  <si>
    <t>Non-Taxable 
Compensation</t>
  </si>
  <si>
    <t>EMPLOYEE'S SHARE</t>
  </si>
  <si>
    <t>Regular Net
Taxable Compensation</t>
  </si>
  <si>
    <t>Withholding Tax Computation</t>
  </si>
  <si>
    <t>Withholding 
Tax Due</t>
  </si>
  <si>
    <t>SSS Loan</t>
  </si>
  <si>
    <t>Advances to Employees</t>
  </si>
  <si>
    <t>2025 Tax Refund</t>
  </si>
  <si>
    <t>NET PAY</t>
  </si>
  <si>
    <t>Monthly 
Gross Compensation</t>
  </si>
  <si>
    <t>SSS Contribution</t>
  </si>
  <si>
    <t>PHIC Contribution</t>
  </si>
  <si>
    <t>HDMF Contribution</t>
  </si>
  <si>
    <t>YEAR END 
GIFTS</t>
  </si>
  <si>
    <t>Rice 
Subsidy</t>
  </si>
  <si>
    <t>Uniform/Clothing 
Allowance</t>
  </si>
  <si>
    <t>Laundry 
Allowance</t>
  </si>
  <si>
    <t>Meal 
Allowance</t>
  </si>
  <si>
    <t>Medical 
Allowance</t>
  </si>
  <si>
    <t>Bracket</t>
  </si>
  <si>
    <t>Basic</t>
  </si>
  <si>
    <t>%</t>
  </si>
  <si>
    <t>Excess</t>
  </si>
  <si>
    <t>Salary</t>
  </si>
  <si>
    <t>Calamity</t>
  </si>
  <si>
    <t>HDMF Loan</t>
  </si>
  <si>
    <t>EMPLOYER'S SHARE</t>
  </si>
  <si>
    <t>SSS - RSS</t>
  </si>
  <si>
    <t>SSS - WISP</t>
  </si>
  <si>
    <t>SSS - TOTAL</t>
  </si>
  <si>
    <t>PHIC</t>
  </si>
  <si>
    <t>HDMF</t>
  </si>
  <si>
    <t>SSS-RSS</t>
  </si>
  <si>
    <t>SSS-EC</t>
  </si>
  <si>
    <t>SSS-WISP</t>
  </si>
  <si>
    <t>SSS-TOTAL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</si>
  <si>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</si>
  <si>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</si>
  <si>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</si>
  <si>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</si>
  <si>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</si>
  <si>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</si>
  <si>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</si>
  <si>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</si>
  <si>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</si>
  <si>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</si>
  <si>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</si>
  <si>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</si>
  <si>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</si>
  <si>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</si>
  <si>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</si>
  <si>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</si>
  <si>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</si>
  <si>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</si>
  <si>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</si>
  <si>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</si>
  <si>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</si>
  <si>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TOTAL</t>
  </si>
  <si>
    <t>Payroll Entry:</t>
  </si>
  <si>
    <t>Salaries Expense</t>
  </si>
  <si>
    <t>De Minimis Benefit</t>
  </si>
  <si>
    <t>Leave Conversion Pay</t>
  </si>
  <si>
    <t xml:space="preserve">  </t>
  </si>
  <si>
    <t>Philhealth Contribution</t>
  </si>
  <si>
    <t>Pag-ibig Contribution - Direct</t>
  </si>
  <si>
    <t>13th Month Pay &amp; Other Benefits</t>
  </si>
  <si>
    <t>Advances from Employees</t>
  </si>
  <si>
    <t>Compensation Withholding Tax</t>
  </si>
  <si>
    <t>SSS Contribution Payable</t>
  </si>
  <si>
    <t>Philhealth Contribution Payable</t>
  </si>
  <si>
    <t>Pag-IBIG Contribution Payable</t>
  </si>
  <si>
    <t>2025 Tax refund</t>
  </si>
  <si>
    <t xml:space="preserve">Cash </t>
  </si>
  <si>
    <t>SSS Loan Payable</t>
  </si>
  <si>
    <t>HDMF Loan Payable</t>
  </si>
  <si>
    <t>PAY SLIP</t>
  </si>
  <si>
    <t>Employee:</t>
  </si>
  <si>
    <t>Morales, Marco B.</t>
  </si>
  <si>
    <t>Payroll period:</t>
  </si>
  <si>
    <t>Uy, John Michael B.</t>
  </si>
  <si>
    <t>Lagrisola, Ralph Rafael A.</t>
  </si>
  <si>
    <t>Lim, John Christopher Tan</t>
  </si>
  <si>
    <t xml:space="preserve">Quilao, Najma M. </t>
  </si>
  <si>
    <t>Balingit, John Dave V.</t>
  </si>
  <si>
    <t>Tolentino, Julius Angelito R.</t>
  </si>
  <si>
    <t>Hilario, Gilbert C.</t>
  </si>
  <si>
    <t xml:space="preserve">Antalan, Rogelio G. </t>
  </si>
  <si>
    <t xml:space="preserve">Frias, Ulric Vhon Vargas </t>
  </si>
  <si>
    <t>Arias, William Wallace Lao</t>
  </si>
  <si>
    <t>Position:</t>
  </si>
  <si>
    <t>Technical Support Engineer – L2</t>
  </si>
  <si>
    <t>Senior Service Lead - Technical Support</t>
  </si>
  <si>
    <t>Service Desk Analyst L-1</t>
  </si>
  <si>
    <t>Senior Security Analyst</t>
  </si>
  <si>
    <t>REGULAR EARNINGS</t>
  </si>
  <si>
    <t>TAXABLE OTHER EARNINGS</t>
  </si>
  <si>
    <t>NON-TAXABLE OTHER EARNINGS</t>
  </si>
  <si>
    <t>Days/Hours</t>
  </si>
  <si>
    <t>Amount</t>
  </si>
  <si>
    <t>Basic pay:</t>
  </si>
  <si>
    <t>Rate per hour</t>
  </si>
  <si>
    <t>No. of hours Worked:</t>
  </si>
  <si>
    <t>Night premium</t>
  </si>
  <si>
    <t>Less: Absences</t>
  </si>
  <si>
    <t xml:space="preserve">           Late/Undertime</t>
  </si>
  <si>
    <t>Net basic pay</t>
  </si>
  <si>
    <t>Reg. OT&lt;=10 hrs</t>
  </si>
  <si>
    <t>Reg. OT&gt;10 hrs</t>
  </si>
  <si>
    <t>GROSS PAY</t>
  </si>
  <si>
    <t>Sat OT&lt;=10 hrs</t>
  </si>
  <si>
    <t>REGULAR DEDUCTIONS</t>
  </si>
  <si>
    <t>LOANS/ADVANCES</t>
  </si>
  <si>
    <t>Sat OT&gt; 10 hrs</t>
  </si>
  <si>
    <t>Sat Night premium</t>
  </si>
  <si>
    <t>SSS</t>
  </si>
  <si>
    <t>Salary Advance</t>
  </si>
  <si>
    <t>Sun OT&lt;=10 hrs</t>
  </si>
  <si>
    <t>Philhealth</t>
  </si>
  <si>
    <t>2025 Tax Adjustment</t>
  </si>
  <si>
    <t>Sun OT&gt; 10 hrs</t>
  </si>
  <si>
    <t>HMDF Loan</t>
  </si>
  <si>
    <t>Sun Night premium</t>
  </si>
  <si>
    <t>Withholding tax</t>
  </si>
  <si>
    <t>Hol OT&lt;=10 hrs</t>
  </si>
  <si>
    <t>OTHER DEDUCTIONS</t>
  </si>
  <si>
    <t>Hol OT&gt;10 hrs</t>
  </si>
  <si>
    <t>Hol Night premium</t>
  </si>
  <si>
    <t>TOTAL DEDUCTIONS</t>
  </si>
  <si>
    <t>Employee signature:</t>
  </si>
  <si>
    <t xml:space="preserve">         NET PAY:</t>
  </si>
  <si>
    <t xml:space="preserve"> </t>
  </si>
  <si>
    <t>ECN</t>
  </si>
  <si>
    <t>Program</t>
  </si>
  <si>
    <t>Group</t>
  </si>
  <si>
    <t>Name</t>
  </si>
  <si>
    <t>SUMMARY</t>
  </si>
  <si>
    <t>IN</t>
  </si>
  <si>
    <t>OUT</t>
  </si>
  <si>
    <t>TOTAL REGULAR HOURS</t>
  </si>
  <si>
    <t>TOTAL REGULAR HOLIDAY HOURS</t>
  </si>
  <si>
    <t>TOTAL O.T. HOURS</t>
  </si>
  <si>
    <t>TOTAL TARDY MINUTES</t>
  </si>
  <si>
    <t>TOTAL NIGHT DIFFERENTIAL</t>
  </si>
  <si>
    <t>TOTAL REGULAR HOLIDAY NIGHT DIFFERENTIAL</t>
  </si>
  <si>
    <t>TOTAL RDOT HOURS</t>
  </si>
  <si>
    <t>HOLIDAY OFF</t>
  </si>
  <si>
    <t>TOTAL PAID LEAVES</t>
  </si>
  <si>
    <t>TOTAL LWOP</t>
  </si>
  <si>
    <t>REMARKS</t>
  </si>
  <si>
    <t>Unipart Logistics</t>
  </si>
  <si>
    <t>L1</t>
  </si>
  <si>
    <t>Holiday Off</t>
  </si>
  <si>
    <t>Vacation Leave</t>
  </si>
  <si>
    <t>OFF</t>
  </si>
  <si>
    <t>Shared</t>
  </si>
  <si>
    <t>CEVA Logistics</t>
  </si>
  <si>
    <t>SPORTSRADAR</t>
  </si>
  <si>
    <t>LWOP</t>
  </si>
  <si>
    <t>ESPIRE INFOLABS INC.</t>
  </si>
  <si>
    <t>No. of Hours</t>
  </si>
  <si>
    <t>Password:</t>
  </si>
  <si>
    <t>Espire@1234</t>
  </si>
  <si>
    <t>Other Non-Taxable Compensation (Vacation Leave)</t>
  </si>
  <si>
    <t>Salary
Adjusment</t>
  </si>
  <si>
    <t>First Half Gross Compensation</t>
  </si>
  <si>
    <t>First Half Basic Salary, net of tardiness</t>
  </si>
  <si>
    <t>WORKDAYS OVERTIME</t>
  </si>
  <si>
    <t>SATURDAY OVERTIME</t>
  </si>
  <si>
    <t>SUNDAY OVERTIME</t>
  </si>
  <si>
    <t>SPECIAL HOLIDAY OVERTIME</t>
  </si>
  <si>
    <t>REGULAR HOLIDAY OVERTIME</t>
  </si>
  <si>
    <t>Civil Status</t>
  </si>
  <si>
    <t>Start of Employment</t>
  </si>
  <si>
    <t>Position</t>
  </si>
  <si>
    <t>Gross Salary</t>
  </si>
  <si>
    <t>YEAR END GIFTS</t>
  </si>
  <si>
    <t>Rice Subsidy</t>
  </si>
  <si>
    <t>2025 Tax Due</t>
  </si>
  <si>
    <t>UNDERTIME</t>
  </si>
  <si>
    <t>ABSENT</t>
  </si>
  <si>
    <t>TRAVEL TIME</t>
  </si>
  <si>
    <t>OVERTIME</t>
  </si>
  <si>
    <t>Night differential 10pm-6am</t>
  </si>
  <si>
    <t>Total Overtime</t>
  </si>
  <si>
    <t>Total Tardiness/Absent</t>
  </si>
  <si>
    <t>Reg. Hours</t>
  </si>
  <si>
    <t xml:space="preserve">Monthly </t>
  </si>
  <si>
    <t>Semi Monthly</t>
  </si>
  <si>
    <t>Daily</t>
  </si>
  <si>
    <t>Hourly</t>
  </si>
  <si>
    <t>Salary Loan</t>
  </si>
  <si>
    <t>Hours</t>
  </si>
  <si>
    <t>PHP Equiv.</t>
  </si>
  <si>
    <t>Day(s)</t>
  </si>
  <si>
    <t>1st 8 Hours</t>
  </si>
  <si>
    <t>Excess 8 Hours</t>
  </si>
  <si>
    <t>Peso Equivalent</t>
  </si>
  <si>
    <t>Password</t>
  </si>
  <si>
    <t>Email Address</t>
  </si>
  <si>
    <t>Married</t>
  </si>
  <si>
    <t>Service Desk Analyst-L1</t>
  </si>
  <si>
    <t>249411050</t>
  </si>
  <si>
    <t>yolanda.haguimit@espire.com</t>
  </si>
  <si>
    <t>Single</t>
  </si>
  <si>
    <t>348877466</t>
  </si>
  <si>
    <t>kyle.viray@espire.com</t>
  </si>
  <si>
    <t>379535400</t>
  </si>
  <si>
    <t>christian.piolino@espire.com</t>
  </si>
  <si>
    <t>Senior Operations Manager</t>
  </si>
  <si>
    <t>228243729</t>
  </si>
  <si>
    <t>mark.marquez@espire.com</t>
  </si>
  <si>
    <t>Senior Project Manager</t>
  </si>
  <si>
    <t>913668774</t>
  </si>
  <si>
    <t>ryan.carreon@espire.com</t>
  </si>
  <si>
    <t>james.colongan@espire.com</t>
  </si>
  <si>
    <t>kricia.labradores@espire.com</t>
  </si>
  <si>
    <t>shiervonn.penaranda@espire.com</t>
  </si>
  <si>
    <t>Lead Security Analyst</t>
  </si>
  <si>
    <t>jonathan.cabante@espire.com</t>
  </si>
  <si>
    <t>jodie.zamora@espire.com</t>
  </si>
  <si>
    <t>mairalyn.belarma@espire.com</t>
  </si>
  <si>
    <t>pauljohan.virtudes@espire.com</t>
  </si>
  <si>
    <t>adelfos.bautista@espire.com</t>
  </si>
  <si>
    <t>Alvin.Angeles@espire.com</t>
  </si>
  <si>
    <t>james.morante@espire.com</t>
  </si>
  <si>
    <t>nathaniel.lindo@espire.com</t>
  </si>
  <si>
    <t>maria.silva@espire.com</t>
  </si>
  <si>
    <t>john.espino@espire.com</t>
  </si>
  <si>
    <t>paul.austria@espire.com</t>
  </si>
  <si>
    <t>gustav.cruz@espire.com</t>
  </si>
  <si>
    <t>nealle.magnaye@espire.com</t>
  </si>
  <si>
    <t>RANGE OF COMPENSATION</t>
  </si>
  <si>
    <t>MONTHLY SALARY CREDIT</t>
  </si>
  <si>
    <t>AMOUNT OF CONTRIBUTIONS</t>
  </si>
  <si>
    <t>REGULAR SOCIAL SECURITY</t>
  </si>
  <si>
    <t>MANDATORY PROVIDENT FUND</t>
  </si>
  <si>
    <t>EMPLOYEE CONTRIBUTION</t>
  </si>
  <si>
    <t>EMPLOYEES' COMPENSATION</t>
  </si>
  <si>
    <t>ER</t>
  </si>
  <si>
    <t>EE</t>
  </si>
  <si>
    <t>OVER</t>
  </si>
  <si>
    <t>SEMI-MONTHLY</t>
  </si>
  <si>
    <t xml:space="preserve">Bracket Salary </t>
  </si>
  <si>
    <t>Salary Range</t>
  </si>
  <si>
    <t xml:space="preserve">Salary Base </t>
  </si>
  <si>
    <t>Employee Share</t>
  </si>
  <si>
    <t>Employer Share</t>
  </si>
  <si>
    <t>Total Monthly Premium</t>
  </si>
  <si>
    <t>-</t>
  </si>
  <si>
    <t>–</t>
  </si>
  <si>
    <t>Should be:</t>
  </si>
  <si>
    <t>1st Half</t>
  </si>
  <si>
    <t>2nd Half</t>
  </si>
  <si>
    <t>Basic Pay</t>
  </si>
  <si>
    <t>Transportation</t>
  </si>
  <si>
    <t>De Minimis</t>
  </si>
  <si>
    <t>W/tax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</si>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</sst>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0_)"/>
    <numFmt numFmtId="167" formatCode="m/d/yyyy;@"/>
    <numFmt numFmtId="168" formatCode="[$-409]d\-mmm\-yyyy;@"/>
  </numFmts>
  <fonts count="53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Arial"/>
      <family val="2"/>
    </font>
    <font>
      <b/>
      <i/>
      <sz val="16"/>
      <name val="Helv"/>
    </font>
    <font>
      <sz val="10"/>
      <name val="Arial"/>
      <family val="2"/>
    </font>
    <font>
      <sz val="12"/>
      <color indexed="8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MS PGothic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i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38" fontId="2" fillId="2" borderId="0" applyNumberFormat="0" applyBorder="0" applyAlignment="0" applyProtection="0"/>
    <xf numFmtId="0" fontId="10" fillId="0" borderId="0" applyNumberFormat="0" applyFill="0" applyBorder="0" applyAlignment="0" applyProtection="0"/>
    <xf numFmtId="10" fontId="2" fillId="3" borderId="1" applyNumberFormat="0" applyBorder="0" applyAlignment="0" applyProtection="0"/>
    <xf numFmtId="166" fontId="3" fillId="0" borderId="0"/>
    <xf numFmtId="0" fontId="6" fillId="0" borderId="0"/>
    <xf numFmtId="0" fontId="4" fillId="0" borderId="0"/>
    <xf numFmtId="0" fontId="6" fillId="0" borderId="0"/>
    <xf numFmtId="9" fontId="6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9">
    <xf numFmtId="0" fontId="0" fillId="0" borderId="0" xfId="0"/>
    <xf numFmtId="0" fontId="13" fillId="0" borderId="0" xfId="11" applyFont="1"/>
    <xf numFmtId="9" fontId="6" fillId="0" borderId="0" xfId="14" applyFont="1"/>
    <xf numFmtId="0" fontId="0" fillId="0" borderId="2" xfId="0" applyBorder="1"/>
    <xf numFmtId="43" fontId="6" fillId="0" borderId="0" xfId="1" applyFont="1"/>
    <xf numFmtId="165" fontId="6" fillId="0" borderId="0" xfId="1" applyNumberFormat="1" applyFont="1"/>
    <xf numFmtId="165" fontId="0" fillId="0" borderId="0" xfId="0" applyNumberFormat="1"/>
    <xf numFmtId="165" fontId="11" fillId="0" borderId="0" xfId="1" applyNumberFormat="1" applyFont="1"/>
    <xf numFmtId="43" fontId="11" fillId="0" borderId="0" xfId="1" applyFont="1"/>
    <xf numFmtId="2" fontId="6" fillId="0" borderId="0" xfId="1" applyNumberFormat="1" applyFont="1"/>
    <xf numFmtId="4" fontId="0" fillId="0" borderId="0" xfId="0" applyNumberFormat="1"/>
    <xf numFmtId="0" fontId="0" fillId="0" borderId="0" xfId="0" applyAlignment="1">
      <alignment horizontal="center"/>
    </xf>
    <xf numFmtId="43" fontId="6" fillId="0" borderId="0" xfId="1" applyFont="1" applyAlignment="1">
      <alignment horizontal="center"/>
    </xf>
    <xf numFmtId="43" fontId="6" fillId="0" borderId="0" xfId="1" applyFont="1" applyAlignment="1">
      <alignment horizontal="center" vertical="center"/>
    </xf>
    <xf numFmtId="43" fontId="6" fillId="0" borderId="0" xfId="1" applyFont="1" applyAlignment="1">
      <alignment vertical="center"/>
    </xf>
    <xf numFmtId="0" fontId="14" fillId="0" borderId="0" xfId="0" applyFont="1"/>
    <xf numFmtId="43" fontId="14" fillId="0" borderId="0" xfId="1" applyFont="1" applyAlignment="1"/>
    <xf numFmtId="43" fontId="14" fillId="0" borderId="0" xfId="1" applyFont="1" applyAlignment="1">
      <alignment vertical="center"/>
    </xf>
    <xf numFmtId="9" fontId="0" fillId="0" borderId="0" xfId="0" applyNumberFormat="1"/>
    <xf numFmtId="0" fontId="13" fillId="0" borderId="0" xfId="11" applyFont="1" applyAlignment="1">
      <alignment horizontal="center"/>
    </xf>
    <xf numFmtId="14" fontId="13" fillId="0" borderId="0" xfId="0" applyNumberFormat="1" applyFont="1"/>
    <xf numFmtId="0" fontId="0" fillId="0" borderId="3" xfId="0" applyBorder="1"/>
    <xf numFmtId="0" fontId="15" fillId="0" borderId="4" xfId="0" applyFont="1" applyBorder="1"/>
    <xf numFmtId="0" fontId="15" fillId="0" borderId="3" xfId="0" applyFont="1" applyBorder="1"/>
    <xf numFmtId="0" fontId="16" fillId="0" borderId="0" xfId="0" applyFont="1"/>
    <xf numFmtId="0" fontId="15" fillId="0" borderId="0" xfId="0" applyFont="1"/>
    <xf numFmtId="22" fontId="15" fillId="0" borderId="0" xfId="0" quotePrefix="1" applyNumberFormat="1" applyFont="1"/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43" fontId="17" fillId="0" borderId="4" xfId="1" applyFont="1" applyBorder="1"/>
    <xf numFmtId="2" fontId="15" fillId="0" borderId="0" xfId="0" applyNumberFormat="1" applyFont="1" applyAlignment="1">
      <alignment horizontal="center"/>
    </xf>
    <xf numFmtId="43" fontId="15" fillId="0" borderId="4" xfId="1" applyFont="1" applyBorder="1"/>
    <xf numFmtId="43" fontId="15" fillId="0" borderId="5" xfId="1" applyFont="1" applyBorder="1"/>
    <xf numFmtId="0" fontId="15" fillId="0" borderId="6" xfId="0" applyFont="1" applyBorder="1"/>
    <xf numFmtId="0" fontId="15" fillId="0" borderId="5" xfId="0" applyFont="1" applyBorder="1"/>
    <xf numFmtId="43" fontId="17" fillId="0" borderId="4" xfId="0" applyNumberFormat="1" applyFont="1" applyBorder="1"/>
    <xf numFmtId="43" fontId="15" fillId="0" borderId="0" xfId="1" applyFont="1" applyBorder="1"/>
    <xf numFmtId="0" fontId="18" fillId="0" borderId="0" xfId="0" applyFont="1"/>
    <xf numFmtId="0" fontId="15" fillId="0" borderId="2" xfId="0" applyFont="1" applyBorder="1"/>
    <xf numFmtId="0" fontId="19" fillId="0" borderId="0" xfId="0" applyFont="1"/>
    <xf numFmtId="0" fontId="0" fillId="0" borderId="6" xfId="0" applyBorder="1"/>
    <xf numFmtId="0" fontId="16" fillId="0" borderId="2" xfId="0" applyFont="1" applyBorder="1" applyAlignment="1">
      <alignment horizontal="right" vertical="top"/>
    </xf>
    <xf numFmtId="43" fontId="17" fillId="0" borderId="5" xfId="0" applyNumberFormat="1" applyFont="1" applyBorder="1"/>
    <xf numFmtId="43" fontId="6" fillId="0" borderId="0" xfId="1" applyFont="1" applyBorder="1"/>
    <xf numFmtId="0" fontId="20" fillId="0" borderId="0" xfId="11" applyFont="1"/>
    <xf numFmtId="43" fontId="21" fillId="0" borderId="0" xfId="3" applyFont="1" applyBorder="1"/>
    <xf numFmtId="0" fontId="22" fillId="0" borderId="0" xfId="11" applyFont="1"/>
    <xf numFmtId="0" fontId="0" fillId="0" borderId="1" xfId="0" applyBorder="1"/>
    <xf numFmtId="43" fontId="6" fillId="0" borderId="1" xfId="1" applyFont="1" applyBorder="1"/>
    <xf numFmtId="165" fontId="6" fillId="0" borderId="1" xfId="1" applyNumberFormat="1" applyFont="1" applyBorder="1"/>
    <xf numFmtId="9" fontId="0" fillId="0" borderId="1" xfId="0" applyNumberFormat="1" applyBorder="1"/>
    <xf numFmtId="9" fontId="6" fillId="0" borderId="1" xfId="14" applyFont="1" applyBorder="1"/>
    <xf numFmtId="43" fontId="0" fillId="0" borderId="0" xfId="0" applyNumberFormat="1"/>
    <xf numFmtId="43" fontId="6" fillId="0" borderId="0" xfId="3" applyFont="1"/>
    <xf numFmtId="164" fontId="0" fillId="0" borderId="0" xfId="0" applyNumberFormat="1"/>
    <xf numFmtId="43" fontId="6" fillId="0" borderId="0" xfId="3" applyFont="1" applyBorder="1"/>
    <xf numFmtId="0" fontId="6" fillId="0" borderId="0" xfId="3" applyNumberFormat="1" applyFont="1" applyBorder="1" applyAlignment="1">
      <alignment horizontal="center"/>
    </xf>
    <xf numFmtId="43" fontId="6" fillId="0" borderId="0" xfId="3" applyFont="1" applyAlignment="1">
      <alignment horizontal="center"/>
    </xf>
    <xf numFmtId="0" fontId="23" fillId="0" borderId="7" xfId="11" applyFont="1" applyBorder="1" applyAlignment="1">
      <alignment horizontal="left"/>
    </xf>
    <xf numFmtId="43" fontId="24" fillId="0" borderId="0" xfId="3" applyFont="1"/>
    <xf numFmtId="0" fontId="25" fillId="0" borderId="7" xfId="11" applyFont="1" applyBorder="1"/>
    <xf numFmtId="0" fontId="23" fillId="0" borderId="7" xfId="11" applyFont="1" applyBorder="1" applyAlignment="1">
      <alignment horizontal="center"/>
    </xf>
    <xf numFmtId="0" fontId="23" fillId="0" borderId="7" xfId="11" applyFont="1" applyBorder="1"/>
    <xf numFmtId="0" fontId="26" fillId="0" borderId="7" xfId="0" applyFont="1" applyBorder="1"/>
    <xf numFmtId="43" fontId="26" fillId="0" borderId="7" xfId="0" applyNumberFormat="1" applyFont="1" applyBorder="1"/>
    <xf numFmtId="43" fontId="26" fillId="0" borderId="0" xfId="0" applyNumberFormat="1" applyFont="1"/>
    <xf numFmtId="43" fontId="26" fillId="0" borderId="7" xfId="1" applyFont="1" applyBorder="1"/>
    <xf numFmtId="43" fontId="26" fillId="0" borderId="0" xfId="1" applyFont="1" applyBorder="1"/>
    <xf numFmtId="0" fontId="26" fillId="0" borderId="0" xfId="0" applyFont="1"/>
    <xf numFmtId="43" fontId="26" fillId="0" borderId="0" xfId="3" applyFont="1"/>
    <xf numFmtId="0" fontId="25" fillId="0" borderId="0" xfId="11" applyFont="1"/>
    <xf numFmtId="0" fontId="26" fillId="0" borderId="0" xfId="1" applyNumberFormat="1" applyFont="1" applyAlignment="1">
      <alignment horizontal="center"/>
    </xf>
    <xf numFmtId="0" fontId="23" fillId="0" borderId="0" xfId="11" applyFont="1"/>
    <xf numFmtId="1" fontId="23" fillId="4" borderId="1" xfId="0" applyNumberFormat="1" applyFont="1" applyFill="1" applyBorder="1" applyAlignment="1">
      <alignment horizontal="center"/>
    </xf>
    <xf numFmtId="164" fontId="26" fillId="0" borderId="0" xfId="0" applyNumberFormat="1" applyFont="1"/>
    <xf numFmtId="0" fontId="27" fillId="0" borderId="0" xfId="1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1" applyNumberFormat="1" applyFont="1" applyBorder="1" applyAlignment="1">
      <alignment horizontal="center"/>
    </xf>
    <xf numFmtId="43" fontId="27" fillId="0" borderId="0" xfId="3" applyFont="1" applyAlignment="1">
      <alignment horizontal="center"/>
    </xf>
    <xf numFmtId="167" fontId="23" fillId="4" borderId="8" xfId="0" applyNumberFormat="1" applyFont="1" applyFill="1" applyBorder="1" applyAlignment="1">
      <alignment horizontal="center"/>
    </xf>
    <xf numFmtId="43" fontId="28" fillId="0" borderId="0" xfId="3" applyFont="1" applyBorder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3" fontId="29" fillId="0" borderId="0" xfId="1" applyFont="1" applyBorder="1" applyAlignment="1">
      <alignment horizontal="center" vertical="center"/>
    </xf>
    <xf numFmtId="43" fontId="29" fillId="5" borderId="2" xfId="3" applyFont="1" applyFill="1" applyBorder="1" applyAlignment="1">
      <alignment horizontal="center" vertical="center"/>
    </xf>
    <xf numFmtId="43" fontId="28" fillId="0" borderId="0" xfId="3" applyFont="1" applyAlignment="1">
      <alignment horizontal="center" vertical="center"/>
    </xf>
    <xf numFmtId="43" fontId="28" fillId="6" borderId="1" xfId="3" applyFont="1" applyFill="1" applyBorder="1" applyAlignment="1">
      <alignment horizontal="center" vertical="center"/>
    </xf>
    <xf numFmtId="43" fontId="28" fillId="7" borderId="0" xfId="3" applyFont="1" applyFill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43" fontId="29" fillId="4" borderId="9" xfId="11" applyNumberFormat="1" applyFont="1" applyFill="1" applyBorder="1" applyAlignment="1">
      <alignment horizontal="center" vertical="center"/>
    </xf>
    <xf numFmtId="0" fontId="29" fillId="8" borderId="9" xfId="11" applyFont="1" applyFill="1" applyBorder="1" applyAlignment="1">
      <alignment horizontal="center" vertical="center"/>
    </xf>
    <xf numFmtId="43" fontId="28" fillId="9" borderId="1" xfId="3" applyFont="1" applyFill="1" applyBorder="1" applyAlignment="1">
      <alignment horizontal="center" vertical="center"/>
    </xf>
    <xf numFmtId="43" fontId="28" fillId="0" borderId="0" xfId="3" applyFont="1" applyFill="1" applyAlignment="1">
      <alignment vertical="center"/>
    </xf>
    <xf numFmtId="0" fontId="29" fillId="10" borderId="10" xfId="0" applyFont="1" applyFill="1" applyBorder="1"/>
    <xf numFmtId="43" fontId="29" fillId="10" borderId="10" xfId="1" applyFont="1" applyFill="1" applyBorder="1"/>
    <xf numFmtId="165" fontId="6" fillId="0" borderId="0" xfId="14" applyNumberFormat="1" applyFont="1"/>
    <xf numFmtId="0" fontId="17" fillId="0" borderId="0" xfId="0" applyFont="1" applyAlignment="1">
      <alignment vertical="top"/>
    </xf>
    <xf numFmtId="168" fontId="17" fillId="0" borderId="0" xfId="0" applyNumberFormat="1" applyFont="1" applyAlignment="1">
      <alignment horizontal="center"/>
    </xf>
    <xf numFmtId="168" fontId="17" fillId="0" borderId="4" xfId="0" applyNumberFormat="1" applyFont="1" applyBorder="1" applyAlignment="1">
      <alignment horizontal="center"/>
    </xf>
    <xf numFmtId="43" fontId="15" fillId="0" borderId="0" xfId="0" applyNumberFormat="1" applyFont="1"/>
    <xf numFmtId="0" fontId="0" fillId="10" borderId="0" xfId="0" applyFill="1"/>
    <xf numFmtId="0" fontId="31" fillId="0" borderId="0" xfId="0" applyFont="1" applyAlignment="1">
      <alignment horizontal="center"/>
    </xf>
    <xf numFmtId="0" fontId="25" fillId="11" borderId="0" xfId="0" applyFont="1" applyFill="1"/>
    <xf numFmtId="0" fontId="23" fillId="11" borderId="0" xfId="0" applyFont="1" applyFill="1"/>
    <xf numFmtId="0" fontId="26" fillId="11" borderId="0" xfId="0" applyFont="1" applyFill="1"/>
    <xf numFmtId="0" fontId="32" fillId="11" borderId="0" xfId="0" applyFont="1" applyFill="1"/>
    <xf numFmtId="9" fontId="26" fillId="11" borderId="0" xfId="14" applyFont="1" applyFill="1" applyBorder="1"/>
    <xf numFmtId="44" fontId="26" fillId="11" borderId="0" xfId="5" applyFont="1" applyFill="1" applyBorder="1"/>
    <xf numFmtId="43" fontId="26" fillId="11" borderId="0" xfId="1" applyFont="1" applyFill="1" applyBorder="1"/>
    <xf numFmtId="168" fontId="23" fillId="11" borderId="2" xfId="0" applyNumberFormat="1" applyFont="1" applyFill="1" applyBorder="1"/>
    <xf numFmtId="43" fontId="26" fillId="11" borderId="0" xfId="0" applyNumberFormat="1" applyFont="1" applyFill="1"/>
    <xf numFmtId="39" fontId="33" fillId="11" borderId="0" xfId="1" applyNumberFormat="1" applyFont="1" applyFill="1" applyBorder="1"/>
    <xf numFmtId="43" fontId="23" fillId="11" borderId="0" xfId="1" applyFont="1" applyFill="1" applyBorder="1"/>
    <xf numFmtId="0" fontId="34" fillId="11" borderId="0" xfId="0" applyFont="1" applyFill="1"/>
    <xf numFmtId="0" fontId="30" fillId="11" borderId="0" xfId="0" applyFont="1" applyFill="1" applyAlignment="1">
      <alignment horizontal="center"/>
    </xf>
    <xf numFmtId="43" fontId="34" fillId="11" borderId="0" xfId="1" applyFont="1" applyFill="1" applyBorder="1"/>
    <xf numFmtId="0" fontId="0" fillId="11" borderId="0" xfId="0" applyFill="1"/>
    <xf numFmtId="43" fontId="0" fillId="11" borderId="0" xfId="0" applyNumberFormat="1" applyFill="1"/>
    <xf numFmtId="43" fontId="6" fillId="11" borderId="0" xfId="1" applyFont="1" applyFill="1" applyBorder="1"/>
    <xf numFmtId="43" fontId="6" fillId="11" borderId="0" xfId="1" applyFont="1" applyFill="1"/>
    <xf numFmtId="9" fontId="6" fillId="11" borderId="0" xfId="14" applyFont="1" applyFill="1"/>
    <xf numFmtId="44" fontId="6" fillId="11" borderId="0" xfId="5" applyFont="1" applyFill="1"/>
    <xf numFmtId="0" fontId="28" fillId="11" borderId="0" xfId="0" applyFont="1" applyFill="1" applyAlignment="1">
      <alignment horizontal="center" vertical="center"/>
    </xf>
    <xf numFmtId="43" fontId="28" fillId="11" borderId="0" xfId="1" applyFont="1" applyFill="1" applyBorder="1"/>
    <xf numFmtId="0" fontId="28" fillId="11" borderId="0" xfId="0" applyFont="1" applyFill="1"/>
    <xf numFmtId="0" fontId="29" fillId="10" borderId="11" xfId="0" applyFont="1" applyFill="1" applyBorder="1"/>
    <xf numFmtId="0" fontId="29" fillId="10" borderId="12" xfId="0" applyFont="1" applyFill="1" applyBorder="1" applyAlignment="1">
      <alignment vertical="center"/>
    </xf>
    <xf numFmtId="0" fontId="29" fillId="10" borderId="4" xfId="0" applyFont="1" applyFill="1" applyBorder="1" applyAlignment="1">
      <alignment vertical="center"/>
    </xf>
    <xf numFmtId="0" fontId="29" fillId="10" borderId="5" xfId="0" applyFont="1" applyFill="1" applyBorder="1" applyAlignment="1">
      <alignment vertical="center"/>
    </xf>
    <xf numFmtId="0" fontId="12" fillId="11" borderId="0" xfId="0" applyFont="1" applyFill="1"/>
    <xf numFmtId="43" fontId="35" fillId="11" borderId="0" xfId="1" applyFont="1" applyFill="1"/>
    <xf numFmtId="44" fontId="6" fillId="11" borderId="0" xfId="5" applyFont="1" applyFill="1" applyBorder="1"/>
    <xf numFmtId="0" fontId="6" fillId="11" borderId="0" xfId="11" applyFill="1"/>
    <xf numFmtId="43" fontId="6" fillId="11" borderId="0" xfId="2" applyFont="1" applyFill="1" applyBorder="1"/>
    <xf numFmtId="0" fontId="36" fillId="0" borderId="3" xfId="0" applyFont="1" applyBorder="1"/>
    <xf numFmtId="43" fontId="36" fillId="0" borderId="4" xfId="0" applyNumberFormat="1" applyFont="1" applyBorder="1"/>
    <xf numFmtId="0" fontId="29" fillId="4" borderId="9" xfId="11" applyFont="1" applyFill="1" applyBorder="1" applyAlignment="1">
      <alignment horizontal="center" vertical="center"/>
    </xf>
    <xf numFmtId="0" fontId="29" fillId="4" borderId="1" xfId="11" applyFont="1" applyFill="1" applyBorder="1" applyAlignment="1">
      <alignment horizontal="center" vertical="center"/>
    </xf>
    <xf numFmtId="0" fontId="11" fillId="0" borderId="0" xfId="0" applyFont="1"/>
    <xf numFmtId="0" fontId="37" fillId="0" borderId="10" xfId="0" applyFont="1" applyBorder="1"/>
    <xf numFmtId="43" fontId="37" fillId="0" borderId="10" xfId="1" applyFont="1" applyBorder="1" applyAlignment="1">
      <alignment horizontal="center"/>
    </xf>
    <xf numFmtId="0" fontId="11" fillId="0" borderId="10" xfId="0" applyFont="1" applyBorder="1"/>
    <xf numFmtId="43" fontId="11" fillId="0" borderId="10" xfId="1" applyFont="1" applyBorder="1"/>
    <xf numFmtId="9" fontId="6" fillId="0" borderId="0" xfId="1" applyNumberFormat="1" applyFont="1"/>
    <xf numFmtId="0" fontId="36" fillId="0" borderId="4" xfId="0" applyFont="1" applyBorder="1"/>
    <xf numFmtId="0" fontId="36" fillId="0" borderId="0" xfId="0" applyFont="1"/>
    <xf numFmtId="43" fontId="36" fillId="0" borderId="4" xfId="1" applyFont="1" applyBorder="1" applyAlignment="1">
      <alignment horizontal="center"/>
    </xf>
    <xf numFmtId="0" fontId="36" fillId="0" borderId="6" xfId="0" applyFont="1" applyBorder="1"/>
    <xf numFmtId="0" fontId="36" fillId="0" borderId="5" xfId="0" applyFont="1" applyBorder="1"/>
    <xf numFmtId="43" fontId="36" fillId="0" borderId="5" xfId="1" applyFont="1" applyBorder="1" applyAlignment="1">
      <alignment horizontal="center"/>
    </xf>
    <xf numFmtId="43" fontId="15" fillId="0" borderId="4" xfId="0" applyNumberFormat="1" applyFont="1" applyBorder="1"/>
    <xf numFmtId="43" fontId="28" fillId="11" borderId="0" xfId="0" applyNumberFormat="1" applyFont="1" applyFill="1" applyAlignment="1">
      <alignment horizontal="left"/>
    </xf>
    <xf numFmtId="43" fontId="40" fillId="11" borderId="0" xfId="2" applyFont="1" applyFill="1" applyBorder="1" applyAlignment="1">
      <alignment horizontal="left"/>
    </xf>
    <xf numFmtId="43" fontId="11" fillId="11" borderId="10" xfId="0" applyNumberFormat="1" applyFont="1" applyFill="1" applyBorder="1"/>
    <xf numFmtId="0" fontId="29" fillId="10" borderId="13" xfId="0" applyFont="1" applyFill="1" applyBorder="1" applyAlignment="1">
      <alignment horizontal="center" vertical="center"/>
    </xf>
    <xf numFmtId="43" fontId="11" fillId="12" borderId="10" xfId="1" applyFont="1" applyFill="1" applyBorder="1"/>
    <xf numFmtId="0" fontId="29" fillId="4" borderId="9" xfId="0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43" fontId="28" fillId="11" borderId="0" xfId="1" applyFont="1" applyFill="1" applyBorder="1" applyAlignment="1">
      <alignment vertical="center"/>
    </xf>
    <xf numFmtId="0" fontId="28" fillId="11" borderId="0" xfId="0" applyFont="1" applyFill="1" applyAlignment="1">
      <alignment vertical="center"/>
    </xf>
    <xf numFmtId="164" fontId="0" fillId="11" borderId="0" xfId="0" applyNumberFormat="1" applyFill="1"/>
    <xf numFmtId="43" fontId="28" fillId="11" borderId="0" xfId="1" applyFont="1" applyFill="1" applyBorder="1" applyAlignment="1">
      <alignment horizontal="center"/>
    </xf>
    <xf numFmtId="43" fontId="10" fillId="0" borderId="0" xfId="8" applyNumberFormat="1" applyBorder="1"/>
    <xf numFmtId="43" fontId="0" fillId="13" borderId="0" xfId="0" applyNumberFormat="1" applyFill="1"/>
    <xf numFmtId="49" fontId="29" fillId="14" borderId="0" xfId="3" applyNumberFormat="1" applyFont="1" applyFill="1" applyAlignment="1">
      <alignment horizontal="center" vertical="center"/>
    </xf>
    <xf numFmtId="0" fontId="29" fillId="14" borderId="0" xfId="3" applyNumberFormat="1" applyFont="1" applyFill="1" applyAlignment="1">
      <alignment horizontal="center" vertical="center"/>
    </xf>
    <xf numFmtId="43" fontId="38" fillId="0" borderId="0" xfId="1" applyFont="1" applyFill="1" applyBorder="1" applyAlignment="1" applyProtection="1">
      <alignment horizontal="center"/>
      <protection locked="0"/>
    </xf>
    <xf numFmtId="168" fontId="23" fillId="11" borderId="2" xfId="0" applyNumberFormat="1" applyFont="1" applyFill="1" applyBorder="1" applyAlignment="1">
      <alignment horizontal="left"/>
    </xf>
    <xf numFmtId="43" fontId="36" fillId="0" borderId="4" xfId="1" applyFont="1" applyBorder="1"/>
    <xf numFmtId="43" fontId="33" fillId="0" borderId="0" xfId="3" applyFont="1"/>
    <xf numFmtId="43" fontId="12" fillId="0" borderId="0" xfId="3" applyFont="1"/>
    <xf numFmtId="43" fontId="35" fillId="0" borderId="0" xfId="3" applyFont="1" applyAlignment="1">
      <alignment horizontal="center" vertical="center"/>
    </xf>
    <xf numFmtId="43" fontId="28" fillId="4" borderId="1" xfId="3" applyFont="1" applyFill="1" applyBorder="1" applyAlignment="1" applyProtection="1">
      <alignment vertical="center"/>
      <protection locked="0"/>
    </xf>
    <xf numFmtId="43" fontId="28" fillId="8" borderId="1" xfId="3" applyFont="1" applyFill="1" applyBorder="1" applyAlignment="1">
      <alignment vertical="center"/>
    </xf>
    <xf numFmtId="43" fontId="28" fillId="9" borderId="1" xfId="3" applyFont="1" applyFill="1" applyBorder="1" applyAlignment="1">
      <alignment vertical="center"/>
    </xf>
    <xf numFmtId="0" fontId="29" fillId="4" borderId="13" xfId="0" applyFont="1" applyFill="1" applyBorder="1" applyAlignment="1">
      <alignment horizontal="center" vertical="center"/>
    </xf>
    <xf numFmtId="43" fontId="29" fillId="4" borderId="13" xfId="1" applyFont="1" applyFill="1" applyBorder="1" applyAlignment="1">
      <alignment horizontal="center" vertical="center"/>
    </xf>
    <xf numFmtId="43" fontId="26" fillId="0" borderId="0" xfId="3" applyFont="1" applyFill="1"/>
    <xf numFmtId="43" fontId="6" fillId="0" borderId="0" xfId="3" applyFont="1" applyFill="1"/>
    <xf numFmtId="43" fontId="27" fillId="0" borderId="0" xfId="3" applyFont="1" applyFill="1" applyAlignment="1">
      <alignment horizontal="center"/>
    </xf>
    <xf numFmtId="43" fontId="28" fillId="0" borderId="0" xfId="3" applyFont="1" applyFill="1" applyAlignment="1">
      <alignment horizontal="center" vertical="center"/>
    </xf>
    <xf numFmtId="0" fontId="6" fillId="0" borderId="0" xfId="3" applyNumberFormat="1" applyFont="1" applyFill="1" applyBorder="1" applyAlignment="1">
      <alignment horizontal="center"/>
    </xf>
    <xf numFmtId="43" fontId="6" fillId="0" borderId="0" xfId="3" applyFont="1" applyFill="1" applyBorder="1"/>
    <xf numFmtId="43" fontId="6" fillId="0" borderId="0" xfId="3" applyFont="1" applyFill="1" applyBorder="1" applyAlignment="1">
      <alignment horizontal="center"/>
    </xf>
    <xf numFmtId="43" fontId="6" fillId="0" borderId="0" xfId="1" applyFont="1" applyFill="1" applyBorder="1"/>
    <xf numFmtId="43" fontId="12" fillId="0" borderId="0" xfId="3" applyFont="1" applyFill="1" applyBorder="1"/>
    <xf numFmtId="43" fontId="11" fillId="0" borderId="0" xfId="3" applyFont="1" applyFill="1" applyBorder="1"/>
    <xf numFmtId="2" fontId="0" fillId="0" borderId="0" xfId="0" applyNumberFormat="1"/>
    <xf numFmtId="164" fontId="11" fillId="0" borderId="0" xfId="0" applyNumberFormat="1" applyFont="1"/>
    <xf numFmtId="2" fontId="6" fillId="0" borderId="0" xfId="3" applyNumberFormat="1" applyFont="1" applyFill="1" applyBorder="1"/>
    <xf numFmtId="43" fontId="28" fillId="0" borderId="0" xfId="1" applyFont="1" applyFill="1" applyBorder="1"/>
    <xf numFmtId="43" fontId="29" fillId="0" borderId="0" xfId="3" applyFont="1" applyFill="1" applyBorder="1"/>
    <xf numFmtId="0" fontId="6" fillId="0" borderId="0" xfId="3" applyNumberFormat="1" applyFont="1" applyFill="1" applyBorder="1"/>
    <xf numFmtId="0" fontId="11" fillId="0" borderId="0" xfId="3" applyNumberFormat="1" applyFont="1" applyFill="1" applyBorder="1"/>
    <xf numFmtId="0" fontId="6" fillId="0" borderId="0" xfId="3" applyNumberFormat="1" applyFont="1" applyFill="1" applyBorder="1" applyAlignment="1">
      <alignment horizontal="left"/>
    </xf>
    <xf numFmtId="43" fontId="35" fillId="0" borderId="0" xfId="3" applyFont="1" applyFill="1" applyBorder="1"/>
    <xf numFmtId="43" fontId="6" fillId="0" borderId="0" xfId="3" applyFont="1" applyBorder="1" applyAlignment="1">
      <alignment horizontal="center"/>
    </xf>
    <xf numFmtId="43" fontId="12" fillId="0" borderId="0" xfId="3" applyFont="1" applyBorder="1"/>
    <xf numFmtId="0" fontId="28" fillId="0" borderId="0" xfId="0" applyFont="1"/>
    <xf numFmtId="43" fontId="28" fillId="0" borderId="0" xfId="3" applyFont="1" applyFill="1" applyBorder="1"/>
    <xf numFmtId="164" fontId="28" fillId="0" borderId="0" xfId="0" applyNumberFormat="1" applyFont="1"/>
    <xf numFmtId="43" fontId="29" fillId="0" borderId="0" xfId="3" applyFont="1" applyAlignment="1">
      <alignment horizontal="center" vertical="center"/>
    </xf>
    <xf numFmtId="0" fontId="29" fillId="0" borderId="0" xfId="0" applyFont="1"/>
    <xf numFmtId="43" fontId="41" fillId="11" borderId="0" xfId="1" applyFont="1" applyFill="1" applyBorder="1"/>
    <xf numFmtId="43" fontId="7" fillId="11" borderId="0" xfId="1" applyFont="1" applyFill="1" applyBorder="1"/>
    <xf numFmtId="0" fontId="7" fillId="11" borderId="0" xfId="0" applyFont="1" applyFill="1"/>
    <xf numFmtId="43" fontId="19" fillId="13" borderId="4" xfId="0" applyNumberFormat="1" applyFont="1" applyFill="1" applyBorder="1"/>
    <xf numFmtId="15" fontId="28" fillId="0" borderId="0" xfId="11" applyNumberFormat="1" applyFont="1" applyAlignment="1" applyProtection="1">
      <alignment horizontal="left"/>
      <protection locked="0"/>
    </xf>
    <xf numFmtId="43" fontId="38" fillId="0" borderId="0" xfId="2" applyFont="1" applyFill="1" applyBorder="1" applyAlignment="1" applyProtection="1">
      <protection locked="0"/>
    </xf>
    <xf numFmtId="43" fontId="28" fillId="0" borderId="0" xfId="2" applyFont="1" applyFill="1" applyBorder="1" applyAlignment="1" applyProtection="1">
      <protection locked="0"/>
    </xf>
    <xf numFmtId="43" fontId="28" fillId="0" borderId="0" xfId="1" quotePrefix="1" applyFont="1" applyFill="1" applyBorder="1"/>
    <xf numFmtId="0" fontId="28" fillId="11" borderId="14" xfId="0" applyFont="1" applyFill="1" applyBorder="1" applyAlignment="1">
      <alignment horizontal="center" vertical="center"/>
    </xf>
    <xf numFmtId="0" fontId="34" fillId="11" borderId="15" xfId="0" applyFont="1" applyFill="1" applyBorder="1" applyAlignment="1">
      <alignment horizontal="center" vertical="center"/>
    </xf>
    <xf numFmtId="0" fontId="28" fillId="11" borderId="15" xfId="0" applyFont="1" applyFill="1" applyBorder="1" applyAlignment="1">
      <alignment vertical="center"/>
    </xf>
    <xf numFmtId="43" fontId="28" fillId="11" borderId="15" xfId="1" applyFont="1" applyFill="1" applyBorder="1" applyAlignment="1">
      <alignment horizontal="center" vertical="center"/>
    </xf>
    <xf numFmtId="43" fontId="28" fillId="11" borderId="15" xfId="2" applyFont="1" applyFill="1" applyBorder="1" applyAlignment="1">
      <alignment vertical="center"/>
    </xf>
    <xf numFmtId="43" fontId="28" fillId="11" borderId="15" xfId="1" applyFont="1" applyFill="1" applyBorder="1" applyAlignment="1">
      <alignment vertical="center"/>
    </xf>
    <xf numFmtId="43" fontId="38" fillId="11" borderId="15" xfId="1" applyFont="1" applyFill="1" applyBorder="1" applyAlignment="1">
      <alignment vertical="center"/>
    </xf>
    <xf numFmtId="43" fontId="38" fillId="11" borderId="15" xfId="1" applyFont="1" applyFill="1" applyBorder="1" applyAlignment="1">
      <alignment horizontal="right" vertical="center"/>
    </xf>
    <xf numFmtId="9" fontId="38" fillId="11" borderId="15" xfId="14" applyFont="1" applyFill="1" applyBorder="1" applyAlignment="1">
      <alignment vertical="center"/>
    </xf>
    <xf numFmtId="43" fontId="38" fillId="11" borderId="17" xfId="0" applyNumberFormat="1" applyFont="1" applyFill="1" applyBorder="1" applyAlignment="1">
      <alignment vertical="center"/>
    </xf>
    <xf numFmtId="43" fontId="28" fillId="11" borderId="16" xfId="1" applyFont="1" applyFill="1" applyBorder="1" applyAlignment="1">
      <alignment vertical="center"/>
    </xf>
    <xf numFmtId="43" fontId="34" fillId="11" borderId="0" xfId="1" applyFont="1" applyFill="1" applyBorder="1" applyAlignment="1">
      <alignment vertical="center"/>
    </xf>
    <xf numFmtId="43" fontId="28" fillId="11" borderId="0" xfId="0" applyNumberFormat="1" applyFont="1" applyFill="1" applyAlignment="1">
      <alignment vertical="center"/>
    </xf>
    <xf numFmtId="164" fontId="28" fillId="11" borderId="0" xfId="0" applyNumberFormat="1" applyFont="1" applyFill="1" applyAlignment="1">
      <alignment vertical="center"/>
    </xf>
    <xf numFmtId="43" fontId="38" fillId="11" borderId="15" xfId="0" applyNumberFormat="1" applyFont="1" applyFill="1" applyBorder="1" applyAlignment="1">
      <alignment vertical="center"/>
    </xf>
    <xf numFmtId="0" fontId="28" fillId="0" borderId="0" xfId="3" applyNumberFormat="1" applyFont="1" applyFill="1" applyBorder="1" applyAlignment="1" applyProtection="1">
      <alignment horizontal="center"/>
      <protection locked="0"/>
    </xf>
    <xf numFmtId="0" fontId="34" fillId="0" borderId="0" xfId="0" applyFont="1" applyAlignment="1" applyProtection="1">
      <alignment horizontal="center"/>
      <protection locked="0"/>
    </xf>
    <xf numFmtId="43" fontId="38" fillId="0" borderId="0" xfId="1" applyFont="1" applyBorder="1" applyAlignment="1" applyProtection="1">
      <protection locked="0"/>
    </xf>
    <xf numFmtId="43" fontId="38" fillId="0" borderId="0" xfId="1" applyFont="1" applyFill="1" applyBorder="1" applyAlignment="1" applyProtection="1">
      <protection locked="0"/>
    </xf>
    <xf numFmtId="43" fontId="38" fillId="4" borderId="1" xfId="3" applyFont="1" applyFill="1" applyBorder="1" applyAlignment="1" applyProtection="1">
      <protection locked="0"/>
    </xf>
    <xf numFmtId="43" fontId="38" fillId="8" borderId="1" xfId="3" applyFont="1" applyFill="1" applyBorder="1" applyAlignment="1"/>
    <xf numFmtId="165" fontId="38" fillId="8" borderId="1" xfId="3" applyNumberFormat="1" applyFont="1" applyFill="1" applyBorder="1" applyAlignment="1">
      <alignment horizontal="center"/>
    </xf>
    <xf numFmtId="43" fontId="35" fillId="0" borderId="0" xfId="3" applyFont="1" applyFill="1" applyAlignment="1"/>
    <xf numFmtId="43" fontId="28" fillId="0" borderId="0" xfId="1" applyFont="1" applyFill="1" applyAlignment="1"/>
    <xf numFmtId="43" fontId="28" fillId="4" borderId="1" xfId="3" applyFont="1" applyFill="1" applyBorder="1" applyAlignment="1" applyProtection="1">
      <protection locked="0"/>
    </xf>
    <xf numFmtId="43" fontId="29" fillId="0" borderId="0" xfId="3" applyFont="1" applyFill="1" applyAlignment="1"/>
    <xf numFmtId="0" fontId="38" fillId="0" borderId="0" xfId="3" applyNumberFormat="1" applyFont="1" applyFill="1" applyBorder="1" applyAlignment="1" applyProtection="1">
      <alignment horizontal="center"/>
      <protection locked="0"/>
    </xf>
    <xf numFmtId="43" fontId="39" fillId="0" borderId="0" xfId="1" applyFont="1" applyFill="1" applyBorder="1" applyAlignment="1" applyProtection="1">
      <protection locked="0"/>
    </xf>
    <xf numFmtId="43" fontId="38" fillId="0" borderId="0" xfId="3" applyFont="1" applyFill="1" applyAlignment="1"/>
    <xf numFmtId="43" fontId="38" fillId="4" borderId="1" xfId="1" applyFont="1" applyFill="1" applyBorder="1" applyAlignment="1" applyProtection="1">
      <protection locked="0"/>
    </xf>
    <xf numFmtId="43" fontId="38" fillId="4" borderId="1" xfId="3" applyFont="1" applyFill="1" applyBorder="1" applyAlignment="1"/>
    <xf numFmtId="0" fontId="28" fillId="0" borderId="0" xfId="3" applyNumberFormat="1" applyFont="1" applyFill="1" applyBorder="1" applyAlignment="1">
      <alignment horizontal="center"/>
    </xf>
    <xf numFmtId="43" fontId="28" fillId="8" borderId="1" xfId="3" applyFont="1" applyFill="1" applyBorder="1" applyAlignment="1"/>
    <xf numFmtId="43" fontId="28" fillId="0" borderId="0" xfId="3" applyFont="1" applyFill="1" applyAlignment="1"/>
    <xf numFmtId="43" fontId="28" fillId="0" borderId="0" xfId="1" applyFont="1" applyFill="1" applyBorder="1" applyAlignment="1">
      <alignment horizontal="center"/>
    </xf>
    <xf numFmtId="4" fontId="28" fillId="0" borderId="0" xfId="1" applyNumberFormat="1" applyFont="1" applyAlignment="1">
      <alignment horizontal="left"/>
    </xf>
    <xf numFmtId="43" fontId="6" fillId="0" borderId="0" xfId="3" applyFont="1" applyFill="1" applyAlignment="1"/>
    <xf numFmtId="43" fontId="6" fillId="0" borderId="0" xfId="1" applyFont="1" applyFill="1" applyBorder="1" applyAlignment="1"/>
    <xf numFmtId="43" fontId="6" fillId="0" borderId="0" xfId="3" applyFont="1" applyFill="1" applyBorder="1" applyAlignment="1"/>
    <xf numFmtId="43" fontId="28" fillId="4" borderId="18" xfId="3" applyFont="1" applyFill="1" applyBorder="1" applyAlignment="1" applyProtection="1">
      <protection locked="0"/>
    </xf>
    <xf numFmtId="43" fontId="28" fillId="8" borderId="18" xfId="3" applyFont="1" applyFill="1" applyBorder="1" applyAlignment="1"/>
    <xf numFmtId="0" fontId="0" fillId="10" borderId="3" xfId="0" applyFill="1" applyBorder="1"/>
    <xf numFmtId="0" fontId="15" fillId="10" borderId="4" xfId="0" applyFont="1" applyFill="1" applyBorder="1"/>
    <xf numFmtId="0" fontId="15" fillId="10" borderId="3" xfId="0" applyFont="1" applyFill="1" applyBorder="1"/>
    <xf numFmtId="0" fontId="31" fillId="10" borderId="0" xfId="0" applyFont="1" applyFill="1" applyAlignment="1">
      <alignment horizontal="center"/>
    </xf>
    <xf numFmtId="0" fontId="16" fillId="10" borderId="0" xfId="0" applyFont="1" applyFill="1"/>
    <xf numFmtId="0" fontId="15" fillId="10" borderId="0" xfId="0" applyFont="1" applyFill="1"/>
    <xf numFmtId="168" fontId="17" fillId="10" borderId="0" xfId="0" applyNumberFormat="1" applyFont="1" applyFill="1" applyAlignment="1">
      <alignment horizontal="center"/>
    </xf>
    <xf numFmtId="168" fontId="17" fillId="10" borderId="4" xfId="0" applyNumberFormat="1" applyFont="1" applyFill="1" applyBorder="1" applyAlignment="1">
      <alignment horizontal="center"/>
    </xf>
    <xf numFmtId="22" fontId="15" fillId="10" borderId="0" xfId="0" quotePrefix="1" applyNumberFormat="1" applyFont="1" applyFill="1"/>
    <xf numFmtId="0" fontId="15" fillId="10" borderId="0" xfId="0" applyFont="1" applyFill="1" applyAlignment="1">
      <alignment horizontal="center"/>
    </xf>
    <xf numFmtId="0" fontId="15" fillId="10" borderId="4" xfId="0" applyFont="1" applyFill="1" applyBorder="1" applyAlignment="1">
      <alignment horizontal="center"/>
    </xf>
    <xf numFmtId="0" fontId="36" fillId="10" borderId="3" xfId="0" applyFont="1" applyFill="1" applyBorder="1"/>
    <xf numFmtId="0" fontId="36" fillId="10" borderId="4" xfId="0" applyFont="1" applyFill="1" applyBorder="1"/>
    <xf numFmtId="0" fontId="36" fillId="10" borderId="0" xfId="0" applyFont="1" applyFill="1"/>
    <xf numFmtId="43" fontId="36" fillId="10" borderId="4" xfId="0" applyNumberFormat="1" applyFont="1" applyFill="1" applyBorder="1"/>
    <xf numFmtId="43" fontId="17" fillId="10" borderId="4" xfId="1" applyFont="1" applyFill="1" applyBorder="1"/>
    <xf numFmtId="43" fontId="36" fillId="10" borderId="4" xfId="1" applyFont="1" applyFill="1" applyBorder="1" applyAlignment="1">
      <alignment horizontal="center"/>
    </xf>
    <xf numFmtId="2" fontId="15" fillId="10" borderId="0" xfId="0" applyNumberFormat="1" applyFont="1" applyFill="1" applyAlignment="1">
      <alignment horizontal="center"/>
    </xf>
    <xf numFmtId="43" fontId="36" fillId="10" borderId="4" xfId="1" applyFont="1" applyFill="1" applyBorder="1"/>
    <xf numFmtId="43" fontId="15" fillId="10" borderId="4" xfId="1" applyFont="1" applyFill="1" applyBorder="1"/>
    <xf numFmtId="43" fontId="15" fillId="10" borderId="5" xfId="1" applyFont="1" applyFill="1" applyBorder="1"/>
    <xf numFmtId="0" fontId="36" fillId="10" borderId="6" xfId="0" applyFont="1" applyFill="1" applyBorder="1"/>
    <xf numFmtId="0" fontId="36" fillId="10" borderId="5" xfId="0" applyFont="1" applyFill="1" applyBorder="1"/>
    <xf numFmtId="43" fontId="36" fillId="10" borderId="5" xfId="1" applyFont="1" applyFill="1" applyBorder="1" applyAlignment="1">
      <alignment horizontal="center"/>
    </xf>
    <xf numFmtId="43" fontId="17" fillId="10" borderId="4" xfId="0" applyNumberFormat="1" applyFont="1" applyFill="1" applyBorder="1"/>
    <xf numFmtId="43" fontId="15" fillId="10" borderId="0" xfId="1" applyFont="1" applyFill="1" applyBorder="1"/>
    <xf numFmtId="43" fontId="15" fillId="10" borderId="4" xfId="0" applyNumberFormat="1" applyFont="1" applyFill="1" applyBorder="1"/>
    <xf numFmtId="0" fontId="18" fillId="10" borderId="0" xfId="0" applyFont="1" applyFill="1"/>
    <xf numFmtId="0" fontId="15" fillId="10" borderId="6" xfId="0" applyFont="1" applyFill="1" applyBorder="1"/>
    <xf numFmtId="0" fontId="15" fillId="10" borderId="2" xfId="0" applyFont="1" applyFill="1" applyBorder="1"/>
    <xf numFmtId="0" fontId="15" fillId="10" borderId="5" xfId="0" applyFont="1" applyFill="1" applyBorder="1"/>
    <xf numFmtId="0" fontId="19" fillId="10" borderId="0" xfId="0" applyFont="1" applyFill="1"/>
    <xf numFmtId="43" fontId="19" fillId="10" borderId="4" xfId="0" applyNumberFormat="1" applyFont="1" applyFill="1" applyBorder="1"/>
    <xf numFmtId="0" fontId="0" fillId="10" borderId="6" xfId="0" applyFill="1" applyBorder="1"/>
    <xf numFmtId="0" fontId="0" fillId="10" borderId="2" xfId="0" applyFill="1" applyBorder="1"/>
    <xf numFmtId="0" fontId="16" fillId="10" borderId="2" xfId="0" applyFont="1" applyFill="1" applyBorder="1" applyAlignment="1">
      <alignment horizontal="right" vertical="top"/>
    </xf>
    <xf numFmtId="43" fontId="17" fillId="10" borderId="5" xfId="0" applyNumberFormat="1" applyFont="1" applyFill="1" applyBorder="1"/>
    <xf numFmtId="43" fontId="15" fillId="10" borderId="0" xfId="0" applyNumberFormat="1" applyFont="1" applyFill="1"/>
    <xf numFmtId="43" fontId="28" fillId="11" borderId="0" xfId="1" applyFont="1" applyFill="1" applyAlignment="1">
      <alignment vertical="center"/>
    </xf>
    <xf numFmtId="43" fontId="28" fillId="11" borderId="0" xfId="1" applyFont="1" applyFill="1"/>
    <xf numFmtId="43" fontId="38" fillId="8" borderId="1" xfId="3" applyFont="1" applyFill="1" applyBorder="1" applyAlignment="1">
      <alignment vertical="center"/>
    </xf>
    <xf numFmtId="164" fontId="28" fillId="11" borderId="0" xfId="0" applyNumberFormat="1" applyFont="1" applyFill="1"/>
    <xf numFmtId="43" fontId="28" fillId="11" borderId="0" xfId="0" applyNumberFormat="1" applyFont="1" applyFill="1"/>
    <xf numFmtId="0" fontId="28" fillId="0" borderId="0" xfId="0" applyFont="1" applyAlignment="1">
      <alignment vertical="center"/>
    </xf>
    <xf numFmtId="43" fontId="42" fillId="11" borderId="0" xfId="1" applyFont="1" applyFill="1" applyBorder="1" applyAlignment="1">
      <alignment horizontal="left"/>
    </xf>
    <xf numFmtId="164" fontId="26" fillId="11" borderId="0" xfId="0" applyNumberFormat="1" applyFont="1" applyFill="1"/>
    <xf numFmtId="43" fontId="26" fillId="11" borderId="0" xfId="1" applyFont="1" applyFill="1"/>
    <xf numFmtId="0" fontId="7" fillId="10" borderId="0" xfId="0" applyFont="1" applyFill="1"/>
    <xf numFmtId="0" fontId="7" fillId="10" borderId="3" xfId="0" applyFont="1" applyFill="1" applyBorder="1"/>
    <xf numFmtId="0" fontId="43" fillId="10" borderId="4" xfId="0" applyFont="1" applyFill="1" applyBorder="1"/>
    <xf numFmtId="0" fontId="43" fillId="10" borderId="3" xfId="0" applyFont="1" applyFill="1" applyBorder="1"/>
    <xf numFmtId="0" fontId="44" fillId="10" borderId="0" xfId="0" applyFont="1" applyFill="1" applyAlignment="1">
      <alignment horizontal="center"/>
    </xf>
    <xf numFmtId="0" fontId="45" fillId="10" borderId="0" xfId="0" applyFont="1" applyFill="1"/>
    <xf numFmtId="0" fontId="43" fillId="10" borderId="0" xfId="0" applyFont="1" applyFill="1"/>
    <xf numFmtId="168" fontId="44" fillId="10" borderId="0" xfId="0" applyNumberFormat="1" applyFont="1" applyFill="1" applyAlignment="1">
      <alignment horizontal="center"/>
    </xf>
    <xf numFmtId="168" fontId="44" fillId="10" borderId="4" xfId="0" applyNumberFormat="1" applyFont="1" applyFill="1" applyBorder="1" applyAlignment="1">
      <alignment horizontal="center"/>
    </xf>
    <xf numFmtId="22" fontId="43" fillId="10" borderId="0" xfId="0" quotePrefix="1" applyNumberFormat="1" applyFont="1" applyFill="1"/>
    <xf numFmtId="0" fontId="43" fillId="10" borderId="0" xfId="0" applyFont="1" applyFill="1" applyAlignment="1">
      <alignment horizontal="center"/>
    </xf>
    <xf numFmtId="0" fontId="43" fillId="10" borderId="4" xfId="0" applyFont="1" applyFill="1" applyBorder="1" applyAlignment="1">
      <alignment horizontal="center"/>
    </xf>
    <xf numFmtId="43" fontId="43" fillId="10" borderId="4" xfId="0" applyNumberFormat="1" applyFont="1" applyFill="1" applyBorder="1"/>
    <xf numFmtId="43" fontId="44" fillId="10" borderId="4" xfId="1" applyFont="1" applyFill="1" applyBorder="1"/>
    <xf numFmtId="43" fontId="43" fillId="10" borderId="4" xfId="1" applyFont="1" applyFill="1" applyBorder="1" applyAlignment="1">
      <alignment horizontal="center"/>
    </xf>
    <xf numFmtId="2" fontId="43" fillId="10" borderId="0" xfId="0" applyNumberFormat="1" applyFont="1" applyFill="1" applyAlignment="1">
      <alignment horizontal="center"/>
    </xf>
    <xf numFmtId="43" fontId="43" fillId="10" borderId="4" xfId="1" applyFont="1" applyFill="1" applyBorder="1"/>
    <xf numFmtId="43" fontId="43" fillId="10" borderId="5" xfId="1" applyFont="1" applyFill="1" applyBorder="1"/>
    <xf numFmtId="0" fontId="43" fillId="10" borderId="6" xfId="0" applyFont="1" applyFill="1" applyBorder="1"/>
    <xf numFmtId="0" fontId="43" fillId="10" borderId="5" xfId="0" applyFont="1" applyFill="1" applyBorder="1"/>
    <xf numFmtId="43" fontId="43" fillId="10" borderId="5" xfId="1" applyFont="1" applyFill="1" applyBorder="1" applyAlignment="1">
      <alignment horizontal="center"/>
    </xf>
    <xf numFmtId="43" fontId="44" fillId="10" borderId="4" xfId="0" applyNumberFormat="1" applyFont="1" applyFill="1" applyBorder="1"/>
    <xf numFmtId="43" fontId="43" fillId="10" borderId="0" xfId="1" applyFont="1" applyFill="1" applyBorder="1"/>
    <xf numFmtId="0" fontId="46" fillId="10" borderId="0" xfId="0" applyFont="1" applyFill="1"/>
    <xf numFmtId="0" fontId="43" fillId="10" borderId="2" xfId="0" applyFont="1" applyFill="1" applyBorder="1"/>
    <xf numFmtId="0" fontId="47" fillId="10" borderId="0" xfId="0" applyFont="1" applyFill="1"/>
    <xf numFmtId="43" fontId="47" fillId="10" borderId="4" xfId="0" applyNumberFormat="1" applyFont="1" applyFill="1" applyBorder="1"/>
    <xf numFmtId="0" fontId="7" fillId="10" borderId="6" xfId="0" applyFont="1" applyFill="1" applyBorder="1"/>
    <xf numFmtId="0" fontId="7" fillId="10" borderId="2" xfId="0" applyFont="1" applyFill="1" applyBorder="1"/>
    <xf numFmtId="0" fontId="45" fillId="10" borderId="2" xfId="0" applyFont="1" applyFill="1" applyBorder="1" applyAlignment="1">
      <alignment horizontal="right" vertical="top"/>
    </xf>
    <xf numFmtId="43" fontId="44" fillId="10" borderId="5" xfId="0" applyNumberFormat="1" applyFont="1" applyFill="1" applyBorder="1"/>
    <xf numFmtId="43" fontId="7" fillId="10" borderId="0" xfId="0" applyNumberFormat="1" applyFont="1" applyFill="1"/>
    <xf numFmtId="43" fontId="43" fillId="10" borderId="0" xfId="0" applyNumberFormat="1" applyFont="1" applyFill="1"/>
    <xf numFmtId="0" fontId="28" fillId="0" borderId="0" xfId="3" applyNumberFormat="1" applyFont="1" applyFill="1" applyBorder="1" applyAlignment="1">
      <alignment horizontal="center" vertical="center"/>
    </xf>
    <xf numFmtId="0" fontId="28" fillId="0" borderId="1" xfId="3" applyNumberFormat="1" applyFont="1" applyFill="1" applyBorder="1" applyAlignment="1">
      <alignment horizontal="center" vertical="center"/>
    </xf>
    <xf numFmtId="4" fontId="6" fillId="0" borderId="1" xfId="8" applyNumberFormat="1" applyFont="1" applyFill="1" applyBorder="1" applyAlignment="1">
      <alignment vertical="center"/>
    </xf>
    <xf numFmtId="0" fontId="28" fillId="0" borderId="1" xfId="3" quotePrefix="1" applyNumberFormat="1" applyFont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0" fontId="38" fillId="0" borderId="1" xfId="3" quotePrefix="1" applyNumberFormat="1" applyFont="1" applyFill="1" applyBorder="1" applyAlignment="1">
      <alignment horizontal="center" vertical="center"/>
    </xf>
    <xf numFmtId="43" fontId="38" fillId="0" borderId="1" xfId="3" quotePrefix="1" applyFont="1" applyFill="1" applyBorder="1" applyAlignment="1">
      <alignment horizontal="center" vertical="center"/>
    </xf>
    <xf numFmtId="0" fontId="6" fillId="0" borderId="1" xfId="8" applyFont="1" applyBorder="1" applyAlignment="1">
      <alignment vertic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45" fillId="10" borderId="0" xfId="0" applyFont="1" applyFill="1" applyAlignment="1">
      <alignment horizontal="center"/>
    </xf>
    <xf numFmtId="0" fontId="45" fillId="10" borderId="4" xfId="0" applyFont="1" applyFill="1" applyBorder="1" applyAlignment="1">
      <alignment horizontal="center"/>
    </xf>
    <xf numFmtId="0" fontId="17" fillId="10" borderId="0" xfId="0" applyFont="1" applyFill="1" applyAlignment="1">
      <alignment vertical="top"/>
    </xf>
    <xf numFmtId="43" fontId="0" fillId="10" borderId="0" xfId="0" applyNumberFormat="1" applyFill="1"/>
    <xf numFmtId="164" fontId="6" fillId="0" borderId="0" xfId="3" applyNumberFormat="1" applyFont="1" applyFill="1" applyBorder="1" applyAlignment="1">
      <alignment horizontal="left"/>
    </xf>
    <xf numFmtId="43" fontId="28" fillId="0" borderId="0" xfId="1" applyFont="1" applyFill="1" applyBorder="1" applyAlignment="1"/>
    <xf numFmtId="15" fontId="28" fillId="0" borderId="0" xfId="11" applyNumberFormat="1" applyFont="1" applyAlignment="1" applyProtection="1">
      <alignment horizontal="center" vertical="center"/>
      <protection locked="0"/>
    </xf>
    <xf numFmtId="0" fontId="28" fillId="0" borderId="1" xfId="3" applyNumberFormat="1" applyFont="1" applyFill="1" applyBorder="1" applyAlignment="1">
      <alignment horizontal="center"/>
    </xf>
    <xf numFmtId="0" fontId="6" fillId="0" borderId="1" xfId="8" applyFont="1" applyBorder="1"/>
    <xf numFmtId="4" fontId="6" fillId="0" borderId="1" xfId="8" applyNumberFormat="1" applyFont="1" applyFill="1" applyBorder="1"/>
    <xf numFmtId="4" fontId="28" fillId="0" borderId="0" xfId="3" applyNumberFormat="1" applyFont="1" applyFill="1" applyBorder="1"/>
    <xf numFmtId="43" fontId="29" fillId="0" borderId="0" xfId="1" applyFont="1" applyFill="1" applyBorder="1"/>
    <xf numFmtId="43" fontId="28" fillId="0" borderId="0" xfId="3" applyFont="1" applyFill="1" applyBorder="1" applyAlignment="1">
      <alignment horizontal="center"/>
    </xf>
    <xf numFmtId="2" fontId="28" fillId="0" borderId="0" xfId="0" applyNumberFormat="1" applyFont="1"/>
    <xf numFmtId="0" fontId="29" fillId="0" borderId="0" xfId="3" applyNumberFormat="1" applyFont="1" applyFill="1" applyBorder="1" applyAlignment="1">
      <alignment horizontal="center"/>
    </xf>
    <xf numFmtId="43" fontId="29" fillId="0" borderId="0" xfId="3" applyFont="1" applyFill="1" applyBorder="1" applyAlignment="1">
      <alignment horizontal="center"/>
    </xf>
    <xf numFmtId="2" fontId="29" fillId="0" borderId="0" xfId="0" applyNumberFormat="1" applyFont="1"/>
    <xf numFmtId="164" fontId="29" fillId="0" borderId="0" xfId="0" applyNumberFormat="1" applyFont="1"/>
    <xf numFmtId="43" fontId="27" fillId="0" borderId="0" xfId="3" applyFont="1" applyFill="1" applyBorder="1"/>
    <xf numFmtId="0" fontId="29" fillId="0" borderId="0" xfId="3" applyNumberFormat="1" applyFont="1" applyFill="1" applyBorder="1"/>
    <xf numFmtId="0" fontId="28" fillId="0" borderId="0" xfId="3" applyNumberFormat="1" applyFont="1" applyFill="1" applyBorder="1" applyAlignment="1">
      <alignment horizontal="left"/>
    </xf>
    <xf numFmtId="0" fontId="28" fillId="0" borderId="0" xfId="3" applyNumberFormat="1" applyFont="1" applyFill="1" applyBorder="1"/>
    <xf numFmtId="43" fontId="29" fillId="11" borderId="0" xfId="1" applyFont="1" applyFill="1" applyBorder="1" applyAlignment="1"/>
    <xf numFmtId="43" fontId="29" fillId="11" borderId="0" xfId="1" applyFont="1" applyFill="1"/>
    <xf numFmtId="164" fontId="27" fillId="0" borderId="0" xfId="0" applyNumberFormat="1" applyFont="1"/>
    <xf numFmtId="4" fontId="28" fillId="0" borderId="0" xfId="1" applyNumberFormat="1" applyFont="1" applyFill="1" applyBorder="1"/>
    <xf numFmtId="4" fontId="29" fillId="0" borderId="0" xfId="3" applyNumberFormat="1" applyFont="1" applyFill="1" applyBorder="1"/>
    <xf numFmtId="43" fontId="29" fillId="0" borderId="0" xfId="0" applyNumberFormat="1" applyFont="1"/>
    <xf numFmtId="164" fontId="35" fillId="0" borderId="0" xfId="0" applyNumberFormat="1" applyFont="1"/>
    <xf numFmtId="43" fontId="28" fillId="0" borderId="15" xfId="1" applyFont="1" applyFill="1" applyBorder="1" applyAlignment="1">
      <alignment vertical="center"/>
    </xf>
    <xf numFmtId="0" fontId="49" fillId="11" borderId="0" xfId="0" applyFont="1" applyFill="1" applyAlignment="1">
      <alignment vertical="center"/>
    </xf>
    <xf numFmtId="43" fontId="30" fillId="16" borderId="49" xfId="0" applyNumberFormat="1" applyFont="1" applyFill="1" applyBorder="1" applyAlignment="1">
      <alignment horizontal="center" vertical="center" wrapText="1"/>
    </xf>
    <xf numFmtId="43" fontId="30" fillId="16" borderId="49" xfId="1" applyFont="1" applyFill="1" applyBorder="1" applyAlignment="1">
      <alignment horizontal="center" vertical="center" wrapText="1"/>
    </xf>
    <xf numFmtId="43" fontId="38" fillId="17" borderId="49" xfId="1" applyFont="1" applyFill="1" applyBorder="1"/>
    <xf numFmtId="43" fontId="38" fillId="17" borderId="49" xfId="1" applyFont="1" applyFill="1" applyBorder="1" applyAlignment="1">
      <alignment horizontal="center" vertical="center"/>
    </xf>
    <xf numFmtId="43" fontId="30" fillId="18" borderId="49" xfId="1" applyFont="1" applyFill="1" applyBorder="1"/>
    <xf numFmtId="43" fontId="30" fillId="18" borderId="49" xfId="1" applyFont="1" applyFill="1" applyBorder="1" applyAlignment="1">
      <alignment horizontal="center" vertical="center"/>
    </xf>
    <xf numFmtId="43" fontId="38" fillId="11" borderId="49" xfId="1" applyFont="1" applyFill="1" applyBorder="1"/>
    <xf numFmtId="43" fontId="38" fillId="11" borderId="49" xfId="1" applyFont="1" applyFill="1" applyBorder="1" applyAlignment="1">
      <alignment horizontal="center" vertical="center"/>
    </xf>
    <xf numFmtId="43" fontId="28" fillId="0" borderId="0" xfId="0" applyNumberFormat="1" applyFont="1"/>
    <xf numFmtId="43" fontId="30" fillId="18" borderId="49" xfId="1" applyFont="1" applyFill="1" applyBorder="1" applyAlignment="1">
      <alignment horizontal="center"/>
    </xf>
    <xf numFmtId="43" fontId="38" fillId="17" borderId="49" xfId="1" applyFont="1" applyFill="1" applyBorder="1" applyAlignment="1">
      <alignment horizontal="center"/>
    </xf>
    <xf numFmtId="43" fontId="28" fillId="0" borderId="0" xfId="1" applyFont="1"/>
    <xf numFmtId="43" fontId="38" fillId="17" borderId="50" xfId="1" applyFont="1" applyFill="1" applyBorder="1" applyAlignment="1"/>
    <xf numFmtId="43" fontId="30" fillId="18" borderId="51" xfId="1" applyFont="1" applyFill="1" applyBorder="1"/>
    <xf numFmtId="43" fontId="38" fillId="17" borderId="1" xfId="1" applyFont="1" applyFill="1" applyBorder="1" applyAlignment="1"/>
    <xf numFmtId="43" fontId="35" fillId="11" borderId="16" xfId="0" applyNumberFormat="1" applyFont="1" applyFill="1" applyBorder="1" applyAlignment="1">
      <alignment vertical="center"/>
    </xf>
    <xf numFmtId="43" fontId="38" fillId="11" borderId="19" xfId="0" applyNumberFormat="1" applyFont="1" applyFill="1" applyBorder="1" applyAlignment="1">
      <alignment vertical="center"/>
    </xf>
    <xf numFmtId="43" fontId="38" fillId="11" borderId="20" xfId="0" applyNumberFormat="1" applyFont="1" applyFill="1" applyBorder="1" applyAlignment="1">
      <alignment vertical="center"/>
    </xf>
    <xf numFmtId="43" fontId="38" fillId="11" borderId="21" xfId="0" applyNumberFormat="1" applyFont="1" applyFill="1" applyBorder="1" applyAlignment="1">
      <alignment vertical="center"/>
    </xf>
    <xf numFmtId="0" fontId="28" fillId="0" borderId="0" xfId="3" applyNumberFormat="1" applyFont="1" applyFill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left" vertical="center"/>
      <protection locked="0"/>
    </xf>
    <xf numFmtId="43" fontId="38" fillId="0" borderId="0" xfId="1" applyFont="1" applyBorder="1" applyAlignment="1" applyProtection="1">
      <alignment horizontal="center" vertical="center"/>
      <protection locked="0"/>
    </xf>
    <xf numFmtId="43" fontId="38" fillId="0" borderId="0" xfId="2" applyFont="1" applyBorder="1" applyAlignment="1" applyProtection="1">
      <alignment vertical="center"/>
      <protection locked="0"/>
    </xf>
    <xf numFmtId="43" fontId="38" fillId="0" borderId="0" xfId="1" applyFont="1" applyBorder="1" applyAlignment="1" applyProtection="1">
      <alignment vertical="center"/>
      <protection locked="0"/>
    </xf>
    <xf numFmtId="43" fontId="38" fillId="0" borderId="0" xfId="1" applyFont="1" applyFill="1" applyBorder="1" applyAlignment="1" applyProtection="1">
      <alignment vertical="center"/>
      <protection locked="0"/>
    </xf>
    <xf numFmtId="43" fontId="28" fillId="0" borderId="0" xfId="3" applyFont="1" applyAlignment="1">
      <alignment vertical="center"/>
    </xf>
    <xf numFmtId="43" fontId="29" fillId="0" borderId="0" xfId="3" applyFont="1" applyFill="1" applyAlignment="1">
      <alignment vertical="center"/>
    </xf>
    <xf numFmtId="0" fontId="28" fillId="0" borderId="0" xfId="3" applyNumberFormat="1" applyFont="1" applyAlignment="1">
      <alignment vertical="center"/>
    </xf>
    <xf numFmtId="43" fontId="28" fillId="0" borderId="0" xfId="1" applyFont="1" applyFill="1" applyAlignment="1">
      <alignment vertical="center"/>
    </xf>
    <xf numFmtId="43" fontId="28" fillId="0" borderId="0" xfId="1" applyFont="1" applyAlignment="1">
      <alignment vertical="center"/>
    </xf>
    <xf numFmtId="43" fontId="38" fillId="0" borderId="0" xfId="1" applyFont="1" applyAlignment="1">
      <alignment vertical="center"/>
    </xf>
    <xf numFmtId="0" fontId="28" fillId="0" borderId="0" xfId="1" applyNumberFormat="1" applyFont="1" applyAlignment="1">
      <alignment vertical="center"/>
    </xf>
    <xf numFmtId="2" fontId="28" fillId="0" borderId="0" xfId="3" applyNumberFormat="1" applyFont="1" applyAlignment="1">
      <alignment vertical="center"/>
    </xf>
    <xf numFmtId="43" fontId="38" fillId="12" borderId="49" xfId="1" applyFont="1" applyFill="1" applyBorder="1"/>
    <xf numFmtId="43" fontId="38" fillId="12" borderId="49" xfId="1" applyFont="1" applyFill="1" applyBorder="1" applyAlignment="1">
      <alignment horizontal="center" vertical="center"/>
    </xf>
    <xf numFmtId="43" fontId="42" fillId="11" borderId="0" xfId="1" applyFont="1" applyFill="1" applyBorder="1"/>
    <xf numFmtId="4" fontId="42" fillId="11" borderId="0" xfId="1" applyNumberFormat="1" applyFont="1" applyFill="1" applyBorder="1" applyAlignment="1">
      <alignment horizontal="left"/>
    </xf>
    <xf numFmtId="0" fontId="44" fillId="10" borderId="0" xfId="0" applyFont="1" applyFill="1" applyAlignment="1">
      <alignment vertical="top"/>
    </xf>
    <xf numFmtId="0" fontId="28" fillId="0" borderId="1" xfId="3" applyNumberFormat="1" applyFont="1" applyBorder="1" applyAlignment="1">
      <alignment horizontal="center"/>
    </xf>
    <xf numFmtId="4" fontId="6" fillId="0" borderId="1" xfId="8" applyNumberFormat="1" applyFont="1" applyBorder="1"/>
    <xf numFmtId="43" fontId="27" fillId="11" borderId="0" xfId="1" applyFont="1" applyFill="1" applyBorder="1" applyAlignment="1">
      <alignment vertical="center"/>
    </xf>
    <xf numFmtId="4" fontId="28" fillId="0" borderId="0" xfId="1" applyNumberFormat="1" applyFont="1" applyAlignment="1">
      <alignment horizontal="left" vertical="center"/>
    </xf>
    <xf numFmtId="43" fontId="28" fillId="0" borderId="0" xfId="2" applyFont="1" applyFill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43" fontId="28" fillId="0" borderId="0" xfId="1" applyFont="1" applyFill="1" applyBorder="1" applyAlignment="1">
      <alignment vertical="center"/>
    </xf>
    <xf numFmtId="43" fontId="6" fillId="0" borderId="0" xfId="1" applyFont="1" applyFill="1" applyBorder="1" applyAlignment="1">
      <alignment vertical="center"/>
    </xf>
    <xf numFmtId="43" fontId="6" fillId="0" borderId="0" xfId="3" applyFont="1" applyFill="1" applyBorder="1" applyAlignment="1">
      <alignment vertical="center"/>
    </xf>
    <xf numFmtId="43" fontId="37" fillId="0" borderId="0" xfId="3" applyFont="1" applyFill="1" applyBorder="1" applyAlignment="1">
      <alignment vertical="center"/>
    </xf>
    <xf numFmtId="14" fontId="11" fillId="20" borderId="22" xfId="0" applyNumberFormat="1" applyFont="1" applyFill="1" applyBorder="1" applyAlignment="1">
      <alignment horizontal="center" vertical="center"/>
    </xf>
    <xf numFmtId="14" fontId="11" fillId="20" borderId="24" xfId="0" applyNumberFormat="1" applyFont="1" applyFill="1" applyBorder="1" applyAlignment="1">
      <alignment horizontal="center" vertical="center"/>
    </xf>
    <xf numFmtId="14" fontId="11" fillId="20" borderId="24" xfId="0" applyNumberFormat="1" applyFont="1" applyFill="1" applyBorder="1" applyAlignment="1">
      <alignment horizontal="center" vertical="center" wrapText="1"/>
    </xf>
    <xf numFmtId="14" fontId="11" fillId="20" borderId="23" xfId="0" applyNumberFormat="1" applyFont="1" applyFill="1" applyBorder="1" applyAlignment="1">
      <alignment horizontal="center" vertical="center"/>
    </xf>
    <xf numFmtId="14" fontId="11" fillId="20" borderId="25" xfId="0" applyNumberFormat="1" applyFont="1" applyFill="1" applyBorder="1" applyAlignment="1">
      <alignment horizontal="center" vertical="center" wrapText="1"/>
    </xf>
    <xf numFmtId="0" fontId="11" fillId="21" borderId="27" xfId="0" applyFont="1" applyFill="1" applyBorder="1" applyAlignment="1">
      <alignment horizontal="center" vertical="center"/>
    </xf>
    <xf numFmtId="0" fontId="11" fillId="21" borderId="28" xfId="0" applyFont="1" applyFill="1" applyBorder="1" applyAlignment="1">
      <alignment horizontal="center" vertical="center"/>
    </xf>
    <xf numFmtId="0" fontId="11" fillId="21" borderId="32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1" borderId="32" xfId="0" applyFont="1" applyFill="1" applyBorder="1" applyAlignment="1">
      <alignment horizontal="center"/>
    </xf>
    <xf numFmtId="1" fontId="28" fillId="0" borderId="1" xfId="3" applyNumberFormat="1" applyFont="1" applyFill="1" applyBorder="1" applyAlignment="1">
      <alignment horizontal="center"/>
    </xf>
    <xf numFmtId="4" fontId="21" fillId="0" borderId="1" xfId="8" applyNumberFormat="1" applyFont="1" applyFill="1" applyBorder="1"/>
    <xf numFmtId="43" fontId="38" fillId="8" borderId="1" xfId="1" applyFont="1" applyFill="1" applyBorder="1" applyAlignment="1"/>
    <xf numFmtId="43" fontId="28" fillId="8" borderId="1" xfId="1" applyFont="1" applyFill="1" applyBorder="1" applyAlignment="1"/>
    <xf numFmtId="43" fontId="28" fillId="8" borderId="18" xfId="1" applyFont="1" applyFill="1" applyBorder="1" applyAlignment="1"/>
    <xf numFmtId="43" fontId="28" fillId="8" borderId="1" xfId="1" applyFont="1" applyFill="1" applyBorder="1" applyAlignment="1">
      <alignment vertical="center"/>
    </xf>
    <xf numFmtId="0" fontId="29" fillId="10" borderId="43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0" fontId="29" fillId="10" borderId="18" xfId="0" applyFont="1" applyFill="1" applyBorder="1" applyAlignment="1">
      <alignment horizontal="center" vertical="center"/>
    </xf>
    <xf numFmtId="0" fontId="11" fillId="21" borderId="36" xfId="0" applyFont="1" applyFill="1" applyBorder="1" applyAlignment="1">
      <alignment horizontal="center"/>
    </xf>
    <xf numFmtId="0" fontId="11" fillId="21" borderId="37" xfId="0" applyFont="1" applyFill="1" applyBorder="1" applyAlignment="1">
      <alignment horizontal="center" vertical="center"/>
    </xf>
    <xf numFmtId="43" fontId="15" fillId="0" borderId="0" xfId="1" applyFont="1" applyAlignment="1">
      <alignment horizontal="center"/>
    </xf>
    <xf numFmtId="0" fontId="11" fillId="0" borderId="1" xfId="0" applyFont="1" applyBorder="1"/>
    <xf numFmtId="43" fontId="0" fillId="0" borderId="0" xfId="1" applyFont="1"/>
    <xf numFmtId="0" fontId="13" fillId="22" borderId="29" xfId="0" applyFont="1" applyFill="1" applyBorder="1" applyAlignment="1">
      <alignment horizontal="left"/>
    </xf>
    <xf numFmtId="0" fontId="13" fillId="22" borderId="13" xfId="0" applyFont="1" applyFill="1" applyBorder="1" applyAlignment="1">
      <alignment horizontal="left"/>
    </xf>
    <xf numFmtId="0" fontId="13" fillId="22" borderId="38" xfId="0" applyFont="1" applyFill="1" applyBorder="1" applyAlignment="1">
      <alignment horizontal="left"/>
    </xf>
    <xf numFmtId="14" fontId="11" fillId="20" borderId="54" xfId="0" applyNumberFormat="1" applyFont="1" applyFill="1" applyBorder="1" applyAlignment="1">
      <alignment horizontal="center" vertical="center" wrapText="1"/>
    </xf>
    <xf numFmtId="0" fontId="29" fillId="11" borderId="0" xfId="0" applyFont="1" applyFill="1"/>
    <xf numFmtId="0" fontId="28" fillId="11" borderId="10" xfId="3" applyNumberFormat="1" applyFont="1" applyFill="1" applyBorder="1" applyAlignment="1">
      <alignment horizontal="center" vertical="center"/>
    </xf>
    <xf numFmtId="0" fontId="30" fillId="11" borderId="10" xfId="11" applyFont="1" applyFill="1" applyBorder="1" applyAlignment="1">
      <alignment vertical="center"/>
    </xf>
    <xf numFmtId="0" fontId="29" fillId="11" borderId="10" xfId="11" applyFont="1" applyFill="1" applyBorder="1" applyAlignment="1">
      <alignment vertical="center"/>
    </xf>
    <xf numFmtId="0" fontId="29" fillId="11" borderId="10" xfId="0" applyFont="1" applyFill="1" applyBorder="1" applyAlignment="1">
      <alignment vertical="center"/>
    </xf>
    <xf numFmtId="0" fontId="29" fillId="11" borderId="10" xfId="11" applyFont="1" applyFill="1" applyBorder="1" applyAlignment="1">
      <alignment horizontal="center" vertical="center"/>
    </xf>
    <xf numFmtId="43" fontId="39" fillId="11" borderId="10" xfId="1" applyFont="1" applyFill="1" applyBorder="1" applyAlignment="1">
      <alignment vertical="center"/>
    </xf>
    <xf numFmtId="43" fontId="35" fillId="11" borderId="0" xfId="3" applyFont="1" applyFill="1" applyAlignment="1">
      <alignment vertical="center"/>
    </xf>
    <xf numFmtId="43" fontId="27" fillId="11" borderId="0" xfId="3" applyFont="1" applyFill="1" applyAlignment="1">
      <alignment vertical="center"/>
    </xf>
    <xf numFmtId="43" fontId="28" fillId="11" borderId="0" xfId="3" applyFont="1" applyFill="1" applyAlignment="1">
      <alignment vertical="center"/>
    </xf>
    <xf numFmtId="43" fontId="29" fillId="11" borderId="0" xfId="1" applyFont="1" applyFill="1" applyBorder="1"/>
    <xf numFmtId="20" fontId="0" fillId="0" borderId="27" xfId="0" applyNumberFormat="1" applyBorder="1" applyAlignment="1">
      <alignment horizontal="center" vertical="center"/>
    </xf>
    <xf numFmtId="20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20" fontId="11" fillId="5" borderId="27" xfId="0" applyNumberFormat="1" applyFont="1" applyFill="1" applyBorder="1" applyAlignment="1">
      <alignment horizontal="center" vertical="center"/>
    </xf>
    <xf numFmtId="20" fontId="11" fillId="5" borderId="28" xfId="0" applyNumberFormat="1" applyFon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0" fontId="0" fillId="0" borderId="32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" fontId="11" fillId="5" borderId="32" xfId="0" applyNumberFormat="1" applyFont="1" applyFill="1" applyBorder="1" applyAlignment="1">
      <alignment horizontal="center" vertical="center"/>
    </xf>
    <xf numFmtId="20" fontId="11" fillId="5" borderId="1" xfId="0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0" fontId="11" fillId="4" borderId="32" xfId="0" applyNumberFormat="1" applyFont="1" applyFill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20" fontId="11" fillId="5" borderId="13" xfId="0" applyNumberFormat="1" applyFont="1" applyFill="1" applyBorder="1" applyAlignment="1">
      <alignment horizontal="center" vertical="center"/>
    </xf>
    <xf numFmtId="20" fontId="11" fillId="5" borderId="36" xfId="0" applyNumberFormat="1" applyFont="1" applyFill="1" applyBorder="1" applyAlignment="1">
      <alignment horizontal="center" vertical="center"/>
    </xf>
    <xf numFmtId="20" fontId="11" fillId="5" borderId="37" xfId="0" applyNumberFormat="1" applyFont="1" applyFill="1" applyBorder="1" applyAlignment="1">
      <alignment horizontal="center" vertical="center"/>
    </xf>
    <xf numFmtId="20" fontId="0" fillId="0" borderId="36" xfId="0" applyNumberFormat="1" applyBorder="1" applyAlignment="1">
      <alignment horizontal="center" vertical="center"/>
    </xf>
    <xf numFmtId="20" fontId="0" fillId="0" borderId="37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28" fillId="0" borderId="0" xfId="11" applyFont="1" applyAlignment="1" applyProtection="1">
      <alignment vertical="center"/>
      <protection locked="0"/>
    </xf>
    <xf numFmtId="0" fontId="28" fillId="0" borderId="0" xfId="3" applyNumberFormat="1" applyFont="1" applyFill="1" applyBorder="1" applyAlignment="1">
      <alignment horizontal="left" vertical="center"/>
    </xf>
    <xf numFmtId="4" fontId="28" fillId="0" borderId="0" xfId="3" applyNumberFormat="1" applyFont="1" applyFill="1" applyAlignment="1">
      <alignment vertical="center"/>
    </xf>
    <xf numFmtId="4" fontId="28" fillId="0" borderId="0" xfId="3" applyNumberFormat="1" applyFont="1" applyFill="1" applyAlignment="1"/>
    <xf numFmtId="4" fontId="28" fillId="0" borderId="0" xfId="3" applyNumberFormat="1" applyFont="1" applyFill="1"/>
    <xf numFmtId="0" fontId="28" fillId="0" borderId="0" xfId="0" applyFont="1" applyAlignment="1" applyProtection="1">
      <alignment horizontal="left"/>
      <protection locked="0"/>
    </xf>
    <xf numFmtId="15" fontId="28" fillId="0" borderId="0" xfId="11" applyNumberFormat="1" applyFont="1" applyAlignment="1" applyProtection="1">
      <alignment horizontal="center"/>
      <protection locked="0"/>
    </xf>
    <xf numFmtId="43" fontId="38" fillId="0" borderId="1" xfId="3" applyFont="1" applyFill="1" applyBorder="1" applyAlignment="1" applyProtection="1">
      <protection locked="0"/>
    </xf>
    <xf numFmtId="43" fontId="38" fillId="0" borderId="1" xfId="3" applyFont="1" applyFill="1" applyBorder="1" applyAlignment="1"/>
    <xf numFmtId="0" fontId="28" fillId="0" borderId="1" xfId="3" quotePrefix="1" applyNumberFormat="1" applyFont="1" applyFill="1" applyBorder="1" applyAlignment="1">
      <alignment horizontal="center" vertical="center"/>
    </xf>
    <xf numFmtId="0" fontId="28" fillId="0" borderId="0" xfId="3" applyNumberFormat="1" applyFont="1" applyFill="1" applyAlignment="1"/>
    <xf numFmtId="43" fontId="38" fillId="0" borderId="0" xfId="1" applyFont="1" applyFill="1" applyAlignment="1"/>
    <xf numFmtId="0" fontId="28" fillId="0" borderId="0" xfId="1" applyNumberFormat="1" applyFont="1" applyFill="1" applyAlignment="1"/>
    <xf numFmtId="2" fontId="28" fillId="0" borderId="0" xfId="3" applyNumberFormat="1" applyFont="1" applyFill="1" applyAlignment="1"/>
    <xf numFmtId="43" fontId="28" fillId="0" borderId="0" xfId="3" applyFont="1" applyFill="1" applyAlignment="1">
      <alignment horizontal="center"/>
    </xf>
    <xf numFmtId="15" fontId="38" fillId="0" borderId="0" xfId="11" applyNumberFormat="1" applyFont="1" applyAlignment="1" applyProtection="1">
      <alignment horizontal="center"/>
      <protection locked="0"/>
    </xf>
    <xf numFmtId="4" fontId="28" fillId="0" borderId="0" xfId="3" applyNumberFormat="1" applyFont="1" applyFill="1" applyAlignment="1">
      <alignment horizontal="left"/>
    </xf>
    <xf numFmtId="43" fontId="6" fillId="0" borderId="0" xfId="1" applyFont="1" applyFill="1" applyAlignment="1"/>
    <xf numFmtId="43" fontId="28" fillId="0" borderId="0" xfId="1" applyFont="1" applyFill="1"/>
    <xf numFmtId="43" fontId="28" fillId="0" borderId="18" xfId="3" applyFont="1" applyFill="1" applyBorder="1" applyAlignment="1" applyProtection="1">
      <protection locked="0"/>
    </xf>
    <xf numFmtId="43" fontId="28" fillId="0" borderId="18" xfId="3" applyFont="1" applyFill="1" applyBorder="1" applyAlignment="1"/>
    <xf numFmtId="43" fontId="28" fillId="0" borderId="1" xfId="3" applyFont="1" applyFill="1" applyBorder="1" applyAlignment="1"/>
    <xf numFmtId="0" fontId="38" fillId="0" borderId="0" xfId="0" applyFont="1" applyAlignment="1" applyProtection="1">
      <alignment horizontal="left"/>
      <protection locked="0"/>
    </xf>
    <xf numFmtId="15" fontId="38" fillId="0" borderId="0" xfId="11" applyNumberFormat="1" applyFont="1" applyAlignment="1" applyProtection="1">
      <alignment horizontal="left"/>
      <protection locked="0"/>
    </xf>
    <xf numFmtId="0" fontId="0" fillId="0" borderId="1" xfId="0" applyBorder="1" applyAlignment="1">
      <alignment vertical="center"/>
    </xf>
    <xf numFmtId="15" fontId="38" fillId="0" borderId="0" xfId="11" applyNumberFormat="1" applyFont="1" applyAlignment="1" applyProtection="1">
      <alignment horizontal="center" vertical="center"/>
      <protection locked="0"/>
    </xf>
    <xf numFmtId="43" fontId="28" fillId="0" borderId="1" xfId="3" applyFont="1" applyFill="1" applyBorder="1" applyAlignment="1" applyProtection="1">
      <alignment vertical="center"/>
      <protection locked="0"/>
    </xf>
    <xf numFmtId="43" fontId="28" fillId="0" borderId="1" xfId="3" applyFont="1" applyFill="1" applyBorder="1" applyAlignment="1">
      <alignment vertical="center"/>
    </xf>
    <xf numFmtId="4" fontId="28" fillId="0" borderId="0" xfId="1" applyNumberFormat="1" applyFont="1" applyFill="1" applyAlignment="1">
      <alignment horizontal="left"/>
    </xf>
    <xf numFmtId="43" fontId="28" fillId="0" borderId="1" xfId="3" applyFont="1" applyFill="1" applyBorder="1" applyAlignment="1" applyProtection="1">
      <protection locked="0"/>
    </xf>
    <xf numFmtId="0" fontId="6" fillId="0" borderId="1" xfId="8" applyFont="1" applyFill="1" applyBorder="1" applyAlignment="1">
      <alignment vertical="center"/>
    </xf>
    <xf numFmtId="0" fontId="6" fillId="0" borderId="1" xfId="8" quotePrefix="1" applyNumberFormat="1" applyFont="1" applyFill="1" applyBorder="1" applyAlignment="1">
      <alignment horizontal="left" vertical="center"/>
    </xf>
    <xf numFmtId="14" fontId="11" fillId="20" borderId="45" xfId="0" applyNumberFormat="1" applyFont="1" applyFill="1" applyBorder="1" applyAlignment="1">
      <alignment horizontal="center" vertical="center" wrapText="1"/>
    </xf>
    <xf numFmtId="14" fontId="11" fillId="20" borderId="53" xfId="0" applyNumberFormat="1" applyFont="1" applyFill="1" applyBorder="1" applyAlignment="1">
      <alignment horizontal="center" vertical="center" wrapText="1"/>
    </xf>
    <xf numFmtId="14" fontId="11" fillId="20" borderId="40" xfId="0" applyNumberFormat="1" applyFont="1" applyFill="1" applyBorder="1" applyAlignment="1">
      <alignment horizontal="center" vertical="center" wrapText="1"/>
    </xf>
    <xf numFmtId="14" fontId="11" fillId="20" borderId="26" xfId="0" applyNumberFormat="1" applyFont="1" applyFill="1" applyBorder="1" applyAlignment="1">
      <alignment horizontal="center" vertical="center" wrapText="1"/>
    </xf>
    <xf numFmtId="20" fontId="11" fillId="4" borderId="27" xfId="0" applyNumberFormat="1" applyFont="1" applyFill="1" applyBorder="1" applyAlignment="1">
      <alignment horizontal="center" vertical="center"/>
    </xf>
    <xf numFmtId="20" fontId="11" fillId="4" borderId="28" xfId="0" applyNumberFormat="1" applyFont="1" applyFill="1" applyBorder="1" applyAlignment="1">
      <alignment horizontal="center" vertical="center"/>
    </xf>
    <xf numFmtId="20" fontId="11" fillId="4" borderId="29" xfId="0" applyNumberFormat="1" applyFont="1" applyFill="1" applyBorder="1" applyAlignment="1">
      <alignment horizontal="center" vertical="center"/>
    </xf>
    <xf numFmtId="20" fontId="11" fillId="10" borderId="27" xfId="0" applyNumberFormat="1" applyFont="1" applyFill="1" applyBorder="1" applyAlignment="1">
      <alignment horizontal="center" vertical="center"/>
    </xf>
    <xf numFmtId="20" fontId="11" fillId="10" borderId="28" xfId="0" applyNumberFormat="1" applyFont="1" applyFill="1" applyBorder="1" applyAlignment="1">
      <alignment horizontal="center" vertical="center"/>
    </xf>
    <xf numFmtId="20" fontId="11" fillId="10" borderId="29" xfId="0" applyNumberFormat="1" applyFont="1" applyFill="1" applyBorder="1" applyAlignment="1">
      <alignment horizontal="center" vertical="center"/>
    </xf>
    <xf numFmtId="20" fontId="11" fillId="5" borderId="30" xfId="0" applyNumberFormat="1" applyFont="1" applyFill="1" applyBorder="1" applyAlignment="1">
      <alignment horizontal="center" vertical="center"/>
    </xf>
    <xf numFmtId="20" fontId="11" fillId="5" borderId="31" xfId="0" applyNumberFormat="1" applyFont="1" applyFill="1" applyBorder="1" applyAlignment="1">
      <alignment horizontal="center" vertical="center"/>
    </xf>
    <xf numFmtId="20" fontId="11" fillId="5" borderId="29" xfId="0" applyNumberFormat="1" applyFont="1" applyFill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20" fontId="0" fillId="0" borderId="30" xfId="0" applyNumberFormat="1" applyBorder="1" applyAlignment="1">
      <alignment horizontal="center" vertical="center"/>
    </xf>
    <xf numFmtId="20" fontId="11" fillId="5" borderId="33" xfId="0" applyNumberFormat="1" applyFont="1" applyFill="1" applyBorder="1" applyAlignment="1">
      <alignment horizontal="center" vertical="center"/>
    </xf>
    <xf numFmtId="20" fontId="11" fillId="5" borderId="8" xfId="0" applyNumberFormat="1" applyFont="1" applyFill="1" applyBorder="1" applyAlignment="1">
      <alignment horizontal="center" vertical="center"/>
    </xf>
    <xf numFmtId="2" fontId="11" fillId="0" borderId="32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0" fontId="0" fillId="0" borderId="33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20" fontId="11" fillId="4" borderId="13" xfId="0" applyNumberFormat="1" applyFont="1" applyFill="1" applyBorder="1" applyAlignment="1">
      <alignment horizontal="center" vertical="center"/>
    </xf>
    <xf numFmtId="20" fontId="11" fillId="10" borderId="32" xfId="0" applyNumberFormat="1" applyFont="1" applyFill="1" applyBorder="1" applyAlignment="1">
      <alignment horizontal="center" vertical="center"/>
    </xf>
    <xf numFmtId="20" fontId="11" fillId="10" borderId="1" xfId="0" applyNumberFormat="1" applyFont="1" applyFill="1" applyBorder="1" applyAlignment="1">
      <alignment horizontal="center" vertical="center"/>
    </xf>
    <xf numFmtId="20" fontId="11" fillId="10" borderId="33" xfId="0" applyNumberFormat="1" applyFont="1" applyFill="1" applyBorder="1" applyAlignment="1">
      <alignment horizontal="center" vertical="center"/>
    </xf>
    <xf numFmtId="20" fontId="11" fillId="10" borderId="13" xfId="0" applyNumberFormat="1" applyFont="1" applyFill="1" applyBorder="1" applyAlignment="1">
      <alignment horizontal="center" vertical="center"/>
    </xf>
    <xf numFmtId="20" fontId="11" fillId="8" borderId="32" xfId="0" applyNumberFormat="1" applyFont="1" applyFill="1" applyBorder="1" applyAlignment="1">
      <alignment horizontal="center" vertical="center"/>
    </xf>
    <xf numFmtId="20" fontId="11" fillId="8" borderId="1" xfId="0" applyNumberFormat="1" applyFont="1" applyFill="1" applyBorder="1" applyAlignment="1">
      <alignment horizontal="center" vertical="center"/>
    </xf>
    <xf numFmtId="20" fontId="11" fillId="8" borderId="13" xfId="0" applyNumberFormat="1" applyFont="1" applyFill="1" applyBorder="1" applyAlignment="1">
      <alignment horizontal="center" vertical="center"/>
    </xf>
    <xf numFmtId="20" fontId="11" fillId="8" borderId="33" xfId="0" applyNumberFormat="1" applyFont="1" applyFill="1" applyBorder="1" applyAlignment="1">
      <alignment horizontal="center" vertical="center"/>
    </xf>
    <xf numFmtId="0" fontId="0" fillId="0" borderId="33" xfId="0" applyBorder="1"/>
    <xf numFmtId="20" fontId="11" fillId="5" borderId="39" xfId="0" applyNumberFormat="1" applyFont="1" applyFill="1" applyBorder="1" applyAlignment="1">
      <alignment horizontal="center" vertical="center"/>
    </xf>
    <xf numFmtId="20" fontId="11" fillId="5" borderId="55" xfId="0" applyNumberFormat="1" applyFont="1" applyFill="1" applyBorder="1" applyAlignment="1">
      <alignment horizontal="center" vertical="center"/>
    </xf>
    <xf numFmtId="20" fontId="11" fillId="5" borderId="38" xfId="0" applyNumberFormat="1" applyFont="1" applyFill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1" fillId="0" borderId="37" xfId="0" applyNumberFormat="1" applyFont="1" applyBorder="1" applyAlignment="1">
      <alignment horizontal="center" vertical="center"/>
    </xf>
    <xf numFmtId="0" fontId="0" fillId="0" borderId="39" xfId="0" applyBorder="1"/>
    <xf numFmtId="2" fontId="11" fillId="4" borderId="28" xfId="0" applyNumberFormat="1" applyFont="1" applyFill="1" applyBorder="1" applyAlignment="1">
      <alignment horizontal="center" vertical="center"/>
    </xf>
    <xf numFmtId="2" fontId="11" fillId="4" borderId="37" xfId="0" applyNumberFormat="1" applyFont="1" applyFill="1" applyBorder="1" applyAlignment="1">
      <alignment horizontal="center" vertical="center"/>
    </xf>
    <xf numFmtId="0" fontId="0" fillId="4" borderId="0" xfId="0" applyFill="1"/>
    <xf numFmtId="2" fontId="0" fillId="4" borderId="0" xfId="0" applyNumberFormat="1" applyFill="1"/>
    <xf numFmtId="0" fontId="7" fillId="0" borderId="0" xfId="0" applyFont="1"/>
    <xf numFmtId="43" fontId="43" fillId="0" borderId="0" xfId="0" applyNumberFormat="1" applyFont="1"/>
    <xf numFmtId="9" fontId="29" fillId="10" borderId="1" xfId="14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44" fontId="29" fillId="10" borderId="35" xfId="5" applyFont="1" applyFill="1" applyBorder="1" applyAlignment="1">
      <alignment horizontal="center" vertical="center"/>
    </xf>
    <xf numFmtId="44" fontId="29" fillId="10" borderId="6" xfId="5" applyFont="1" applyFill="1" applyBorder="1" applyAlignment="1">
      <alignment horizontal="center" vertical="center"/>
    </xf>
    <xf numFmtId="0" fontId="29" fillId="10" borderId="35" xfId="0" applyFont="1" applyFill="1" applyBorder="1" applyAlignment="1">
      <alignment horizontal="center" vertical="center"/>
    </xf>
    <xf numFmtId="0" fontId="29" fillId="10" borderId="41" xfId="0" applyFont="1" applyFill="1" applyBorder="1" applyAlignment="1">
      <alignment horizontal="center" vertical="center"/>
    </xf>
    <xf numFmtId="0" fontId="29" fillId="10" borderId="12" xfId="0" applyFont="1" applyFill="1" applyBorder="1" applyAlignment="1">
      <alignment horizontal="center" vertical="center"/>
    </xf>
    <xf numFmtId="0" fontId="29" fillId="10" borderId="6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0" fontId="29" fillId="10" borderId="5" xfId="0" applyFont="1" applyFill="1" applyBorder="1" applyAlignment="1">
      <alignment horizontal="center" vertical="center"/>
    </xf>
    <xf numFmtId="0" fontId="29" fillId="10" borderId="35" xfId="0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horizontal="center" vertical="center" wrapText="1"/>
    </xf>
    <xf numFmtId="0" fontId="29" fillId="10" borderId="6" xfId="0" applyFont="1" applyFill="1" applyBorder="1" applyAlignment="1">
      <alignment horizontal="center" vertical="center" wrapText="1"/>
    </xf>
    <xf numFmtId="0" fontId="29" fillId="10" borderId="18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9" fontId="29" fillId="10" borderId="13" xfId="14" applyFont="1" applyFill="1" applyBorder="1" applyAlignment="1">
      <alignment horizontal="center" vertical="center"/>
    </xf>
    <xf numFmtId="9" fontId="29" fillId="10" borderId="42" xfId="14" applyFont="1" applyFill="1" applyBorder="1" applyAlignment="1">
      <alignment horizontal="center" vertical="center"/>
    </xf>
    <xf numFmtId="9" fontId="29" fillId="10" borderId="8" xfId="14" applyFont="1" applyFill="1" applyBorder="1" applyAlignment="1">
      <alignment horizontal="center" vertical="center"/>
    </xf>
    <xf numFmtId="0" fontId="29" fillId="10" borderId="18" xfId="0" applyFont="1" applyFill="1" applyBorder="1" applyAlignment="1">
      <alignment horizontal="center" vertical="center" wrapText="1"/>
    </xf>
    <xf numFmtId="0" fontId="28" fillId="10" borderId="43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39" fillId="10" borderId="18" xfId="0" applyFont="1" applyFill="1" applyBorder="1" applyAlignment="1">
      <alignment horizontal="center" vertical="center" wrapText="1"/>
    </xf>
    <xf numFmtId="0" fontId="39" fillId="10" borderId="9" xfId="0" applyFont="1" applyFill="1" applyBorder="1" applyAlignment="1">
      <alignment horizontal="center" vertical="center"/>
    </xf>
    <xf numFmtId="0" fontId="39" fillId="10" borderId="35" xfId="0" applyFont="1" applyFill="1" applyBorder="1" applyAlignment="1">
      <alignment horizontal="center" vertical="center" wrapText="1"/>
    </xf>
    <xf numFmtId="0" fontId="39" fillId="10" borderId="3" xfId="0" applyFont="1" applyFill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0" fontId="39" fillId="10" borderId="43" xfId="0" applyFont="1" applyFill="1" applyBorder="1" applyAlignment="1">
      <alignment horizontal="center" vertical="center"/>
    </xf>
    <xf numFmtId="0" fontId="29" fillId="10" borderId="43" xfId="0" applyFont="1" applyFill="1" applyBorder="1" applyAlignment="1">
      <alignment horizontal="center" vertical="center"/>
    </xf>
    <xf numFmtId="43" fontId="29" fillId="10" borderId="1" xfId="0" applyNumberFormat="1" applyFont="1" applyFill="1" applyBorder="1" applyAlignment="1">
      <alignment horizontal="center" vertical="center"/>
    </xf>
    <xf numFmtId="0" fontId="39" fillId="10" borderId="13" xfId="0" applyFont="1" applyFill="1" applyBorder="1" applyAlignment="1">
      <alignment horizontal="center" vertical="center"/>
    </xf>
    <xf numFmtId="0" fontId="39" fillId="10" borderId="42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43" fontId="35" fillId="11" borderId="0" xfId="1" applyFont="1" applyFill="1" applyBorder="1" applyAlignment="1">
      <alignment horizontal="center" vertical="center" wrapText="1"/>
    </xf>
    <xf numFmtId="43" fontId="34" fillId="11" borderId="0" xfId="1" applyFont="1" applyFill="1" applyBorder="1" applyAlignment="1">
      <alignment horizontal="center" vertical="center" wrapText="1"/>
    </xf>
    <xf numFmtId="0" fontId="29" fillId="10" borderId="43" xfId="0" applyFont="1" applyFill="1" applyBorder="1" applyAlignment="1">
      <alignment horizontal="center" vertical="center" wrapText="1"/>
    </xf>
    <xf numFmtId="0" fontId="29" fillId="10" borderId="9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/>
    </xf>
    <xf numFmtId="0" fontId="29" fillId="4" borderId="42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6" fillId="10" borderId="13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42" xfId="0" applyFont="1" applyFill="1" applyBorder="1" applyAlignment="1">
      <alignment horizontal="center" vertical="center"/>
    </xf>
    <xf numFmtId="0" fontId="45" fillId="10" borderId="3" xfId="0" applyFont="1" applyFill="1" applyBorder="1" applyAlignment="1">
      <alignment horizontal="center"/>
    </xf>
    <xf numFmtId="0" fontId="45" fillId="10" borderId="0" xfId="0" applyFont="1" applyFill="1" applyAlignment="1">
      <alignment horizontal="center"/>
    </xf>
    <xf numFmtId="0" fontId="45" fillId="10" borderId="4" xfId="0" applyFont="1" applyFill="1" applyBorder="1" applyAlignment="1">
      <alignment horizontal="center"/>
    </xf>
    <xf numFmtId="0" fontId="11" fillId="10" borderId="35" xfId="0" applyFont="1" applyFill="1" applyBorder="1" applyAlignment="1">
      <alignment horizontal="center"/>
    </xf>
    <xf numFmtId="0" fontId="11" fillId="10" borderId="41" xfId="0" applyFont="1" applyFill="1" applyBorder="1" applyAlignment="1">
      <alignment horizontal="center"/>
    </xf>
    <xf numFmtId="0" fontId="11" fillId="10" borderId="12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45" fillId="10" borderId="13" xfId="0" applyFont="1" applyFill="1" applyBorder="1" applyAlignment="1">
      <alignment horizontal="center" vertical="center"/>
    </xf>
    <xf numFmtId="0" fontId="45" fillId="10" borderId="42" xfId="0" applyFont="1" applyFill="1" applyBorder="1" applyAlignment="1">
      <alignment horizontal="center" vertical="center"/>
    </xf>
    <xf numFmtId="0" fontId="45" fillId="10" borderId="8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8" fillId="10" borderId="35" xfId="0" applyFont="1" applyFill="1" applyBorder="1" applyAlignment="1">
      <alignment horizontal="center"/>
    </xf>
    <xf numFmtId="0" fontId="8" fillId="10" borderId="41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14" fontId="20" fillId="7" borderId="46" xfId="0" applyNumberFormat="1" applyFont="1" applyFill="1" applyBorder="1" applyAlignment="1">
      <alignment horizontal="center" vertical="center"/>
    </xf>
    <xf numFmtId="14" fontId="20" fillId="7" borderId="47" xfId="0" applyNumberFormat="1" applyFont="1" applyFill="1" applyBorder="1" applyAlignment="1">
      <alignment horizontal="center" vertical="center"/>
    </xf>
    <xf numFmtId="14" fontId="20" fillId="7" borderId="48" xfId="0" applyNumberFormat="1" applyFont="1" applyFill="1" applyBorder="1" applyAlignment="1">
      <alignment horizontal="center" vertical="center"/>
    </xf>
    <xf numFmtId="14" fontId="20" fillId="19" borderId="22" xfId="0" applyNumberFormat="1" applyFont="1" applyFill="1" applyBorder="1" applyAlignment="1">
      <alignment horizontal="center" vertical="center"/>
    </xf>
    <xf numFmtId="14" fontId="20" fillId="19" borderId="23" xfId="0" applyNumberFormat="1" applyFont="1" applyFill="1" applyBorder="1" applyAlignment="1">
      <alignment horizontal="center" vertical="center"/>
    </xf>
    <xf numFmtId="14" fontId="20" fillId="19" borderId="24" xfId="0" applyNumberFormat="1" applyFont="1" applyFill="1" applyBorder="1" applyAlignment="1">
      <alignment horizontal="center" vertical="center"/>
    </xf>
    <xf numFmtId="14" fontId="20" fillId="19" borderId="25" xfId="0" applyNumberFormat="1" applyFont="1" applyFill="1" applyBorder="1" applyAlignment="1">
      <alignment horizontal="center" vertical="center"/>
    </xf>
    <xf numFmtId="14" fontId="20" fillId="7" borderId="56" xfId="0" applyNumberFormat="1" applyFont="1" applyFill="1" applyBorder="1" applyAlignment="1">
      <alignment horizontal="center" vertical="center"/>
    </xf>
    <xf numFmtId="14" fontId="20" fillId="7" borderId="7" xfId="0" applyNumberFormat="1" applyFont="1" applyFill="1" applyBorder="1" applyAlignment="1">
      <alignment horizontal="center" vertical="center"/>
    </xf>
    <xf numFmtId="14" fontId="20" fillId="7" borderId="57" xfId="0" applyNumberFormat="1" applyFont="1" applyFill="1" applyBorder="1" applyAlignment="1">
      <alignment horizontal="center" vertical="center"/>
    </xf>
    <xf numFmtId="0" fontId="50" fillId="26" borderId="27" xfId="0" applyFont="1" applyFill="1" applyBorder="1" applyAlignment="1">
      <alignment horizontal="center" vertical="center"/>
    </xf>
    <xf numFmtId="0" fontId="50" fillId="26" borderId="34" xfId="0" applyFont="1" applyFill="1" applyBorder="1" applyAlignment="1">
      <alignment horizontal="center" vertical="center"/>
    </xf>
    <xf numFmtId="0" fontId="50" fillId="26" borderId="28" xfId="0" applyFont="1" applyFill="1" applyBorder="1" applyAlignment="1">
      <alignment horizontal="center" vertical="center"/>
    </xf>
    <xf numFmtId="0" fontId="50" fillId="26" borderId="18" xfId="0" applyFont="1" applyFill="1" applyBorder="1" applyAlignment="1">
      <alignment horizontal="center" vertical="center"/>
    </xf>
    <xf numFmtId="0" fontId="50" fillId="18" borderId="29" xfId="0" applyFont="1" applyFill="1" applyBorder="1" applyAlignment="1">
      <alignment horizontal="center" vertical="center"/>
    </xf>
    <xf numFmtId="0" fontId="50" fillId="18" borderId="35" xfId="0" applyFont="1" applyFill="1" applyBorder="1" applyAlignment="1">
      <alignment horizontal="center" vertical="center"/>
    </xf>
    <xf numFmtId="14" fontId="20" fillId="7" borderId="22" xfId="0" applyNumberFormat="1" applyFont="1" applyFill="1" applyBorder="1" applyAlignment="1">
      <alignment horizontal="center" vertical="center"/>
    </xf>
    <xf numFmtId="14" fontId="20" fillId="7" borderId="24" xfId="0" applyNumberFormat="1" applyFont="1" applyFill="1" applyBorder="1" applyAlignment="1">
      <alignment horizontal="center" vertical="center"/>
    </xf>
    <xf numFmtId="14" fontId="20" fillId="7" borderId="25" xfId="0" applyNumberFormat="1" applyFont="1" applyFill="1" applyBorder="1" applyAlignment="1">
      <alignment horizontal="center" vertical="center"/>
    </xf>
    <xf numFmtId="43" fontId="29" fillId="0" borderId="0" xfId="3" applyFont="1" applyAlignment="1">
      <alignment horizontal="center" vertical="center"/>
    </xf>
    <xf numFmtId="0" fontId="23" fillId="0" borderId="44" xfId="11" applyFont="1" applyBorder="1" applyAlignment="1">
      <alignment horizontal="center"/>
    </xf>
    <xf numFmtId="43" fontId="29" fillId="8" borderId="1" xfId="3" applyFont="1" applyFill="1" applyBorder="1" applyAlignment="1">
      <alignment horizontal="center" vertical="center"/>
    </xf>
    <xf numFmtId="0" fontId="29" fillId="24" borderId="13" xfId="11" applyFont="1" applyFill="1" applyBorder="1" applyAlignment="1">
      <alignment horizontal="center" vertical="center"/>
    </xf>
    <xf numFmtId="0" fontId="29" fillId="24" borderId="8" xfId="11" applyFont="1" applyFill="1" applyBorder="1" applyAlignment="1">
      <alignment horizontal="center" vertical="center"/>
    </xf>
    <xf numFmtId="0" fontId="29" fillId="12" borderId="13" xfId="11" applyFont="1" applyFill="1" applyBorder="1" applyAlignment="1">
      <alignment horizontal="center" vertical="center"/>
    </xf>
    <xf numFmtId="0" fontId="29" fillId="12" borderId="8" xfId="11" applyFont="1" applyFill="1" applyBorder="1" applyAlignment="1">
      <alignment horizontal="center" vertical="center"/>
    </xf>
    <xf numFmtId="0" fontId="29" fillId="23" borderId="13" xfId="11" applyFont="1" applyFill="1" applyBorder="1" applyAlignment="1">
      <alignment horizontal="center" vertical="center"/>
    </xf>
    <xf numFmtId="0" fontId="29" fillId="23" borderId="8" xfId="11" applyFont="1" applyFill="1" applyBorder="1" applyAlignment="1">
      <alignment horizontal="center" vertical="center"/>
    </xf>
    <xf numFmtId="0" fontId="29" fillId="12" borderId="42" xfId="11" applyFont="1" applyFill="1" applyBorder="1" applyAlignment="1">
      <alignment horizontal="center" vertical="center"/>
    </xf>
    <xf numFmtId="0" fontId="29" fillId="24" borderId="42" xfId="11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 wrapText="1"/>
    </xf>
    <xf numFmtId="0" fontId="39" fillId="4" borderId="43" xfId="0" applyFont="1" applyFill="1" applyBorder="1" applyAlignment="1">
      <alignment horizontal="center" vertical="center" wrapText="1"/>
    </xf>
    <xf numFmtId="0" fontId="29" fillId="6" borderId="13" xfId="11" applyFont="1" applyFill="1" applyBorder="1" applyAlignment="1">
      <alignment horizontal="center" vertical="center"/>
    </xf>
    <xf numFmtId="0" fontId="29" fillId="6" borderId="8" xfId="11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29" fillId="23" borderId="42" xfId="11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horizontal="center" vertical="center" wrapText="1"/>
    </xf>
    <xf numFmtId="0" fontId="29" fillId="4" borderId="43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43" fontId="29" fillId="25" borderId="1" xfId="3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horizontal="center" vertical="center"/>
    </xf>
    <xf numFmtId="0" fontId="29" fillId="4" borderId="35" xfId="11" applyFont="1" applyFill="1" applyBorder="1" applyAlignment="1">
      <alignment horizontal="center" vertical="center"/>
    </xf>
    <xf numFmtId="0" fontId="29" fillId="4" borderId="12" xfId="11" applyFont="1" applyFill="1" applyBorder="1" applyAlignment="1">
      <alignment horizontal="center" vertical="center"/>
    </xf>
    <xf numFmtId="0" fontId="29" fillId="4" borderId="6" xfId="11" applyFont="1" applyFill="1" applyBorder="1" applyAlignment="1">
      <alignment horizontal="center" vertical="center"/>
    </xf>
    <xf numFmtId="0" fontId="29" fillId="4" borderId="5" xfId="11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/>
    </xf>
    <xf numFmtId="0" fontId="29" fillId="4" borderId="1" xfId="11" applyFont="1" applyFill="1" applyBorder="1" applyAlignment="1">
      <alignment horizontal="center" vertical="center"/>
    </xf>
    <xf numFmtId="0" fontId="29" fillId="4" borderId="18" xfId="11" applyFont="1" applyFill="1" applyBorder="1" applyAlignment="1">
      <alignment horizontal="center" vertical="center"/>
    </xf>
    <xf numFmtId="0" fontId="29" fillId="4" borderId="9" xfId="11" applyFont="1" applyFill="1" applyBorder="1" applyAlignment="1">
      <alignment horizontal="center" vertical="center"/>
    </xf>
    <xf numFmtId="0" fontId="29" fillId="4" borderId="13" xfId="11" applyFont="1" applyFill="1" applyBorder="1" applyAlignment="1">
      <alignment horizontal="center" vertical="center"/>
    </xf>
    <xf numFmtId="0" fontId="29" fillId="4" borderId="42" xfId="11" applyFont="1" applyFill="1" applyBorder="1" applyAlignment="1">
      <alignment horizontal="center" vertical="center"/>
    </xf>
    <xf numFmtId="43" fontId="29" fillId="5" borderId="1" xfId="3" applyFont="1" applyFill="1" applyBorder="1" applyAlignment="1">
      <alignment horizontal="center" vertical="center"/>
    </xf>
    <xf numFmtId="43" fontId="29" fillId="15" borderId="1" xfId="3" applyFont="1" applyFill="1" applyBorder="1" applyAlignment="1">
      <alignment horizontal="center" vertical="center"/>
    </xf>
    <xf numFmtId="43" fontId="29" fillId="0" borderId="0" xfId="3" applyFont="1" applyAlignment="1">
      <alignment horizontal="center" vertical="center" wrapText="1"/>
    </xf>
    <xf numFmtId="43" fontId="29" fillId="5" borderId="13" xfId="3" applyFont="1" applyFill="1" applyBorder="1" applyAlignment="1">
      <alignment horizontal="center" vertical="center"/>
    </xf>
    <xf numFmtId="43" fontId="29" fillId="5" borderId="42" xfId="3" applyFont="1" applyFill="1" applyBorder="1" applyAlignment="1">
      <alignment horizontal="center" vertical="center"/>
    </xf>
    <xf numFmtId="43" fontId="29" fillId="5" borderId="8" xfId="3" applyFont="1" applyFill="1" applyBorder="1" applyAlignment="1">
      <alignment horizontal="center" vertical="center"/>
    </xf>
    <xf numFmtId="43" fontId="30" fillId="16" borderId="49" xfId="0" applyNumberFormat="1" applyFont="1" applyFill="1" applyBorder="1" applyAlignment="1">
      <alignment horizontal="center" vertical="center" wrapText="1"/>
    </xf>
    <xf numFmtId="43" fontId="30" fillId="16" borderId="52" xfId="0" applyNumberFormat="1" applyFont="1" applyFill="1" applyBorder="1" applyAlignment="1">
      <alignment horizontal="center" vertical="center" wrapText="1"/>
    </xf>
    <xf numFmtId="0" fontId="30" fillId="16" borderId="49" xfId="0" applyFont="1" applyFill="1" applyBorder="1" applyAlignment="1">
      <alignment horizontal="center"/>
    </xf>
    <xf numFmtId="43" fontId="30" fillId="16" borderId="49" xfId="1" applyFont="1" applyFill="1" applyBorder="1" applyAlignment="1">
      <alignment horizontal="center" vertical="center" wrapText="1"/>
    </xf>
    <xf numFmtId="0" fontId="30" fillId="16" borderId="4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</cellXfs>
  <cellStyles count="17">
    <cellStyle name="Comma" xfId="1" builtinId="3"/>
    <cellStyle name="Comma 2" xfId="2" xr:uid="{A5E2562D-8F2B-4734-A6C6-B44771FAAD4E}"/>
    <cellStyle name="Comma 3" xfId="3" xr:uid="{33BE0248-2A04-4955-A03D-6F0BF1869EB9}"/>
    <cellStyle name="Comma 4" xfId="4" xr:uid="{81CB482C-8C23-49D8-9A52-1A07F17E479F}"/>
    <cellStyle name="Currency" xfId="5" builtinId="4"/>
    <cellStyle name="Currency 2" xfId="6" xr:uid="{F1891E0C-7945-4CFA-88BD-F2F1A3F7651A}"/>
    <cellStyle name="Grey" xfId="7" xr:uid="{5F76B8F4-7827-4B03-8BCD-A16EF566620F}"/>
    <cellStyle name="Hyperlink" xfId="8" builtinId="8"/>
    <cellStyle name="Input [yellow]" xfId="9" xr:uid="{552E9979-A20A-402A-8243-FA4EE5FF77AB}"/>
    <cellStyle name="Normal" xfId="0" builtinId="0"/>
    <cellStyle name="Normal - Style1" xfId="10" xr:uid="{6A09A636-5674-4AE7-8334-77FF0EB736BB}"/>
    <cellStyle name="Normal 2" xfId="11" xr:uid="{CAFA09BB-29DF-4069-83D9-0E01580C0A1E}"/>
    <cellStyle name="Normal 2 2 2" xfId="12" xr:uid="{A3714A75-7F8C-4094-9E29-5C4D1D210348}"/>
    <cellStyle name="Normal 3" xfId="13" xr:uid="{769D09C8-CDB2-43D5-8C8E-2231F001386A}"/>
    <cellStyle name="Percent" xfId="14" builtinId="5"/>
    <cellStyle name="Percent [2]" xfId="15" xr:uid="{6373AE12-4FD2-4076-8631-C7121E6C7363}"/>
    <cellStyle name="Percent 2" xfId="16" xr:uid="{EAC2B277-2B0D-4A07-BFA4-FF7FFBCDBB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29972</xdr:colOff>
      <xdr:row>2</xdr:row>
      <xdr:rowOff>7257</xdr:rowOff>
    </xdr:from>
    <xdr:to>
      <xdr:col>4</xdr:col>
      <xdr:colOff>220472</xdr:colOff>
      <xdr:row>3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343164-0AB2-C9FA-3C16-803E7D1983DB}"/>
            </a:ext>
          </a:extLst>
        </xdr:cNvPr>
        <xdr:cNvSpPr txBox="1"/>
      </xdr:nvSpPr>
      <xdr:spPr>
        <a:xfrm>
          <a:off x="3144647" y="1013732"/>
          <a:ext cx="190500" cy="1864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768350</xdr:colOff>
      <xdr:row>0</xdr:row>
      <xdr:rowOff>44450</xdr:rowOff>
    </xdr:from>
    <xdr:to>
      <xdr:col>4</xdr:col>
      <xdr:colOff>812800</xdr:colOff>
      <xdr:row>0</xdr:row>
      <xdr:rowOff>857250</xdr:rowOff>
    </xdr:to>
    <xdr:pic>
      <xdr:nvPicPr>
        <xdr:cNvPr id="43757" name="Picture 77" descr="Description: Description: Image result for espire">
          <a:extLst>
            <a:ext uri="{FF2B5EF4-FFF2-40B4-BE49-F238E27FC236}">
              <a16:creationId xmlns:a16="http://schemas.microsoft.com/office/drawing/2014/main" id="{CC70604D-B171-9A47-3447-6E1D8C12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50"/>
          <a:ext cx="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203200</xdr:colOff>
      <xdr:row>0</xdr:row>
      <xdr:rowOff>25400</xdr:rowOff>
    </xdr:from>
    <xdr:to>
      <xdr:col>13</xdr:col>
      <xdr:colOff>1022350</xdr:colOff>
      <xdr:row>0</xdr:row>
      <xdr:rowOff>831850</xdr:rowOff>
    </xdr:to>
    <xdr:pic>
      <xdr:nvPicPr>
        <xdr:cNvPr id="43758" name="Picture 77" descr="Description: Description: Image result for espire">
          <a:extLst>
            <a:ext uri="{FF2B5EF4-FFF2-40B4-BE49-F238E27FC236}">
              <a16:creationId xmlns:a16="http://schemas.microsoft.com/office/drawing/2014/main" id="{39A4CB34-8D2E-DB60-790A-03DE4749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184150</xdr:colOff>
      <xdr:row>0</xdr:row>
      <xdr:rowOff>25400</xdr:rowOff>
    </xdr:from>
    <xdr:to>
      <xdr:col>22</xdr:col>
      <xdr:colOff>1003300</xdr:colOff>
      <xdr:row>0</xdr:row>
      <xdr:rowOff>831850</xdr:rowOff>
    </xdr:to>
    <xdr:pic>
      <xdr:nvPicPr>
        <xdr:cNvPr id="43759" name="Picture 77" descr="Description: Description: Image result for espire">
          <a:extLst>
            <a:ext uri="{FF2B5EF4-FFF2-40B4-BE49-F238E27FC236}">
              <a16:creationId xmlns:a16="http://schemas.microsoft.com/office/drawing/2014/main" id="{D3310276-CE02-D74A-A271-F9F3C735D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171450</xdr:colOff>
      <xdr:row>0</xdr:row>
      <xdr:rowOff>25400</xdr:rowOff>
    </xdr:from>
    <xdr:to>
      <xdr:col>31</xdr:col>
      <xdr:colOff>990600</xdr:colOff>
      <xdr:row>0</xdr:row>
      <xdr:rowOff>831850</xdr:rowOff>
    </xdr:to>
    <xdr:pic>
      <xdr:nvPicPr>
        <xdr:cNvPr id="43760" name="Picture 77" descr="Description: Description: Image result for espire">
          <a:extLst>
            <a:ext uri="{FF2B5EF4-FFF2-40B4-BE49-F238E27FC236}">
              <a16:creationId xmlns:a16="http://schemas.microsoft.com/office/drawing/2014/main" id="{5767F6E3-6FCC-93A9-7C47-FA87ED1F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222250</xdr:colOff>
      <xdr:row>0</xdr:row>
      <xdr:rowOff>12700</xdr:rowOff>
    </xdr:from>
    <xdr:to>
      <xdr:col>40</xdr:col>
      <xdr:colOff>1041400</xdr:colOff>
      <xdr:row>0</xdr:row>
      <xdr:rowOff>819150</xdr:rowOff>
    </xdr:to>
    <xdr:pic>
      <xdr:nvPicPr>
        <xdr:cNvPr id="43761" name="Picture 77" descr="Description: Description: Image result for espire">
          <a:extLst>
            <a:ext uri="{FF2B5EF4-FFF2-40B4-BE49-F238E27FC236}">
              <a16:creationId xmlns:a16="http://schemas.microsoft.com/office/drawing/2014/main" id="{27B15510-15BF-2FDF-39C6-CEB8A4F4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222250</xdr:colOff>
      <xdr:row>0</xdr:row>
      <xdr:rowOff>12700</xdr:rowOff>
    </xdr:from>
    <xdr:to>
      <xdr:col>49</xdr:col>
      <xdr:colOff>1041400</xdr:colOff>
      <xdr:row>0</xdr:row>
      <xdr:rowOff>819150</xdr:rowOff>
    </xdr:to>
    <xdr:pic>
      <xdr:nvPicPr>
        <xdr:cNvPr id="43762" name="Picture 77" descr="Description: Description: Image result for espire">
          <a:extLst>
            <a:ext uri="{FF2B5EF4-FFF2-40B4-BE49-F238E27FC236}">
              <a16:creationId xmlns:a16="http://schemas.microsoft.com/office/drawing/2014/main" id="{FCEC0BA4-3E6C-984B-6635-DBBD4C897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7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222250</xdr:colOff>
      <xdr:row>0</xdr:row>
      <xdr:rowOff>12700</xdr:rowOff>
    </xdr:from>
    <xdr:to>
      <xdr:col>58</xdr:col>
      <xdr:colOff>1041400</xdr:colOff>
      <xdr:row>0</xdr:row>
      <xdr:rowOff>819150</xdr:rowOff>
    </xdr:to>
    <xdr:pic>
      <xdr:nvPicPr>
        <xdr:cNvPr id="43763" name="Picture 77" descr="Description: Description: Image result for espire">
          <a:extLst>
            <a:ext uri="{FF2B5EF4-FFF2-40B4-BE49-F238E27FC236}">
              <a16:creationId xmlns:a16="http://schemas.microsoft.com/office/drawing/2014/main" id="{51914594-023B-1697-95F2-BC466CD32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7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67</xdr:col>
      <xdr:colOff>222250</xdr:colOff>
      <xdr:row>0</xdr:row>
      <xdr:rowOff>12700</xdr:rowOff>
    </xdr:from>
    <xdr:to>
      <xdr:col>67</xdr:col>
      <xdr:colOff>1041400</xdr:colOff>
      <xdr:row>0</xdr:row>
      <xdr:rowOff>819150</xdr:rowOff>
    </xdr:to>
    <xdr:pic>
      <xdr:nvPicPr>
        <xdr:cNvPr id="43764" name="Picture 77" descr="Description: Description: Image result for espire">
          <a:extLst>
            <a:ext uri="{FF2B5EF4-FFF2-40B4-BE49-F238E27FC236}">
              <a16:creationId xmlns:a16="http://schemas.microsoft.com/office/drawing/2014/main" id="{30A42C3B-B0DE-4E6A-8196-1B90EE022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7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76</xdr:col>
      <xdr:colOff>222250</xdr:colOff>
      <xdr:row>0</xdr:row>
      <xdr:rowOff>12700</xdr:rowOff>
    </xdr:from>
    <xdr:to>
      <xdr:col>76</xdr:col>
      <xdr:colOff>1041400</xdr:colOff>
      <xdr:row>0</xdr:row>
      <xdr:rowOff>819150</xdr:rowOff>
    </xdr:to>
    <xdr:pic>
      <xdr:nvPicPr>
        <xdr:cNvPr id="43765" name="Picture 77" descr="Description: Description: Image result for espire">
          <a:extLst>
            <a:ext uri="{FF2B5EF4-FFF2-40B4-BE49-F238E27FC236}">
              <a16:creationId xmlns:a16="http://schemas.microsoft.com/office/drawing/2014/main" id="{BCEB3DA0-55C9-1318-BCF0-E11B11EBB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070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85</xdr:col>
      <xdr:colOff>222250</xdr:colOff>
      <xdr:row>0</xdr:row>
      <xdr:rowOff>12700</xdr:rowOff>
    </xdr:from>
    <xdr:to>
      <xdr:col>85</xdr:col>
      <xdr:colOff>1041400</xdr:colOff>
      <xdr:row>0</xdr:row>
      <xdr:rowOff>819150</xdr:rowOff>
    </xdr:to>
    <xdr:pic>
      <xdr:nvPicPr>
        <xdr:cNvPr id="43766" name="Picture 77" descr="Description: Description: Image result for espire">
          <a:extLst>
            <a:ext uri="{FF2B5EF4-FFF2-40B4-BE49-F238E27FC236}">
              <a16:creationId xmlns:a16="http://schemas.microsoft.com/office/drawing/2014/main" id="{1832B218-604C-DE6D-319A-AB305E6EA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998220</xdr:colOff>
      <xdr:row>3</xdr:row>
      <xdr:rowOff>15240</xdr:rowOff>
    </xdr:from>
    <xdr:to>
      <xdr:col>43</xdr:col>
      <xdr:colOff>30480</xdr:colOff>
      <xdr:row>4</xdr:row>
      <xdr:rowOff>24765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385AA1-707B-E65F-E540-C28E152FC20E}"/>
            </a:ext>
          </a:extLst>
        </xdr:cNvPr>
        <xdr:cNvSpPr txBox="1"/>
      </xdr:nvSpPr>
      <xdr:spPr>
        <a:xfrm>
          <a:off x="5242560" y="116586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78</xdr:col>
      <xdr:colOff>1106948</xdr:colOff>
      <xdr:row>3</xdr:row>
      <xdr:rowOff>7620</xdr:rowOff>
    </xdr:from>
    <xdr:to>
      <xdr:col>79</xdr:col>
      <xdr:colOff>120404</xdr:colOff>
      <xdr:row>4</xdr:row>
      <xdr:rowOff>17145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8A0D8F-EDD4-EE7C-89CD-B537F7E47732}"/>
            </a:ext>
          </a:extLst>
        </xdr:cNvPr>
        <xdr:cNvSpPr txBox="1"/>
      </xdr:nvSpPr>
      <xdr:spPr>
        <a:xfrm>
          <a:off x="5761908" y="1154717"/>
          <a:ext cx="554867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87</xdr:col>
      <xdr:colOff>1026160</xdr:colOff>
      <xdr:row>3</xdr:row>
      <xdr:rowOff>7620</xdr:rowOff>
    </xdr:from>
    <xdr:to>
      <xdr:col>88</xdr:col>
      <xdr:colOff>45466</xdr:colOff>
      <xdr:row>4</xdr:row>
      <xdr:rowOff>17145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B319F82-3210-C061-A82C-8144C8B1E52E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94</xdr:col>
      <xdr:colOff>222250</xdr:colOff>
      <xdr:row>0</xdr:row>
      <xdr:rowOff>12700</xdr:rowOff>
    </xdr:from>
    <xdr:to>
      <xdr:col>94</xdr:col>
      <xdr:colOff>1041400</xdr:colOff>
      <xdr:row>0</xdr:row>
      <xdr:rowOff>819150</xdr:rowOff>
    </xdr:to>
    <xdr:pic>
      <xdr:nvPicPr>
        <xdr:cNvPr id="43770" name="Picture 77" descr="Description: Description: Image result for espire">
          <a:extLst>
            <a:ext uri="{FF2B5EF4-FFF2-40B4-BE49-F238E27FC236}">
              <a16:creationId xmlns:a16="http://schemas.microsoft.com/office/drawing/2014/main" id="{6CD0285B-0358-740E-5369-B978EA50E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0" y="127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96</xdr:col>
      <xdr:colOff>1013460</xdr:colOff>
      <xdr:row>3</xdr:row>
      <xdr:rowOff>7620</xdr:rowOff>
    </xdr:from>
    <xdr:to>
      <xdr:col>97</xdr:col>
      <xdr:colOff>45720</xdr:colOff>
      <xdr:row>4</xdr:row>
      <xdr:rowOff>17145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717909F-A61E-F102-EB04-BF5589D9A943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103</xdr:col>
      <xdr:colOff>222250</xdr:colOff>
      <xdr:row>0</xdr:row>
      <xdr:rowOff>12700</xdr:rowOff>
    </xdr:from>
    <xdr:to>
      <xdr:col>103</xdr:col>
      <xdr:colOff>1041400</xdr:colOff>
      <xdr:row>0</xdr:row>
      <xdr:rowOff>819150</xdr:rowOff>
    </xdr:to>
    <xdr:pic>
      <xdr:nvPicPr>
        <xdr:cNvPr id="43772" name="Picture 77" descr="Description: Description: Image result for espire">
          <a:extLst>
            <a:ext uri="{FF2B5EF4-FFF2-40B4-BE49-F238E27FC236}">
              <a16:creationId xmlns:a16="http://schemas.microsoft.com/office/drawing/2014/main" id="{C1A17DE3-97FD-8918-4818-8DB66888E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9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105</xdr:col>
      <xdr:colOff>1085928</xdr:colOff>
      <xdr:row>3</xdr:row>
      <xdr:rowOff>149</xdr:rowOff>
    </xdr:from>
    <xdr:to>
      <xdr:col>106</xdr:col>
      <xdr:colOff>105234</xdr:colOff>
      <xdr:row>4</xdr:row>
      <xdr:rowOff>9674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A89EAD8-BD70-AE24-91EB-981CF6B096DE}"/>
            </a:ext>
          </a:extLst>
        </xdr:cNvPr>
        <xdr:cNvSpPr txBox="1"/>
      </xdr:nvSpPr>
      <xdr:spPr>
        <a:xfrm>
          <a:off x="12844634" y="1150620"/>
          <a:ext cx="603071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112</xdr:col>
      <xdr:colOff>222250</xdr:colOff>
      <xdr:row>0</xdr:row>
      <xdr:rowOff>12700</xdr:rowOff>
    </xdr:from>
    <xdr:to>
      <xdr:col>112</xdr:col>
      <xdr:colOff>1041400</xdr:colOff>
      <xdr:row>0</xdr:row>
      <xdr:rowOff>819150</xdr:rowOff>
    </xdr:to>
    <xdr:pic>
      <xdr:nvPicPr>
        <xdr:cNvPr id="43774" name="Picture 77" descr="Description: Description: Image result for espire">
          <a:extLst>
            <a:ext uri="{FF2B5EF4-FFF2-40B4-BE49-F238E27FC236}">
              <a16:creationId xmlns:a16="http://schemas.microsoft.com/office/drawing/2014/main" id="{8D5C1814-2E4A-7BAA-4E90-5DC5CAD2A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7300" y="127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1013460</xdr:colOff>
      <xdr:row>3</xdr:row>
      <xdr:rowOff>7620</xdr:rowOff>
    </xdr:from>
    <xdr:to>
      <xdr:col>115</xdr:col>
      <xdr:colOff>45720</xdr:colOff>
      <xdr:row>4</xdr:row>
      <xdr:rowOff>17145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E374236-EEEF-C05F-45FB-5DC20075ED63}"/>
            </a:ext>
          </a:extLst>
        </xdr:cNvPr>
        <xdr:cNvSpPr txBox="1"/>
      </xdr:nvSpPr>
      <xdr:spPr>
        <a:xfrm>
          <a:off x="248869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121</xdr:col>
      <xdr:colOff>222250</xdr:colOff>
      <xdr:row>0</xdr:row>
      <xdr:rowOff>12700</xdr:rowOff>
    </xdr:from>
    <xdr:to>
      <xdr:col>121</xdr:col>
      <xdr:colOff>1041400</xdr:colOff>
      <xdr:row>0</xdr:row>
      <xdr:rowOff>819150</xdr:rowOff>
    </xdr:to>
    <xdr:pic>
      <xdr:nvPicPr>
        <xdr:cNvPr id="43776" name="Picture 77" descr="Description: Description: Image result for espire">
          <a:extLst>
            <a:ext uri="{FF2B5EF4-FFF2-40B4-BE49-F238E27FC236}">
              <a16:creationId xmlns:a16="http://schemas.microsoft.com/office/drawing/2014/main" id="{91ED81AC-D879-EC48-9EE1-BD1DE68B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44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130</xdr:col>
      <xdr:colOff>222250</xdr:colOff>
      <xdr:row>0</xdr:row>
      <xdr:rowOff>12700</xdr:rowOff>
    </xdr:from>
    <xdr:to>
      <xdr:col>130</xdr:col>
      <xdr:colOff>1041400</xdr:colOff>
      <xdr:row>0</xdr:row>
      <xdr:rowOff>819150</xdr:rowOff>
    </xdr:to>
    <xdr:pic>
      <xdr:nvPicPr>
        <xdr:cNvPr id="43778" name="Picture 77" descr="Description: Description: Image result for espire">
          <a:extLst>
            <a:ext uri="{FF2B5EF4-FFF2-40B4-BE49-F238E27FC236}">
              <a16:creationId xmlns:a16="http://schemas.microsoft.com/office/drawing/2014/main" id="{FEF9D1E2-CCA3-8D3C-8127-D850F4810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98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1026160</xdr:colOff>
      <xdr:row>3</xdr:row>
      <xdr:rowOff>7620</xdr:rowOff>
    </xdr:from>
    <xdr:to>
      <xdr:col>133</xdr:col>
      <xdr:colOff>45466</xdr:colOff>
      <xdr:row>4</xdr:row>
      <xdr:rowOff>17145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22BF5E2-A054-4B2D-BF43-1691C4CBFFCB}"/>
            </a:ext>
          </a:extLst>
        </xdr:cNvPr>
        <xdr:cNvSpPr txBox="1"/>
      </xdr:nvSpPr>
      <xdr:spPr>
        <a:xfrm>
          <a:off x="379628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139</xdr:col>
      <xdr:colOff>222250</xdr:colOff>
      <xdr:row>0</xdr:row>
      <xdr:rowOff>12700</xdr:rowOff>
    </xdr:from>
    <xdr:to>
      <xdr:col>139</xdr:col>
      <xdr:colOff>1041400</xdr:colOff>
      <xdr:row>0</xdr:row>
      <xdr:rowOff>819150</xdr:rowOff>
    </xdr:to>
    <xdr:pic>
      <xdr:nvPicPr>
        <xdr:cNvPr id="43780" name="Picture 77" descr="Description: Description: Image result for espire">
          <a:extLst>
            <a:ext uri="{FF2B5EF4-FFF2-40B4-BE49-F238E27FC236}">
              <a16:creationId xmlns:a16="http://schemas.microsoft.com/office/drawing/2014/main" id="{684D14EA-67C9-165F-4777-19F4E4582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53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141</xdr:col>
      <xdr:colOff>1108337</xdr:colOff>
      <xdr:row>3</xdr:row>
      <xdr:rowOff>7620</xdr:rowOff>
    </xdr:from>
    <xdr:to>
      <xdr:col>142</xdr:col>
      <xdr:colOff>127643</xdr:colOff>
      <xdr:row>4</xdr:row>
      <xdr:rowOff>17145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89C8004-F808-0AA3-4053-757D3E967443}"/>
            </a:ext>
          </a:extLst>
        </xdr:cNvPr>
        <xdr:cNvSpPr txBox="1"/>
      </xdr:nvSpPr>
      <xdr:spPr>
        <a:xfrm>
          <a:off x="34845513" y="1158091"/>
          <a:ext cx="603071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148</xdr:col>
      <xdr:colOff>222250</xdr:colOff>
      <xdr:row>0</xdr:row>
      <xdr:rowOff>12700</xdr:rowOff>
    </xdr:from>
    <xdr:to>
      <xdr:col>148</xdr:col>
      <xdr:colOff>1041400</xdr:colOff>
      <xdr:row>0</xdr:row>
      <xdr:rowOff>819150</xdr:rowOff>
    </xdr:to>
    <xdr:pic>
      <xdr:nvPicPr>
        <xdr:cNvPr id="43782" name="Picture 77" descr="Description: Description: Image result for espire">
          <a:extLst>
            <a:ext uri="{FF2B5EF4-FFF2-40B4-BE49-F238E27FC236}">
              <a16:creationId xmlns:a16="http://schemas.microsoft.com/office/drawing/2014/main" id="{84DDD12B-9A87-BF5E-9C76-E0A0C933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08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150</xdr:col>
      <xdr:colOff>1108335</xdr:colOff>
      <xdr:row>3</xdr:row>
      <xdr:rowOff>150</xdr:rowOff>
    </xdr:from>
    <xdr:to>
      <xdr:col>151</xdr:col>
      <xdr:colOff>127641</xdr:colOff>
      <xdr:row>4</xdr:row>
      <xdr:rowOff>9675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42A03BF-8ACB-0530-108C-BAD7CE05343E}"/>
            </a:ext>
          </a:extLst>
        </xdr:cNvPr>
        <xdr:cNvSpPr txBox="1"/>
      </xdr:nvSpPr>
      <xdr:spPr>
        <a:xfrm>
          <a:off x="41927629" y="1150621"/>
          <a:ext cx="603071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157</xdr:col>
      <xdr:colOff>222250</xdr:colOff>
      <xdr:row>0</xdr:row>
      <xdr:rowOff>12700</xdr:rowOff>
    </xdr:from>
    <xdr:to>
      <xdr:col>157</xdr:col>
      <xdr:colOff>1041400</xdr:colOff>
      <xdr:row>0</xdr:row>
      <xdr:rowOff>819150</xdr:rowOff>
    </xdr:to>
    <xdr:pic>
      <xdr:nvPicPr>
        <xdr:cNvPr id="43784" name="Picture 77" descr="Description: Description: Image result for espire">
          <a:extLst>
            <a:ext uri="{FF2B5EF4-FFF2-40B4-BE49-F238E27FC236}">
              <a16:creationId xmlns:a16="http://schemas.microsoft.com/office/drawing/2014/main" id="{9FA1635B-56F6-DAF2-703B-AE500AF31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3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159</xdr:col>
      <xdr:colOff>1084480</xdr:colOff>
      <xdr:row>2</xdr:row>
      <xdr:rowOff>65935</xdr:rowOff>
    </xdr:from>
    <xdr:to>
      <xdr:col>160</xdr:col>
      <xdr:colOff>103786</xdr:colOff>
      <xdr:row>3</xdr:row>
      <xdr:rowOff>159695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E2AF5FC-5972-0A03-FD98-EF43BAA6B2D9}"/>
            </a:ext>
          </a:extLst>
        </xdr:cNvPr>
        <xdr:cNvSpPr txBox="1"/>
      </xdr:nvSpPr>
      <xdr:spPr>
        <a:xfrm>
          <a:off x="49033460" y="1135068"/>
          <a:ext cx="600326" cy="1715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166</xdr:col>
      <xdr:colOff>222250</xdr:colOff>
      <xdr:row>0</xdr:row>
      <xdr:rowOff>12700</xdr:rowOff>
    </xdr:from>
    <xdr:to>
      <xdr:col>166</xdr:col>
      <xdr:colOff>1041400</xdr:colOff>
      <xdr:row>0</xdr:row>
      <xdr:rowOff>819150</xdr:rowOff>
    </xdr:to>
    <xdr:pic>
      <xdr:nvPicPr>
        <xdr:cNvPr id="43786" name="Picture 77" descr="Description: Description: Image result for espire">
          <a:extLst>
            <a:ext uri="{FF2B5EF4-FFF2-40B4-BE49-F238E27FC236}">
              <a16:creationId xmlns:a16="http://schemas.microsoft.com/office/drawing/2014/main" id="{FB4006FB-FA77-6338-C8E7-A37BBB270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8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1110396</xdr:colOff>
      <xdr:row>3</xdr:row>
      <xdr:rowOff>1140</xdr:rowOff>
    </xdr:from>
    <xdr:to>
      <xdr:col>169</xdr:col>
      <xdr:colOff>129702</xdr:colOff>
      <xdr:row>4</xdr:row>
      <xdr:rowOff>10665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E3C7A40-424C-18B5-8EF7-2C51277115C3}"/>
            </a:ext>
          </a:extLst>
        </xdr:cNvPr>
        <xdr:cNvSpPr txBox="1"/>
      </xdr:nvSpPr>
      <xdr:spPr>
        <a:xfrm>
          <a:off x="56148049" y="1148028"/>
          <a:ext cx="600326" cy="1715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175</xdr:col>
      <xdr:colOff>222250</xdr:colOff>
      <xdr:row>0</xdr:row>
      <xdr:rowOff>12700</xdr:rowOff>
    </xdr:from>
    <xdr:to>
      <xdr:col>175</xdr:col>
      <xdr:colOff>1041400</xdr:colOff>
      <xdr:row>0</xdr:row>
      <xdr:rowOff>819150</xdr:rowOff>
    </xdr:to>
    <xdr:pic>
      <xdr:nvPicPr>
        <xdr:cNvPr id="43788" name="Picture 77" descr="Description: Description: Image result for espire">
          <a:extLst>
            <a:ext uri="{FF2B5EF4-FFF2-40B4-BE49-F238E27FC236}">
              <a16:creationId xmlns:a16="http://schemas.microsoft.com/office/drawing/2014/main" id="{AD1C3C73-30C3-42F5-A50F-D35282EFE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2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177</xdr:col>
      <xdr:colOff>1026160</xdr:colOff>
      <xdr:row>3</xdr:row>
      <xdr:rowOff>7620</xdr:rowOff>
    </xdr:from>
    <xdr:to>
      <xdr:col>178</xdr:col>
      <xdr:colOff>45466</xdr:colOff>
      <xdr:row>4</xdr:row>
      <xdr:rowOff>17145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06545C8-BCC1-616B-7C9A-506E777CDDA5}"/>
            </a:ext>
          </a:extLst>
        </xdr:cNvPr>
        <xdr:cNvSpPr txBox="1"/>
      </xdr:nvSpPr>
      <xdr:spPr>
        <a:xfrm>
          <a:off x="644347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184</xdr:col>
      <xdr:colOff>222250</xdr:colOff>
      <xdr:row>0</xdr:row>
      <xdr:rowOff>12700</xdr:rowOff>
    </xdr:from>
    <xdr:to>
      <xdr:col>184</xdr:col>
      <xdr:colOff>1041400</xdr:colOff>
      <xdr:row>0</xdr:row>
      <xdr:rowOff>819150</xdr:rowOff>
    </xdr:to>
    <xdr:pic>
      <xdr:nvPicPr>
        <xdr:cNvPr id="43790" name="Picture 77" descr="Description: Description: Image result for espire">
          <a:extLst>
            <a:ext uri="{FF2B5EF4-FFF2-40B4-BE49-F238E27FC236}">
              <a16:creationId xmlns:a16="http://schemas.microsoft.com/office/drawing/2014/main" id="{536753BF-14CA-0AF4-1490-3BDB7211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90900" y="127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186</xdr:col>
      <xdr:colOff>1013460</xdr:colOff>
      <xdr:row>3</xdr:row>
      <xdr:rowOff>7620</xdr:rowOff>
    </xdr:from>
    <xdr:to>
      <xdr:col>187</xdr:col>
      <xdr:colOff>45720</xdr:colOff>
      <xdr:row>4</xdr:row>
      <xdr:rowOff>17145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780A704-9AAC-E045-4D80-3AFEF73FE32B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193</xdr:col>
      <xdr:colOff>222250</xdr:colOff>
      <xdr:row>0</xdr:row>
      <xdr:rowOff>12700</xdr:rowOff>
    </xdr:from>
    <xdr:to>
      <xdr:col>193</xdr:col>
      <xdr:colOff>1041400</xdr:colOff>
      <xdr:row>0</xdr:row>
      <xdr:rowOff>819150</xdr:rowOff>
    </xdr:to>
    <xdr:pic>
      <xdr:nvPicPr>
        <xdr:cNvPr id="43792" name="Picture 77" descr="Description: Description: Image result for espire">
          <a:extLst>
            <a:ext uri="{FF2B5EF4-FFF2-40B4-BE49-F238E27FC236}">
              <a16:creationId xmlns:a16="http://schemas.microsoft.com/office/drawing/2014/main" id="{15744889-15AB-07DF-4D2E-CC1E6F80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195</xdr:col>
      <xdr:colOff>1026160</xdr:colOff>
      <xdr:row>3</xdr:row>
      <xdr:rowOff>7620</xdr:rowOff>
    </xdr:from>
    <xdr:to>
      <xdr:col>196</xdr:col>
      <xdr:colOff>45466</xdr:colOff>
      <xdr:row>4</xdr:row>
      <xdr:rowOff>17145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EB8A14D-73B8-1EAD-6B65-07E10A23DE39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202</xdr:col>
      <xdr:colOff>222250</xdr:colOff>
      <xdr:row>0</xdr:row>
      <xdr:rowOff>12700</xdr:rowOff>
    </xdr:from>
    <xdr:to>
      <xdr:col>202</xdr:col>
      <xdr:colOff>1041400</xdr:colOff>
      <xdr:row>0</xdr:row>
      <xdr:rowOff>819150</xdr:rowOff>
    </xdr:to>
    <xdr:pic>
      <xdr:nvPicPr>
        <xdr:cNvPr id="43794" name="Picture 77" descr="Description: Description: Image result for espire">
          <a:extLst>
            <a:ext uri="{FF2B5EF4-FFF2-40B4-BE49-F238E27FC236}">
              <a16:creationId xmlns:a16="http://schemas.microsoft.com/office/drawing/2014/main" id="{95009671-197A-BBAD-7051-E6929A37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82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204</xdr:col>
      <xdr:colOff>1026160</xdr:colOff>
      <xdr:row>3</xdr:row>
      <xdr:rowOff>7620</xdr:rowOff>
    </xdr:from>
    <xdr:to>
      <xdr:col>205</xdr:col>
      <xdr:colOff>45466</xdr:colOff>
      <xdr:row>4</xdr:row>
      <xdr:rowOff>17145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F351DB7-7E7B-CCF4-DCD6-FC4CF2D279DB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211</xdr:col>
      <xdr:colOff>222250</xdr:colOff>
      <xdr:row>0</xdr:row>
      <xdr:rowOff>12700</xdr:rowOff>
    </xdr:from>
    <xdr:to>
      <xdr:col>211</xdr:col>
      <xdr:colOff>1041400</xdr:colOff>
      <xdr:row>0</xdr:row>
      <xdr:rowOff>819150</xdr:rowOff>
    </xdr:to>
    <xdr:pic>
      <xdr:nvPicPr>
        <xdr:cNvPr id="43796" name="Picture 77" descr="Description: Description: Image result for espire">
          <a:extLst>
            <a:ext uri="{FF2B5EF4-FFF2-40B4-BE49-F238E27FC236}">
              <a16:creationId xmlns:a16="http://schemas.microsoft.com/office/drawing/2014/main" id="{BAE24023-14A8-B869-F927-A57E4D86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7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213</xdr:col>
      <xdr:colOff>1026160</xdr:colOff>
      <xdr:row>3</xdr:row>
      <xdr:rowOff>7620</xdr:rowOff>
    </xdr:from>
    <xdr:to>
      <xdr:col>214</xdr:col>
      <xdr:colOff>45466</xdr:colOff>
      <xdr:row>4</xdr:row>
      <xdr:rowOff>17145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8D7BD82-F44B-B280-6AAD-597D812DED5E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220</xdr:col>
      <xdr:colOff>222250</xdr:colOff>
      <xdr:row>0</xdr:row>
      <xdr:rowOff>12700</xdr:rowOff>
    </xdr:from>
    <xdr:to>
      <xdr:col>220</xdr:col>
      <xdr:colOff>1041400</xdr:colOff>
      <xdr:row>0</xdr:row>
      <xdr:rowOff>819150</xdr:rowOff>
    </xdr:to>
    <xdr:pic>
      <xdr:nvPicPr>
        <xdr:cNvPr id="43798" name="Picture 77" descr="Description: Description: Image result for espire">
          <a:extLst>
            <a:ext uri="{FF2B5EF4-FFF2-40B4-BE49-F238E27FC236}">
              <a16:creationId xmlns:a16="http://schemas.microsoft.com/office/drawing/2014/main" id="{50B08147-958C-3624-9375-93F69CBF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92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222</xdr:col>
      <xdr:colOff>1026160</xdr:colOff>
      <xdr:row>3</xdr:row>
      <xdr:rowOff>7620</xdr:rowOff>
    </xdr:from>
    <xdr:to>
      <xdr:col>223</xdr:col>
      <xdr:colOff>45466</xdr:colOff>
      <xdr:row>4</xdr:row>
      <xdr:rowOff>17145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E188030-7C82-0042-AFA0-B984FCA2BD70}"/>
            </a:ext>
          </a:extLst>
        </xdr:cNvPr>
        <xdr:cNvSpPr txBox="1"/>
      </xdr:nvSpPr>
      <xdr:spPr>
        <a:xfrm>
          <a:off x="840486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103</xdr:col>
      <xdr:colOff>222250</xdr:colOff>
      <xdr:row>0</xdr:row>
      <xdr:rowOff>12700</xdr:rowOff>
    </xdr:from>
    <xdr:to>
      <xdr:col>103</xdr:col>
      <xdr:colOff>1041400</xdr:colOff>
      <xdr:row>0</xdr:row>
      <xdr:rowOff>819150</xdr:rowOff>
    </xdr:to>
    <xdr:pic>
      <xdr:nvPicPr>
        <xdr:cNvPr id="2" name="Picture 77" descr="Description: Description: Image result for espire">
          <a:extLst>
            <a:ext uri="{FF2B5EF4-FFF2-40B4-BE49-F238E27FC236}">
              <a16:creationId xmlns:a16="http://schemas.microsoft.com/office/drawing/2014/main" id="{BF22A56B-1DC3-473E-9EB0-E48BBB419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222250</xdr:colOff>
      <xdr:row>0</xdr:row>
      <xdr:rowOff>12700</xdr:rowOff>
    </xdr:from>
    <xdr:to>
      <xdr:col>121</xdr:col>
      <xdr:colOff>1041400</xdr:colOff>
      <xdr:row>0</xdr:row>
      <xdr:rowOff>819150</xdr:rowOff>
    </xdr:to>
    <xdr:pic>
      <xdr:nvPicPr>
        <xdr:cNvPr id="4" name="Picture 77" descr="Description: Description: Image result for espire">
          <a:extLst>
            <a:ext uri="{FF2B5EF4-FFF2-40B4-BE49-F238E27FC236}">
              <a16:creationId xmlns:a16="http://schemas.microsoft.com/office/drawing/2014/main" id="{218F6FD1-869A-4CF7-AD61-3EA7B443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130</xdr:col>
      <xdr:colOff>222250</xdr:colOff>
      <xdr:row>0</xdr:row>
      <xdr:rowOff>12700</xdr:rowOff>
    </xdr:from>
    <xdr:to>
      <xdr:col>130</xdr:col>
      <xdr:colOff>1041400</xdr:colOff>
      <xdr:row>0</xdr:row>
      <xdr:rowOff>819150</xdr:rowOff>
    </xdr:to>
    <xdr:pic>
      <xdr:nvPicPr>
        <xdr:cNvPr id="6" name="Picture 77" descr="Description: Description: Image result for espire">
          <a:extLst>
            <a:ext uri="{FF2B5EF4-FFF2-40B4-BE49-F238E27FC236}">
              <a16:creationId xmlns:a16="http://schemas.microsoft.com/office/drawing/2014/main" id="{2129D43E-B3CA-446C-B098-0E69E8C5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1026160</xdr:colOff>
      <xdr:row>3</xdr:row>
      <xdr:rowOff>7620</xdr:rowOff>
    </xdr:from>
    <xdr:to>
      <xdr:col>133</xdr:col>
      <xdr:colOff>45466</xdr:colOff>
      <xdr:row>4</xdr:row>
      <xdr:rowOff>17145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FB65AF-6BF8-4028-879E-667B2AF557E4}"/>
            </a:ext>
          </a:extLst>
        </xdr:cNvPr>
        <xdr:cNvSpPr txBox="1"/>
      </xdr:nvSpPr>
      <xdr:spPr>
        <a:xfrm>
          <a:off x="12351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139</xdr:col>
      <xdr:colOff>222250</xdr:colOff>
      <xdr:row>0</xdr:row>
      <xdr:rowOff>12700</xdr:rowOff>
    </xdr:from>
    <xdr:to>
      <xdr:col>139</xdr:col>
      <xdr:colOff>1041400</xdr:colOff>
      <xdr:row>0</xdr:row>
      <xdr:rowOff>819150</xdr:rowOff>
    </xdr:to>
    <xdr:pic>
      <xdr:nvPicPr>
        <xdr:cNvPr id="8" name="Picture 77" descr="Description: Description: Image result for espire">
          <a:extLst>
            <a:ext uri="{FF2B5EF4-FFF2-40B4-BE49-F238E27FC236}">
              <a16:creationId xmlns:a16="http://schemas.microsoft.com/office/drawing/2014/main" id="{FBC4981E-A56F-4BB7-87F2-9B6882F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148</xdr:col>
      <xdr:colOff>222250</xdr:colOff>
      <xdr:row>0</xdr:row>
      <xdr:rowOff>12700</xdr:rowOff>
    </xdr:from>
    <xdr:to>
      <xdr:col>148</xdr:col>
      <xdr:colOff>1041400</xdr:colOff>
      <xdr:row>0</xdr:row>
      <xdr:rowOff>819150</xdr:rowOff>
    </xdr:to>
    <xdr:pic>
      <xdr:nvPicPr>
        <xdr:cNvPr id="10" name="Picture 77" descr="Description: Description: Image result for espire">
          <a:extLst>
            <a:ext uri="{FF2B5EF4-FFF2-40B4-BE49-F238E27FC236}">
              <a16:creationId xmlns:a16="http://schemas.microsoft.com/office/drawing/2014/main" id="{A1FB8565-0F1B-4C9C-A77D-465B71959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157</xdr:col>
      <xdr:colOff>222250</xdr:colOff>
      <xdr:row>0</xdr:row>
      <xdr:rowOff>12700</xdr:rowOff>
    </xdr:from>
    <xdr:to>
      <xdr:col>157</xdr:col>
      <xdr:colOff>1041400</xdr:colOff>
      <xdr:row>0</xdr:row>
      <xdr:rowOff>819150</xdr:rowOff>
    </xdr:to>
    <xdr:pic>
      <xdr:nvPicPr>
        <xdr:cNvPr id="15" name="Picture 77" descr="Description: Description: Image result for espire">
          <a:extLst>
            <a:ext uri="{FF2B5EF4-FFF2-40B4-BE49-F238E27FC236}">
              <a16:creationId xmlns:a16="http://schemas.microsoft.com/office/drawing/2014/main" id="{BABC7D55-D8D8-41AF-AD1F-35F31DF3A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166</xdr:col>
      <xdr:colOff>222250</xdr:colOff>
      <xdr:row>0</xdr:row>
      <xdr:rowOff>12700</xdr:rowOff>
    </xdr:from>
    <xdr:to>
      <xdr:col>166</xdr:col>
      <xdr:colOff>1041400</xdr:colOff>
      <xdr:row>0</xdr:row>
      <xdr:rowOff>819150</xdr:rowOff>
    </xdr:to>
    <xdr:pic>
      <xdr:nvPicPr>
        <xdr:cNvPr id="19" name="Picture 77" descr="Description: Description: Image result for espire">
          <a:extLst>
            <a:ext uri="{FF2B5EF4-FFF2-40B4-BE49-F238E27FC236}">
              <a16:creationId xmlns:a16="http://schemas.microsoft.com/office/drawing/2014/main" id="{6250187A-36F8-48BE-A961-198D2C21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175</xdr:col>
      <xdr:colOff>222250</xdr:colOff>
      <xdr:row>0</xdr:row>
      <xdr:rowOff>12700</xdr:rowOff>
    </xdr:from>
    <xdr:to>
      <xdr:col>175</xdr:col>
      <xdr:colOff>1041400</xdr:colOff>
      <xdr:row>0</xdr:row>
      <xdr:rowOff>819150</xdr:rowOff>
    </xdr:to>
    <xdr:pic>
      <xdr:nvPicPr>
        <xdr:cNvPr id="23" name="Picture 77" descr="Description: Description: Image result for espire">
          <a:extLst>
            <a:ext uri="{FF2B5EF4-FFF2-40B4-BE49-F238E27FC236}">
              <a16:creationId xmlns:a16="http://schemas.microsoft.com/office/drawing/2014/main" id="{E059D233-C626-47DE-B1D8-50C21C286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177</xdr:col>
      <xdr:colOff>1026160</xdr:colOff>
      <xdr:row>3</xdr:row>
      <xdr:rowOff>7620</xdr:rowOff>
    </xdr:from>
    <xdr:to>
      <xdr:col>178</xdr:col>
      <xdr:colOff>45466</xdr:colOff>
      <xdr:row>4</xdr:row>
      <xdr:rowOff>17145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406A79A-F5B6-47D9-B5F0-6AF9E31F971C}"/>
            </a:ext>
          </a:extLst>
        </xdr:cNvPr>
        <xdr:cNvSpPr txBox="1"/>
      </xdr:nvSpPr>
      <xdr:spPr>
        <a:xfrm>
          <a:off x="12351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193</xdr:col>
      <xdr:colOff>222250</xdr:colOff>
      <xdr:row>0</xdr:row>
      <xdr:rowOff>12700</xdr:rowOff>
    </xdr:from>
    <xdr:to>
      <xdr:col>193</xdr:col>
      <xdr:colOff>1041400</xdr:colOff>
      <xdr:row>0</xdr:row>
      <xdr:rowOff>819150</xdr:rowOff>
    </xdr:to>
    <xdr:pic>
      <xdr:nvPicPr>
        <xdr:cNvPr id="27" name="Picture 77" descr="Description: Description: Image result for espire">
          <a:extLst>
            <a:ext uri="{FF2B5EF4-FFF2-40B4-BE49-F238E27FC236}">
              <a16:creationId xmlns:a16="http://schemas.microsoft.com/office/drawing/2014/main" id="{5B2CE8B0-0BBF-46A7-B23C-0F23D5F72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195</xdr:col>
      <xdr:colOff>1026160</xdr:colOff>
      <xdr:row>3</xdr:row>
      <xdr:rowOff>7620</xdr:rowOff>
    </xdr:from>
    <xdr:to>
      <xdr:col>196</xdr:col>
      <xdr:colOff>45466</xdr:colOff>
      <xdr:row>4</xdr:row>
      <xdr:rowOff>17145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E2C39DA-A32A-4F93-B188-DDC356D8D3B6}"/>
            </a:ext>
          </a:extLst>
        </xdr:cNvPr>
        <xdr:cNvSpPr txBox="1"/>
      </xdr:nvSpPr>
      <xdr:spPr>
        <a:xfrm>
          <a:off x="12351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202</xdr:col>
      <xdr:colOff>222250</xdr:colOff>
      <xdr:row>0</xdr:row>
      <xdr:rowOff>12700</xdr:rowOff>
    </xdr:from>
    <xdr:to>
      <xdr:col>202</xdr:col>
      <xdr:colOff>1041400</xdr:colOff>
      <xdr:row>0</xdr:row>
      <xdr:rowOff>819150</xdr:rowOff>
    </xdr:to>
    <xdr:pic>
      <xdr:nvPicPr>
        <xdr:cNvPr id="31" name="Picture 77" descr="Description: Description: Image result for espire">
          <a:extLst>
            <a:ext uri="{FF2B5EF4-FFF2-40B4-BE49-F238E27FC236}">
              <a16:creationId xmlns:a16="http://schemas.microsoft.com/office/drawing/2014/main" id="{35013D40-2F0E-48C5-B5C3-E59E0E1ED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204</xdr:col>
      <xdr:colOff>1026160</xdr:colOff>
      <xdr:row>3</xdr:row>
      <xdr:rowOff>7620</xdr:rowOff>
    </xdr:from>
    <xdr:to>
      <xdr:col>205</xdr:col>
      <xdr:colOff>45466</xdr:colOff>
      <xdr:row>4</xdr:row>
      <xdr:rowOff>17145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862504C-EA35-46AF-B42E-6C30075EC308}"/>
            </a:ext>
          </a:extLst>
        </xdr:cNvPr>
        <xdr:cNvSpPr txBox="1"/>
      </xdr:nvSpPr>
      <xdr:spPr>
        <a:xfrm>
          <a:off x="12351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211</xdr:col>
      <xdr:colOff>222250</xdr:colOff>
      <xdr:row>0</xdr:row>
      <xdr:rowOff>12700</xdr:rowOff>
    </xdr:from>
    <xdr:to>
      <xdr:col>211</xdr:col>
      <xdr:colOff>1041400</xdr:colOff>
      <xdr:row>0</xdr:row>
      <xdr:rowOff>819150</xdr:rowOff>
    </xdr:to>
    <xdr:pic>
      <xdr:nvPicPr>
        <xdr:cNvPr id="35" name="Picture 77" descr="Description: Description: Image result for espire">
          <a:extLst>
            <a:ext uri="{FF2B5EF4-FFF2-40B4-BE49-F238E27FC236}">
              <a16:creationId xmlns:a16="http://schemas.microsoft.com/office/drawing/2014/main" id="{04876E15-4DEC-4A40-BE24-B82A1350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213</xdr:col>
      <xdr:colOff>1026160</xdr:colOff>
      <xdr:row>3</xdr:row>
      <xdr:rowOff>7620</xdr:rowOff>
    </xdr:from>
    <xdr:to>
      <xdr:col>214</xdr:col>
      <xdr:colOff>45466</xdr:colOff>
      <xdr:row>4</xdr:row>
      <xdr:rowOff>17145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A40EB9-DB73-41CE-9E13-3BB4402E3C76}"/>
            </a:ext>
          </a:extLst>
        </xdr:cNvPr>
        <xdr:cNvSpPr txBox="1"/>
      </xdr:nvSpPr>
      <xdr:spPr>
        <a:xfrm>
          <a:off x="12351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220</xdr:col>
      <xdr:colOff>222250</xdr:colOff>
      <xdr:row>0</xdr:row>
      <xdr:rowOff>12700</xdr:rowOff>
    </xdr:from>
    <xdr:to>
      <xdr:col>220</xdr:col>
      <xdr:colOff>1041400</xdr:colOff>
      <xdr:row>0</xdr:row>
      <xdr:rowOff>819150</xdr:rowOff>
    </xdr:to>
    <xdr:pic>
      <xdr:nvPicPr>
        <xdr:cNvPr id="39" name="Picture 77" descr="Description: Description: Image result for espire">
          <a:extLst>
            <a:ext uri="{FF2B5EF4-FFF2-40B4-BE49-F238E27FC236}">
              <a16:creationId xmlns:a16="http://schemas.microsoft.com/office/drawing/2014/main" id="{233F2ED7-1785-4A3C-9359-83AABD6C9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222</xdr:col>
      <xdr:colOff>1026160</xdr:colOff>
      <xdr:row>3</xdr:row>
      <xdr:rowOff>7620</xdr:rowOff>
    </xdr:from>
    <xdr:to>
      <xdr:col>223</xdr:col>
      <xdr:colOff>45466</xdr:colOff>
      <xdr:row>4</xdr:row>
      <xdr:rowOff>17145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27301D9-2BE7-4C11-80F4-89FCA29E097F}"/>
            </a:ext>
          </a:extLst>
        </xdr:cNvPr>
        <xdr:cNvSpPr txBox="1"/>
      </xdr:nvSpPr>
      <xdr:spPr>
        <a:xfrm>
          <a:off x="12351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229</xdr:col>
      <xdr:colOff>222250</xdr:colOff>
      <xdr:row>0</xdr:row>
      <xdr:rowOff>12700</xdr:rowOff>
    </xdr:from>
    <xdr:to>
      <xdr:col>229</xdr:col>
      <xdr:colOff>1041400</xdr:colOff>
      <xdr:row>0</xdr:row>
      <xdr:rowOff>819150</xdr:rowOff>
    </xdr:to>
    <xdr:pic>
      <xdr:nvPicPr>
        <xdr:cNvPr id="43" name="Picture 77" descr="Description: Description: Image result for espire">
          <a:extLst>
            <a:ext uri="{FF2B5EF4-FFF2-40B4-BE49-F238E27FC236}">
              <a16:creationId xmlns:a16="http://schemas.microsoft.com/office/drawing/2014/main" id="{4E7F4C7F-5772-4BEB-AF4D-806C5F04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1530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231</xdr:col>
      <xdr:colOff>1026160</xdr:colOff>
      <xdr:row>3</xdr:row>
      <xdr:rowOff>7620</xdr:rowOff>
    </xdr:from>
    <xdr:to>
      <xdr:col>232</xdr:col>
      <xdr:colOff>45466</xdr:colOff>
      <xdr:row>4</xdr:row>
      <xdr:rowOff>17145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EBD5F7C-BFD9-4715-9D9A-BEC5361A5866}"/>
            </a:ext>
          </a:extLst>
        </xdr:cNvPr>
        <xdr:cNvSpPr txBox="1"/>
      </xdr:nvSpPr>
      <xdr:spPr>
        <a:xfrm>
          <a:off x="92227101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229</xdr:col>
      <xdr:colOff>222250</xdr:colOff>
      <xdr:row>0</xdr:row>
      <xdr:rowOff>12700</xdr:rowOff>
    </xdr:from>
    <xdr:to>
      <xdr:col>229</xdr:col>
      <xdr:colOff>1041400</xdr:colOff>
      <xdr:row>0</xdr:row>
      <xdr:rowOff>819150</xdr:rowOff>
    </xdr:to>
    <xdr:pic>
      <xdr:nvPicPr>
        <xdr:cNvPr id="46" name="Picture 77" descr="Description: Description: Image result for espire">
          <a:extLst>
            <a:ext uri="{FF2B5EF4-FFF2-40B4-BE49-F238E27FC236}">
              <a16:creationId xmlns:a16="http://schemas.microsoft.com/office/drawing/2014/main" id="{8A97FB83-72E5-4BAA-BEBB-29D7090C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1530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231</xdr:col>
      <xdr:colOff>1026160</xdr:colOff>
      <xdr:row>3</xdr:row>
      <xdr:rowOff>7620</xdr:rowOff>
    </xdr:from>
    <xdr:to>
      <xdr:col>232</xdr:col>
      <xdr:colOff>45466</xdr:colOff>
      <xdr:row>4</xdr:row>
      <xdr:rowOff>17145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5F70C2D-5DB3-42F0-8CB8-1FB423A043B0}"/>
            </a:ext>
          </a:extLst>
        </xdr:cNvPr>
        <xdr:cNvSpPr txBox="1"/>
      </xdr:nvSpPr>
      <xdr:spPr>
        <a:xfrm>
          <a:off x="92227101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238</xdr:col>
      <xdr:colOff>222250</xdr:colOff>
      <xdr:row>0</xdr:row>
      <xdr:rowOff>12700</xdr:rowOff>
    </xdr:from>
    <xdr:to>
      <xdr:col>238</xdr:col>
      <xdr:colOff>1041400</xdr:colOff>
      <xdr:row>0</xdr:row>
      <xdr:rowOff>819150</xdr:rowOff>
    </xdr:to>
    <xdr:pic>
      <xdr:nvPicPr>
        <xdr:cNvPr id="52" name="Picture 77" descr="Description: Description: Image result for espire">
          <a:extLst>
            <a:ext uri="{FF2B5EF4-FFF2-40B4-BE49-F238E27FC236}">
              <a16:creationId xmlns:a16="http://schemas.microsoft.com/office/drawing/2014/main" id="{96143412-FB49-4470-860E-304A2A63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71603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B74EB2D-3567-44B3-86CA-9A887E26175A}"/>
            </a:ext>
          </a:extLst>
        </xdr:cNvPr>
        <xdr:cNvSpPr txBox="1"/>
      </xdr:nvSpPr>
      <xdr:spPr>
        <a:xfrm>
          <a:off x="98883395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238</xdr:col>
      <xdr:colOff>222250</xdr:colOff>
      <xdr:row>0</xdr:row>
      <xdr:rowOff>12700</xdr:rowOff>
    </xdr:from>
    <xdr:to>
      <xdr:col>238</xdr:col>
      <xdr:colOff>1041400</xdr:colOff>
      <xdr:row>0</xdr:row>
      <xdr:rowOff>819150</xdr:rowOff>
    </xdr:to>
    <xdr:pic>
      <xdr:nvPicPr>
        <xdr:cNvPr id="54" name="Picture 77" descr="Description: Description: Image result for espire">
          <a:extLst>
            <a:ext uri="{FF2B5EF4-FFF2-40B4-BE49-F238E27FC236}">
              <a16:creationId xmlns:a16="http://schemas.microsoft.com/office/drawing/2014/main" id="{9F9A5C68-7602-43E4-A046-BA3AAF94F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71603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50D8CAD-9B06-46D3-B1AA-8E55A8993CDF}"/>
            </a:ext>
          </a:extLst>
        </xdr:cNvPr>
        <xdr:cNvSpPr txBox="1"/>
      </xdr:nvSpPr>
      <xdr:spPr>
        <a:xfrm>
          <a:off x="98883395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247</xdr:col>
      <xdr:colOff>222250</xdr:colOff>
      <xdr:row>0</xdr:row>
      <xdr:rowOff>12700</xdr:rowOff>
    </xdr:from>
    <xdr:to>
      <xdr:col>247</xdr:col>
      <xdr:colOff>1041400</xdr:colOff>
      <xdr:row>0</xdr:row>
      <xdr:rowOff>819150</xdr:rowOff>
    </xdr:to>
    <xdr:pic>
      <xdr:nvPicPr>
        <xdr:cNvPr id="56" name="Picture 77" descr="Description: Description: Image result for espire">
          <a:extLst>
            <a:ext uri="{FF2B5EF4-FFF2-40B4-BE49-F238E27FC236}">
              <a16:creationId xmlns:a16="http://schemas.microsoft.com/office/drawing/2014/main" id="{0DA53BB0-CC6C-48B3-B713-30E1CB1C4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27897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249</xdr:col>
      <xdr:colOff>1026160</xdr:colOff>
      <xdr:row>3</xdr:row>
      <xdr:rowOff>7620</xdr:rowOff>
    </xdr:from>
    <xdr:to>
      <xdr:col>250</xdr:col>
      <xdr:colOff>45466</xdr:colOff>
      <xdr:row>4</xdr:row>
      <xdr:rowOff>17145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02DFA3C-400E-44F2-BEC9-509DDDA9203C}"/>
            </a:ext>
          </a:extLst>
        </xdr:cNvPr>
        <xdr:cNvSpPr txBox="1"/>
      </xdr:nvSpPr>
      <xdr:spPr>
        <a:xfrm>
          <a:off x="105539689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247</xdr:col>
      <xdr:colOff>222250</xdr:colOff>
      <xdr:row>0</xdr:row>
      <xdr:rowOff>12700</xdr:rowOff>
    </xdr:from>
    <xdr:to>
      <xdr:col>247</xdr:col>
      <xdr:colOff>1041400</xdr:colOff>
      <xdr:row>0</xdr:row>
      <xdr:rowOff>819150</xdr:rowOff>
    </xdr:to>
    <xdr:pic>
      <xdr:nvPicPr>
        <xdr:cNvPr id="58" name="Picture 77" descr="Description: Description: Image result for espire">
          <a:extLst>
            <a:ext uri="{FF2B5EF4-FFF2-40B4-BE49-F238E27FC236}">
              <a16:creationId xmlns:a16="http://schemas.microsoft.com/office/drawing/2014/main" id="{BFAC8255-3CEC-4DA9-8111-FEA5F6D5E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27897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249</xdr:col>
      <xdr:colOff>1026160</xdr:colOff>
      <xdr:row>3</xdr:row>
      <xdr:rowOff>7620</xdr:rowOff>
    </xdr:from>
    <xdr:to>
      <xdr:col>250</xdr:col>
      <xdr:colOff>45466</xdr:colOff>
      <xdr:row>4</xdr:row>
      <xdr:rowOff>17145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C5AF332-E0F7-4320-9F15-2872D9B9B1D5}"/>
            </a:ext>
          </a:extLst>
        </xdr:cNvPr>
        <xdr:cNvSpPr txBox="1"/>
      </xdr:nvSpPr>
      <xdr:spPr>
        <a:xfrm>
          <a:off x="105539689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256</xdr:col>
      <xdr:colOff>222250</xdr:colOff>
      <xdr:row>0</xdr:row>
      <xdr:rowOff>12700</xdr:rowOff>
    </xdr:from>
    <xdr:to>
      <xdr:col>256</xdr:col>
      <xdr:colOff>1041400</xdr:colOff>
      <xdr:row>0</xdr:row>
      <xdr:rowOff>819150</xdr:rowOff>
    </xdr:to>
    <xdr:pic>
      <xdr:nvPicPr>
        <xdr:cNvPr id="60" name="Picture 77" descr="Description: Description: Image result for espire">
          <a:extLst>
            <a:ext uri="{FF2B5EF4-FFF2-40B4-BE49-F238E27FC236}">
              <a16:creationId xmlns:a16="http://schemas.microsoft.com/office/drawing/2014/main" id="{1A4E0298-788B-4142-889C-EEC445AEA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84191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258</xdr:col>
      <xdr:colOff>1026160</xdr:colOff>
      <xdr:row>3</xdr:row>
      <xdr:rowOff>7620</xdr:rowOff>
    </xdr:from>
    <xdr:to>
      <xdr:col>259</xdr:col>
      <xdr:colOff>45466</xdr:colOff>
      <xdr:row>4</xdr:row>
      <xdr:rowOff>17145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386CF5B-E3FF-4C14-A872-01E5B08D8CA7}"/>
            </a:ext>
          </a:extLst>
        </xdr:cNvPr>
        <xdr:cNvSpPr txBox="1"/>
      </xdr:nvSpPr>
      <xdr:spPr>
        <a:xfrm>
          <a:off x="112195984" y="1158091"/>
          <a:ext cx="184717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256</xdr:col>
      <xdr:colOff>222250</xdr:colOff>
      <xdr:row>0</xdr:row>
      <xdr:rowOff>12700</xdr:rowOff>
    </xdr:from>
    <xdr:to>
      <xdr:col>256</xdr:col>
      <xdr:colOff>1041400</xdr:colOff>
      <xdr:row>0</xdr:row>
      <xdr:rowOff>819150</xdr:rowOff>
    </xdr:to>
    <xdr:pic>
      <xdr:nvPicPr>
        <xdr:cNvPr id="62" name="Picture 77" descr="Description: Description: Image result for espire">
          <a:extLst>
            <a:ext uri="{FF2B5EF4-FFF2-40B4-BE49-F238E27FC236}">
              <a16:creationId xmlns:a16="http://schemas.microsoft.com/office/drawing/2014/main" id="{BDFB8E57-1EFD-4B89-9959-92895DF51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84191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258</xdr:col>
      <xdr:colOff>1026160</xdr:colOff>
      <xdr:row>3</xdr:row>
      <xdr:rowOff>7620</xdr:rowOff>
    </xdr:from>
    <xdr:to>
      <xdr:col>259</xdr:col>
      <xdr:colOff>45466</xdr:colOff>
      <xdr:row>4</xdr:row>
      <xdr:rowOff>17145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F017D95-FA61-4AD6-A9EF-6206FDC7D764}"/>
            </a:ext>
          </a:extLst>
        </xdr:cNvPr>
        <xdr:cNvSpPr txBox="1"/>
      </xdr:nvSpPr>
      <xdr:spPr>
        <a:xfrm>
          <a:off x="112195984" y="1158091"/>
          <a:ext cx="184717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265</xdr:col>
      <xdr:colOff>222250</xdr:colOff>
      <xdr:row>0</xdr:row>
      <xdr:rowOff>12700</xdr:rowOff>
    </xdr:from>
    <xdr:to>
      <xdr:col>265</xdr:col>
      <xdr:colOff>1041400</xdr:colOff>
      <xdr:row>0</xdr:row>
      <xdr:rowOff>819150</xdr:rowOff>
    </xdr:to>
    <xdr:pic>
      <xdr:nvPicPr>
        <xdr:cNvPr id="43712" name="Picture 77" descr="Description: Description: Image result for espire">
          <a:extLst>
            <a:ext uri="{FF2B5EF4-FFF2-40B4-BE49-F238E27FC236}">
              <a16:creationId xmlns:a16="http://schemas.microsoft.com/office/drawing/2014/main" id="{C655B508-CDD1-4B85-A300-3AE1F51F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40485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267</xdr:col>
      <xdr:colOff>1026160</xdr:colOff>
      <xdr:row>3</xdr:row>
      <xdr:rowOff>7620</xdr:rowOff>
    </xdr:from>
    <xdr:to>
      <xdr:col>268</xdr:col>
      <xdr:colOff>45466</xdr:colOff>
      <xdr:row>4</xdr:row>
      <xdr:rowOff>17145</xdr:rowOff>
    </xdr:to>
    <xdr:sp macro="" textlink="">
      <xdr:nvSpPr>
        <xdr:cNvPr id="43713" name="TextBox 43712">
          <a:extLst>
            <a:ext uri="{FF2B5EF4-FFF2-40B4-BE49-F238E27FC236}">
              <a16:creationId xmlns:a16="http://schemas.microsoft.com/office/drawing/2014/main" id="{6FD33303-3700-497D-987C-CFB425CF5517}"/>
            </a:ext>
          </a:extLst>
        </xdr:cNvPr>
        <xdr:cNvSpPr txBox="1"/>
      </xdr:nvSpPr>
      <xdr:spPr>
        <a:xfrm>
          <a:off x="118852278" y="1158091"/>
          <a:ext cx="184717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265</xdr:col>
      <xdr:colOff>222250</xdr:colOff>
      <xdr:row>0</xdr:row>
      <xdr:rowOff>12700</xdr:rowOff>
    </xdr:from>
    <xdr:to>
      <xdr:col>265</xdr:col>
      <xdr:colOff>1041400</xdr:colOff>
      <xdr:row>0</xdr:row>
      <xdr:rowOff>819150</xdr:rowOff>
    </xdr:to>
    <xdr:pic>
      <xdr:nvPicPr>
        <xdr:cNvPr id="43714" name="Picture 77" descr="Description: Description: Image result for espire">
          <a:extLst>
            <a:ext uri="{FF2B5EF4-FFF2-40B4-BE49-F238E27FC236}">
              <a16:creationId xmlns:a16="http://schemas.microsoft.com/office/drawing/2014/main" id="{A27ECCB2-E45F-4F77-8D6D-E2B86BA7D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40485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267</xdr:col>
      <xdr:colOff>1026160</xdr:colOff>
      <xdr:row>3</xdr:row>
      <xdr:rowOff>7620</xdr:rowOff>
    </xdr:from>
    <xdr:to>
      <xdr:col>268</xdr:col>
      <xdr:colOff>45466</xdr:colOff>
      <xdr:row>4</xdr:row>
      <xdr:rowOff>17145</xdr:rowOff>
    </xdr:to>
    <xdr:sp macro="" textlink="">
      <xdr:nvSpPr>
        <xdr:cNvPr id="43715" name="TextBox 43714">
          <a:extLst>
            <a:ext uri="{FF2B5EF4-FFF2-40B4-BE49-F238E27FC236}">
              <a16:creationId xmlns:a16="http://schemas.microsoft.com/office/drawing/2014/main" id="{B280C471-87C0-4C1D-AD2F-C4EE3F732E59}"/>
            </a:ext>
          </a:extLst>
        </xdr:cNvPr>
        <xdr:cNvSpPr txBox="1"/>
      </xdr:nvSpPr>
      <xdr:spPr>
        <a:xfrm>
          <a:off x="118852278" y="1158091"/>
          <a:ext cx="184717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274</xdr:col>
      <xdr:colOff>222250</xdr:colOff>
      <xdr:row>0</xdr:row>
      <xdr:rowOff>12700</xdr:rowOff>
    </xdr:from>
    <xdr:to>
      <xdr:col>274</xdr:col>
      <xdr:colOff>1041400</xdr:colOff>
      <xdr:row>0</xdr:row>
      <xdr:rowOff>819150</xdr:rowOff>
    </xdr:to>
    <xdr:pic>
      <xdr:nvPicPr>
        <xdr:cNvPr id="43720" name="Picture 77" descr="Description: Description: Image result for espire">
          <a:extLst>
            <a:ext uri="{FF2B5EF4-FFF2-40B4-BE49-F238E27FC236}">
              <a16:creationId xmlns:a16="http://schemas.microsoft.com/office/drawing/2014/main" id="{8FF5D812-8F76-472C-9401-93A0728E0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6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276</xdr:col>
      <xdr:colOff>1026160</xdr:colOff>
      <xdr:row>3</xdr:row>
      <xdr:rowOff>7620</xdr:rowOff>
    </xdr:from>
    <xdr:to>
      <xdr:col>277</xdr:col>
      <xdr:colOff>45466</xdr:colOff>
      <xdr:row>4</xdr:row>
      <xdr:rowOff>17145</xdr:rowOff>
    </xdr:to>
    <xdr:sp macro="" textlink="">
      <xdr:nvSpPr>
        <xdr:cNvPr id="43721" name="TextBox 43720">
          <a:extLst>
            <a:ext uri="{FF2B5EF4-FFF2-40B4-BE49-F238E27FC236}">
              <a16:creationId xmlns:a16="http://schemas.microsoft.com/office/drawing/2014/main" id="{CD3A53F0-9770-433E-B8AA-140645E963E8}"/>
            </a:ext>
          </a:extLst>
        </xdr:cNvPr>
        <xdr:cNvSpPr txBox="1"/>
      </xdr:nvSpPr>
      <xdr:spPr>
        <a:xfrm>
          <a:off x="125508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274</xdr:col>
      <xdr:colOff>222250</xdr:colOff>
      <xdr:row>0</xdr:row>
      <xdr:rowOff>12700</xdr:rowOff>
    </xdr:from>
    <xdr:to>
      <xdr:col>274</xdr:col>
      <xdr:colOff>1041400</xdr:colOff>
      <xdr:row>0</xdr:row>
      <xdr:rowOff>819150</xdr:rowOff>
    </xdr:to>
    <xdr:pic>
      <xdr:nvPicPr>
        <xdr:cNvPr id="43722" name="Picture 77" descr="Description: Description: Image result for espire">
          <a:extLst>
            <a:ext uri="{FF2B5EF4-FFF2-40B4-BE49-F238E27FC236}">
              <a16:creationId xmlns:a16="http://schemas.microsoft.com/office/drawing/2014/main" id="{136DBB11-DEF1-4085-ABBE-734C2A1C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6779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276</xdr:col>
      <xdr:colOff>1026160</xdr:colOff>
      <xdr:row>3</xdr:row>
      <xdr:rowOff>7620</xdr:rowOff>
    </xdr:from>
    <xdr:to>
      <xdr:col>277</xdr:col>
      <xdr:colOff>45466</xdr:colOff>
      <xdr:row>4</xdr:row>
      <xdr:rowOff>17145</xdr:rowOff>
    </xdr:to>
    <xdr:sp macro="" textlink="">
      <xdr:nvSpPr>
        <xdr:cNvPr id="43723" name="TextBox 43722">
          <a:extLst>
            <a:ext uri="{FF2B5EF4-FFF2-40B4-BE49-F238E27FC236}">
              <a16:creationId xmlns:a16="http://schemas.microsoft.com/office/drawing/2014/main" id="{7287ADC5-14E8-4A58-AA1F-F3B182A86D3C}"/>
            </a:ext>
          </a:extLst>
        </xdr:cNvPr>
        <xdr:cNvSpPr txBox="1"/>
      </xdr:nvSpPr>
      <xdr:spPr>
        <a:xfrm>
          <a:off x="125508572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283</xdr:col>
      <xdr:colOff>222250</xdr:colOff>
      <xdr:row>0</xdr:row>
      <xdr:rowOff>12700</xdr:rowOff>
    </xdr:from>
    <xdr:to>
      <xdr:col>283</xdr:col>
      <xdr:colOff>1041400</xdr:colOff>
      <xdr:row>0</xdr:row>
      <xdr:rowOff>819150</xdr:rowOff>
    </xdr:to>
    <xdr:pic>
      <xdr:nvPicPr>
        <xdr:cNvPr id="43724" name="Picture 77" descr="Description: Description: Image result for espire">
          <a:extLst>
            <a:ext uri="{FF2B5EF4-FFF2-40B4-BE49-F238E27FC236}">
              <a16:creationId xmlns:a16="http://schemas.microsoft.com/office/drawing/2014/main" id="{2CE8402A-B696-4DF8-9511-5FBC6C3A7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53074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285</xdr:col>
      <xdr:colOff>1026160</xdr:colOff>
      <xdr:row>3</xdr:row>
      <xdr:rowOff>7620</xdr:rowOff>
    </xdr:from>
    <xdr:to>
      <xdr:col>286</xdr:col>
      <xdr:colOff>45466</xdr:colOff>
      <xdr:row>4</xdr:row>
      <xdr:rowOff>17145</xdr:rowOff>
    </xdr:to>
    <xdr:sp macro="" textlink="">
      <xdr:nvSpPr>
        <xdr:cNvPr id="43725" name="TextBox 43724">
          <a:extLst>
            <a:ext uri="{FF2B5EF4-FFF2-40B4-BE49-F238E27FC236}">
              <a16:creationId xmlns:a16="http://schemas.microsoft.com/office/drawing/2014/main" id="{EFD6C076-EE24-4317-9ACA-167A2EB13F2D}"/>
            </a:ext>
          </a:extLst>
        </xdr:cNvPr>
        <xdr:cNvSpPr txBox="1"/>
      </xdr:nvSpPr>
      <xdr:spPr>
        <a:xfrm>
          <a:off x="132164866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283</xdr:col>
      <xdr:colOff>222250</xdr:colOff>
      <xdr:row>0</xdr:row>
      <xdr:rowOff>12700</xdr:rowOff>
    </xdr:from>
    <xdr:to>
      <xdr:col>283</xdr:col>
      <xdr:colOff>1041400</xdr:colOff>
      <xdr:row>0</xdr:row>
      <xdr:rowOff>819150</xdr:rowOff>
    </xdr:to>
    <xdr:pic>
      <xdr:nvPicPr>
        <xdr:cNvPr id="43726" name="Picture 77" descr="Description: Description: Image result for espire">
          <a:extLst>
            <a:ext uri="{FF2B5EF4-FFF2-40B4-BE49-F238E27FC236}">
              <a16:creationId xmlns:a16="http://schemas.microsoft.com/office/drawing/2014/main" id="{023AB4EB-525C-4BFE-BE87-586AF5588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53074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285</xdr:col>
      <xdr:colOff>1026160</xdr:colOff>
      <xdr:row>3</xdr:row>
      <xdr:rowOff>7620</xdr:rowOff>
    </xdr:from>
    <xdr:to>
      <xdr:col>286</xdr:col>
      <xdr:colOff>45466</xdr:colOff>
      <xdr:row>4</xdr:row>
      <xdr:rowOff>17145</xdr:rowOff>
    </xdr:to>
    <xdr:sp macro="" textlink="">
      <xdr:nvSpPr>
        <xdr:cNvPr id="43727" name="TextBox 43726">
          <a:extLst>
            <a:ext uri="{FF2B5EF4-FFF2-40B4-BE49-F238E27FC236}">
              <a16:creationId xmlns:a16="http://schemas.microsoft.com/office/drawing/2014/main" id="{470072B1-863D-4F60-91AF-C57335C6EDB4}"/>
            </a:ext>
          </a:extLst>
        </xdr:cNvPr>
        <xdr:cNvSpPr txBox="1"/>
      </xdr:nvSpPr>
      <xdr:spPr>
        <a:xfrm>
          <a:off x="132164866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292</xdr:col>
      <xdr:colOff>222250</xdr:colOff>
      <xdr:row>0</xdr:row>
      <xdr:rowOff>12700</xdr:rowOff>
    </xdr:from>
    <xdr:to>
      <xdr:col>292</xdr:col>
      <xdr:colOff>1041400</xdr:colOff>
      <xdr:row>0</xdr:row>
      <xdr:rowOff>819150</xdr:rowOff>
    </xdr:to>
    <xdr:pic>
      <xdr:nvPicPr>
        <xdr:cNvPr id="43728" name="Picture 77" descr="Description: Description: Image result for espire">
          <a:extLst>
            <a:ext uri="{FF2B5EF4-FFF2-40B4-BE49-F238E27FC236}">
              <a16:creationId xmlns:a16="http://schemas.microsoft.com/office/drawing/2014/main" id="{404231BB-12F7-4D95-998A-4FD693F0B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9368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294</xdr:col>
      <xdr:colOff>1026160</xdr:colOff>
      <xdr:row>3</xdr:row>
      <xdr:rowOff>7620</xdr:rowOff>
    </xdr:from>
    <xdr:to>
      <xdr:col>295</xdr:col>
      <xdr:colOff>45466</xdr:colOff>
      <xdr:row>4</xdr:row>
      <xdr:rowOff>17145</xdr:rowOff>
    </xdr:to>
    <xdr:sp macro="" textlink="">
      <xdr:nvSpPr>
        <xdr:cNvPr id="43729" name="TextBox 43728">
          <a:extLst>
            <a:ext uri="{FF2B5EF4-FFF2-40B4-BE49-F238E27FC236}">
              <a16:creationId xmlns:a16="http://schemas.microsoft.com/office/drawing/2014/main" id="{D0131838-F724-45B0-B33E-3105AEC88E7C}"/>
            </a:ext>
          </a:extLst>
        </xdr:cNvPr>
        <xdr:cNvSpPr txBox="1"/>
      </xdr:nvSpPr>
      <xdr:spPr>
        <a:xfrm>
          <a:off x="138821160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292</xdr:col>
      <xdr:colOff>222250</xdr:colOff>
      <xdr:row>0</xdr:row>
      <xdr:rowOff>12700</xdr:rowOff>
    </xdr:from>
    <xdr:to>
      <xdr:col>292</xdr:col>
      <xdr:colOff>1041400</xdr:colOff>
      <xdr:row>0</xdr:row>
      <xdr:rowOff>819150</xdr:rowOff>
    </xdr:to>
    <xdr:pic>
      <xdr:nvPicPr>
        <xdr:cNvPr id="43730" name="Picture 77" descr="Description: Description: Image result for espire">
          <a:extLst>
            <a:ext uri="{FF2B5EF4-FFF2-40B4-BE49-F238E27FC236}">
              <a16:creationId xmlns:a16="http://schemas.microsoft.com/office/drawing/2014/main" id="{138B5063-0FC8-4FE8-A85B-1AA9FE3D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9368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294</xdr:col>
      <xdr:colOff>1026160</xdr:colOff>
      <xdr:row>3</xdr:row>
      <xdr:rowOff>7620</xdr:rowOff>
    </xdr:from>
    <xdr:to>
      <xdr:col>295</xdr:col>
      <xdr:colOff>45466</xdr:colOff>
      <xdr:row>4</xdr:row>
      <xdr:rowOff>17145</xdr:rowOff>
    </xdr:to>
    <xdr:sp macro="" textlink="">
      <xdr:nvSpPr>
        <xdr:cNvPr id="43731" name="TextBox 43730">
          <a:extLst>
            <a:ext uri="{FF2B5EF4-FFF2-40B4-BE49-F238E27FC236}">
              <a16:creationId xmlns:a16="http://schemas.microsoft.com/office/drawing/2014/main" id="{AF40C066-550B-4DAE-9FDA-11FA1D5FD910}"/>
            </a:ext>
          </a:extLst>
        </xdr:cNvPr>
        <xdr:cNvSpPr txBox="1"/>
      </xdr:nvSpPr>
      <xdr:spPr>
        <a:xfrm>
          <a:off x="138821160" y="1158091"/>
          <a:ext cx="184718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123</xdr:col>
      <xdr:colOff>1108341</xdr:colOff>
      <xdr:row>2</xdr:row>
      <xdr:rowOff>60769</xdr:rowOff>
    </xdr:from>
    <xdr:to>
      <xdr:col>124</xdr:col>
      <xdr:colOff>127647</xdr:colOff>
      <xdr:row>3</xdr:row>
      <xdr:rowOff>152470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05454B9-9DF8-492D-94E0-8CBBD161CF54}"/>
            </a:ext>
          </a:extLst>
        </xdr:cNvPr>
        <xdr:cNvSpPr txBox="1"/>
      </xdr:nvSpPr>
      <xdr:spPr>
        <a:xfrm>
          <a:off x="19949165" y="1136534"/>
          <a:ext cx="603070" cy="166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132</xdr:col>
      <xdr:colOff>1026160</xdr:colOff>
      <xdr:row>3</xdr:row>
      <xdr:rowOff>7620</xdr:rowOff>
    </xdr:from>
    <xdr:to>
      <xdr:col>133</xdr:col>
      <xdr:colOff>45466</xdr:colOff>
      <xdr:row>4</xdr:row>
      <xdr:rowOff>17145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F4883EA-32F1-4E59-A6B4-6F15EB2D5AAE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132</xdr:col>
      <xdr:colOff>1026160</xdr:colOff>
      <xdr:row>3</xdr:row>
      <xdr:rowOff>7620</xdr:rowOff>
    </xdr:from>
    <xdr:to>
      <xdr:col>133</xdr:col>
      <xdr:colOff>45466</xdr:colOff>
      <xdr:row>4</xdr:row>
      <xdr:rowOff>17145</xdr:rowOff>
    </xdr:to>
    <xdr:sp macro="" textlink="">
      <xdr:nvSpPr>
        <xdr:cNvPr id="43716" name="TextBox 43715">
          <a:extLst>
            <a:ext uri="{FF2B5EF4-FFF2-40B4-BE49-F238E27FC236}">
              <a16:creationId xmlns:a16="http://schemas.microsoft.com/office/drawing/2014/main" id="{BF1BD29C-0B46-4DA2-BEB0-6DC93D9C8F36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177</xdr:col>
      <xdr:colOff>1026160</xdr:colOff>
      <xdr:row>3</xdr:row>
      <xdr:rowOff>7620</xdr:rowOff>
    </xdr:from>
    <xdr:to>
      <xdr:col>178</xdr:col>
      <xdr:colOff>45466</xdr:colOff>
      <xdr:row>4</xdr:row>
      <xdr:rowOff>17145</xdr:rowOff>
    </xdr:to>
    <xdr:sp macro="" textlink="">
      <xdr:nvSpPr>
        <xdr:cNvPr id="43737" name="TextBox 43736">
          <a:extLst>
            <a:ext uri="{FF2B5EF4-FFF2-40B4-BE49-F238E27FC236}">
              <a16:creationId xmlns:a16="http://schemas.microsoft.com/office/drawing/2014/main" id="{0256997B-1100-4DCC-AA7A-913A30646AAA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177</xdr:col>
      <xdr:colOff>1026160</xdr:colOff>
      <xdr:row>3</xdr:row>
      <xdr:rowOff>7620</xdr:rowOff>
    </xdr:from>
    <xdr:to>
      <xdr:col>178</xdr:col>
      <xdr:colOff>45466</xdr:colOff>
      <xdr:row>4</xdr:row>
      <xdr:rowOff>17145</xdr:rowOff>
    </xdr:to>
    <xdr:sp macro="" textlink="">
      <xdr:nvSpPr>
        <xdr:cNvPr id="43738" name="TextBox 43737">
          <a:extLst>
            <a:ext uri="{FF2B5EF4-FFF2-40B4-BE49-F238E27FC236}">
              <a16:creationId xmlns:a16="http://schemas.microsoft.com/office/drawing/2014/main" id="{6160814D-C115-4A8F-A8DE-9EFB5032B34E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195</xdr:col>
      <xdr:colOff>1026160</xdr:colOff>
      <xdr:row>3</xdr:row>
      <xdr:rowOff>7620</xdr:rowOff>
    </xdr:from>
    <xdr:to>
      <xdr:col>196</xdr:col>
      <xdr:colOff>45466</xdr:colOff>
      <xdr:row>4</xdr:row>
      <xdr:rowOff>17145</xdr:rowOff>
    </xdr:to>
    <xdr:sp macro="" textlink="">
      <xdr:nvSpPr>
        <xdr:cNvPr id="43739" name="TextBox 43738">
          <a:extLst>
            <a:ext uri="{FF2B5EF4-FFF2-40B4-BE49-F238E27FC236}">
              <a16:creationId xmlns:a16="http://schemas.microsoft.com/office/drawing/2014/main" id="{C34858D8-4A15-463D-94E7-DCED093033A6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195</xdr:col>
      <xdr:colOff>1026160</xdr:colOff>
      <xdr:row>3</xdr:row>
      <xdr:rowOff>7620</xdr:rowOff>
    </xdr:from>
    <xdr:to>
      <xdr:col>196</xdr:col>
      <xdr:colOff>45466</xdr:colOff>
      <xdr:row>4</xdr:row>
      <xdr:rowOff>17145</xdr:rowOff>
    </xdr:to>
    <xdr:sp macro="" textlink="">
      <xdr:nvSpPr>
        <xdr:cNvPr id="43740" name="TextBox 43739">
          <a:extLst>
            <a:ext uri="{FF2B5EF4-FFF2-40B4-BE49-F238E27FC236}">
              <a16:creationId xmlns:a16="http://schemas.microsoft.com/office/drawing/2014/main" id="{5A82E426-CB83-4091-8D50-E3C7037D676E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204</xdr:col>
      <xdr:colOff>1026160</xdr:colOff>
      <xdr:row>3</xdr:row>
      <xdr:rowOff>7620</xdr:rowOff>
    </xdr:from>
    <xdr:to>
      <xdr:col>205</xdr:col>
      <xdr:colOff>45466</xdr:colOff>
      <xdr:row>4</xdr:row>
      <xdr:rowOff>17145</xdr:rowOff>
    </xdr:to>
    <xdr:sp macro="" textlink="">
      <xdr:nvSpPr>
        <xdr:cNvPr id="43741" name="TextBox 43740">
          <a:extLst>
            <a:ext uri="{FF2B5EF4-FFF2-40B4-BE49-F238E27FC236}">
              <a16:creationId xmlns:a16="http://schemas.microsoft.com/office/drawing/2014/main" id="{149BFB8A-3BA7-46B3-9FC5-1E70C898B409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204</xdr:col>
      <xdr:colOff>1026160</xdr:colOff>
      <xdr:row>3</xdr:row>
      <xdr:rowOff>7620</xdr:rowOff>
    </xdr:from>
    <xdr:to>
      <xdr:col>205</xdr:col>
      <xdr:colOff>45466</xdr:colOff>
      <xdr:row>4</xdr:row>
      <xdr:rowOff>17145</xdr:rowOff>
    </xdr:to>
    <xdr:sp macro="" textlink="">
      <xdr:nvSpPr>
        <xdr:cNvPr id="43742" name="TextBox 43741">
          <a:extLst>
            <a:ext uri="{FF2B5EF4-FFF2-40B4-BE49-F238E27FC236}">
              <a16:creationId xmlns:a16="http://schemas.microsoft.com/office/drawing/2014/main" id="{40D4BBEE-05DB-4C33-94B2-8367EAEF4A55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213</xdr:col>
      <xdr:colOff>1026160</xdr:colOff>
      <xdr:row>3</xdr:row>
      <xdr:rowOff>7620</xdr:rowOff>
    </xdr:from>
    <xdr:to>
      <xdr:col>214</xdr:col>
      <xdr:colOff>45466</xdr:colOff>
      <xdr:row>4</xdr:row>
      <xdr:rowOff>17145</xdr:rowOff>
    </xdr:to>
    <xdr:sp macro="" textlink="">
      <xdr:nvSpPr>
        <xdr:cNvPr id="43743" name="TextBox 43742">
          <a:extLst>
            <a:ext uri="{FF2B5EF4-FFF2-40B4-BE49-F238E27FC236}">
              <a16:creationId xmlns:a16="http://schemas.microsoft.com/office/drawing/2014/main" id="{4956B933-2042-4D27-8857-FAC080C61BD5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213</xdr:col>
      <xdr:colOff>1026160</xdr:colOff>
      <xdr:row>3</xdr:row>
      <xdr:rowOff>7620</xdr:rowOff>
    </xdr:from>
    <xdr:to>
      <xdr:col>214</xdr:col>
      <xdr:colOff>45466</xdr:colOff>
      <xdr:row>4</xdr:row>
      <xdr:rowOff>17145</xdr:rowOff>
    </xdr:to>
    <xdr:sp macro="" textlink="">
      <xdr:nvSpPr>
        <xdr:cNvPr id="43744" name="TextBox 43743">
          <a:extLst>
            <a:ext uri="{FF2B5EF4-FFF2-40B4-BE49-F238E27FC236}">
              <a16:creationId xmlns:a16="http://schemas.microsoft.com/office/drawing/2014/main" id="{330EA68B-3AA8-4421-BE02-36F1EB4C82CC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222</xdr:col>
      <xdr:colOff>1026160</xdr:colOff>
      <xdr:row>3</xdr:row>
      <xdr:rowOff>7620</xdr:rowOff>
    </xdr:from>
    <xdr:to>
      <xdr:col>223</xdr:col>
      <xdr:colOff>45466</xdr:colOff>
      <xdr:row>4</xdr:row>
      <xdr:rowOff>17145</xdr:rowOff>
    </xdr:to>
    <xdr:sp macro="" textlink="">
      <xdr:nvSpPr>
        <xdr:cNvPr id="43745" name="TextBox 43744">
          <a:extLst>
            <a:ext uri="{FF2B5EF4-FFF2-40B4-BE49-F238E27FC236}">
              <a16:creationId xmlns:a16="http://schemas.microsoft.com/office/drawing/2014/main" id="{2FA493A1-5092-4CAB-AF01-90C7433719D6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222</xdr:col>
      <xdr:colOff>1026160</xdr:colOff>
      <xdr:row>3</xdr:row>
      <xdr:rowOff>7620</xdr:rowOff>
    </xdr:from>
    <xdr:to>
      <xdr:col>223</xdr:col>
      <xdr:colOff>45466</xdr:colOff>
      <xdr:row>4</xdr:row>
      <xdr:rowOff>17145</xdr:rowOff>
    </xdr:to>
    <xdr:sp macro="" textlink="">
      <xdr:nvSpPr>
        <xdr:cNvPr id="43746" name="TextBox 43745">
          <a:extLst>
            <a:ext uri="{FF2B5EF4-FFF2-40B4-BE49-F238E27FC236}">
              <a16:creationId xmlns:a16="http://schemas.microsoft.com/office/drawing/2014/main" id="{DD7AC524-611F-45CB-B204-420633E10F00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231</xdr:col>
      <xdr:colOff>1026160</xdr:colOff>
      <xdr:row>3</xdr:row>
      <xdr:rowOff>7620</xdr:rowOff>
    </xdr:from>
    <xdr:to>
      <xdr:col>232</xdr:col>
      <xdr:colOff>45466</xdr:colOff>
      <xdr:row>4</xdr:row>
      <xdr:rowOff>17145</xdr:rowOff>
    </xdr:to>
    <xdr:sp macro="" textlink="">
      <xdr:nvSpPr>
        <xdr:cNvPr id="43747" name="TextBox 43746">
          <a:extLst>
            <a:ext uri="{FF2B5EF4-FFF2-40B4-BE49-F238E27FC236}">
              <a16:creationId xmlns:a16="http://schemas.microsoft.com/office/drawing/2014/main" id="{4756329A-68B2-4932-BF51-766AFC74A356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231</xdr:col>
      <xdr:colOff>1026160</xdr:colOff>
      <xdr:row>3</xdr:row>
      <xdr:rowOff>7620</xdr:rowOff>
    </xdr:from>
    <xdr:to>
      <xdr:col>232</xdr:col>
      <xdr:colOff>45466</xdr:colOff>
      <xdr:row>4</xdr:row>
      <xdr:rowOff>17145</xdr:rowOff>
    </xdr:to>
    <xdr:sp macro="" textlink="">
      <xdr:nvSpPr>
        <xdr:cNvPr id="43748" name="TextBox 43747">
          <a:extLst>
            <a:ext uri="{FF2B5EF4-FFF2-40B4-BE49-F238E27FC236}">
              <a16:creationId xmlns:a16="http://schemas.microsoft.com/office/drawing/2014/main" id="{33F6DFBE-4873-4ECD-841A-E8A52EF44EA3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43749" name="TextBox 43748">
          <a:extLst>
            <a:ext uri="{FF2B5EF4-FFF2-40B4-BE49-F238E27FC236}">
              <a16:creationId xmlns:a16="http://schemas.microsoft.com/office/drawing/2014/main" id="{8AD9C60D-5883-476E-9B7D-8B167919129D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43750" name="TextBox 43749">
          <a:extLst>
            <a:ext uri="{FF2B5EF4-FFF2-40B4-BE49-F238E27FC236}">
              <a16:creationId xmlns:a16="http://schemas.microsoft.com/office/drawing/2014/main" id="{5CF961CD-F7AD-4CFA-9FD7-F26523DE5A51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249</xdr:col>
      <xdr:colOff>1026160</xdr:colOff>
      <xdr:row>3</xdr:row>
      <xdr:rowOff>7620</xdr:rowOff>
    </xdr:from>
    <xdr:to>
      <xdr:col>250</xdr:col>
      <xdr:colOff>45466</xdr:colOff>
      <xdr:row>4</xdr:row>
      <xdr:rowOff>17145</xdr:rowOff>
    </xdr:to>
    <xdr:sp macro="" textlink="">
      <xdr:nvSpPr>
        <xdr:cNvPr id="43751" name="TextBox 43750">
          <a:extLst>
            <a:ext uri="{FF2B5EF4-FFF2-40B4-BE49-F238E27FC236}">
              <a16:creationId xmlns:a16="http://schemas.microsoft.com/office/drawing/2014/main" id="{55C8F6B8-A5B0-45C2-8F68-DB8DF774EED0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249</xdr:col>
      <xdr:colOff>1026160</xdr:colOff>
      <xdr:row>3</xdr:row>
      <xdr:rowOff>7620</xdr:rowOff>
    </xdr:from>
    <xdr:to>
      <xdr:col>250</xdr:col>
      <xdr:colOff>45466</xdr:colOff>
      <xdr:row>4</xdr:row>
      <xdr:rowOff>17145</xdr:rowOff>
    </xdr:to>
    <xdr:sp macro="" textlink="">
      <xdr:nvSpPr>
        <xdr:cNvPr id="43752" name="TextBox 43751">
          <a:extLst>
            <a:ext uri="{FF2B5EF4-FFF2-40B4-BE49-F238E27FC236}">
              <a16:creationId xmlns:a16="http://schemas.microsoft.com/office/drawing/2014/main" id="{F06864C1-CBC4-410E-9ACB-8B5F093AE4D9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258</xdr:col>
      <xdr:colOff>1026160</xdr:colOff>
      <xdr:row>3</xdr:row>
      <xdr:rowOff>7620</xdr:rowOff>
    </xdr:from>
    <xdr:to>
      <xdr:col>259</xdr:col>
      <xdr:colOff>45466</xdr:colOff>
      <xdr:row>4</xdr:row>
      <xdr:rowOff>17145</xdr:rowOff>
    </xdr:to>
    <xdr:sp macro="" textlink="">
      <xdr:nvSpPr>
        <xdr:cNvPr id="43753" name="TextBox 43752">
          <a:extLst>
            <a:ext uri="{FF2B5EF4-FFF2-40B4-BE49-F238E27FC236}">
              <a16:creationId xmlns:a16="http://schemas.microsoft.com/office/drawing/2014/main" id="{927BE020-ACB2-45A0-8961-FF58D025A21B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258</xdr:col>
      <xdr:colOff>1026160</xdr:colOff>
      <xdr:row>3</xdr:row>
      <xdr:rowOff>7620</xdr:rowOff>
    </xdr:from>
    <xdr:to>
      <xdr:col>259</xdr:col>
      <xdr:colOff>45466</xdr:colOff>
      <xdr:row>4</xdr:row>
      <xdr:rowOff>17145</xdr:rowOff>
    </xdr:to>
    <xdr:sp macro="" textlink="">
      <xdr:nvSpPr>
        <xdr:cNvPr id="43754" name="TextBox 43753">
          <a:extLst>
            <a:ext uri="{FF2B5EF4-FFF2-40B4-BE49-F238E27FC236}">
              <a16:creationId xmlns:a16="http://schemas.microsoft.com/office/drawing/2014/main" id="{5B4696E7-B847-47DA-83FC-14F42C3FB92B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267</xdr:col>
      <xdr:colOff>1026160</xdr:colOff>
      <xdr:row>3</xdr:row>
      <xdr:rowOff>7620</xdr:rowOff>
    </xdr:from>
    <xdr:to>
      <xdr:col>268</xdr:col>
      <xdr:colOff>45466</xdr:colOff>
      <xdr:row>4</xdr:row>
      <xdr:rowOff>17145</xdr:rowOff>
    </xdr:to>
    <xdr:sp macro="" textlink="">
      <xdr:nvSpPr>
        <xdr:cNvPr id="43755" name="TextBox 43754">
          <a:extLst>
            <a:ext uri="{FF2B5EF4-FFF2-40B4-BE49-F238E27FC236}">
              <a16:creationId xmlns:a16="http://schemas.microsoft.com/office/drawing/2014/main" id="{B18BBDCB-7453-4AA7-A875-0D7A5EB0B30E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267</xdr:col>
      <xdr:colOff>1026160</xdr:colOff>
      <xdr:row>3</xdr:row>
      <xdr:rowOff>7620</xdr:rowOff>
    </xdr:from>
    <xdr:to>
      <xdr:col>268</xdr:col>
      <xdr:colOff>45466</xdr:colOff>
      <xdr:row>4</xdr:row>
      <xdr:rowOff>17145</xdr:rowOff>
    </xdr:to>
    <xdr:sp macro="" textlink="">
      <xdr:nvSpPr>
        <xdr:cNvPr id="43756" name="TextBox 43755">
          <a:extLst>
            <a:ext uri="{FF2B5EF4-FFF2-40B4-BE49-F238E27FC236}">
              <a16:creationId xmlns:a16="http://schemas.microsoft.com/office/drawing/2014/main" id="{B6268E39-6E68-4095-9359-A00D518244BF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276</xdr:col>
      <xdr:colOff>1026160</xdr:colOff>
      <xdr:row>3</xdr:row>
      <xdr:rowOff>7620</xdr:rowOff>
    </xdr:from>
    <xdr:to>
      <xdr:col>277</xdr:col>
      <xdr:colOff>45466</xdr:colOff>
      <xdr:row>4</xdr:row>
      <xdr:rowOff>17145</xdr:rowOff>
    </xdr:to>
    <xdr:sp macro="" textlink="">
      <xdr:nvSpPr>
        <xdr:cNvPr id="43767" name="TextBox 43766">
          <a:extLst>
            <a:ext uri="{FF2B5EF4-FFF2-40B4-BE49-F238E27FC236}">
              <a16:creationId xmlns:a16="http://schemas.microsoft.com/office/drawing/2014/main" id="{76124E75-B10B-4B13-BE98-4A355E36B805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276</xdr:col>
      <xdr:colOff>1026160</xdr:colOff>
      <xdr:row>3</xdr:row>
      <xdr:rowOff>7620</xdr:rowOff>
    </xdr:from>
    <xdr:to>
      <xdr:col>277</xdr:col>
      <xdr:colOff>45466</xdr:colOff>
      <xdr:row>4</xdr:row>
      <xdr:rowOff>17145</xdr:rowOff>
    </xdr:to>
    <xdr:sp macro="" textlink="">
      <xdr:nvSpPr>
        <xdr:cNvPr id="43768" name="TextBox 43767">
          <a:extLst>
            <a:ext uri="{FF2B5EF4-FFF2-40B4-BE49-F238E27FC236}">
              <a16:creationId xmlns:a16="http://schemas.microsoft.com/office/drawing/2014/main" id="{3CA4CA3C-A62F-456D-92B0-B87B7A270C83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285</xdr:col>
      <xdr:colOff>1026160</xdr:colOff>
      <xdr:row>3</xdr:row>
      <xdr:rowOff>7620</xdr:rowOff>
    </xdr:from>
    <xdr:to>
      <xdr:col>286</xdr:col>
      <xdr:colOff>45466</xdr:colOff>
      <xdr:row>4</xdr:row>
      <xdr:rowOff>17145</xdr:rowOff>
    </xdr:to>
    <xdr:sp macro="" textlink="">
      <xdr:nvSpPr>
        <xdr:cNvPr id="43769" name="TextBox 43768">
          <a:extLst>
            <a:ext uri="{FF2B5EF4-FFF2-40B4-BE49-F238E27FC236}">
              <a16:creationId xmlns:a16="http://schemas.microsoft.com/office/drawing/2014/main" id="{9C71B573-A613-4232-961F-5224D3402DD3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285</xdr:col>
      <xdr:colOff>1026160</xdr:colOff>
      <xdr:row>3</xdr:row>
      <xdr:rowOff>7620</xdr:rowOff>
    </xdr:from>
    <xdr:to>
      <xdr:col>286</xdr:col>
      <xdr:colOff>45466</xdr:colOff>
      <xdr:row>4</xdr:row>
      <xdr:rowOff>17145</xdr:rowOff>
    </xdr:to>
    <xdr:sp macro="" textlink="">
      <xdr:nvSpPr>
        <xdr:cNvPr id="43771" name="TextBox 43770">
          <a:extLst>
            <a:ext uri="{FF2B5EF4-FFF2-40B4-BE49-F238E27FC236}">
              <a16:creationId xmlns:a16="http://schemas.microsoft.com/office/drawing/2014/main" id="{2F492D0D-3368-4F5E-B862-01B8F4D6A863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294</xdr:col>
      <xdr:colOff>1026160</xdr:colOff>
      <xdr:row>3</xdr:row>
      <xdr:rowOff>7620</xdr:rowOff>
    </xdr:from>
    <xdr:to>
      <xdr:col>295</xdr:col>
      <xdr:colOff>45466</xdr:colOff>
      <xdr:row>4</xdr:row>
      <xdr:rowOff>17145</xdr:rowOff>
    </xdr:to>
    <xdr:sp macro="" textlink="">
      <xdr:nvSpPr>
        <xdr:cNvPr id="43773" name="TextBox 43772">
          <a:extLst>
            <a:ext uri="{FF2B5EF4-FFF2-40B4-BE49-F238E27FC236}">
              <a16:creationId xmlns:a16="http://schemas.microsoft.com/office/drawing/2014/main" id="{F2B9C5A4-6FB0-4EEF-80EF-AF2E698868FA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294</xdr:col>
      <xdr:colOff>1026160</xdr:colOff>
      <xdr:row>3</xdr:row>
      <xdr:rowOff>7620</xdr:rowOff>
    </xdr:from>
    <xdr:to>
      <xdr:col>295</xdr:col>
      <xdr:colOff>45466</xdr:colOff>
      <xdr:row>4</xdr:row>
      <xdr:rowOff>17145</xdr:rowOff>
    </xdr:to>
    <xdr:sp macro="" textlink="">
      <xdr:nvSpPr>
        <xdr:cNvPr id="43775" name="TextBox 43774">
          <a:extLst>
            <a:ext uri="{FF2B5EF4-FFF2-40B4-BE49-F238E27FC236}">
              <a16:creationId xmlns:a16="http://schemas.microsoft.com/office/drawing/2014/main" id="{6AFBD87A-01DB-4F36-861C-A5B4F34FCED1}"/>
            </a:ext>
          </a:extLst>
        </xdr:cNvPr>
        <xdr:cNvSpPr txBox="1"/>
      </xdr:nvSpPr>
      <xdr:spPr>
        <a:xfrm>
          <a:off x="12164530" y="1155324"/>
          <a:ext cx="157603" cy="169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6B4617-8BD1-44A2-8CB3-A94732D2EF66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B0CE2-2497-4A4D-9169-85BC27E235F5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DBA07FD-0FF1-4999-8DF9-FE839A9F0E93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F4AF36-60AF-4777-875D-81DB5BDDBDCF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554A64A-FFF2-4F37-AF06-CF7C3C5FEA4D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5E8741A-51BA-4475-B24E-8D988BAAFC4D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C675C1-5E02-497C-BB01-04103DE4B711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240</xdr:col>
      <xdr:colOff>1026160</xdr:colOff>
      <xdr:row>3</xdr:row>
      <xdr:rowOff>7620</xdr:rowOff>
    </xdr:from>
    <xdr:to>
      <xdr:col>241</xdr:col>
      <xdr:colOff>45466</xdr:colOff>
      <xdr:row>4</xdr:row>
      <xdr:rowOff>17145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32A6678-8720-41FE-A1B7-B6FD9610D180}"/>
            </a:ext>
          </a:extLst>
        </xdr:cNvPr>
        <xdr:cNvSpPr txBox="1"/>
      </xdr:nvSpPr>
      <xdr:spPr>
        <a:xfrm>
          <a:off x="97293603" y="1154950"/>
          <a:ext cx="173852" cy="16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7</xdr:row>
      <xdr:rowOff>63500</xdr:rowOff>
    </xdr:from>
    <xdr:to>
      <xdr:col>11</xdr:col>
      <xdr:colOff>457200</xdr:colOff>
      <xdr:row>27</xdr:row>
      <xdr:rowOff>95250</xdr:rowOff>
    </xdr:to>
    <xdr:pic>
      <xdr:nvPicPr>
        <xdr:cNvPr id="10436" name="Picture 1">
          <a:extLst>
            <a:ext uri="{FF2B5EF4-FFF2-40B4-BE49-F238E27FC236}">
              <a16:creationId xmlns:a16="http://schemas.microsoft.com/office/drawing/2014/main" id="{EED99B17-D64C-07C5-103B-6F020634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352550"/>
          <a:ext cx="749935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covisfintax-my.sharepoint.com/personal/admin_ecovisfintax_onmicrosoft_com/Documents/AccountingEcovis_DataOnedrive/CLIENT/ESPIRE%20INFOLABS%20INC/Year%202026/BIR%20Forms/Espire%20l%20FY%20March%202026%20l%20Annualization%20as%20of%20December%202025%20v.%20BYD/Espire%20l%20Annualization%202025%20l%20v.Liezel.xlsx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6/BIR%20Forms/Espire%20l%20FY%20March%202026%20l%20Annualization%20as%20of%20December%202025%20v.%20BYD/Espire%20l%20Annualization%202025%20l%20v.Liezel.xlsx?3CDFFAA8" TargetMode="External"/><Relationship Id="rId1" Type="http://schemas.openxmlformats.org/officeDocument/2006/relationships/externalLinkPath" Target="file:///\\3CDFFAA8\Espire%20l%20Annualization%202025%20l%20v.Liez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marks"/>
      <sheetName val="Haguimit"/>
      <sheetName val="Cazar"/>
      <sheetName val="Viray"/>
      <sheetName val="Fajarito"/>
      <sheetName val="Dy"/>
      <sheetName val="Marquez"/>
      <sheetName val="Carreon"/>
      <sheetName val="Colongan"/>
      <sheetName val="Labradores"/>
      <sheetName val="Enguero"/>
      <sheetName val="Penaranda"/>
      <sheetName val="Cabante"/>
      <sheetName val="Zamora"/>
      <sheetName val="Frias"/>
      <sheetName val="Belarma"/>
      <sheetName val="Virtudes"/>
      <sheetName val="Bautista"/>
      <sheetName val="Angeles"/>
      <sheetName val="Morante"/>
      <sheetName val="Lindo"/>
      <sheetName val="Silva"/>
      <sheetName val="Arias"/>
      <sheetName val="Espino"/>
      <sheetName val="Austria"/>
      <sheetName val="Cruz"/>
      <sheetName val="Magnaye"/>
    </sheetNames>
    <sheetDataSet>
      <sheetData sheetId="0"/>
      <sheetData sheetId="1">
        <row r="44">
          <cell r="D44">
            <v>-6.8965516402386129E-4</v>
          </cell>
        </row>
      </sheetData>
      <sheetData sheetId="2"/>
      <sheetData sheetId="3">
        <row r="44">
          <cell r="D44">
            <v>-3.7931034748908132E-3</v>
          </cell>
        </row>
      </sheetData>
      <sheetData sheetId="4"/>
      <sheetData sheetId="5">
        <row r="44">
          <cell r="D44">
            <v>3.7931034530629404E-3</v>
          </cell>
        </row>
      </sheetData>
      <sheetData sheetId="6">
        <row r="44">
          <cell r="D44">
            <v>0</v>
          </cell>
        </row>
      </sheetData>
      <sheetData sheetId="7">
        <row r="44">
          <cell r="D44">
            <v>0</v>
          </cell>
        </row>
      </sheetData>
      <sheetData sheetId="8">
        <row r="44">
          <cell r="D44">
            <v>-4333.3365517241273</v>
          </cell>
        </row>
      </sheetData>
      <sheetData sheetId="9">
        <row r="44">
          <cell r="D44">
            <v>4.942528743413277E-3</v>
          </cell>
        </row>
      </sheetData>
      <sheetData sheetId="10"/>
      <sheetData sheetId="11">
        <row r="44">
          <cell r="D44">
            <v>0</v>
          </cell>
        </row>
      </sheetData>
      <sheetData sheetId="12">
        <row r="44">
          <cell r="D44">
            <v>4.2816090863198042E-3</v>
          </cell>
        </row>
      </sheetData>
      <sheetData sheetId="13">
        <row r="44">
          <cell r="D44">
            <v>-2.2413793103623902E-3</v>
          </cell>
        </row>
      </sheetData>
      <sheetData sheetId="14"/>
      <sheetData sheetId="15">
        <row r="44">
          <cell r="D44">
            <v>1.5517241372435819E-3</v>
          </cell>
        </row>
      </sheetData>
      <sheetData sheetId="16">
        <row r="44">
          <cell r="D44">
            <v>0</v>
          </cell>
        </row>
      </sheetData>
      <sheetData sheetId="17">
        <row r="44">
          <cell r="D44">
            <v>-2.2988506534602493E-3</v>
          </cell>
        </row>
      </sheetData>
      <sheetData sheetId="18">
        <row r="44">
          <cell r="D44">
            <v>-6.8965517675678711E-4</v>
          </cell>
        </row>
      </sheetData>
      <sheetData sheetId="19">
        <row r="44">
          <cell r="D44">
            <v>2.2988504497334361E-4</v>
          </cell>
        </row>
      </sheetData>
      <sheetData sheetId="20">
        <row r="44">
          <cell r="D44">
            <v>9750.9511877396144</v>
          </cell>
        </row>
      </sheetData>
      <sheetData sheetId="21">
        <row r="44">
          <cell r="D44">
            <v>-3.5862069107679417E-3</v>
          </cell>
        </row>
      </sheetData>
      <sheetData sheetId="22"/>
      <sheetData sheetId="23">
        <row r="44">
          <cell r="D44">
            <v>-2.2988505907051149E-4</v>
          </cell>
        </row>
      </sheetData>
      <sheetData sheetId="24">
        <row r="44">
          <cell r="D44">
            <v>-1.7471264873165637E-3</v>
          </cell>
        </row>
      </sheetData>
      <sheetData sheetId="25">
        <row r="44">
          <cell r="D44">
            <v>2.8965517237793392E-3</v>
          </cell>
        </row>
      </sheetData>
      <sheetData sheetId="26"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iralyn.belarma@espire.com" TargetMode="External"/><Relationship Id="rId13" Type="http://schemas.openxmlformats.org/officeDocument/2006/relationships/hyperlink" Target="mailto:nathaniel.lindo@espire.com" TargetMode="External"/><Relationship Id="rId18" Type="http://schemas.openxmlformats.org/officeDocument/2006/relationships/hyperlink" Target="mailto:nealle.magnaye@espire.com" TargetMode="External"/><Relationship Id="rId3" Type="http://schemas.openxmlformats.org/officeDocument/2006/relationships/hyperlink" Target="mailto:james.colongan@espire.com'" TargetMode="External"/><Relationship Id="rId21" Type="http://schemas.openxmlformats.org/officeDocument/2006/relationships/comments" Target="../comments1.xml"/><Relationship Id="rId7" Type="http://schemas.openxmlformats.org/officeDocument/2006/relationships/hyperlink" Target="mailto:jodie.zamora@espire.com" TargetMode="External"/><Relationship Id="rId12" Type="http://schemas.openxmlformats.org/officeDocument/2006/relationships/hyperlink" Target="mailto:james.morante@espire.com" TargetMode="External"/><Relationship Id="rId17" Type="http://schemas.openxmlformats.org/officeDocument/2006/relationships/hyperlink" Target="mailto:gustav.cruz@espire.com" TargetMode="External"/><Relationship Id="rId2" Type="http://schemas.openxmlformats.org/officeDocument/2006/relationships/hyperlink" Target="mailto:mark.marquez@espire.com" TargetMode="External"/><Relationship Id="rId16" Type="http://schemas.openxmlformats.org/officeDocument/2006/relationships/hyperlink" Target="mailto:paul.austria@espire.com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mailto:Espire@1234" TargetMode="External"/><Relationship Id="rId6" Type="http://schemas.openxmlformats.org/officeDocument/2006/relationships/hyperlink" Target="mailto:jonathan.cabante@espire.com" TargetMode="External"/><Relationship Id="rId11" Type="http://schemas.openxmlformats.org/officeDocument/2006/relationships/hyperlink" Target="mailto:Alvin.Angeles@espire.com" TargetMode="External"/><Relationship Id="rId5" Type="http://schemas.openxmlformats.org/officeDocument/2006/relationships/hyperlink" Target="mailto:shiervonn.penaranda@espire.com" TargetMode="External"/><Relationship Id="rId15" Type="http://schemas.openxmlformats.org/officeDocument/2006/relationships/hyperlink" Target="mailto:john.espino@espire.com" TargetMode="External"/><Relationship Id="rId10" Type="http://schemas.openxmlformats.org/officeDocument/2006/relationships/hyperlink" Target="mailto:adelfos.bautista@espire.com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mailto:kricia.labradores@espire.com" TargetMode="External"/><Relationship Id="rId9" Type="http://schemas.openxmlformats.org/officeDocument/2006/relationships/hyperlink" Target="mailto:pauljohan.virtudes@espire.com" TargetMode="External"/><Relationship Id="rId14" Type="http://schemas.openxmlformats.org/officeDocument/2006/relationships/hyperlink" Target="mailto:maria.silva@espir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F44A-E542-4442-8C96-4C8340A53F3A}">
  <sheetPr codeName="Sheet3">
    <tabColor theme="5" tint="0.59999389629810485"/>
    <pageSetUpPr fitToPage="1"/>
  </sheetPr>
  <dimension ref="A1:BA53"/>
  <sheetViews>
    <sheetView topLeftCell="S4" zoomScale="70" zoomScaleNormal="70" zoomScaleSheetLayoutView="80" workbookViewId="0">
      <selection activeCell="N38" sqref="N38"/>
    </sheetView>
  </sheetViews>
  <sheetFormatPr defaultColWidth="9.42578125" defaultRowHeight="14.45" outlineLevelCol="1"/>
  <cols>
    <col min="1" max="1" width="4.5703125" style="116" customWidth="1"/>
    <col min="2" max="2" width="0.5703125" style="116" customWidth="1"/>
    <col min="3" max="3" width="27.5703125" style="116" bestFit="1" customWidth="1"/>
    <col min="4" max="4" width="18.42578125" style="116" customWidth="1"/>
    <col min="5" max="5" width="25.85546875" style="116" customWidth="1"/>
    <col min="6" max="6" width="9.5703125" style="116" customWidth="1" outlineLevel="1"/>
    <col min="7" max="7" width="10.5703125" style="116" customWidth="1" outlineLevel="1"/>
    <col min="8" max="8" width="14" style="116" customWidth="1" outlineLevel="1"/>
    <col min="9" max="9" width="12.42578125" style="116" customWidth="1" outlineLevel="1"/>
    <col min="10" max="11" width="9.42578125" style="116" customWidth="1" outlineLevel="1"/>
    <col min="12" max="12" width="16.5703125" style="116" customWidth="1" outlineLevel="1"/>
    <col min="13" max="13" width="13.5703125" style="116" bestFit="1" customWidth="1"/>
    <col min="14" max="14" width="14.42578125" style="116" customWidth="1"/>
    <col min="15" max="15" width="20.42578125" style="116" customWidth="1"/>
    <col min="16" max="16" width="14.42578125" style="116" customWidth="1"/>
    <col min="17" max="17" width="19.42578125" style="116" customWidth="1"/>
    <col min="18" max="19" width="13.5703125" style="116" bestFit="1" customWidth="1"/>
    <col min="20" max="20" width="15.140625" style="116" customWidth="1"/>
    <col min="21" max="23" width="10.5703125" style="116" customWidth="1"/>
    <col min="24" max="24" width="10.5703125" style="120" customWidth="1"/>
    <col min="25" max="25" width="10.5703125" style="116" customWidth="1"/>
    <col min="26" max="26" width="19" style="116" bestFit="1" customWidth="1"/>
    <col min="27" max="27" width="10" style="116" bestFit="1" customWidth="1" outlineLevel="1"/>
    <col min="28" max="28" width="15.42578125" style="121" customWidth="1" outlineLevel="1"/>
    <col min="29" max="29" width="8.42578125" style="116" customWidth="1" outlineLevel="1"/>
    <col min="30" max="30" width="12.5703125" style="116" customWidth="1" outlineLevel="1"/>
    <col min="31" max="31" width="13.85546875" style="116" customWidth="1" outlineLevel="1"/>
    <col min="32" max="32" width="15.42578125" style="116" customWidth="1"/>
    <col min="33" max="33" width="13.42578125" style="116" customWidth="1" outlineLevel="1"/>
    <col min="34" max="34" width="12.5703125" style="116" customWidth="1" outlineLevel="1"/>
    <col min="35" max="35" width="11.42578125" style="116" customWidth="1" outlineLevel="1"/>
    <col min="36" max="36" width="19.5703125" style="116" customWidth="1" outlineLevel="1"/>
    <col min="37" max="37" width="15.5703125" style="116" customWidth="1" outlineLevel="1"/>
    <col min="38" max="38" width="16.5703125" style="116" customWidth="1"/>
    <col min="39" max="39" width="17.140625" style="116" customWidth="1"/>
    <col min="40" max="40" width="10.5703125" style="116" hidden="1" customWidth="1" outlineLevel="1"/>
    <col min="41" max="41" width="9.5703125" style="116" hidden="1" customWidth="1" outlineLevel="1"/>
    <col min="42" max="42" width="10.5703125" style="116" hidden="1" customWidth="1" outlineLevel="1"/>
    <col min="43" max="44" width="12" style="116" hidden="1" customWidth="1" outlineLevel="1"/>
    <col min="45" max="45" width="10.5703125" style="116" hidden="1" customWidth="1" outlineLevel="1"/>
    <col min="46" max="46" width="6.42578125" style="205" bestFit="1" customWidth="1" collapsed="1"/>
    <col min="47" max="47" width="12.5703125" style="116" hidden="1" customWidth="1" outlineLevel="1"/>
    <col min="48" max="48" width="13.5703125" style="116" hidden="1" customWidth="1" outlineLevel="1"/>
    <col min="49" max="49" width="15.42578125" style="116" hidden="1" customWidth="1" outlineLevel="1"/>
    <col min="50" max="50" width="15.5703125" style="116" hidden="1" customWidth="1" outlineLevel="1"/>
    <col min="51" max="51" width="12.5703125" style="116" hidden="1" customWidth="1" outlineLevel="1"/>
    <col min="52" max="52" width="11.5703125" style="116" hidden="1" customWidth="1" outlineLevel="1"/>
    <col min="53" max="53" width="9.42578125" style="116" customWidth="1" collapsed="1"/>
    <col min="54" max="16384" width="9.42578125" style="116"/>
  </cols>
  <sheetData>
    <row r="1" spans="1:53" s="104" customFormat="1" ht="15.6">
      <c r="A1" s="102"/>
      <c r="B1" s="103"/>
      <c r="C1" s="103"/>
      <c r="D1" s="103"/>
      <c r="E1" s="103"/>
      <c r="L1" s="105"/>
      <c r="X1" s="106"/>
      <c r="AB1" s="107"/>
      <c r="AO1" s="108"/>
      <c r="AT1" s="204"/>
      <c r="AW1" s="299"/>
    </row>
    <row r="2" spans="1:53" s="104" customFormat="1" ht="15.6">
      <c r="A2" s="103" t="s">
        <v>0</v>
      </c>
      <c r="B2" s="103"/>
      <c r="C2" s="103"/>
      <c r="D2" s="103"/>
      <c r="E2" s="103"/>
      <c r="L2" s="105"/>
      <c r="X2" s="106"/>
      <c r="AB2" s="107"/>
      <c r="AO2" s="108"/>
      <c r="AS2" s="298"/>
      <c r="AT2" s="204"/>
    </row>
    <row r="3" spans="1:53" s="104" customFormat="1" ht="15.6">
      <c r="A3" s="103" t="s">
        <v>1</v>
      </c>
      <c r="B3" s="103"/>
      <c r="C3" s="103"/>
      <c r="D3" s="168">
        <f>'Raw Sheet'!D2</f>
        <v>46023</v>
      </c>
      <c r="E3" s="109">
        <f>'Raw Sheet'!E2</f>
        <v>46037</v>
      </c>
      <c r="F3" s="110"/>
      <c r="P3" s="111"/>
      <c r="X3" s="106"/>
      <c r="AB3" s="107"/>
      <c r="AO3" s="108"/>
      <c r="AT3" s="204"/>
    </row>
    <row r="4" spans="1:53" s="113" customFormat="1" ht="12.95"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5"/>
      <c r="AY4" s="294"/>
    </row>
    <row r="5" spans="1:53" s="122" customFormat="1" ht="15.6" customHeight="1">
      <c r="A5" s="578" t="s">
        <v>2</v>
      </c>
      <c r="B5" s="126"/>
      <c r="C5" s="597" t="s">
        <v>3</v>
      </c>
      <c r="D5" s="583" t="s">
        <v>4</v>
      </c>
      <c r="E5" s="583" t="s">
        <v>5</v>
      </c>
      <c r="F5" s="594" t="s">
        <v>6</v>
      </c>
      <c r="G5" s="595"/>
      <c r="H5" s="595"/>
      <c r="I5" s="595"/>
      <c r="J5" s="595"/>
      <c r="K5" s="596"/>
      <c r="L5" s="586" t="s">
        <v>7</v>
      </c>
      <c r="M5" s="586" t="s">
        <v>8</v>
      </c>
      <c r="N5" s="593" t="s">
        <v>9</v>
      </c>
      <c r="O5" s="593" t="s">
        <v>10</v>
      </c>
      <c r="P5" s="588" t="s">
        <v>11</v>
      </c>
      <c r="Q5" s="586" t="s">
        <v>12</v>
      </c>
      <c r="R5" s="583" t="s">
        <v>13</v>
      </c>
      <c r="S5" s="583" t="s">
        <v>14</v>
      </c>
      <c r="T5" s="583" t="s">
        <v>15</v>
      </c>
      <c r="U5" s="569" t="s">
        <v>16</v>
      </c>
      <c r="V5" s="570"/>
      <c r="W5" s="570"/>
      <c r="X5" s="570"/>
      <c r="Y5" s="571"/>
      <c r="Z5" s="575" t="s">
        <v>17</v>
      </c>
      <c r="AA5" s="580" t="s">
        <v>18</v>
      </c>
      <c r="AB5" s="581"/>
      <c r="AC5" s="581"/>
      <c r="AD5" s="581"/>
      <c r="AE5" s="582"/>
      <c r="AF5" s="583" t="s">
        <v>19</v>
      </c>
      <c r="AG5" s="566" t="s">
        <v>20</v>
      </c>
      <c r="AH5" s="566"/>
      <c r="AI5" s="443"/>
      <c r="AJ5" s="583" t="s">
        <v>21</v>
      </c>
      <c r="AK5" s="605" t="s">
        <v>22</v>
      </c>
      <c r="AL5" s="605" t="s">
        <v>15</v>
      </c>
      <c r="AM5" s="566" t="s">
        <v>23</v>
      </c>
      <c r="AN5" s="104"/>
      <c r="AO5" s="112"/>
      <c r="AP5" s="104"/>
      <c r="AQ5" s="104"/>
      <c r="AR5" s="104"/>
      <c r="AS5" s="104"/>
      <c r="AT5" s="115"/>
      <c r="AU5" s="598"/>
      <c r="AV5" s="598"/>
      <c r="AW5" s="598" t="s">
        <v>24</v>
      </c>
      <c r="AX5" s="598" t="s">
        <v>25</v>
      </c>
      <c r="AY5" s="598" t="s">
        <v>26</v>
      </c>
      <c r="AZ5" s="598" t="s">
        <v>27</v>
      </c>
    </row>
    <row r="6" spans="1:53" s="122" customFormat="1" ht="14.1" customHeight="1">
      <c r="A6" s="592"/>
      <c r="B6" s="127"/>
      <c r="C6" s="597"/>
      <c r="D6" s="592"/>
      <c r="E6" s="592"/>
      <c r="F6" s="586" t="s">
        <v>28</v>
      </c>
      <c r="G6" s="586" t="s">
        <v>29</v>
      </c>
      <c r="H6" s="586" t="s">
        <v>30</v>
      </c>
      <c r="I6" s="586" t="s">
        <v>31</v>
      </c>
      <c r="J6" s="586" t="s">
        <v>32</v>
      </c>
      <c r="K6" s="586" t="s">
        <v>33</v>
      </c>
      <c r="L6" s="591"/>
      <c r="M6" s="591"/>
      <c r="N6" s="593"/>
      <c r="O6" s="593"/>
      <c r="P6" s="589"/>
      <c r="Q6" s="591"/>
      <c r="R6" s="592"/>
      <c r="S6" s="584"/>
      <c r="T6" s="584"/>
      <c r="U6" s="572"/>
      <c r="V6" s="573"/>
      <c r="W6" s="573"/>
      <c r="X6" s="573"/>
      <c r="Y6" s="574"/>
      <c r="Z6" s="576"/>
      <c r="AA6" s="578" t="s">
        <v>34</v>
      </c>
      <c r="AB6" s="567" t="s">
        <v>35</v>
      </c>
      <c r="AC6" s="565" t="s">
        <v>36</v>
      </c>
      <c r="AD6" s="566" t="s">
        <v>35</v>
      </c>
      <c r="AE6" s="566" t="s">
        <v>37</v>
      </c>
      <c r="AF6" s="592"/>
      <c r="AG6" s="566" t="s">
        <v>38</v>
      </c>
      <c r="AH6" s="566" t="s">
        <v>39</v>
      </c>
      <c r="AI6" s="441" t="s">
        <v>40</v>
      </c>
      <c r="AJ6" s="600"/>
      <c r="AK6" s="605"/>
      <c r="AL6" s="605"/>
      <c r="AM6" s="566"/>
      <c r="AN6" s="602" t="s">
        <v>41</v>
      </c>
      <c r="AO6" s="603"/>
      <c r="AP6" s="603"/>
      <c r="AQ6" s="603"/>
      <c r="AR6" s="603"/>
      <c r="AS6" s="604"/>
      <c r="AT6" s="599"/>
      <c r="AU6" s="598"/>
      <c r="AV6" s="598"/>
      <c r="AW6" s="598"/>
      <c r="AX6" s="598"/>
      <c r="AY6" s="598"/>
      <c r="AZ6" s="598"/>
    </row>
    <row r="7" spans="1:53" s="122" customFormat="1" ht="12.95">
      <c r="A7" s="579"/>
      <c r="B7" s="128"/>
      <c r="C7" s="597"/>
      <c r="D7" s="579"/>
      <c r="E7" s="579"/>
      <c r="F7" s="587"/>
      <c r="G7" s="587"/>
      <c r="H7" s="587"/>
      <c r="I7" s="587"/>
      <c r="J7" s="587"/>
      <c r="K7" s="587"/>
      <c r="L7" s="587"/>
      <c r="M7" s="587"/>
      <c r="N7" s="593"/>
      <c r="O7" s="593"/>
      <c r="P7" s="590"/>
      <c r="Q7" s="587"/>
      <c r="R7" s="579"/>
      <c r="S7" s="585"/>
      <c r="T7" s="585"/>
      <c r="U7" s="154" t="s">
        <v>42</v>
      </c>
      <c r="V7" s="154" t="s">
        <v>43</v>
      </c>
      <c r="W7" s="158" t="s">
        <v>44</v>
      </c>
      <c r="X7" s="157" t="s">
        <v>45</v>
      </c>
      <c r="Y7" s="158" t="s">
        <v>46</v>
      </c>
      <c r="Z7" s="577"/>
      <c r="AA7" s="579"/>
      <c r="AB7" s="568"/>
      <c r="AC7" s="565"/>
      <c r="AD7" s="566"/>
      <c r="AE7" s="566"/>
      <c r="AF7" s="579"/>
      <c r="AG7" s="566"/>
      <c r="AH7" s="566"/>
      <c r="AI7" s="442"/>
      <c r="AJ7" s="601"/>
      <c r="AK7" s="605"/>
      <c r="AL7" s="605"/>
      <c r="AM7" s="566"/>
      <c r="AN7" s="156" t="s">
        <v>47</v>
      </c>
      <c r="AO7" s="156" t="s">
        <v>48</v>
      </c>
      <c r="AP7" s="156" t="s">
        <v>49</v>
      </c>
      <c r="AQ7" s="156" t="s">
        <v>50</v>
      </c>
      <c r="AR7" s="156" t="s">
        <v>45</v>
      </c>
      <c r="AS7" s="156" t="s">
        <v>46</v>
      </c>
      <c r="AT7" s="599"/>
      <c r="AU7" s="598"/>
      <c r="AV7" s="598"/>
      <c r="AW7" s="598"/>
      <c r="AX7" s="598"/>
      <c r="AY7" s="598"/>
      <c r="AZ7" s="598"/>
    </row>
    <row r="8" spans="1:53" s="160" customFormat="1" ht="15" customHeight="1">
      <c r="A8" s="212">
        <v>1</v>
      </c>
      <c r="B8" s="213">
        <v>3</v>
      </c>
      <c r="C8" s="214" t="s">
        <v>51</v>
      </c>
      <c r="D8" s="215">
        <f>VLOOKUP(B8,'Raw Sheet'!$B$8:$G$28,6,FALSE)</f>
        <v>37200</v>
      </c>
      <c r="E8" s="216">
        <f>D8/2</f>
        <v>18600</v>
      </c>
      <c r="F8" s="217">
        <v>0</v>
      </c>
      <c r="G8" s="217">
        <f>VLOOKUP(B8,'Raw Sheet'!$B$8:$L$28,11,FALSE)/2</f>
        <v>1000</v>
      </c>
      <c r="H8" s="217">
        <f>VLOOKUP(B8,'Raw Sheet'!$B$8:$M$28,12,FALSE)/2</f>
        <v>250</v>
      </c>
      <c r="I8" s="217">
        <f>VLOOKUP(B8,'Raw Sheet'!$B$8:$N$28,13,FALSE)/2</f>
        <v>150</v>
      </c>
      <c r="J8" s="217">
        <v>0</v>
      </c>
      <c r="K8" s="217">
        <v>0</v>
      </c>
      <c r="L8" s="217">
        <v>0</v>
      </c>
      <c r="M8" s="217">
        <v>0</v>
      </c>
      <c r="N8" s="217">
        <f>'Raw Sheet'!AH8+'Raw Sheet'!AL8</f>
        <v>0</v>
      </c>
      <c r="O8" s="217">
        <f>SUM('Raw Sheet'!AJ8,'Raw Sheet'!AP8,'Raw Sheet'!BB8,'Raw Sheet'!BH8)</f>
        <v>256.55172413793105</v>
      </c>
      <c r="P8" s="217">
        <f>'Raw Sheet'!BJ8</f>
        <v>0</v>
      </c>
      <c r="Q8" s="217">
        <f>'Raw Sheet'!BD8</f>
        <v>0</v>
      </c>
      <c r="R8" s="217">
        <f>E8+SUM(F8:Q8)</f>
        <v>20256.551724137931</v>
      </c>
      <c r="S8" s="217">
        <f t="shared" ref="S8:S28" si="0">E8+SUM(M8:Q8)</f>
        <v>18856.551724137931</v>
      </c>
      <c r="T8" s="217">
        <f>SUM(F8:L8)</f>
        <v>1400</v>
      </c>
      <c r="U8" s="217"/>
      <c r="V8" s="217"/>
      <c r="W8" s="218"/>
      <c r="X8" s="217"/>
      <c r="Y8" s="217"/>
      <c r="Z8" s="218">
        <f t="shared" ref="Z8:Z28" si="1">S8-SUM(W8:Y8)</f>
        <v>18856.551724137931</v>
      </c>
      <c r="AA8" s="218" t="str">
        <f t="shared" ref="AA8:AA28" si="2">IF(Z8&gt;=333333,"333333",IF(Z8&gt;=83333,"83333",IF(Z8&gt;=33333,"33333",IF(Z8&gt;=16667,"16667",IF(Z8&gt;=10417,"10417",IF(Z8&lt;10417,"0"))))))</f>
        <v>16667</v>
      </c>
      <c r="AB8" s="219">
        <f t="shared" ref="AB8:AB28" si="3">AA8+0</f>
        <v>16667</v>
      </c>
      <c r="AC8" s="220">
        <f>VLOOKUP(AB8,WTAX!E:F,2,0)</f>
        <v>0.2</v>
      </c>
      <c r="AD8" s="218">
        <f>VLOOKUP(AB8,WTAX!E:G,3,0)</f>
        <v>937.5</v>
      </c>
      <c r="AE8" s="218">
        <f>(Z8-AB8)*AC8</f>
        <v>437.91034482758624</v>
      </c>
      <c r="AF8" s="218">
        <f>AD8+AE8</f>
        <v>1375.4103448275862</v>
      </c>
      <c r="AG8" s="217">
        <f>VLOOKUP(B8,'Raw Sheet'!$B$8:$V$28,21,FALSE)</f>
        <v>1845.8</v>
      </c>
      <c r="AH8" s="217">
        <f>VLOOKUP(B8,'Raw Sheet'!$B$8:$W$28,22,FALSE)</f>
        <v>0</v>
      </c>
      <c r="AI8" s="217">
        <f>VLOOKUP(B8,'Raw Sheet'!$B$8:$X$28,23,FALSE)</f>
        <v>0</v>
      </c>
      <c r="AJ8" s="217">
        <f>VLOOKUP(B8,'Raw Sheet'!$B$8:$Y$28,24,FALSE)</f>
        <v>0</v>
      </c>
      <c r="AK8" s="217">
        <f>[1]Haguimit!$D$44</f>
        <v>-6.8965516402386129E-4</v>
      </c>
      <c r="AL8" s="217">
        <f>T8</f>
        <v>1400</v>
      </c>
      <c r="AM8" s="391">
        <f>Z8-SUM(AF8:AJ8)+SUM(AK8:AL8)</f>
        <v>17035.340689655182</v>
      </c>
      <c r="AN8" s="392">
        <v>0</v>
      </c>
      <c r="AO8" s="393">
        <v>0</v>
      </c>
      <c r="AP8" s="221">
        <v>0</v>
      </c>
      <c r="AQ8" s="217">
        <v>0</v>
      </c>
      <c r="AR8" s="217">
        <v>0</v>
      </c>
      <c r="AS8" s="222">
        <v>0</v>
      </c>
      <c r="AT8" s="223"/>
      <c r="AU8" s="224"/>
      <c r="AV8" s="224"/>
      <c r="AW8" s="225">
        <f t="shared" ref="AW8:AW28" si="4">SUM(AU8:AV8)</f>
        <v>0</v>
      </c>
      <c r="AX8" s="224">
        <f t="shared" ref="AX8:AX28" si="5">AQ8+W8</f>
        <v>0</v>
      </c>
      <c r="AY8" s="225"/>
      <c r="AZ8" s="291">
        <f t="shared" ref="AZ8:AZ28" si="6">SUM(Y8,AS8)</f>
        <v>0</v>
      </c>
      <c r="BA8" s="225"/>
    </row>
    <row r="9" spans="1:53" s="160" customFormat="1" ht="15" customHeight="1">
      <c r="A9" s="212">
        <v>8</v>
      </c>
      <c r="B9" s="213">
        <v>17</v>
      </c>
      <c r="C9" s="214" t="s">
        <v>52</v>
      </c>
      <c r="D9" s="215">
        <f>VLOOKUP(B9,'Raw Sheet'!$B$8:$G$28,6,FALSE)</f>
        <v>45000</v>
      </c>
      <c r="E9" s="216">
        <f t="shared" ref="E9:E28" si="7">D9/2</f>
        <v>22500</v>
      </c>
      <c r="F9" s="217">
        <v>0</v>
      </c>
      <c r="G9" s="217">
        <f>VLOOKUP(B9,'Raw Sheet'!$B$8:$L$28,11,FALSE)/2</f>
        <v>0</v>
      </c>
      <c r="H9" s="217">
        <f>VLOOKUP(B9,'Raw Sheet'!$B$8:$M$28,12,FALSE)/2</f>
        <v>0</v>
      </c>
      <c r="I9" s="217">
        <f>VLOOKUP(B9,'Raw Sheet'!$B$8:$N$28,13,FALSE)/2</f>
        <v>0</v>
      </c>
      <c r="J9" s="217">
        <v>0</v>
      </c>
      <c r="K9" s="217">
        <v>0</v>
      </c>
      <c r="L9" s="217">
        <v>0</v>
      </c>
      <c r="M9" s="217">
        <v>0</v>
      </c>
      <c r="N9" s="217">
        <f>'Raw Sheet'!AH9+'Raw Sheet'!AL9</f>
        <v>2909.4827586206902</v>
      </c>
      <c r="O9" s="217">
        <f>SUM('Raw Sheet'!AJ9,'Raw Sheet'!AP9,'Raw Sheet'!BB9,'Raw Sheet'!BH9)</f>
        <v>879.31034482758628</v>
      </c>
      <c r="P9" s="217">
        <f>'Raw Sheet'!BJ9</f>
        <v>0</v>
      </c>
      <c r="Q9" s="217">
        <f>'Raw Sheet'!BD9</f>
        <v>2068.9655172413795</v>
      </c>
      <c r="R9" s="217">
        <f t="shared" ref="R9:R28" si="8">E9+SUM(F9:Q9)</f>
        <v>28357.758620689656</v>
      </c>
      <c r="S9" s="217">
        <f t="shared" si="0"/>
        <v>28357.758620689656</v>
      </c>
      <c r="T9" s="217">
        <f t="shared" ref="T9:T28" si="9">SUM(F9:L9)</f>
        <v>0</v>
      </c>
      <c r="U9" s="217"/>
      <c r="V9" s="217"/>
      <c r="W9" s="218"/>
      <c r="X9" s="217"/>
      <c r="Y9" s="217"/>
      <c r="Z9" s="218">
        <f t="shared" si="1"/>
        <v>28357.758620689656</v>
      </c>
      <c r="AA9" s="218" t="str">
        <f t="shared" si="2"/>
        <v>16667</v>
      </c>
      <c r="AB9" s="219">
        <f t="shared" si="3"/>
        <v>16667</v>
      </c>
      <c r="AC9" s="220">
        <f>VLOOKUP(AB9,WTAX!E:F,2,0)</f>
        <v>0.2</v>
      </c>
      <c r="AD9" s="218">
        <f>VLOOKUP(AB9,WTAX!E:G,3,0)</f>
        <v>937.5</v>
      </c>
      <c r="AE9" s="218">
        <f t="shared" ref="AE9:AE28" si="10">(Z9-AB9)*AC9</f>
        <v>2338.1517241379311</v>
      </c>
      <c r="AF9" s="218">
        <f t="shared" ref="AF9:AF28" si="11">AD9+AE9</f>
        <v>3275.6517241379311</v>
      </c>
      <c r="AG9" s="217">
        <f>VLOOKUP(B9,'Raw Sheet'!$B$8:$V$28,21,FALSE)</f>
        <v>922.9</v>
      </c>
      <c r="AH9" s="217">
        <f>VLOOKUP(B9,'Raw Sheet'!$B$8:$W$28,22,FALSE)</f>
        <v>0</v>
      </c>
      <c r="AI9" s="217">
        <f>VLOOKUP(B9,'Raw Sheet'!$B$8:$X$28,23,FALSE)</f>
        <v>0</v>
      </c>
      <c r="AJ9" s="217">
        <f>VLOOKUP(B9,'Raw Sheet'!$B$8:$Y$28,24,FALSE)</f>
        <v>0</v>
      </c>
      <c r="AK9" s="217">
        <f>[1]Viray!$D$44</f>
        <v>-3.7931034748908132E-3</v>
      </c>
      <c r="AL9" s="217">
        <f t="shared" ref="AL9:AL28" si="12">T9</f>
        <v>0</v>
      </c>
      <c r="AM9" s="391">
        <f t="shared" ref="AM9:AM28" si="13">Z9-SUM(AF9:AJ9)+SUM(AK9:AL9)</f>
        <v>24159.20310344825</v>
      </c>
      <c r="AN9" s="392">
        <v>0</v>
      </c>
      <c r="AO9" s="226">
        <v>0</v>
      </c>
      <c r="AP9" s="221">
        <v>0</v>
      </c>
      <c r="AQ9" s="217">
        <v>0</v>
      </c>
      <c r="AR9" s="217">
        <v>0</v>
      </c>
      <c r="AS9" s="222">
        <v>0</v>
      </c>
      <c r="AT9" s="223"/>
      <c r="AU9" s="224"/>
      <c r="AV9" s="224"/>
      <c r="AW9" s="225">
        <f t="shared" si="4"/>
        <v>0</v>
      </c>
      <c r="AX9" s="224">
        <f t="shared" si="5"/>
        <v>0</v>
      </c>
      <c r="AY9" s="225"/>
      <c r="AZ9" s="291">
        <f t="shared" si="6"/>
        <v>0</v>
      </c>
    </row>
    <row r="10" spans="1:53" s="160" customFormat="1" ht="15" customHeight="1">
      <c r="A10" s="212">
        <v>10</v>
      </c>
      <c r="B10" s="213">
        <v>21</v>
      </c>
      <c r="C10" s="214" t="s">
        <v>53</v>
      </c>
      <c r="D10" s="215">
        <f>VLOOKUP(B10,'Raw Sheet'!$B$8:$G$28,6,FALSE)</f>
        <v>42000</v>
      </c>
      <c r="E10" s="216">
        <f t="shared" si="7"/>
        <v>21000</v>
      </c>
      <c r="F10" s="217">
        <v>0</v>
      </c>
      <c r="G10" s="217">
        <f>VLOOKUP(B10,'Raw Sheet'!$B$8:$L$28,11,FALSE)/2</f>
        <v>1000</v>
      </c>
      <c r="H10" s="217">
        <f>VLOOKUP(B10,'Raw Sheet'!$B$8:$M$28,12,FALSE)/2</f>
        <v>50</v>
      </c>
      <c r="I10" s="217">
        <f>VLOOKUP(B10,'Raw Sheet'!$B$8:$N$28,13,FALSE)/2</f>
        <v>0</v>
      </c>
      <c r="J10" s="217">
        <v>0</v>
      </c>
      <c r="K10" s="217">
        <v>0</v>
      </c>
      <c r="L10" s="217">
        <v>0</v>
      </c>
      <c r="M10" s="217">
        <v>0</v>
      </c>
      <c r="N10" s="217">
        <f>'Raw Sheet'!AH10+'Raw Sheet'!AL10</f>
        <v>3620.6896551724139</v>
      </c>
      <c r="O10" s="217">
        <f>SUM('Raw Sheet'!AJ10,'Raw Sheet'!AP10,'Raw Sheet'!BB10,'Raw Sheet'!BH10)</f>
        <v>0</v>
      </c>
      <c r="P10" s="217">
        <f>'Raw Sheet'!BJ10</f>
        <v>0</v>
      </c>
      <c r="Q10" s="217">
        <f>'Raw Sheet'!BD10</f>
        <v>0</v>
      </c>
      <c r="R10" s="217">
        <f t="shared" si="8"/>
        <v>25670.689655172413</v>
      </c>
      <c r="S10" s="217">
        <f t="shared" si="0"/>
        <v>24620.689655172413</v>
      </c>
      <c r="T10" s="217">
        <f t="shared" si="9"/>
        <v>1050</v>
      </c>
      <c r="U10" s="217"/>
      <c r="V10" s="217"/>
      <c r="W10" s="218"/>
      <c r="X10" s="217"/>
      <c r="Y10" s="217"/>
      <c r="Z10" s="218">
        <f t="shared" si="1"/>
        <v>24620.689655172413</v>
      </c>
      <c r="AA10" s="218" t="str">
        <f t="shared" si="2"/>
        <v>16667</v>
      </c>
      <c r="AB10" s="219">
        <f t="shared" si="3"/>
        <v>16667</v>
      </c>
      <c r="AC10" s="220">
        <f>VLOOKUP(AB10,WTAX!E:F,2,0)</f>
        <v>0.2</v>
      </c>
      <c r="AD10" s="218">
        <f>VLOOKUP(AB10,WTAX!E:G,3,0)</f>
        <v>937.5</v>
      </c>
      <c r="AE10" s="218">
        <f t="shared" si="10"/>
        <v>1590.7379310344827</v>
      </c>
      <c r="AF10" s="218">
        <f t="shared" si="11"/>
        <v>2528.2379310344827</v>
      </c>
      <c r="AG10" s="217">
        <f>VLOOKUP(B10,'Raw Sheet'!$B$8:$V$28,21,FALSE)</f>
        <v>922.9</v>
      </c>
      <c r="AH10" s="217">
        <f>VLOOKUP(B10,'Raw Sheet'!$B$8:$W$28,22,FALSE)</f>
        <v>0</v>
      </c>
      <c r="AI10" s="217">
        <f>VLOOKUP(B10,'Raw Sheet'!$B$8:$X$28,23,FALSE)</f>
        <v>0</v>
      </c>
      <c r="AJ10" s="217">
        <f>VLOOKUP(B10,'Raw Sheet'!$B$8:$Y$28,24,FALSE)</f>
        <v>0</v>
      </c>
      <c r="AK10" s="217">
        <f>[1]Dy!$D$44</f>
        <v>3.7931034530629404E-3</v>
      </c>
      <c r="AL10" s="217">
        <f t="shared" si="12"/>
        <v>1050</v>
      </c>
      <c r="AM10" s="391">
        <f t="shared" si="13"/>
        <v>22219.555517241384</v>
      </c>
      <c r="AN10" s="392">
        <v>0</v>
      </c>
      <c r="AO10" s="226">
        <v>0</v>
      </c>
      <c r="AP10" s="221">
        <v>0</v>
      </c>
      <c r="AQ10" s="217">
        <v>0</v>
      </c>
      <c r="AR10" s="217">
        <v>0</v>
      </c>
      <c r="AS10" s="222">
        <v>0</v>
      </c>
      <c r="AT10" s="223"/>
      <c r="AU10" s="224"/>
      <c r="AV10" s="224"/>
      <c r="AW10" s="225">
        <f t="shared" si="4"/>
        <v>0</v>
      </c>
      <c r="AX10" s="224">
        <f t="shared" si="5"/>
        <v>0</v>
      </c>
      <c r="AY10" s="225"/>
      <c r="AZ10" s="291">
        <f t="shared" si="6"/>
        <v>0</v>
      </c>
    </row>
    <row r="11" spans="1:53" s="160" customFormat="1" ht="15" customHeight="1">
      <c r="A11" s="212">
        <v>11</v>
      </c>
      <c r="B11" s="213">
        <v>23</v>
      </c>
      <c r="C11" s="214" t="s">
        <v>54</v>
      </c>
      <c r="D11" s="215">
        <f>VLOOKUP(B11,'Raw Sheet'!$B$8:$G$28,6,FALSE)</f>
        <v>169600</v>
      </c>
      <c r="E11" s="216">
        <f t="shared" si="7"/>
        <v>84800</v>
      </c>
      <c r="F11" s="217">
        <v>0</v>
      </c>
      <c r="G11" s="217">
        <f>VLOOKUP(B11,'Raw Sheet'!$B$8:$L$28,11,FALSE)/2</f>
        <v>1000</v>
      </c>
      <c r="H11" s="217">
        <f>VLOOKUP(B11,'Raw Sheet'!$B$8:$M$28,12,FALSE)/2</f>
        <v>250</v>
      </c>
      <c r="I11" s="217">
        <f>VLOOKUP(B11,'Raw Sheet'!$B$8:$N$28,13,FALSE)/2</f>
        <v>150</v>
      </c>
      <c r="J11" s="217">
        <v>0</v>
      </c>
      <c r="K11" s="217">
        <v>0</v>
      </c>
      <c r="L11" s="217">
        <v>0</v>
      </c>
      <c r="M11" s="217">
        <v>0</v>
      </c>
      <c r="N11" s="217">
        <f>'Raw Sheet'!AH11+'Raw Sheet'!AL11</f>
        <v>0</v>
      </c>
      <c r="O11" s="217">
        <f>SUM('Raw Sheet'!AJ11,'Raw Sheet'!AP11,'Raw Sheet'!BB11,'Raw Sheet'!BH11)</f>
        <v>0</v>
      </c>
      <c r="P11" s="217">
        <f>'Raw Sheet'!BJ11</f>
        <v>0</v>
      </c>
      <c r="Q11" s="217">
        <f>'Raw Sheet'!BD11</f>
        <v>0</v>
      </c>
      <c r="R11" s="217">
        <f t="shared" si="8"/>
        <v>86200</v>
      </c>
      <c r="S11" s="217">
        <f t="shared" si="0"/>
        <v>84800</v>
      </c>
      <c r="T11" s="217">
        <f t="shared" si="9"/>
        <v>1400</v>
      </c>
      <c r="U11" s="217"/>
      <c r="V11" s="217"/>
      <c r="W11" s="218"/>
      <c r="X11" s="217"/>
      <c r="Y11" s="217"/>
      <c r="Z11" s="218">
        <f t="shared" si="1"/>
        <v>84800</v>
      </c>
      <c r="AA11" s="218" t="str">
        <f t="shared" si="2"/>
        <v>83333</v>
      </c>
      <c r="AB11" s="219">
        <f t="shared" si="3"/>
        <v>83333</v>
      </c>
      <c r="AC11" s="220">
        <f>VLOOKUP(AB11,WTAX!E:F,2,0)</f>
        <v>0.3</v>
      </c>
      <c r="AD11" s="218">
        <f>VLOOKUP(AB11,WTAX!E:G,3,0)</f>
        <v>16770.7</v>
      </c>
      <c r="AE11" s="218">
        <f t="shared" si="10"/>
        <v>440.09999999999997</v>
      </c>
      <c r="AF11" s="218">
        <f t="shared" si="11"/>
        <v>17210.8</v>
      </c>
      <c r="AG11" s="217">
        <f>VLOOKUP(B11,'Raw Sheet'!$B$8:$V$28,21,FALSE)</f>
        <v>0</v>
      </c>
      <c r="AH11" s="217">
        <f>VLOOKUP(B11,'Raw Sheet'!$B$8:$W$28,22,FALSE)</f>
        <v>0</v>
      </c>
      <c r="AI11" s="217">
        <f>VLOOKUP(B11,'Raw Sheet'!$B$8:$X$28,23,FALSE)</f>
        <v>0</v>
      </c>
      <c r="AJ11" s="217">
        <f>VLOOKUP(B11,'Raw Sheet'!$B$8:$Y$28,24,FALSE)</f>
        <v>0</v>
      </c>
      <c r="AK11" s="217">
        <f>[1]Marquez!$D$44</f>
        <v>0</v>
      </c>
      <c r="AL11" s="217">
        <f t="shared" si="12"/>
        <v>1400</v>
      </c>
      <c r="AM11" s="391">
        <f t="shared" si="13"/>
        <v>68989.2</v>
      </c>
      <c r="AN11" s="392">
        <v>0</v>
      </c>
      <c r="AO11" s="226">
        <v>0</v>
      </c>
      <c r="AP11" s="221">
        <v>0</v>
      </c>
      <c r="AQ11" s="217">
        <v>0</v>
      </c>
      <c r="AR11" s="217">
        <v>0</v>
      </c>
      <c r="AS11" s="222">
        <v>0</v>
      </c>
      <c r="AT11" s="223"/>
      <c r="AU11" s="224"/>
      <c r="AV11" s="224"/>
      <c r="AW11" s="225">
        <f t="shared" si="4"/>
        <v>0</v>
      </c>
      <c r="AX11" s="224">
        <f t="shared" si="5"/>
        <v>0</v>
      </c>
      <c r="AY11" s="225"/>
      <c r="AZ11" s="291">
        <f t="shared" si="6"/>
        <v>0</v>
      </c>
    </row>
    <row r="12" spans="1:53" s="160" customFormat="1" ht="15" customHeight="1">
      <c r="A12" s="212">
        <v>12</v>
      </c>
      <c r="B12" s="213">
        <v>25</v>
      </c>
      <c r="C12" s="214" t="s">
        <v>55</v>
      </c>
      <c r="D12" s="215">
        <f>VLOOKUP(B12,'Raw Sheet'!$B$8:$G$28,6,FALSE)</f>
        <v>255600</v>
      </c>
      <c r="E12" s="216">
        <f t="shared" si="7"/>
        <v>127800</v>
      </c>
      <c r="F12" s="217">
        <v>0</v>
      </c>
      <c r="G12" s="217">
        <f>VLOOKUP(B12,'Raw Sheet'!$B$8:$L$28,11,FALSE)/2</f>
        <v>1000</v>
      </c>
      <c r="H12" s="217">
        <f>VLOOKUP(B12,'Raw Sheet'!$B$8:$M$28,12,FALSE)/2</f>
        <v>250</v>
      </c>
      <c r="I12" s="217">
        <f>VLOOKUP(B12,'Raw Sheet'!$B$8:$N$28,13,FALSE)/2</f>
        <v>150</v>
      </c>
      <c r="J12" s="217">
        <v>0</v>
      </c>
      <c r="K12" s="217">
        <v>0</v>
      </c>
      <c r="L12" s="217">
        <v>0</v>
      </c>
      <c r="M12" s="217">
        <v>0</v>
      </c>
      <c r="N12" s="217">
        <f>'Raw Sheet'!AH12+'Raw Sheet'!AL12</f>
        <v>0</v>
      </c>
      <c r="O12" s="217">
        <f>SUM('Raw Sheet'!AJ12,'Raw Sheet'!AP12,'Raw Sheet'!BB12,'Raw Sheet'!BH12)</f>
        <v>0</v>
      </c>
      <c r="P12" s="217">
        <f>'Raw Sheet'!BJ12</f>
        <v>0</v>
      </c>
      <c r="Q12" s="217">
        <f>'Raw Sheet'!BD12</f>
        <v>0</v>
      </c>
      <c r="R12" s="217">
        <f t="shared" si="8"/>
        <v>129200</v>
      </c>
      <c r="S12" s="217">
        <f t="shared" si="0"/>
        <v>127800</v>
      </c>
      <c r="T12" s="217">
        <f t="shared" si="9"/>
        <v>1400</v>
      </c>
      <c r="U12" s="217"/>
      <c r="V12" s="217"/>
      <c r="W12" s="218"/>
      <c r="X12" s="217"/>
      <c r="Y12" s="217"/>
      <c r="Z12" s="218">
        <f t="shared" si="1"/>
        <v>127800</v>
      </c>
      <c r="AA12" s="218" t="str">
        <f t="shared" si="2"/>
        <v>83333</v>
      </c>
      <c r="AB12" s="219">
        <f t="shared" si="3"/>
        <v>83333</v>
      </c>
      <c r="AC12" s="220">
        <f>VLOOKUP(AB12,WTAX!E:F,2,0)</f>
        <v>0.3</v>
      </c>
      <c r="AD12" s="218">
        <f>VLOOKUP(AB12,WTAX!E:G,3,0)</f>
        <v>16770.7</v>
      </c>
      <c r="AE12" s="218">
        <f t="shared" si="10"/>
        <v>13340.1</v>
      </c>
      <c r="AF12" s="218">
        <f t="shared" si="11"/>
        <v>30110.800000000003</v>
      </c>
      <c r="AG12" s="217">
        <f>VLOOKUP(B12,'Raw Sheet'!$B$8:$V$28,21,FALSE)</f>
        <v>0</v>
      </c>
      <c r="AH12" s="217">
        <f>VLOOKUP(B12,'Raw Sheet'!$B$8:$W$28,22,FALSE)</f>
        <v>0</v>
      </c>
      <c r="AI12" s="217">
        <f>VLOOKUP(B12,'Raw Sheet'!$B$8:$X$28,23,FALSE)</f>
        <v>0</v>
      </c>
      <c r="AJ12" s="217">
        <f>VLOOKUP(B12,'Raw Sheet'!$B$8:$Y$28,24,FALSE)</f>
        <v>41395.83</v>
      </c>
      <c r="AK12" s="217">
        <f>[1]Carreon!$D$44</f>
        <v>0</v>
      </c>
      <c r="AL12" s="217">
        <f t="shared" si="12"/>
        <v>1400</v>
      </c>
      <c r="AM12" s="391">
        <f t="shared" si="13"/>
        <v>57693.369999999995</v>
      </c>
      <c r="AN12" s="392">
        <v>0</v>
      </c>
      <c r="AO12" s="226">
        <v>0</v>
      </c>
      <c r="AP12" s="221">
        <v>0</v>
      </c>
      <c r="AQ12" s="217">
        <v>0</v>
      </c>
      <c r="AR12" s="217">
        <v>0</v>
      </c>
      <c r="AS12" s="222">
        <v>0</v>
      </c>
      <c r="AT12" s="223"/>
      <c r="AU12" s="224"/>
      <c r="AV12" s="224"/>
      <c r="AW12" s="225">
        <f t="shared" si="4"/>
        <v>0</v>
      </c>
      <c r="AX12" s="224">
        <f t="shared" si="5"/>
        <v>0</v>
      </c>
      <c r="AY12" s="225"/>
      <c r="AZ12" s="291">
        <f t="shared" si="6"/>
        <v>0</v>
      </c>
    </row>
    <row r="13" spans="1:53" s="160" customFormat="1" ht="15" customHeight="1">
      <c r="A13" s="212">
        <v>15</v>
      </c>
      <c r="B13" s="213">
        <v>31</v>
      </c>
      <c r="C13" s="214" t="s">
        <v>56</v>
      </c>
      <c r="D13" s="215">
        <f>VLOOKUP(B13,'Raw Sheet'!$B$8:$G$28,6,FALSE)</f>
        <v>26000</v>
      </c>
      <c r="E13" s="216">
        <f t="shared" si="7"/>
        <v>13000</v>
      </c>
      <c r="F13" s="217">
        <v>0</v>
      </c>
      <c r="G13" s="217">
        <f>VLOOKUP(B13,'Raw Sheet'!$B$8:$L$28,11,FALSE)/2</f>
        <v>780</v>
      </c>
      <c r="H13" s="217">
        <f>VLOOKUP(B13,'Raw Sheet'!$B$8:$M$28,12,FALSE)/2</f>
        <v>0</v>
      </c>
      <c r="I13" s="217">
        <f>VLOOKUP(B13,'Raw Sheet'!$B$8:$N$28,13,FALSE)/2</f>
        <v>0</v>
      </c>
      <c r="J13" s="217">
        <v>0</v>
      </c>
      <c r="K13" s="217">
        <v>0</v>
      </c>
      <c r="L13" s="217">
        <v>0</v>
      </c>
      <c r="M13" s="217">
        <v>0</v>
      </c>
      <c r="N13" s="217">
        <f>'Raw Sheet'!AH13+'Raw Sheet'!AL13</f>
        <v>0</v>
      </c>
      <c r="O13" s="217">
        <f>SUM('Raw Sheet'!AJ13,'Raw Sheet'!AP13,'Raw Sheet'!BB13,'Raw Sheet'!BH13)</f>
        <v>0</v>
      </c>
      <c r="P13" s="217">
        <f>'Raw Sheet'!BJ13</f>
        <v>0</v>
      </c>
      <c r="Q13" s="217">
        <f>'Raw Sheet'!BD13</f>
        <v>1912.6436781609195</v>
      </c>
      <c r="R13" s="217">
        <f t="shared" si="8"/>
        <v>15692.643678160919</v>
      </c>
      <c r="S13" s="217">
        <f t="shared" si="0"/>
        <v>14912.643678160919</v>
      </c>
      <c r="T13" s="217">
        <f t="shared" si="9"/>
        <v>780</v>
      </c>
      <c r="U13" s="217"/>
      <c r="V13" s="217"/>
      <c r="W13" s="218"/>
      <c r="X13" s="217"/>
      <c r="Y13" s="217"/>
      <c r="Z13" s="218">
        <f t="shared" si="1"/>
        <v>14912.643678160919</v>
      </c>
      <c r="AA13" s="218" t="str">
        <f t="shared" si="2"/>
        <v>10417</v>
      </c>
      <c r="AB13" s="219">
        <f t="shared" si="3"/>
        <v>10417</v>
      </c>
      <c r="AC13" s="220">
        <f>VLOOKUP(AB13,WTAX!E:F,2,0)</f>
        <v>0.15</v>
      </c>
      <c r="AD13" s="218">
        <f>VLOOKUP(AB13,WTAX!E:G,3,0)</f>
        <v>0</v>
      </c>
      <c r="AE13" s="218">
        <f t="shared" si="10"/>
        <v>674.34655172413784</v>
      </c>
      <c r="AF13" s="218">
        <f t="shared" si="11"/>
        <v>674.34655172413784</v>
      </c>
      <c r="AG13" s="217">
        <f>VLOOKUP(B13,'Raw Sheet'!$B$8:$V$28,21,FALSE)</f>
        <v>0</v>
      </c>
      <c r="AH13" s="217">
        <f>VLOOKUP(B13,'Raw Sheet'!$B$8:$W$28,22,FALSE)</f>
        <v>0</v>
      </c>
      <c r="AI13" s="217">
        <f>VLOOKUP(B13,'Raw Sheet'!$B$8:$X$28,23,FALSE)</f>
        <v>0</v>
      </c>
      <c r="AJ13" s="217">
        <f>VLOOKUP(B13,'Raw Sheet'!$B$8:$Y$28,24,FALSE)</f>
        <v>0</v>
      </c>
      <c r="AK13" s="217">
        <f>-[1]Colongan!$D$44</f>
        <v>4333.3365517241273</v>
      </c>
      <c r="AL13" s="217">
        <f t="shared" si="12"/>
        <v>780</v>
      </c>
      <c r="AM13" s="391">
        <f t="shared" si="13"/>
        <v>19351.633678160906</v>
      </c>
      <c r="AN13" s="392">
        <v>0</v>
      </c>
      <c r="AO13" s="226">
        <v>0</v>
      </c>
      <c r="AP13" s="221">
        <v>0</v>
      </c>
      <c r="AQ13" s="217">
        <v>0</v>
      </c>
      <c r="AR13" s="217">
        <v>0</v>
      </c>
      <c r="AS13" s="222">
        <v>0</v>
      </c>
      <c r="AT13" s="223"/>
      <c r="AU13" s="224"/>
      <c r="AV13" s="224"/>
      <c r="AW13" s="225">
        <f t="shared" si="4"/>
        <v>0</v>
      </c>
      <c r="AX13" s="224">
        <f t="shared" si="5"/>
        <v>0</v>
      </c>
      <c r="AY13" s="225"/>
      <c r="AZ13" s="291">
        <f t="shared" si="6"/>
        <v>0</v>
      </c>
    </row>
    <row r="14" spans="1:53" s="160" customFormat="1" ht="15" customHeight="1">
      <c r="A14" s="212">
        <v>19</v>
      </c>
      <c r="B14" s="213">
        <v>39</v>
      </c>
      <c r="C14" s="214" t="s">
        <v>57</v>
      </c>
      <c r="D14" s="215">
        <f>VLOOKUP(B14,'Raw Sheet'!$B$8:$G$28,6,FALSE)</f>
        <v>29680</v>
      </c>
      <c r="E14" s="216">
        <f t="shared" si="7"/>
        <v>14840</v>
      </c>
      <c r="F14" s="217">
        <v>0</v>
      </c>
      <c r="G14" s="217">
        <f>VLOOKUP(B14,'Raw Sheet'!$B$8:$L$28,11,FALSE)/2</f>
        <v>1000</v>
      </c>
      <c r="H14" s="217">
        <f>VLOOKUP(B14,'Raw Sheet'!$B$8:$M$28,12,FALSE)/2</f>
        <v>250</v>
      </c>
      <c r="I14" s="217">
        <f>VLOOKUP(B14,'Raw Sheet'!$B$8:$N$28,13,FALSE)/2</f>
        <v>150</v>
      </c>
      <c r="J14" s="217">
        <v>0</v>
      </c>
      <c r="K14" s="217">
        <v>0</v>
      </c>
      <c r="L14" s="217">
        <v>0</v>
      </c>
      <c r="M14" s="217">
        <v>0</v>
      </c>
      <c r="N14" s="217">
        <f>'Raw Sheet'!AH14+'Raw Sheet'!AL14</f>
        <v>0</v>
      </c>
      <c r="O14" s="217">
        <f>SUM('Raw Sheet'!AJ14,'Raw Sheet'!AP14,'Raw Sheet'!BB14,'Raw Sheet'!BH14)</f>
        <v>187.63218390804599</v>
      </c>
      <c r="P14" s="217">
        <f>'Raw Sheet'!BJ14</f>
        <v>0</v>
      </c>
      <c r="Q14" s="217">
        <f>'Raw Sheet'!BD14</f>
        <v>2183.3563218390805</v>
      </c>
      <c r="R14" s="217">
        <f t="shared" si="8"/>
        <v>18610.988505747126</v>
      </c>
      <c r="S14" s="217">
        <f t="shared" si="0"/>
        <v>17210.988505747126</v>
      </c>
      <c r="T14" s="217">
        <f t="shared" si="9"/>
        <v>1400</v>
      </c>
      <c r="U14" s="217"/>
      <c r="V14" s="217"/>
      <c r="W14" s="218"/>
      <c r="X14" s="217"/>
      <c r="Y14" s="217"/>
      <c r="Z14" s="218">
        <f t="shared" si="1"/>
        <v>17210.988505747126</v>
      </c>
      <c r="AA14" s="218" t="str">
        <f t="shared" si="2"/>
        <v>16667</v>
      </c>
      <c r="AB14" s="219">
        <f t="shared" si="3"/>
        <v>16667</v>
      </c>
      <c r="AC14" s="220">
        <f>VLOOKUP(AB14,WTAX!E:F,2,0)</f>
        <v>0.2</v>
      </c>
      <c r="AD14" s="218">
        <f>VLOOKUP(AB14,WTAX!E:G,3,0)</f>
        <v>937.5</v>
      </c>
      <c r="AE14" s="218">
        <f t="shared" si="10"/>
        <v>108.79770114942512</v>
      </c>
      <c r="AF14" s="218">
        <f t="shared" si="11"/>
        <v>1046.2977011494252</v>
      </c>
      <c r="AG14" s="217">
        <f>VLOOKUP(B14,'Raw Sheet'!$B$8:$V$28,21,FALSE)</f>
        <v>0</v>
      </c>
      <c r="AH14" s="217">
        <f>VLOOKUP(B14,'Raw Sheet'!$B$8:$W$28,22,FALSE)</f>
        <v>0</v>
      </c>
      <c r="AI14" s="217">
        <f>VLOOKUP(B14,'Raw Sheet'!$B$8:$X$28,23,FALSE)</f>
        <v>0</v>
      </c>
      <c r="AJ14" s="217">
        <f>VLOOKUP(B14,'Raw Sheet'!$B$8:$Y$28,24,FALSE)</f>
        <v>0</v>
      </c>
      <c r="AK14" s="217">
        <f>[1]Labradores!$D$44</f>
        <v>4.942528743413277E-3</v>
      </c>
      <c r="AL14" s="217">
        <f t="shared" si="12"/>
        <v>1400</v>
      </c>
      <c r="AM14" s="391">
        <f t="shared" si="13"/>
        <v>17564.695747126443</v>
      </c>
      <c r="AN14" s="392">
        <v>0</v>
      </c>
      <c r="AO14" s="226">
        <v>0</v>
      </c>
      <c r="AP14" s="221">
        <v>0</v>
      </c>
      <c r="AQ14" s="217">
        <v>0</v>
      </c>
      <c r="AR14" s="217">
        <v>0</v>
      </c>
      <c r="AS14" s="222">
        <v>0</v>
      </c>
      <c r="AT14" s="223"/>
      <c r="AU14" s="224"/>
      <c r="AV14" s="224"/>
      <c r="AW14" s="225">
        <f t="shared" si="4"/>
        <v>0</v>
      </c>
      <c r="AX14" s="224">
        <f t="shared" si="5"/>
        <v>0</v>
      </c>
      <c r="AY14" s="225"/>
      <c r="AZ14" s="291">
        <f t="shared" si="6"/>
        <v>0</v>
      </c>
      <c r="BA14" s="375"/>
    </row>
    <row r="15" spans="1:53" s="160" customFormat="1" ht="15" customHeight="1">
      <c r="A15" s="212">
        <v>36</v>
      </c>
      <c r="B15" s="213">
        <v>73</v>
      </c>
      <c r="C15" s="214" t="s">
        <v>58</v>
      </c>
      <c r="D15" s="215">
        <f>VLOOKUP(B15,'Raw Sheet'!$B$8:$G$28,6,FALSE)</f>
        <v>90100</v>
      </c>
      <c r="E15" s="216">
        <f t="shared" si="7"/>
        <v>45050</v>
      </c>
      <c r="F15" s="217">
        <v>0</v>
      </c>
      <c r="G15" s="217">
        <f>VLOOKUP(B15,'Raw Sheet'!$B$8:$L$28,11,FALSE)/2</f>
        <v>1000</v>
      </c>
      <c r="H15" s="217">
        <f>VLOOKUP(B15,'Raw Sheet'!$B$8:$M$28,12,FALSE)/2</f>
        <v>250</v>
      </c>
      <c r="I15" s="217">
        <f>VLOOKUP(B15,'Raw Sheet'!$B$8:$N$28,13,FALSE)/2</f>
        <v>150</v>
      </c>
      <c r="J15" s="217">
        <v>0</v>
      </c>
      <c r="K15" s="217">
        <v>0</v>
      </c>
      <c r="L15" s="217">
        <v>0</v>
      </c>
      <c r="M15" s="217">
        <v>0</v>
      </c>
      <c r="N15" s="217">
        <f>'Raw Sheet'!AH15+'Raw Sheet'!AL15</f>
        <v>0</v>
      </c>
      <c r="O15" s="217">
        <f>SUM('Raw Sheet'!AJ15,'Raw Sheet'!AP15,'Raw Sheet'!BB15,'Raw Sheet'!BH15)</f>
        <v>0</v>
      </c>
      <c r="P15" s="217">
        <f>'Raw Sheet'!BJ15</f>
        <v>0</v>
      </c>
      <c r="Q15" s="217">
        <f>'Raw Sheet'!BD15</f>
        <v>0</v>
      </c>
      <c r="R15" s="217">
        <f t="shared" si="8"/>
        <v>46450</v>
      </c>
      <c r="S15" s="217">
        <f t="shared" si="0"/>
        <v>45050</v>
      </c>
      <c r="T15" s="217">
        <f t="shared" si="9"/>
        <v>1400</v>
      </c>
      <c r="U15" s="217"/>
      <c r="V15" s="217"/>
      <c r="W15" s="218"/>
      <c r="X15" s="217"/>
      <c r="Y15" s="217"/>
      <c r="Z15" s="218">
        <f t="shared" si="1"/>
        <v>45050</v>
      </c>
      <c r="AA15" s="218" t="str">
        <f t="shared" si="2"/>
        <v>33333</v>
      </c>
      <c r="AB15" s="219">
        <f t="shared" si="3"/>
        <v>33333</v>
      </c>
      <c r="AC15" s="220">
        <f>VLOOKUP(AB15,WTAX!E:F,2,0)</f>
        <v>0.25</v>
      </c>
      <c r="AD15" s="218">
        <f>VLOOKUP(AB15,WTAX!E:G,3,0)</f>
        <v>4270.7</v>
      </c>
      <c r="AE15" s="218">
        <f t="shared" si="10"/>
        <v>2929.25</v>
      </c>
      <c r="AF15" s="218">
        <f t="shared" si="11"/>
        <v>7199.95</v>
      </c>
      <c r="AG15" s="217">
        <f>VLOOKUP(B15,'Raw Sheet'!$B$8:$V$28,21,FALSE)</f>
        <v>0</v>
      </c>
      <c r="AH15" s="217">
        <f>VLOOKUP(B15,'Raw Sheet'!$B$8:$W$28,22,FALSE)</f>
        <v>0</v>
      </c>
      <c r="AI15" s="217">
        <f>VLOOKUP(B15,'Raw Sheet'!$B$8:$X$28,23,FALSE)</f>
        <v>0</v>
      </c>
      <c r="AJ15" s="217">
        <f>VLOOKUP(B15,'Raw Sheet'!$B$8:$Y$28,24,FALSE)</f>
        <v>0</v>
      </c>
      <c r="AK15" s="217">
        <f>[1]Penaranda!$D$44</f>
        <v>0</v>
      </c>
      <c r="AL15" s="217">
        <f t="shared" si="12"/>
        <v>1400</v>
      </c>
      <c r="AM15" s="391">
        <f t="shared" si="13"/>
        <v>39250.050000000003</v>
      </c>
      <c r="AN15" s="392">
        <v>0</v>
      </c>
      <c r="AO15" s="226">
        <v>0</v>
      </c>
      <c r="AP15" s="221">
        <v>0</v>
      </c>
      <c r="AQ15" s="217">
        <v>0</v>
      </c>
      <c r="AR15" s="217">
        <v>0</v>
      </c>
      <c r="AS15" s="222">
        <v>0</v>
      </c>
      <c r="AT15" s="223"/>
      <c r="AU15" s="224"/>
      <c r="AV15" s="224"/>
      <c r="AW15" s="225">
        <f t="shared" si="4"/>
        <v>0</v>
      </c>
      <c r="AX15" s="224">
        <f t="shared" si="5"/>
        <v>0</v>
      </c>
      <c r="AY15" s="225"/>
      <c r="AZ15" s="291">
        <f t="shared" si="6"/>
        <v>0</v>
      </c>
    </row>
    <row r="16" spans="1:53" s="160" customFormat="1" ht="15" customHeight="1">
      <c r="A16" s="212">
        <v>37</v>
      </c>
      <c r="B16" s="213">
        <v>75</v>
      </c>
      <c r="C16" s="214" t="s">
        <v>59</v>
      </c>
      <c r="D16" s="215">
        <f>VLOOKUP(B16,'Raw Sheet'!$B$8:$G$28,6,FALSE)</f>
        <v>133125</v>
      </c>
      <c r="E16" s="216">
        <f t="shared" si="7"/>
        <v>66562.5</v>
      </c>
      <c r="F16" s="217">
        <v>0</v>
      </c>
      <c r="G16" s="217">
        <f>VLOOKUP(B16,'Raw Sheet'!$B$8:$L$28,11,FALSE)/2</f>
        <v>1000</v>
      </c>
      <c r="H16" s="217">
        <f>VLOOKUP(B16,'Raw Sheet'!$B$8:$M$28,12,FALSE)/2</f>
        <v>250</v>
      </c>
      <c r="I16" s="217">
        <f>VLOOKUP(B16,'Raw Sheet'!$B$8:$N$28,13,FALSE)/2</f>
        <v>150</v>
      </c>
      <c r="J16" s="217">
        <v>0</v>
      </c>
      <c r="K16" s="217">
        <v>0</v>
      </c>
      <c r="L16" s="217">
        <v>0</v>
      </c>
      <c r="M16" s="217">
        <v>0</v>
      </c>
      <c r="N16" s="217">
        <f>'Raw Sheet'!AH16+'Raw Sheet'!AL16</f>
        <v>0</v>
      </c>
      <c r="O16" s="217">
        <f>SUM('Raw Sheet'!AJ16,'Raw Sheet'!AP16,'Raw Sheet'!BB16,'Raw Sheet'!BH16)</f>
        <v>3060.344827586207</v>
      </c>
      <c r="P16" s="217">
        <f>'Raw Sheet'!BJ16</f>
        <v>0</v>
      </c>
      <c r="Q16" s="217">
        <f>'Raw Sheet'!BD16</f>
        <v>0</v>
      </c>
      <c r="R16" s="217">
        <f t="shared" si="8"/>
        <v>71022.844827586203</v>
      </c>
      <c r="S16" s="217">
        <f t="shared" si="0"/>
        <v>69622.844827586203</v>
      </c>
      <c r="T16" s="217">
        <f t="shared" si="9"/>
        <v>1400</v>
      </c>
      <c r="U16" s="217"/>
      <c r="V16" s="217"/>
      <c r="W16" s="218"/>
      <c r="X16" s="217"/>
      <c r="Y16" s="217"/>
      <c r="Z16" s="218">
        <f t="shared" si="1"/>
        <v>69622.844827586203</v>
      </c>
      <c r="AA16" s="218" t="str">
        <f t="shared" si="2"/>
        <v>33333</v>
      </c>
      <c r="AB16" s="219">
        <f t="shared" si="3"/>
        <v>33333</v>
      </c>
      <c r="AC16" s="220">
        <f>VLOOKUP(AB16,WTAX!E:F,2,0)</f>
        <v>0.25</v>
      </c>
      <c r="AD16" s="218">
        <f>VLOOKUP(AB16,WTAX!E:G,3,0)</f>
        <v>4270.7</v>
      </c>
      <c r="AE16" s="218">
        <f t="shared" si="10"/>
        <v>9072.4612068965507</v>
      </c>
      <c r="AF16" s="218">
        <f t="shared" si="11"/>
        <v>13343.161206896551</v>
      </c>
      <c r="AG16" s="217">
        <f>VLOOKUP(B16,'Raw Sheet'!$B$8:$V$28,21,FALSE)</f>
        <v>0</v>
      </c>
      <c r="AH16" s="217">
        <f>VLOOKUP(B16,'Raw Sheet'!$B$8:$W$28,22,FALSE)</f>
        <v>0</v>
      </c>
      <c r="AI16" s="217">
        <f>VLOOKUP(B16,'Raw Sheet'!$B$8:$X$28,23,FALSE)</f>
        <v>0</v>
      </c>
      <c r="AJ16" s="217">
        <f>VLOOKUP(B16,'Raw Sheet'!$B$8:$Y$28,24,FALSE)</f>
        <v>0</v>
      </c>
      <c r="AK16" s="217">
        <f>[1]Cabante!$D$44</f>
        <v>4.2816090863198042E-3</v>
      </c>
      <c r="AL16" s="217">
        <f t="shared" si="12"/>
        <v>1400</v>
      </c>
      <c r="AM16" s="391">
        <f t="shared" si="13"/>
        <v>57679.687902298741</v>
      </c>
      <c r="AN16" s="392">
        <v>0</v>
      </c>
      <c r="AO16" s="226">
        <v>0</v>
      </c>
      <c r="AP16" s="221">
        <v>0</v>
      </c>
      <c r="AQ16" s="217">
        <v>0</v>
      </c>
      <c r="AR16" s="217">
        <v>0</v>
      </c>
      <c r="AS16" s="222">
        <v>0</v>
      </c>
      <c r="AT16" s="223"/>
      <c r="AU16" s="224"/>
      <c r="AV16" s="224"/>
      <c r="AW16" s="225">
        <f t="shared" si="4"/>
        <v>0</v>
      </c>
      <c r="AX16" s="224">
        <f t="shared" si="5"/>
        <v>0</v>
      </c>
      <c r="AY16" s="225"/>
      <c r="AZ16" s="291">
        <f t="shared" si="6"/>
        <v>0</v>
      </c>
    </row>
    <row r="17" spans="1:53" s="160" customFormat="1" ht="15" customHeight="1">
      <c r="A17" s="212">
        <v>39</v>
      </c>
      <c r="B17" s="213">
        <v>79</v>
      </c>
      <c r="C17" s="214" t="s">
        <v>60</v>
      </c>
      <c r="D17" s="215">
        <f>VLOOKUP(B17,'Raw Sheet'!$B$8:$G$28,6,FALSE)</f>
        <v>26250</v>
      </c>
      <c r="E17" s="216">
        <f t="shared" si="7"/>
        <v>13125</v>
      </c>
      <c r="F17" s="217">
        <v>0</v>
      </c>
      <c r="G17" s="217">
        <f>VLOOKUP(B17,'Raw Sheet'!$B$8:$L$28,11,FALSE)/2</f>
        <v>1000</v>
      </c>
      <c r="H17" s="217">
        <f>VLOOKUP(B17,'Raw Sheet'!$B$8:$M$28,12,FALSE)/2</f>
        <v>250</v>
      </c>
      <c r="I17" s="217">
        <f>VLOOKUP(B17,'Raw Sheet'!$B$8:$N$28,13,FALSE)/2</f>
        <v>150</v>
      </c>
      <c r="J17" s="217">
        <v>0</v>
      </c>
      <c r="K17" s="217">
        <v>0</v>
      </c>
      <c r="L17" s="217">
        <v>0</v>
      </c>
      <c r="M17" s="217">
        <v>0</v>
      </c>
      <c r="N17" s="217">
        <f>'Raw Sheet'!AH17+'Raw Sheet'!AL17</f>
        <v>3439.655172413793</v>
      </c>
      <c r="O17" s="217">
        <f>SUM('Raw Sheet'!AJ17,'Raw Sheet'!AP17,'Raw Sheet'!BB17,'Raw Sheet'!BH17)</f>
        <v>1297.4137931034484</v>
      </c>
      <c r="P17" s="217">
        <f>'Raw Sheet'!BJ17</f>
        <v>0</v>
      </c>
      <c r="Q17" s="217">
        <f>'Raw Sheet'!BD17</f>
        <v>0</v>
      </c>
      <c r="R17" s="217">
        <f t="shared" si="8"/>
        <v>19262.068965517243</v>
      </c>
      <c r="S17" s="217">
        <f t="shared" si="0"/>
        <v>17862.068965517239</v>
      </c>
      <c r="T17" s="217">
        <f t="shared" si="9"/>
        <v>1400</v>
      </c>
      <c r="U17" s="217"/>
      <c r="V17" s="217"/>
      <c r="W17" s="218"/>
      <c r="X17" s="217"/>
      <c r="Y17" s="217"/>
      <c r="Z17" s="218">
        <f t="shared" si="1"/>
        <v>17862.068965517239</v>
      </c>
      <c r="AA17" s="218" t="str">
        <f t="shared" si="2"/>
        <v>16667</v>
      </c>
      <c r="AB17" s="219">
        <f t="shared" si="3"/>
        <v>16667</v>
      </c>
      <c r="AC17" s="220">
        <f>VLOOKUP(AB17,WTAX!E:F,2,0)</f>
        <v>0.2</v>
      </c>
      <c r="AD17" s="218">
        <f>VLOOKUP(AB17,WTAX!E:G,3,0)</f>
        <v>937.5</v>
      </c>
      <c r="AE17" s="218">
        <f t="shared" si="10"/>
        <v>239.01379310344782</v>
      </c>
      <c r="AF17" s="218">
        <f t="shared" si="11"/>
        <v>1176.5137931034478</v>
      </c>
      <c r="AG17" s="217">
        <f>VLOOKUP(B17,'Raw Sheet'!$B$8:$V$28,21,FALSE)</f>
        <v>0</v>
      </c>
      <c r="AH17" s="217">
        <f>VLOOKUP(B17,'Raw Sheet'!$B$8:$W$28,22,FALSE)</f>
        <v>0</v>
      </c>
      <c r="AI17" s="217">
        <f>VLOOKUP(B17,'Raw Sheet'!$B$8:$X$28,23,FALSE)</f>
        <v>0</v>
      </c>
      <c r="AJ17" s="217">
        <f>VLOOKUP(B17,'Raw Sheet'!$B$8:$Y$28,24,FALSE)</f>
        <v>0</v>
      </c>
      <c r="AK17" s="217">
        <f>[1]Zamora!$D$44</f>
        <v>-2.2413793103623902E-3</v>
      </c>
      <c r="AL17" s="217">
        <f t="shared" si="12"/>
        <v>1400</v>
      </c>
      <c r="AM17" s="391">
        <f t="shared" si="13"/>
        <v>18085.552931034479</v>
      </c>
      <c r="AN17" s="392">
        <v>0</v>
      </c>
      <c r="AO17" s="226">
        <v>0</v>
      </c>
      <c r="AP17" s="221">
        <v>0</v>
      </c>
      <c r="AQ17" s="217">
        <v>0</v>
      </c>
      <c r="AR17" s="217">
        <v>0</v>
      </c>
      <c r="AS17" s="222">
        <v>0</v>
      </c>
      <c r="AT17" s="223"/>
      <c r="AU17" s="224"/>
      <c r="AV17" s="224"/>
      <c r="AW17" s="225">
        <f t="shared" si="4"/>
        <v>0</v>
      </c>
      <c r="AX17" s="224">
        <f t="shared" si="5"/>
        <v>0</v>
      </c>
      <c r="AY17" s="225"/>
      <c r="AZ17" s="291">
        <f t="shared" si="6"/>
        <v>0</v>
      </c>
      <c r="BA17" s="225"/>
    </row>
    <row r="18" spans="1:53" s="160" customFormat="1" ht="15" customHeight="1">
      <c r="A18" s="212">
        <v>41</v>
      </c>
      <c r="B18" s="213">
        <v>83</v>
      </c>
      <c r="C18" s="214" t="s">
        <v>61</v>
      </c>
      <c r="D18" s="215">
        <f>VLOOKUP(B18,'Raw Sheet'!$B$8:$G$28,6,FALSE)</f>
        <v>28646</v>
      </c>
      <c r="E18" s="216">
        <f t="shared" si="7"/>
        <v>14323</v>
      </c>
      <c r="F18" s="217">
        <v>0</v>
      </c>
      <c r="G18" s="217">
        <f>VLOOKUP(B18,'Raw Sheet'!$B$8:$L$28,11,FALSE)/2</f>
        <v>1000</v>
      </c>
      <c r="H18" s="217">
        <f>VLOOKUP(B18,'Raw Sheet'!$B$8:$M$28,12,FALSE)/2</f>
        <v>250</v>
      </c>
      <c r="I18" s="217">
        <f>VLOOKUP(B18,'Raw Sheet'!$B$8:$N$28,13,FALSE)/2</f>
        <v>150</v>
      </c>
      <c r="J18" s="217">
        <v>0</v>
      </c>
      <c r="K18" s="217">
        <v>0</v>
      </c>
      <c r="L18" s="217">
        <v>0</v>
      </c>
      <c r="M18" s="217">
        <v>0</v>
      </c>
      <c r="N18" s="217">
        <f>'Raw Sheet'!AH18+'Raw Sheet'!AL18</f>
        <v>0</v>
      </c>
      <c r="O18" s="217">
        <f>SUM('Raw Sheet'!AJ18,'Raw Sheet'!AP18,'Raw Sheet'!BB18,'Raw Sheet'!BH18)</f>
        <v>1317.0574712643679</v>
      </c>
      <c r="P18" s="217">
        <f>'Raw Sheet'!BJ18</f>
        <v>0</v>
      </c>
      <c r="Q18" s="217">
        <f>'Raw Sheet'!BD18</f>
        <v>329.26436781609198</v>
      </c>
      <c r="R18" s="217">
        <f t="shared" si="8"/>
        <v>17369.321839080461</v>
      </c>
      <c r="S18" s="217">
        <f t="shared" si="0"/>
        <v>15969.32183908046</v>
      </c>
      <c r="T18" s="217">
        <f t="shared" si="9"/>
        <v>1400</v>
      </c>
      <c r="U18" s="217"/>
      <c r="V18" s="217"/>
      <c r="W18" s="218"/>
      <c r="X18" s="217"/>
      <c r="Y18" s="217"/>
      <c r="Z18" s="218">
        <f t="shared" si="1"/>
        <v>15969.32183908046</v>
      </c>
      <c r="AA18" s="218" t="str">
        <f t="shared" si="2"/>
        <v>10417</v>
      </c>
      <c r="AB18" s="219">
        <f t="shared" si="3"/>
        <v>10417</v>
      </c>
      <c r="AC18" s="220">
        <f>VLOOKUP(AB18,WTAX!E:F,2,0)</f>
        <v>0.15</v>
      </c>
      <c r="AD18" s="218">
        <f>VLOOKUP(AB18,WTAX!E:G,3,0)</f>
        <v>0</v>
      </c>
      <c r="AE18" s="218">
        <f t="shared" si="10"/>
        <v>832.84827586206893</v>
      </c>
      <c r="AF18" s="218">
        <f t="shared" si="11"/>
        <v>832.84827586206893</v>
      </c>
      <c r="AG18" s="217">
        <f>VLOOKUP(B18,'Raw Sheet'!$B$8:$V$28,21,FALSE)</f>
        <v>0</v>
      </c>
      <c r="AH18" s="217">
        <f>VLOOKUP(B18,'Raw Sheet'!$B$8:$W$28,22,FALSE)</f>
        <v>0</v>
      </c>
      <c r="AI18" s="217">
        <f>VLOOKUP(B18,'Raw Sheet'!$B$8:$X$28,23,FALSE)</f>
        <v>0</v>
      </c>
      <c r="AJ18" s="217">
        <f>VLOOKUP(B18,'Raw Sheet'!$B$8:$Y$28,24,FALSE)</f>
        <v>0</v>
      </c>
      <c r="AK18" s="217">
        <f>[1]Belarma!$D$44</f>
        <v>1.5517241372435819E-3</v>
      </c>
      <c r="AL18" s="217">
        <f t="shared" si="12"/>
        <v>1400</v>
      </c>
      <c r="AM18" s="391">
        <f t="shared" si="13"/>
        <v>16536.475114942528</v>
      </c>
      <c r="AN18" s="392">
        <v>0</v>
      </c>
      <c r="AO18" s="226">
        <v>0</v>
      </c>
      <c r="AP18" s="221">
        <v>0</v>
      </c>
      <c r="AQ18" s="217">
        <v>0</v>
      </c>
      <c r="AR18" s="217">
        <v>0</v>
      </c>
      <c r="AS18" s="222">
        <v>0</v>
      </c>
      <c r="AT18" s="223"/>
      <c r="AU18" s="224"/>
      <c r="AV18" s="224"/>
      <c r="AW18" s="225">
        <f t="shared" si="4"/>
        <v>0</v>
      </c>
      <c r="AX18" s="224">
        <f t="shared" si="5"/>
        <v>0</v>
      </c>
      <c r="AY18" s="225"/>
      <c r="AZ18" s="291">
        <f t="shared" si="6"/>
        <v>0</v>
      </c>
      <c r="BA18" s="225"/>
    </row>
    <row r="19" spans="1:53" s="160" customFormat="1" ht="15" customHeight="1">
      <c r="A19" s="212">
        <v>42</v>
      </c>
      <c r="B19" s="213">
        <v>85</v>
      </c>
      <c r="C19" s="214" t="s">
        <v>62</v>
      </c>
      <c r="D19" s="215">
        <f>VLOOKUP(B19,'Raw Sheet'!$B$8:$G$28,6,FALSE)</f>
        <v>187500</v>
      </c>
      <c r="E19" s="216">
        <f t="shared" si="7"/>
        <v>93750</v>
      </c>
      <c r="F19" s="217">
        <v>0</v>
      </c>
      <c r="G19" s="217">
        <f>VLOOKUP(B19,'Raw Sheet'!$B$8:$L$28,11,FALSE)/2</f>
        <v>1000</v>
      </c>
      <c r="H19" s="217">
        <f>VLOOKUP(B19,'Raw Sheet'!$B$8:$M$28,12,FALSE)/2</f>
        <v>250</v>
      </c>
      <c r="I19" s="217">
        <f>VLOOKUP(B19,'Raw Sheet'!$B$8:$N$28,13,FALSE)/2</f>
        <v>150</v>
      </c>
      <c r="J19" s="217">
        <v>0</v>
      </c>
      <c r="K19" s="217">
        <v>0</v>
      </c>
      <c r="L19" s="217">
        <v>0</v>
      </c>
      <c r="M19" s="217">
        <v>0</v>
      </c>
      <c r="N19" s="217">
        <f>'Raw Sheet'!AH19+'Raw Sheet'!AL19</f>
        <v>0</v>
      </c>
      <c r="O19" s="217">
        <f>SUM('Raw Sheet'!AJ19,'Raw Sheet'!AP19,'Raw Sheet'!BB19,'Raw Sheet'!BH19)</f>
        <v>2155.1724137931033</v>
      </c>
      <c r="P19" s="217">
        <f>'Raw Sheet'!BJ19</f>
        <v>0</v>
      </c>
      <c r="Q19" s="217">
        <f>'Raw Sheet'!BD19</f>
        <v>0</v>
      </c>
      <c r="R19" s="217">
        <f t="shared" si="8"/>
        <v>97305.172413793101</v>
      </c>
      <c r="S19" s="217">
        <f t="shared" si="0"/>
        <v>95905.172413793101</v>
      </c>
      <c r="T19" s="217">
        <f t="shared" si="9"/>
        <v>1400</v>
      </c>
      <c r="U19" s="217"/>
      <c r="V19" s="217"/>
      <c r="W19" s="218"/>
      <c r="X19" s="217"/>
      <c r="Y19" s="217"/>
      <c r="Z19" s="218">
        <f t="shared" si="1"/>
        <v>95905.172413793101</v>
      </c>
      <c r="AA19" s="218" t="str">
        <f t="shared" si="2"/>
        <v>83333</v>
      </c>
      <c r="AB19" s="219">
        <f t="shared" si="3"/>
        <v>83333</v>
      </c>
      <c r="AC19" s="220">
        <f>VLOOKUP(AB19,WTAX!E:F,2,0)</f>
        <v>0.3</v>
      </c>
      <c r="AD19" s="218">
        <f>VLOOKUP(AB19,WTAX!E:G,3,0)</f>
        <v>16770.7</v>
      </c>
      <c r="AE19" s="218">
        <f t="shared" si="10"/>
        <v>3771.6517241379302</v>
      </c>
      <c r="AF19" s="218">
        <f t="shared" si="11"/>
        <v>20542.35172413793</v>
      </c>
      <c r="AG19" s="217">
        <f>VLOOKUP(B19,'Raw Sheet'!$B$8:$V$28,21,FALSE)</f>
        <v>0</v>
      </c>
      <c r="AH19" s="217">
        <f>VLOOKUP(B19,'Raw Sheet'!$B$8:$W$28,22,FALSE)</f>
        <v>0</v>
      </c>
      <c r="AI19" s="217">
        <f>VLOOKUP(B19,'Raw Sheet'!$B$8:$X$28,23,FALSE)</f>
        <v>0</v>
      </c>
      <c r="AJ19" s="217">
        <f>VLOOKUP(B19,'Raw Sheet'!$B$8:$Y$28,24,FALSE)</f>
        <v>0</v>
      </c>
      <c r="AK19" s="217">
        <f>[1]Virtudes!$D$44</f>
        <v>0</v>
      </c>
      <c r="AL19" s="217">
        <f t="shared" si="12"/>
        <v>1400</v>
      </c>
      <c r="AM19" s="391">
        <f t="shared" si="13"/>
        <v>76762.820689655171</v>
      </c>
      <c r="AN19" s="392">
        <v>0</v>
      </c>
      <c r="AO19" s="226">
        <v>0</v>
      </c>
      <c r="AP19" s="221">
        <v>0</v>
      </c>
      <c r="AQ19" s="217">
        <v>0</v>
      </c>
      <c r="AR19" s="217">
        <v>0</v>
      </c>
      <c r="AS19" s="222">
        <v>0</v>
      </c>
      <c r="AT19" s="223"/>
      <c r="AU19" s="224"/>
      <c r="AV19" s="224"/>
      <c r="AW19" s="225">
        <f t="shared" si="4"/>
        <v>0</v>
      </c>
      <c r="AX19" s="224">
        <f t="shared" si="5"/>
        <v>0</v>
      </c>
      <c r="AY19" s="225"/>
      <c r="AZ19" s="291">
        <f t="shared" si="6"/>
        <v>0</v>
      </c>
      <c r="BA19" s="225"/>
    </row>
    <row r="20" spans="1:53" s="160" customFormat="1" ht="15" customHeight="1">
      <c r="A20" s="212">
        <v>43</v>
      </c>
      <c r="B20" s="213">
        <v>87</v>
      </c>
      <c r="C20" s="214" t="s">
        <v>63</v>
      </c>
      <c r="D20" s="215">
        <f>VLOOKUP(B20,'Raw Sheet'!$B$8:$G$28,6,FALSE)</f>
        <v>102816</v>
      </c>
      <c r="E20" s="216">
        <f t="shared" si="7"/>
        <v>51408</v>
      </c>
      <c r="F20" s="217">
        <v>0</v>
      </c>
      <c r="G20" s="217">
        <f>VLOOKUP(B20,'Raw Sheet'!$B$8:$L$28,11,FALSE)/2</f>
        <v>1000</v>
      </c>
      <c r="H20" s="217">
        <f>VLOOKUP(B20,'Raw Sheet'!$B$8:$M$28,12,FALSE)/2</f>
        <v>250</v>
      </c>
      <c r="I20" s="217">
        <f>VLOOKUP(B20,'Raw Sheet'!$B$8:$N$28,13,FALSE)/2</f>
        <v>150</v>
      </c>
      <c r="J20" s="217">
        <v>0</v>
      </c>
      <c r="K20" s="217">
        <v>0</v>
      </c>
      <c r="L20" s="217">
        <v>0</v>
      </c>
      <c r="M20" s="217">
        <v>0</v>
      </c>
      <c r="N20" s="217">
        <f>'Raw Sheet'!AH20+'Raw Sheet'!AL20</f>
        <v>0</v>
      </c>
      <c r="O20" s="217">
        <f>SUM('Raw Sheet'!AJ20,'Raw Sheet'!AP20,'Raw Sheet'!BB20,'Raw Sheet'!BH20)</f>
        <v>0</v>
      </c>
      <c r="P20" s="217">
        <f>'Raw Sheet'!BJ20</f>
        <v>-14181.51724137931</v>
      </c>
      <c r="Q20" s="217">
        <f>'Raw Sheet'!BD20</f>
        <v>0</v>
      </c>
      <c r="R20" s="217">
        <f t="shared" si="8"/>
        <v>38626.482758620688</v>
      </c>
      <c r="S20" s="217">
        <f t="shared" si="0"/>
        <v>37226.482758620688</v>
      </c>
      <c r="T20" s="217">
        <f t="shared" si="9"/>
        <v>1400</v>
      </c>
      <c r="U20" s="217"/>
      <c r="V20" s="217"/>
      <c r="W20" s="218"/>
      <c r="X20" s="217"/>
      <c r="Y20" s="217"/>
      <c r="Z20" s="218">
        <f t="shared" si="1"/>
        <v>37226.482758620688</v>
      </c>
      <c r="AA20" s="218" t="str">
        <f t="shared" si="2"/>
        <v>33333</v>
      </c>
      <c r="AB20" s="219">
        <f t="shared" si="3"/>
        <v>33333</v>
      </c>
      <c r="AC20" s="220">
        <f>VLOOKUP(AB20,WTAX!E:F,2,0)</f>
        <v>0.25</v>
      </c>
      <c r="AD20" s="218">
        <f>VLOOKUP(AB20,WTAX!E:G,3,0)</f>
        <v>4270.7</v>
      </c>
      <c r="AE20" s="218">
        <f t="shared" si="10"/>
        <v>973.3706896551721</v>
      </c>
      <c r="AF20" s="218">
        <f t="shared" si="11"/>
        <v>5244.0706896551719</v>
      </c>
      <c r="AG20" s="217">
        <f>VLOOKUP(B20,'Raw Sheet'!$B$8:$V$28,21,FALSE)</f>
        <v>0</v>
      </c>
      <c r="AH20" s="217">
        <f>VLOOKUP(B20,'Raw Sheet'!$B$8:$W$28,22,FALSE)</f>
        <v>0</v>
      </c>
      <c r="AI20" s="217">
        <f>VLOOKUP(B20,'Raw Sheet'!$B$8:$X$28,23,FALSE)</f>
        <v>0</v>
      </c>
      <c r="AJ20" s="217">
        <f>VLOOKUP(B20,'Raw Sheet'!$B$8:$Y$28,24,FALSE)</f>
        <v>0</v>
      </c>
      <c r="AK20" s="217">
        <f>[1]Bautista!$D$44</f>
        <v>-2.2988506534602493E-3</v>
      </c>
      <c r="AL20" s="217">
        <f t="shared" si="12"/>
        <v>1400</v>
      </c>
      <c r="AM20" s="391">
        <f t="shared" si="13"/>
        <v>33382.409770114864</v>
      </c>
      <c r="AN20" s="392">
        <v>0</v>
      </c>
      <c r="AO20" s="226">
        <v>0</v>
      </c>
      <c r="AP20" s="221">
        <v>0</v>
      </c>
      <c r="AQ20" s="217">
        <v>0</v>
      </c>
      <c r="AR20" s="217">
        <v>0</v>
      </c>
      <c r="AS20" s="222">
        <v>0</v>
      </c>
      <c r="AT20" s="223"/>
      <c r="AU20" s="224"/>
      <c r="AV20" s="224"/>
      <c r="AW20" s="225">
        <f t="shared" si="4"/>
        <v>0</v>
      </c>
      <c r="AX20" s="224">
        <f t="shared" si="5"/>
        <v>0</v>
      </c>
      <c r="AY20" s="225"/>
      <c r="AZ20" s="291">
        <f t="shared" si="6"/>
        <v>0</v>
      </c>
      <c r="BA20" s="225"/>
    </row>
    <row r="21" spans="1:53" s="160" customFormat="1" ht="15" customHeight="1">
      <c r="A21" s="212">
        <v>44</v>
      </c>
      <c r="B21" s="213">
        <v>89</v>
      </c>
      <c r="C21" s="214" t="s">
        <v>64</v>
      </c>
      <c r="D21" s="215">
        <f>VLOOKUP(B21,'Raw Sheet'!$B$8:$G$28,6,FALSE)</f>
        <v>24700</v>
      </c>
      <c r="E21" s="216">
        <f t="shared" si="7"/>
        <v>12350</v>
      </c>
      <c r="F21" s="217">
        <v>0</v>
      </c>
      <c r="G21" s="217">
        <f>VLOOKUP(B21,'Raw Sheet'!$B$8:$L$28,11,FALSE)/2</f>
        <v>1000</v>
      </c>
      <c r="H21" s="217">
        <f>VLOOKUP(B21,'Raw Sheet'!$B$8:$M$28,12,FALSE)/2</f>
        <v>250</v>
      </c>
      <c r="I21" s="217">
        <f>VLOOKUP(B21,'Raw Sheet'!$B$8:$N$28,13,FALSE)/2</f>
        <v>150</v>
      </c>
      <c r="J21" s="217">
        <v>0</v>
      </c>
      <c r="K21" s="217">
        <v>0</v>
      </c>
      <c r="L21" s="217">
        <v>0</v>
      </c>
      <c r="M21" s="217">
        <v>0</v>
      </c>
      <c r="N21" s="217">
        <f>'Raw Sheet'!AH21+'Raw Sheet'!AL21</f>
        <v>0</v>
      </c>
      <c r="O21" s="217">
        <f>SUM('Raw Sheet'!AJ21,'Raw Sheet'!AP21,'Raw Sheet'!BB21,'Raw Sheet'!BH21)</f>
        <v>908.50574712643686</v>
      </c>
      <c r="P21" s="217">
        <f>'Raw Sheet'!BJ21</f>
        <v>0</v>
      </c>
      <c r="Q21" s="217">
        <f>'Raw Sheet'!BD21</f>
        <v>425.86206896551727</v>
      </c>
      <c r="R21" s="217">
        <f t="shared" si="8"/>
        <v>15084.367816091954</v>
      </c>
      <c r="S21" s="217">
        <f t="shared" si="0"/>
        <v>13684.367816091954</v>
      </c>
      <c r="T21" s="217">
        <f t="shared" si="9"/>
        <v>1400</v>
      </c>
      <c r="U21" s="217"/>
      <c r="V21" s="217"/>
      <c r="W21" s="218"/>
      <c r="X21" s="217"/>
      <c r="Y21" s="217"/>
      <c r="Z21" s="218">
        <f t="shared" si="1"/>
        <v>13684.367816091954</v>
      </c>
      <c r="AA21" s="218" t="str">
        <f t="shared" si="2"/>
        <v>10417</v>
      </c>
      <c r="AB21" s="219">
        <f t="shared" si="3"/>
        <v>10417</v>
      </c>
      <c r="AC21" s="220">
        <f>VLOOKUP(AB21,WTAX!E:F,2,0)</f>
        <v>0.15</v>
      </c>
      <c r="AD21" s="218">
        <f>VLOOKUP(AB21,WTAX!E:G,3,0)</f>
        <v>0</v>
      </c>
      <c r="AE21" s="218">
        <f t="shared" si="10"/>
        <v>490.10517241379301</v>
      </c>
      <c r="AF21" s="218">
        <f t="shared" si="11"/>
        <v>490.10517241379301</v>
      </c>
      <c r="AG21" s="217">
        <f>VLOOKUP(B21,'Raw Sheet'!$B$8:$V$28,21,FALSE)</f>
        <v>697.88</v>
      </c>
      <c r="AH21" s="217">
        <f>VLOOKUP(B21,'Raw Sheet'!$B$8:$W$28,22,FALSE)</f>
        <v>0</v>
      </c>
      <c r="AI21" s="217">
        <f>VLOOKUP(B21,'Raw Sheet'!$B$8:$X$28,23,FALSE)</f>
        <v>697.88</v>
      </c>
      <c r="AJ21" s="217">
        <f>VLOOKUP(B21,'Raw Sheet'!$B$8:$Y$28,24,FALSE)</f>
        <v>0</v>
      </c>
      <c r="AK21" s="217">
        <f>[1]Angeles!$D$44</f>
        <v>-6.8965517675678711E-4</v>
      </c>
      <c r="AL21" s="217">
        <f t="shared" si="12"/>
        <v>1400</v>
      </c>
      <c r="AM21" s="391">
        <f t="shared" si="13"/>
        <v>13198.501954022984</v>
      </c>
      <c r="AN21" s="392">
        <v>0</v>
      </c>
      <c r="AO21" s="226">
        <v>0</v>
      </c>
      <c r="AP21" s="221">
        <v>0</v>
      </c>
      <c r="AQ21" s="217">
        <v>0</v>
      </c>
      <c r="AR21" s="217">
        <v>0</v>
      </c>
      <c r="AS21" s="222">
        <v>0</v>
      </c>
      <c r="AT21" s="223"/>
      <c r="AU21" s="224"/>
      <c r="AV21" s="224"/>
      <c r="AW21" s="225">
        <f t="shared" si="4"/>
        <v>0</v>
      </c>
      <c r="AX21" s="224">
        <f t="shared" si="5"/>
        <v>0</v>
      </c>
      <c r="AY21" s="225"/>
      <c r="AZ21" s="291">
        <f t="shared" si="6"/>
        <v>0</v>
      </c>
      <c r="BA21" s="225"/>
    </row>
    <row r="22" spans="1:53" s="160" customFormat="1" ht="15" customHeight="1">
      <c r="A22" s="212">
        <v>45</v>
      </c>
      <c r="B22" s="213">
        <v>91</v>
      </c>
      <c r="C22" s="214" t="s">
        <v>65</v>
      </c>
      <c r="D22" s="215">
        <f>VLOOKUP(B22,'Raw Sheet'!$B$8:$G$28,6,FALSE)</f>
        <v>85000</v>
      </c>
      <c r="E22" s="216">
        <f t="shared" si="7"/>
        <v>42500</v>
      </c>
      <c r="F22" s="217">
        <v>0</v>
      </c>
      <c r="G22" s="217">
        <f>VLOOKUP(B22,'Raw Sheet'!$B$8:$L$28,11,FALSE)/2</f>
        <v>1000</v>
      </c>
      <c r="H22" s="217">
        <f>VLOOKUP(B22,'Raw Sheet'!$B$8:$M$28,12,FALSE)/2</f>
        <v>250</v>
      </c>
      <c r="I22" s="217">
        <f>VLOOKUP(B22,'Raw Sheet'!$B$8:$N$28,13,FALSE)/2</f>
        <v>150</v>
      </c>
      <c r="J22" s="217">
        <v>0</v>
      </c>
      <c r="K22" s="217">
        <v>0</v>
      </c>
      <c r="L22" s="217">
        <v>0</v>
      </c>
      <c r="M22" s="217">
        <v>0</v>
      </c>
      <c r="N22" s="217">
        <f>'Raw Sheet'!AH22+'Raw Sheet'!AL22</f>
        <v>7474.1379310344837</v>
      </c>
      <c r="O22" s="217">
        <f>SUM('Raw Sheet'!AJ22,'Raw Sheet'!AP22,'Raw Sheet'!BB22,'Raw Sheet'!BH22)</f>
        <v>3517.2413793103451</v>
      </c>
      <c r="P22" s="217">
        <f>'Raw Sheet'!BJ22</f>
        <v>0</v>
      </c>
      <c r="Q22" s="217">
        <f>'Raw Sheet'!BD22</f>
        <v>0</v>
      </c>
      <c r="R22" s="217">
        <f t="shared" si="8"/>
        <v>54891.379310344826</v>
      </c>
      <c r="S22" s="217">
        <f t="shared" si="0"/>
        <v>53491.379310344826</v>
      </c>
      <c r="T22" s="217">
        <f t="shared" si="9"/>
        <v>1400</v>
      </c>
      <c r="U22" s="217"/>
      <c r="V22" s="217"/>
      <c r="W22" s="218"/>
      <c r="X22" s="217"/>
      <c r="Y22" s="217"/>
      <c r="Z22" s="218">
        <f t="shared" si="1"/>
        <v>53491.379310344826</v>
      </c>
      <c r="AA22" s="218" t="str">
        <f t="shared" si="2"/>
        <v>33333</v>
      </c>
      <c r="AB22" s="219">
        <f t="shared" si="3"/>
        <v>33333</v>
      </c>
      <c r="AC22" s="220">
        <f>VLOOKUP(AB22,WTAX!E:F,2,0)</f>
        <v>0.25</v>
      </c>
      <c r="AD22" s="218">
        <f>VLOOKUP(AB22,WTAX!E:G,3,0)</f>
        <v>4270.7</v>
      </c>
      <c r="AE22" s="218">
        <f t="shared" si="10"/>
        <v>5039.5948275862065</v>
      </c>
      <c r="AF22" s="218">
        <f t="shared" si="11"/>
        <v>9310.2948275862072</v>
      </c>
      <c r="AG22" s="217">
        <f>VLOOKUP(B22,'Raw Sheet'!$B$8:$V$28,21,FALSE)</f>
        <v>0</v>
      </c>
      <c r="AH22" s="217">
        <f>VLOOKUP(B22,'Raw Sheet'!$B$8:$W$28,22,FALSE)</f>
        <v>0</v>
      </c>
      <c r="AI22" s="217">
        <f>VLOOKUP(B22,'Raw Sheet'!$B$8:$X$28,23,FALSE)</f>
        <v>0</v>
      </c>
      <c r="AJ22" s="217">
        <f>VLOOKUP(B22,'Raw Sheet'!$B$8:$Y$28,24,FALSE)</f>
        <v>0</v>
      </c>
      <c r="AK22" s="217">
        <f>[1]Morante!$D$44</f>
        <v>2.2988504497334361E-4</v>
      </c>
      <c r="AL22" s="217">
        <f t="shared" si="12"/>
        <v>1400</v>
      </c>
      <c r="AM22" s="391">
        <f t="shared" si="13"/>
        <v>45581.084712643664</v>
      </c>
      <c r="AN22" s="392">
        <v>0</v>
      </c>
      <c r="AO22" s="226">
        <v>0</v>
      </c>
      <c r="AP22" s="221">
        <v>0</v>
      </c>
      <c r="AQ22" s="217">
        <v>0</v>
      </c>
      <c r="AR22" s="217">
        <v>0</v>
      </c>
      <c r="AS22" s="222">
        <v>0</v>
      </c>
      <c r="AT22" s="223"/>
      <c r="AU22" s="224"/>
      <c r="AV22" s="224"/>
      <c r="AW22" s="225">
        <f t="shared" si="4"/>
        <v>0</v>
      </c>
      <c r="AX22" s="224">
        <f t="shared" si="5"/>
        <v>0</v>
      </c>
      <c r="AY22" s="225"/>
      <c r="AZ22" s="291">
        <f t="shared" si="6"/>
        <v>0</v>
      </c>
      <c r="BA22" s="225"/>
    </row>
    <row r="23" spans="1:53" s="160" customFormat="1" ht="15" customHeight="1">
      <c r="A23" s="212">
        <v>46</v>
      </c>
      <c r="B23" s="213">
        <v>93</v>
      </c>
      <c r="C23" s="214" t="s">
        <v>66</v>
      </c>
      <c r="D23" s="215">
        <f>VLOOKUP(B23,'Raw Sheet'!$B$8:$G$28,6,FALSE)</f>
        <v>130000</v>
      </c>
      <c r="E23" s="216">
        <f t="shared" si="7"/>
        <v>65000</v>
      </c>
      <c r="F23" s="217">
        <v>0</v>
      </c>
      <c r="G23" s="217">
        <f>VLOOKUP(B23,'Raw Sheet'!$B$8:$L$28,11,FALSE)/2</f>
        <v>1000</v>
      </c>
      <c r="H23" s="217">
        <f>VLOOKUP(B23,'Raw Sheet'!$B$8:$M$28,12,FALSE)/2</f>
        <v>250</v>
      </c>
      <c r="I23" s="217">
        <f>VLOOKUP(B23,'Raw Sheet'!$B$8:$N$28,13,FALSE)/2</f>
        <v>150</v>
      </c>
      <c r="J23" s="217">
        <v>0</v>
      </c>
      <c r="K23" s="217">
        <v>0</v>
      </c>
      <c r="L23" s="217">
        <v>0</v>
      </c>
      <c r="M23" s="217">
        <v>0</v>
      </c>
      <c r="N23" s="217">
        <f>'Raw Sheet'!AH23+'Raw Sheet'!AL23</f>
        <v>5715.5172413793098</v>
      </c>
      <c r="O23" s="217">
        <f>SUM('Raw Sheet'!AJ23,'Raw Sheet'!AP23,'Raw Sheet'!BB23,'Raw Sheet'!BH23)</f>
        <v>3586.2068965517237</v>
      </c>
      <c r="P23" s="217">
        <f>'Raw Sheet'!BJ23</f>
        <v>0</v>
      </c>
      <c r="Q23" s="217">
        <f>'Raw Sheet'!BD23</f>
        <v>0</v>
      </c>
      <c r="R23" s="217">
        <f t="shared" si="8"/>
        <v>75701.724137931029</v>
      </c>
      <c r="S23" s="217">
        <f t="shared" si="0"/>
        <v>74301.724137931029</v>
      </c>
      <c r="T23" s="217">
        <f t="shared" si="9"/>
        <v>1400</v>
      </c>
      <c r="U23" s="217"/>
      <c r="V23" s="217"/>
      <c r="W23" s="218"/>
      <c r="X23" s="217"/>
      <c r="Y23" s="217"/>
      <c r="Z23" s="218">
        <f t="shared" si="1"/>
        <v>74301.724137931029</v>
      </c>
      <c r="AA23" s="218" t="str">
        <f t="shared" si="2"/>
        <v>33333</v>
      </c>
      <c r="AB23" s="219">
        <f t="shared" si="3"/>
        <v>33333</v>
      </c>
      <c r="AC23" s="220">
        <f>VLOOKUP(AB23,WTAX!E:F,2,0)</f>
        <v>0.25</v>
      </c>
      <c r="AD23" s="218">
        <f>VLOOKUP(AB23,WTAX!E:G,3,0)</f>
        <v>4270.7</v>
      </c>
      <c r="AE23" s="218">
        <f t="shared" si="10"/>
        <v>10242.181034482757</v>
      </c>
      <c r="AF23" s="218">
        <f t="shared" si="11"/>
        <v>14512.881034482758</v>
      </c>
      <c r="AG23" s="217">
        <f>VLOOKUP(B23,'Raw Sheet'!$B$8:$V$28,21,FALSE)</f>
        <v>1845.8</v>
      </c>
      <c r="AH23" s="217">
        <f>VLOOKUP(B23,'Raw Sheet'!$B$8:$W$28,22,FALSE)</f>
        <v>0</v>
      </c>
      <c r="AI23" s="217">
        <f>VLOOKUP(B23,'Raw Sheet'!$B$8:$X$28,23,FALSE)</f>
        <v>0</v>
      </c>
      <c r="AJ23" s="217">
        <f>VLOOKUP(B23,'Raw Sheet'!$B$8:$Y$28,24,FALSE)</f>
        <v>0</v>
      </c>
      <c r="AK23" s="217">
        <f>-[1]Lindo!$D$44</f>
        <v>-9750.9511877396144</v>
      </c>
      <c r="AL23" s="217">
        <f t="shared" si="12"/>
        <v>1400</v>
      </c>
      <c r="AM23" s="391">
        <f t="shared" si="13"/>
        <v>49592.091915708661</v>
      </c>
      <c r="AN23" s="392">
        <v>0</v>
      </c>
      <c r="AO23" s="226">
        <v>0</v>
      </c>
      <c r="AP23" s="221">
        <v>0</v>
      </c>
      <c r="AQ23" s="217">
        <v>0</v>
      </c>
      <c r="AR23" s="217">
        <v>0</v>
      </c>
      <c r="AS23" s="222">
        <v>0</v>
      </c>
      <c r="AT23" s="223"/>
      <c r="AU23" s="224"/>
      <c r="AV23" s="224"/>
      <c r="AW23" s="225">
        <f t="shared" si="4"/>
        <v>0</v>
      </c>
      <c r="AX23" s="224">
        <f t="shared" si="5"/>
        <v>0</v>
      </c>
      <c r="AY23" s="225"/>
      <c r="AZ23" s="291">
        <f t="shared" si="6"/>
        <v>0</v>
      </c>
      <c r="BA23" s="225"/>
    </row>
    <row r="24" spans="1:53" s="160" customFormat="1" ht="15" customHeight="1">
      <c r="A24" s="212">
        <v>47</v>
      </c>
      <c r="B24" s="213">
        <v>95</v>
      </c>
      <c r="C24" s="214" t="s">
        <v>67</v>
      </c>
      <c r="D24" s="215">
        <f>VLOOKUP(B24,'Raw Sheet'!$B$8:$G$28,6,FALSE)</f>
        <v>30000</v>
      </c>
      <c r="E24" s="216">
        <f t="shared" si="7"/>
        <v>15000</v>
      </c>
      <c r="F24" s="217">
        <v>0</v>
      </c>
      <c r="G24" s="217">
        <f>VLOOKUP(B24,'Raw Sheet'!$B$8:$L$28,11,FALSE)/2</f>
        <v>1000</v>
      </c>
      <c r="H24" s="217">
        <f>VLOOKUP(B24,'Raw Sheet'!$B$8:$M$28,12,FALSE)/2</f>
        <v>250</v>
      </c>
      <c r="I24" s="217">
        <f>VLOOKUP(B24,'Raw Sheet'!$B$8:$N$28,13,FALSE)/2</f>
        <v>150</v>
      </c>
      <c r="J24" s="217">
        <v>0</v>
      </c>
      <c r="K24" s="217">
        <v>0</v>
      </c>
      <c r="L24" s="217">
        <v>0</v>
      </c>
      <c r="M24" s="217">
        <v>0</v>
      </c>
      <c r="N24" s="217">
        <f>'Raw Sheet'!AH24+'Raw Sheet'!AL24</f>
        <v>0</v>
      </c>
      <c r="O24" s="217">
        <f>SUM('Raw Sheet'!AJ24,'Raw Sheet'!AP24,'Raw Sheet'!BB24,'Raw Sheet'!BH24)</f>
        <v>275.86206896551727</v>
      </c>
      <c r="P24" s="217">
        <f>'Raw Sheet'!BJ24</f>
        <v>-1379.3103448275863</v>
      </c>
      <c r="Q24" s="217">
        <f>'Raw Sheet'!BD24</f>
        <v>1379.3103448275863</v>
      </c>
      <c r="R24" s="217">
        <f t="shared" si="8"/>
        <v>16675.862068965518</v>
      </c>
      <c r="S24" s="217">
        <f t="shared" si="0"/>
        <v>15275.862068965518</v>
      </c>
      <c r="T24" s="217">
        <f t="shared" si="9"/>
        <v>1400</v>
      </c>
      <c r="U24" s="374"/>
      <c r="V24" s="374"/>
      <c r="W24" s="218"/>
      <c r="X24" s="217"/>
      <c r="Y24" s="217"/>
      <c r="Z24" s="218">
        <f t="shared" si="1"/>
        <v>15275.862068965518</v>
      </c>
      <c r="AA24" s="218" t="str">
        <f t="shared" si="2"/>
        <v>10417</v>
      </c>
      <c r="AB24" s="219">
        <f t="shared" si="3"/>
        <v>10417</v>
      </c>
      <c r="AC24" s="220">
        <f>VLOOKUP(AB24,WTAX!E:F,2,0)</f>
        <v>0.15</v>
      </c>
      <c r="AD24" s="218">
        <f>VLOOKUP(AB24,WTAX!E:G,3,0)</f>
        <v>0</v>
      </c>
      <c r="AE24" s="218">
        <f t="shared" si="10"/>
        <v>728.82931034482772</v>
      </c>
      <c r="AF24" s="218">
        <f t="shared" si="11"/>
        <v>728.82931034482772</v>
      </c>
      <c r="AG24" s="217">
        <f>VLOOKUP(B24,'Raw Sheet'!$B$8:$V$28,21,FALSE)</f>
        <v>0</v>
      </c>
      <c r="AH24" s="217">
        <f>VLOOKUP(B24,'Raw Sheet'!$B$8:$W$28,22,FALSE)</f>
        <v>0</v>
      </c>
      <c r="AI24" s="217">
        <f>VLOOKUP(B24,'Raw Sheet'!$B$8:$X$28,23,FALSE)</f>
        <v>0</v>
      </c>
      <c r="AJ24" s="217">
        <f>VLOOKUP(B24,'Raw Sheet'!$B$8:$Y$28,24,FALSE)</f>
        <v>0</v>
      </c>
      <c r="AK24" s="217">
        <f>[1]Silva!$D$44</f>
        <v>-3.5862069107679417E-3</v>
      </c>
      <c r="AL24" s="217">
        <f t="shared" si="12"/>
        <v>1400</v>
      </c>
      <c r="AM24" s="391">
        <f t="shared" si="13"/>
        <v>15947.029172413781</v>
      </c>
      <c r="AN24" s="392">
        <v>0</v>
      </c>
      <c r="AO24" s="226">
        <v>0</v>
      </c>
      <c r="AP24" s="221">
        <v>0</v>
      </c>
      <c r="AQ24" s="217">
        <v>0</v>
      </c>
      <c r="AR24" s="217">
        <v>0</v>
      </c>
      <c r="AS24" s="222">
        <v>0</v>
      </c>
      <c r="AT24" s="223"/>
      <c r="AU24" s="224"/>
      <c r="AV24" s="224"/>
      <c r="AW24" s="225">
        <f t="shared" si="4"/>
        <v>0</v>
      </c>
      <c r="AX24" s="224">
        <f t="shared" si="5"/>
        <v>0</v>
      </c>
      <c r="AY24" s="225"/>
      <c r="AZ24" s="291">
        <f t="shared" si="6"/>
        <v>0</v>
      </c>
      <c r="BA24" s="225"/>
    </row>
    <row r="25" spans="1:53" s="160" customFormat="1" ht="15" customHeight="1">
      <c r="A25" s="212">
        <v>49</v>
      </c>
      <c r="B25" s="213">
        <v>99</v>
      </c>
      <c r="C25" s="214" t="s">
        <v>68</v>
      </c>
      <c r="D25" s="215">
        <f>VLOOKUP(B25,'Raw Sheet'!$B$8:$G$28,6,FALSE)</f>
        <v>28000</v>
      </c>
      <c r="E25" s="216">
        <f t="shared" si="7"/>
        <v>14000</v>
      </c>
      <c r="F25" s="217">
        <v>0</v>
      </c>
      <c r="G25" s="217">
        <f>VLOOKUP(B25,'Raw Sheet'!$B$8:$L$28,11,FALSE)/2</f>
        <v>1000</v>
      </c>
      <c r="H25" s="217">
        <f>VLOOKUP(B25,'Raw Sheet'!$B$8:$M$28,12,FALSE)/2</f>
        <v>250</v>
      </c>
      <c r="I25" s="217">
        <f>VLOOKUP(B25,'Raw Sheet'!$B$8:$N$28,13,FALSE)/2</f>
        <v>150</v>
      </c>
      <c r="J25" s="217">
        <v>0</v>
      </c>
      <c r="K25" s="217">
        <v>0</v>
      </c>
      <c r="L25" s="217">
        <v>0</v>
      </c>
      <c r="M25" s="217">
        <v>0</v>
      </c>
      <c r="N25" s="217">
        <f>'Raw Sheet'!AH25+'Raw Sheet'!AL25</f>
        <v>0</v>
      </c>
      <c r="O25" s="217">
        <f>SUM('Raw Sheet'!AJ25,'Raw Sheet'!AP25,'Raw Sheet'!BB25,'Raw Sheet'!BH25)</f>
        <v>321.83908045977012</v>
      </c>
      <c r="P25" s="217">
        <f>'Raw Sheet'!BJ25</f>
        <v>0</v>
      </c>
      <c r="Q25" s="217">
        <f>'Raw Sheet'!BD25</f>
        <v>0</v>
      </c>
      <c r="R25" s="217">
        <f t="shared" si="8"/>
        <v>15721.839080459769</v>
      </c>
      <c r="S25" s="217">
        <f t="shared" si="0"/>
        <v>14321.839080459769</v>
      </c>
      <c r="T25" s="217">
        <f t="shared" si="9"/>
        <v>1400</v>
      </c>
      <c r="U25" s="374"/>
      <c r="V25" s="374"/>
      <c r="W25" s="218"/>
      <c r="X25" s="217"/>
      <c r="Y25" s="217"/>
      <c r="Z25" s="218">
        <f t="shared" si="1"/>
        <v>14321.839080459769</v>
      </c>
      <c r="AA25" s="218" t="str">
        <f t="shared" si="2"/>
        <v>10417</v>
      </c>
      <c r="AB25" s="219">
        <f t="shared" si="3"/>
        <v>10417</v>
      </c>
      <c r="AC25" s="220">
        <f>VLOOKUP(AB25,WTAX!E:F,2,0)</f>
        <v>0.15</v>
      </c>
      <c r="AD25" s="218">
        <f>VLOOKUP(AB25,WTAX!E:G,3,0)</f>
        <v>0</v>
      </c>
      <c r="AE25" s="218">
        <f t="shared" si="10"/>
        <v>585.7258620689654</v>
      </c>
      <c r="AF25" s="218">
        <f t="shared" si="11"/>
        <v>585.7258620689654</v>
      </c>
      <c r="AG25" s="217">
        <f>VLOOKUP(B25,'Raw Sheet'!$B$8:$V$28,21,FALSE)</f>
        <v>0</v>
      </c>
      <c r="AH25" s="217">
        <f>VLOOKUP(B25,'Raw Sheet'!$B$8:$W$28,22,FALSE)</f>
        <v>0</v>
      </c>
      <c r="AI25" s="217">
        <f>VLOOKUP(B25,'Raw Sheet'!$B$8:$X$28,23,FALSE)</f>
        <v>0</v>
      </c>
      <c r="AJ25" s="217">
        <f>VLOOKUP(B25,'Raw Sheet'!$B$8:$Y$28,24,FALSE)</f>
        <v>0</v>
      </c>
      <c r="AK25" s="217">
        <f>[1]Espino!$D$44</f>
        <v>-2.2988505907051149E-4</v>
      </c>
      <c r="AL25" s="217">
        <f t="shared" si="12"/>
        <v>1400</v>
      </c>
      <c r="AM25" s="391">
        <f t="shared" si="13"/>
        <v>15136.112988505745</v>
      </c>
      <c r="AN25" s="392">
        <v>0</v>
      </c>
      <c r="AO25" s="394">
        <v>0</v>
      </c>
      <c r="AP25" s="221">
        <v>0</v>
      </c>
      <c r="AQ25" s="217">
        <v>0</v>
      </c>
      <c r="AR25" s="217">
        <v>0</v>
      </c>
      <c r="AS25" s="222">
        <v>0</v>
      </c>
      <c r="AT25" s="223"/>
      <c r="AU25" s="224"/>
      <c r="AV25" s="224"/>
      <c r="AW25" s="225">
        <f t="shared" si="4"/>
        <v>0</v>
      </c>
      <c r="AX25" s="224">
        <f t="shared" si="5"/>
        <v>0</v>
      </c>
      <c r="AY25" s="225"/>
      <c r="AZ25" s="291">
        <f t="shared" si="6"/>
        <v>0</v>
      </c>
      <c r="BA25" s="225"/>
    </row>
    <row r="26" spans="1:53" s="160" customFormat="1" ht="15" customHeight="1">
      <c r="A26" s="212">
        <v>50</v>
      </c>
      <c r="B26" s="213">
        <v>101</v>
      </c>
      <c r="C26" s="214" t="s">
        <v>69</v>
      </c>
      <c r="D26" s="215">
        <f>VLOOKUP(B26,'Raw Sheet'!$B$8:$G$28,6,FALSE)</f>
        <v>85000</v>
      </c>
      <c r="E26" s="216">
        <f t="shared" si="7"/>
        <v>42500</v>
      </c>
      <c r="F26" s="217">
        <v>0</v>
      </c>
      <c r="G26" s="217">
        <f>VLOOKUP(B26,'Raw Sheet'!$B$8:$L$28,11,FALSE)/2</f>
        <v>1000</v>
      </c>
      <c r="H26" s="217">
        <f>VLOOKUP(B26,'Raw Sheet'!$B$8:$M$28,12,FALSE)/2</f>
        <v>250</v>
      </c>
      <c r="I26" s="217">
        <f>VLOOKUP(B26,'Raw Sheet'!$B$8:$N$28,13,FALSE)/2</f>
        <v>150</v>
      </c>
      <c r="J26" s="217">
        <v>0</v>
      </c>
      <c r="K26" s="217">
        <v>0</v>
      </c>
      <c r="L26" s="217">
        <v>0</v>
      </c>
      <c r="M26" s="217">
        <v>0</v>
      </c>
      <c r="N26" s="217">
        <f>'Raw Sheet'!AH26+'Raw Sheet'!AL26</f>
        <v>3737.0689655172418</v>
      </c>
      <c r="O26" s="217">
        <f>SUM('Raw Sheet'!AJ26,'Raw Sheet'!AP26,'Raw Sheet'!BB26,'Raw Sheet'!BH26)</f>
        <v>1563.2183908045979</v>
      </c>
      <c r="P26" s="217">
        <f>'Raw Sheet'!BJ26</f>
        <v>0</v>
      </c>
      <c r="Q26" s="217">
        <f>'Raw Sheet'!BD26</f>
        <v>0</v>
      </c>
      <c r="R26" s="217">
        <f t="shared" si="8"/>
        <v>49200.287356321838</v>
      </c>
      <c r="S26" s="217">
        <f t="shared" si="0"/>
        <v>47800.287356321838</v>
      </c>
      <c r="T26" s="217">
        <f t="shared" si="9"/>
        <v>1400</v>
      </c>
      <c r="U26" s="374"/>
      <c r="V26" s="374"/>
      <c r="W26" s="218"/>
      <c r="X26" s="217"/>
      <c r="Y26" s="217"/>
      <c r="Z26" s="218">
        <f t="shared" si="1"/>
        <v>47800.287356321838</v>
      </c>
      <c r="AA26" s="218" t="str">
        <f t="shared" si="2"/>
        <v>33333</v>
      </c>
      <c r="AB26" s="219">
        <f t="shared" si="3"/>
        <v>33333</v>
      </c>
      <c r="AC26" s="220">
        <f>VLOOKUP(AB26,WTAX!E:F,2,0)</f>
        <v>0.25</v>
      </c>
      <c r="AD26" s="218">
        <f>VLOOKUP(AB26,WTAX!E:G,3,0)</f>
        <v>4270.7</v>
      </c>
      <c r="AE26" s="218">
        <f t="shared" si="10"/>
        <v>3616.8218390804595</v>
      </c>
      <c r="AF26" s="218">
        <f t="shared" si="11"/>
        <v>7887.5218390804594</v>
      </c>
      <c r="AG26" s="217">
        <f>VLOOKUP(B26,'Raw Sheet'!$B$8:$V$28,21,FALSE)</f>
        <v>1809.09</v>
      </c>
      <c r="AH26" s="217">
        <f>VLOOKUP(B26,'Raw Sheet'!$B$8:$W$28,22,FALSE)</f>
        <v>0</v>
      </c>
      <c r="AI26" s="217">
        <f>VLOOKUP(B26,'Raw Sheet'!$B$8:$X$28,23,FALSE)</f>
        <v>0</v>
      </c>
      <c r="AJ26" s="217">
        <f>VLOOKUP(B26,'Raw Sheet'!$B$8:$Y$28,24,FALSE)</f>
        <v>0</v>
      </c>
      <c r="AK26" s="217">
        <f>[1]Austria!$D$44</f>
        <v>-1.7471264873165637E-3</v>
      </c>
      <c r="AL26" s="217">
        <f t="shared" si="12"/>
        <v>1400</v>
      </c>
      <c r="AM26" s="391">
        <f t="shared" si="13"/>
        <v>39503.673770114896</v>
      </c>
      <c r="AN26" s="392">
        <v>0</v>
      </c>
      <c r="AO26" s="394">
        <v>0</v>
      </c>
      <c r="AP26" s="221">
        <v>0</v>
      </c>
      <c r="AQ26" s="217">
        <v>0</v>
      </c>
      <c r="AR26" s="217">
        <v>0</v>
      </c>
      <c r="AS26" s="222">
        <v>0</v>
      </c>
      <c r="AT26" s="223"/>
      <c r="AU26" s="224"/>
      <c r="AV26" s="224"/>
      <c r="AW26" s="225">
        <f t="shared" si="4"/>
        <v>0</v>
      </c>
      <c r="AX26" s="224">
        <f t="shared" si="5"/>
        <v>0</v>
      </c>
      <c r="AY26" s="225"/>
      <c r="AZ26" s="291">
        <f t="shared" si="6"/>
        <v>0</v>
      </c>
      <c r="BA26" s="225"/>
    </row>
    <row r="27" spans="1:53" s="160" customFormat="1" ht="15" customHeight="1">
      <c r="A27" s="212">
        <v>51</v>
      </c>
      <c r="B27" s="213">
        <v>103</v>
      </c>
      <c r="C27" s="214" t="s">
        <v>70</v>
      </c>
      <c r="D27" s="215">
        <f>VLOOKUP(B27,'Raw Sheet'!$B$8:$G$28,6,FALSE)</f>
        <v>22000</v>
      </c>
      <c r="E27" s="216">
        <f t="shared" si="7"/>
        <v>11000</v>
      </c>
      <c r="F27" s="217">
        <v>0</v>
      </c>
      <c r="G27" s="217">
        <f>VLOOKUP(B27,'Raw Sheet'!$B$8:$L$28,11,FALSE)/2</f>
        <v>1000</v>
      </c>
      <c r="H27" s="217">
        <f>VLOOKUP(B27,'Raw Sheet'!$B$8:$M$28,12,FALSE)/2</f>
        <v>250</v>
      </c>
      <c r="I27" s="217">
        <f>VLOOKUP(B27,'Raw Sheet'!$B$8:$N$28,13,FALSE)/2</f>
        <v>150</v>
      </c>
      <c r="J27" s="217">
        <v>0</v>
      </c>
      <c r="K27" s="217">
        <v>0</v>
      </c>
      <c r="L27" s="217">
        <v>0</v>
      </c>
      <c r="M27" s="217">
        <v>0</v>
      </c>
      <c r="N27" s="217">
        <f>'Raw Sheet'!AH27+'Raw Sheet'!AL27</f>
        <v>0</v>
      </c>
      <c r="O27" s="217">
        <f>SUM('Raw Sheet'!AJ27,'Raw Sheet'!AP27,'Raw Sheet'!BB27,'Raw Sheet'!BH27)</f>
        <v>303.44827586206901</v>
      </c>
      <c r="P27" s="217">
        <f>'Raw Sheet'!BJ27</f>
        <v>-252.87356321839081</v>
      </c>
      <c r="Q27" s="217">
        <f>'Raw Sheet'!BD27</f>
        <v>1011.4942528735633</v>
      </c>
      <c r="R27" s="217">
        <f t="shared" si="8"/>
        <v>13462.068965517241</v>
      </c>
      <c r="S27" s="217">
        <f t="shared" si="0"/>
        <v>12062.068965517241</v>
      </c>
      <c r="T27" s="217">
        <f t="shared" si="9"/>
        <v>1400</v>
      </c>
      <c r="U27" s="374"/>
      <c r="V27" s="374"/>
      <c r="W27" s="218"/>
      <c r="X27" s="217"/>
      <c r="Y27" s="217"/>
      <c r="Z27" s="218">
        <f>S27-SUM(W27:Y27)</f>
        <v>12062.068965517241</v>
      </c>
      <c r="AA27" s="218" t="str">
        <f t="shared" si="2"/>
        <v>10417</v>
      </c>
      <c r="AB27" s="219">
        <f t="shared" si="3"/>
        <v>10417</v>
      </c>
      <c r="AC27" s="220">
        <f>VLOOKUP(AB27,WTAX!E:F,2,0)</f>
        <v>0.15</v>
      </c>
      <c r="AD27" s="218">
        <f>VLOOKUP(AB27,WTAX!E:G,3,0)</f>
        <v>0</v>
      </c>
      <c r="AE27" s="218">
        <f t="shared" si="10"/>
        <v>246.76034482758612</v>
      </c>
      <c r="AF27" s="218">
        <f>AD27+AE27</f>
        <v>246.76034482758612</v>
      </c>
      <c r="AG27" s="217">
        <f>VLOOKUP(B27,'Raw Sheet'!$B$8:$V$28,21,FALSE)</f>
        <v>0</v>
      </c>
      <c r="AH27" s="217">
        <f>VLOOKUP(B27,'Raw Sheet'!$B$8:$W$28,22,FALSE)</f>
        <v>0</v>
      </c>
      <c r="AI27" s="217">
        <f>VLOOKUP(B27,'Raw Sheet'!$B$8:$X$28,23,FALSE)</f>
        <v>0</v>
      </c>
      <c r="AJ27" s="217">
        <f>VLOOKUP(B27,'Raw Sheet'!$B$8:$Y$28,24,FALSE)</f>
        <v>0</v>
      </c>
      <c r="AK27" s="217">
        <f>[1]Cruz!$D$44</f>
        <v>2.8965517237793392E-3</v>
      </c>
      <c r="AL27" s="217">
        <f t="shared" si="12"/>
        <v>1400</v>
      </c>
      <c r="AM27" s="391">
        <f t="shared" si="13"/>
        <v>13215.311517241378</v>
      </c>
      <c r="AN27" s="392">
        <v>0</v>
      </c>
      <c r="AO27" s="394">
        <v>0</v>
      </c>
      <c r="AP27" s="221">
        <v>0</v>
      </c>
      <c r="AQ27" s="217">
        <v>0</v>
      </c>
      <c r="AR27" s="217">
        <v>0</v>
      </c>
      <c r="AS27" s="222">
        <v>0</v>
      </c>
      <c r="AT27" s="223"/>
      <c r="AU27" s="224"/>
      <c r="AV27" s="224"/>
      <c r="AW27" s="225">
        <f t="shared" si="4"/>
        <v>0</v>
      </c>
      <c r="AX27" s="224">
        <f t="shared" si="5"/>
        <v>0</v>
      </c>
      <c r="AY27" s="225"/>
      <c r="AZ27" s="291">
        <f t="shared" si="6"/>
        <v>0</v>
      </c>
      <c r="BA27" s="225"/>
    </row>
    <row r="28" spans="1:53" s="160" customFormat="1" ht="15" customHeight="1">
      <c r="A28" s="212">
        <v>52</v>
      </c>
      <c r="B28" s="213">
        <v>105</v>
      </c>
      <c r="C28" s="214" t="s">
        <v>71</v>
      </c>
      <c r="D28" s="215">
        <f>VLOOKUP(B28,'Raw Sheet'!$B$8:$G$28,6,FALSE)</f>
        <v>18000</v>
      </c>
      <c r="E28" s="216">
        <f t="shared" si="7"/>
        <v>9000</v>
      </c>
      <c r="F28" s="217">
        <v>0</v>
      </c>
      <c r="G28" s="217">
        <f>VLOOKUP(B28,'Raw Sheet'!$B$8:$L$28,11,FALSE)/2</f>
        <v>1000</v>
      </c>
      <c r="H28" s="217">
        <f>VLOOKUP(B28,'Raw Sheet'!$B$8:$M$28,12,FALSE)/2</f>
        <v>250</v>
      </c>
      <c r="I28" s="217">
        <f>VLOOKUP(B28,'Raw Sheet'!$B$8:$N$28,13,FALSE)/2</f>
        <v>150</v>
      </c>
      <c r="J28" s="217">
        <v>0</v>
      </c>
      <c r="K28" s="217">
        <v>0</v>
      </c>
      <c r="L28" s="217">
        <v>0</v>
      </c>
      <c r="M28" s="217">
        <v>0</v>
      </c>
      <c r="N28" s="217">
        <f>'Raw Sheet'!AH28+'Raw Sheet'!AL28</f>
        <v>0</v>
      </c>
      <c r="O28" s="217">
        <f>SUM('Raw Sheet'!AJ28,'Raw Sheet'!AP28,'Raw Sheet'!BB28,'Raw Sheet'!BH28)</f>
        <v>227.58620689655174</v>
      </c>
      <c r="P28" s="217">
        <f>'Raw Sheet'!BJ28</f>
        <v>0</v>
      </c>
      <c r="Q28" s="217">
        <f>'Raw Sheet'!BD28</f>
        <v>827.58620689655174</v>
      </c>
      <c r="R28" s="217">
        <f t="shared" si="8"/>
        <v>11455.172413793103</v>
      </c>
      <c r="S28" s="217">
        <f t="shared" si="0"/>
        <v>10055.172413793103</v>
      </c>
      <c r="T28" s="217">
        <f t="shared" si="9"/>
        <v>1400</v>
      </c>
      <c r="U28" s="374"/>
      <c r="V28" s="374"/>
      <c r="W28" s="218"/>
      <c r="X28" s="217"/>
      <c r="Y28" s="217"/>
      <c r="Z28" s="218">
        <f t="shared" si="1"/>
        <v>10055.172413793103</v>
      </c>
      <c r="AA28" s="218" t="str">
        <f t="shared" si="2"/>
        <v>0</v>
      </c>
      <c r="AB28" s="219">
        <f t="shared" si="3"/>
        <v>0</v>
      </c>
      <c r="AC28" s="220">
        <f>VLOOKUP(AB28,WTAX!E:F,2,0)</f>
        <v>0</v>
      </c>
      <c r="AD28" s="218">
        <f>VLOOKUP(AB28,WTAX!E:G,3,0)</f>
        <v>0</v>
      </c>
      <c r="AE28" s="218">
        <f t="shared" si="10"/>
        <v>0</v>
      </c>
      <c r="AF28" s="218">
        <f t="shared" si="11"/>
        <v>0</v>
      </c>
      <c r="AG28" s="217">
        <f>VLOOKUP(B28,'Raw Sheet'!$B$8:$V$28,21,FALSE)</f>
        <v>0</v>
      </c>
      <c r="AH28" s="217">
        <f>VLOOKUP(B28,'Raw Sheet'!$B$8:$W$28,22,FALSE)</f>
        <v>0</v>
      </c>
      <c r="AI28" s="217">
        <f>VLOOKUP(B28,'Raw Sheet'!$B$8:$X$28,23,FALSE)</f>
        <v>0</v>
      </c>
      <c r="AJ28" s="217">
        <f>VLOOKUP(B28,'Raw Sheet'!$B$8:$Y$28,24,FALSE)</f>
        <v>0</v>
      </c>
      <c r="AK28" s="217">
        <f>[1]Magnaye!$D$44</f>
        <v>0</v>
      </c>
      <c r="AL28" s="217">
        <f t="shared" si="12"/>
        <v>1400</v>
      </c>
      <c r="AM28" s="391">
        <f t="shared" si="13"/>
        <v>11455.172413793103</v>
      </c>
      <c r="AN28" s="392">
        <v>0</v>
      </c>
      <c r="AO28" s="394">
        <v>0</v>
      </c>
      <c r="AP28" s="221">
        <v>0</v>
      </c>
      <c r="AQ28" s="217">
        <v>0</v>
      </c>
      <c r="AR28" s="217">
        <v>0</v>
      </c>
      <c r="AS28" s="222">
        <v>0</v>
      </c>
      <c r="AT28" s="223"/>
      <c r="AU28" s="224"/>
      <c r="AV28" s="224"/>
      <c r="AW28" s="225">
        <f t="shared" si="4"/>
        <v>0</v>
      </c>
      <c r="AX28" s="224">
        <f t="shared" si="5"/>
        <v>0</v>
      </c>
      <c r="AY28" s="225"/>
      <c r="AZ28" s="159">
        <f t="shared" si="6"/>
        <v>0</v>
      </c>
      <c r="BA28" s="225"/>
    </row>
    <row r="29" spans="1:53" s="124" customFormat="1" ht="15.75" customHeight="1" thickBot="1">
      <c r="A29" s="125"/>
      <c r="B29" s="93"/>
      <c r="C29" s="93" t="s">
        <v>72</v>
      </c>
      <c r="D29" s="94">
        <f t="shared" ref="D29:AS29" si="14">SUM(D8:D28)</f>
        <v>1596217</v>
      </c>
      <c r="E29" s="94">
        <f t="shared" si="14"/>
        <v>798108.5</v>
      </c>
      <c r="F29" s="94">
        <f t="shared" si="14"/>
        <v>0</v>
      </c>
      <c r="G29" s="94">
        <f t="shared" si="14"/>
        <v>19780</v>
      </c>
      <c r="H29" s="94">
        <f t="shared" si="14"/>
        <v>4550</v>
      </c>
      <c r="I29" s="94">
        <f t="shared" si="14"/>
        <v>2700</v>
      </c>
      <c r="J29" s="94">
        <f t="shared" si="14"/>
        <v>0</v>
      </c>
      <c r="K29" s="94">
        <f t="shared" si="14"/>
        <v>0</v>
      </c>
      <c r="L29" s="94">
        <f t="shared" si="14"/>
        <v>0</v>
      </c>
      <c r="M29" s="94">
        <f t="shared" si="14"/>
        <v>0</v>
      </c>
      <c r="N29" s="94">
        <f>SUM(N8:N28)</f>
        <v>26896.551724137931</v>
      </c>
      <c r="O29" s="94">
        <f t="shared" si="14"/>
        <v>19857.390804597704</v>
      </c>
      <c r="P29" s="94">
        <f t="shared" si="14"/>
        <v>-15813.701149425287</v>
      </c>
      <c r="Q29" s="94">
        <f t="shared" si="14"/>
        <v>10138.48275862069</v>
      </c>
      <c r="R29" s="94">
        <f t="shared" si="14"/>
        <v>866217.22413793101</v>
      </c>
      <c r="S29" s="94">
        <f t="shared" si="14"/>
        <v>839187.22413793101</v>
      </c>
      <c r="T29" s="94">
        <f t="shared" si="14"/>
        <v>27030</v>
      </c>
      <c r="U29" s="94">
        <f t="shared" si="14"/>
        <v>0</v>
      </c>
      <c r="V29" s="94">
        <f t="shared" si="14"/>
        <v>0</v>
      </c>
      <c r="W29" s="94">
        <f t="shared" si="14"/>
        <v>0</v>
      </c>
      <c r="X29" s="94">
        <f t="shared" si="14"/>
        <v>0</v>
      </c>
      <c r="Y29" s="94">
        <f t="shared" si="14"/>
        <v>0</v>
      </c>
      <c r="Z29" s="94">
        <f t="shared" si="14"/>
        <v>839187.22413793101</v>
      </c>
      <c r="AA29" s="94">
        <f t="shared" si="14"/>
        <v>0</v>
      </c>
      <c r="AB29" s="94">
        <f t="shared" si="14"/>
        <v>595834</v>
      </c>
      <c r="AC29" s="94"/>
      <c r="AD29" s="94">
        <f t="shared" si="14"/>
        <v>80623.799999999988</v>
      </c>
      <c r="AE29" s="94">
        <f t="shared" si="14"/>
        <v>57698.758333333339</v>
      </c>
      <c r="AF29" s="94">
        <f t="shared" si="14"/>
        <v>138322.55833333332</v>
      </c>
      <c r="AG29" s="94">
        <f t="shared" si="14"/>
        <v>8044.37</v>
      </c>
      <c r="AH29" s="94">
        <f t="shared" si="14"/>
        <v>0</v>
      </c>
      <c r="AI29" s="94">
        <f t="shared" si="14"/>
        <v>697.88</v>
      </c>
      <c r="AJ29" s="94">
        <f t="shared" si="14"/>
        <v>41395.83</v>
      </c>
      <c r="AK29" s="94">
        <f t="shared" si="14"/>
        <v>-5417.6122164755352</v>
      </c>
      <c r="AL29" s="94">
        <f t="shared" si="14"/>
        <v>27030</v>
      </c>
      <c r="AM29" s="94">
        <f t="shared" si="14"/>
        <v>672338.97358812217</v>
      </c>
      <c r="AN29" s="94">
        <f t="shared" si="14"/>
        <v>0</v>
      </c>
      <c r="AO29" s="94">
        <f t="shared" si="14"/>
        <v>0</v>
      </c>
      <c r="AP29" s="94">
        <f t="shared" si="14"/>
        <v>0</v>
      </c>
      <c r="AQ29" s="94">
        <f t="shared" si="14"/>
        <v>0</v>
      </c>
      <c r="AR29" s="94">
        <f t="shared" si="14"/>
        <v>0</v>
      </c>
      <c r="AS29" s="94">
        <f t="shared" si="14"/>
        <v>0</v>
      </c>
      <c r="AT29" s="123"/>
      <c r="AU29" s="94"/>
      <c r="AV29" s="94"/>
      <c r="AW29" s="94">
        <f t="shared" ref="AW29:AZ29" si="15">SUM(AW8:AW28)</f>
        <v>0</v>
      </c>
      <c r="AX29" s="94">
        <f t="shared" si="15"/>
        <v>0</v>
      </c>
      <c r="AY29" s="94">
        <f>SUM(AY8:AY28)</f>
        <v>0</v>
      </c>
      <c r="AZ29" s="94">
        <f t="shared" si="15"/>
        <v>0</v>
      </c>
    </row>
    <row r="30" spans="1:53" s="124" customFormat="1" ht="15.75" customHeight="1" thickTop="1">
      <c r="A30" s="453"/>
      <c r="B30" s="453"/>
      <c r="C30" s="453"/>
      <c r="D30" s="463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463"/>
      <c r="R30" s="463"/>
      <c r="S30" s="463"/>
      <c r="T30" s="463"/>
      <c r="U30" s="463"/>
      <c r="V30" s="463"/>
      <c r="W30" s="463"/>
      <c r="X30" s="463"/>
      <c r="Y30" s="463"/>
      <c r="Z30" s="463"/>
      <c r="AA30" s="463"/>
      <c r="AB30" s="463"/>
      <c r="AC30" s="463"/>
      <c r="AD30" s="463"/>
      <c r="AE30" s="463"/>
      <c r="AF30" s="463"/>
      <c r="AG30" s="463"/>
      <c r="AH30" s="463"/>
      <c r="AI30" s="463"/>
      <c r="AJ30" s="463"/>
      <c r="AK30" s="463"/>
      <c r="AL30" s="463"/>
      <c r="AM30" s="463"/>
      <c r="AN30" s="463"/>
      <c r="AO30" s="463"/>
      <c r="AP30" s="463"/>
      <c r="AQ30" s="463"/>
      <c r="AR30" s="463"/>
      <c r="AS30" s="463"/>
      <c r="AT30" s="123"/>
      <c r="AU30" s="463"/>
      <c r="AV30" s="463"/>
      <c r="AW30" s="463"/>
      <c r="AX30" s="463"/>
      <c r="AY30" s="463"/>
      <c r="AZ30" s="463"/>
    </row>
    <row r="31" spans="1:53" s="124" customFormat="1" ht="15.75" customHeight="1">
      <c r="A31" s="453"/>
      <c r="B31" s="453"/>
      <c r="C31" s="453"/>
      <c r="D31" s="463">
        <f>D29-'Raw Sheet'!G30</f>
        <v>0</v>
      </c>
      <c r="E31" s="463">
        <f>E29-'Raw Sheet'!H30</f>
        <v>0</v>
      </c>
      <c r="F31" s="463"/>
      <c r="G31" s="463">
        <f>G29-('Raw Sheet'!L30/2)</f>
        <v>0</v>
      </c>
      <c r="H31" s="463">
        <f>H29-('Raw Sheet'!M30/2)</f>
        <v>0</v>
      </c>
      <c r="I31" s="463">
        <f>I29-('Raw Sheet'!N30/2)</f>
        <v>0</v>
      </c>
      <c r="J31" s="463"/>
      <c r="K31" s="463"/>
      <c r="L31" s="463"/>
      <c r="M31" s="463"/>
      <c r="N31" s="463">
        <f>N29-SUM('Raw Sheet'!AH30,'Raw Sheet'!AL30,'Raw Sheet'!AN30)</f>
        <v>0</v>
      </c>
      <c r="O31" s="463">
        <f>O29-SUM('Raw Sheet'!AJ30,'Raw Sheet'!AP30,'Raw Sheet'!BB30,'Raw Sheet'!BH30)</f>
        <v>0</v>
      </c>
      <c r="P31" s="463">
        <f>P29+'Raw Sheet'!AB30+'Raw Sheet'!AD30</f>
        <v>0</v>
      </c>
      <c r="Q31" s="463">
        <f>Q29-SUM('Raw Sheet'!AX30,'Raw Sheet'!AZ30,'Raw Sheet'!BD30,'Raw Sheet'!BF30)</f>
        <v>0</v>
      </c>
      <c r="R31" s="463">
        <f>R29-SUM(E29:Q29)</f>
        <v>0</v>
      </c>
      <c r="S31" s="463">
        <f>S29-SUM(E29,M29:Q29)</f>
        <v>0</v>
      </c>
      <c r="T31" s="463">
        <f>T29-(('Raw Sheet'!L30+'Raw Sheet'!M30+'Raw Sheet'!N30)/2)</f>
        <v>0</v>
      </c>
      <c r="U31" s="463"/>
      <c r="V31" s="463"/>
      <c r="W31" s="463"/>
      <c r="X31" s="463"/>
      <c r="Y31" s="463"/>
      <c r="Z31" s="463">
        <f>Z29-SUM(S29,W29:Y29)</f>
        <v>0</v>
      </c>
      <c r="AA31" s="463"/>
      <c r="AB31" s="463"/>
      <c r="AC31" s="463"/>
      <c r="AD31" s="463"/>
      <c r="AE31" s="463"/>
      <c r="AF31" s="463">
        <f>AF29-SUM(AD29:AE29)</f>
        <v>0</v>
      </c>
      <c r="AG31" s="463">
        <f>AG29-'Raw Sheet'!V30</f>
        <v>0</v>
      </c>
      <c r="AH31" s="463">
        <f>AH29-'Raw Sheet'!W30</f>
        <v>0</v>
      </c>
      <c r="AI31" s="463">
        <f>AI29-'Raw Sheet'!X30</f>
        <v>0</v>
      </c>
      <c r="AJ31" s="463">
        <f>AJ29-'Raw Sheet'!Y30</f>
        <v>0</v>
      </c>
      <c r="AK31" s="463"/>
      <c r="AL31" s="463">
        <f>AL29-(SUM('Raw Sheet'!L30:N30)/2)</f>
        <v>0</v>
      </c>
      <c r="AM31" s="463">
        <f>E29+G29+H29+I29+N29+O29+P29+Q29-AF29-AG29-AI29-AJ29+AK29-AM29</f>
        <v>0</v>
      </c>
      <c r="AN31" s="463"/>
      <c r="AO31" s="463"/>
      <c r="AP31" s="463"/>
      <c r="AQ31" s="463"/>
      <c r="AR31" s="463"/>
      <c r="AS31" s="463"/>
      <c r="AT31" s="123"/>
      <c r="AU31" s="463"/>
      <c r="AV31" s="463"/>
      <c r="AW31" s="463"/>
      <c r="AX31" s="463"/>
      <c r="AY31" s="463"/>
      <c r="AZ31" s="463"/>
    </row>
    <row r="32" spans="1:53" s="123" customFormat="1" ht="15.75" customHeight="1">
      <c r="R32" s="123">
        <f>'Raw Sheet'!H30+'Raw Sheet'!L30+'Raw Sheet'!M30+'Raw Sheet'!N30+'Raw Sheet'!BI30+'Raw Sheet'!BJ30-(SUM('Raw Sheet'!L30:N30)/2)-R29</f>
        <v>0</v>
      </c>
      <c r="AG32" s="162"/>
      <c r="AH32" s="162"/>
      <c r="AI32" s="162"/>
      <c r="AP32" s="159"/>
      <c r="AQ32" s="367"/>
      <c r="AR32" s="368"/>
      <c r="AS32" s="368"/>
      <c r="AT32" s="115"/>
      <c r="BA32" s="412"/>
    </row>
    <row r="33" spans="3:52" s="124" customFormat="1" ht="15" customHeight="1">
      <c r="P33" s="294"/>
      <c r="Q33" s="294"/>
      <c r="W33" s="295"/>
      <c r="AH33" s="295"/>
      <c r="AI33" s="295"/>
      <c r="AM33" s="294"/>
      <c r="AN33" s="297"/>
      <c r="AP33" s="413"/>
      <c r="AQ33" s="292"/>
      <c r="AR33" s="292"/>
      <c r="AS33" s="292"/>
      <c r="AX33" s="294"/>
      <c r="AY33" s="294"/>
      <c r="AZ33" s="294"/>
    </row>
    <row r="34" spans="3:52" ht="15" customHeight="1">
      <c r="C34" s="132"/>
      <c r="N34" s="152" t="s">
        <v>73</v>
      </c>
      <c r="O34" s="152"/>
      <c r="P34" s="133"/>
      <c r="T34" s="117"/>
      <c r="X34" s="118"/>
      <c r="Y34" s="118"/>
      <c r="AB34" s="131"/>
      <c r="AF34" s="117"/>
      <c r="AG34" s="118"/>
      <c r="AL34" s="117"/>
      <c r="AM34" s="117"/>
      <c r="AP34" s="160"/>
      <c r="AQ34" s="417"/>
      <c r="AR34" s="417"/>
      <c r="AS34" s="417"/>
      <c r="AY34" s="161"/>
    </row>
    <row r="35" spans="3:52">
      <c r="D35" s="161"/>
      <c r="E35" s="161"/>
      <c r="H35" s="161"/>
      <c r="I35" s="161"/>
      <c r="N35" s="151" t="s">
        <v>74</v>
      </c>
      <c r="O35" s="151"/>
      <c r="R35" s="117">
        <f>E29+SUM(M29:Q29)</f>
        <v>839187.22413793101</v>
      </c>
      <c r="T35" s="161"/>
      <c r="AG35" s="119"/>
      <c r="AM35" s="117"/>
      <c r="AP35" s="124"/>
      <c r="AQ35" s="124"/>
      <c r="AR35" s="117"/>
      <c r="AS35" s="161"/>
    </row>
    <row r="36" spans="3:52">
      <c r="N36" s="151" t="s">
        <v>75</v>
      </c>
      <c r="O36" s="151"/>
      <c r="R36" s="117">
        <f>SUM(F29:K29)</f>
        <v>27030</v>
      </c>
      <c r="T36" s="161"/>
      <c r="X36" s="116"/>
      <c r="AB36" s="116"/>
      <c r="AH36" s="117"/>
      <c r="AI36" s="117"/>
      <c r="AM36" s="119"/>
      <c r="AY36" s="161"/>
    </row>
    <row r="37" spans="3:52" hidden="1">
      <c r="N37" s="151" t="s">
        <v>76</v>
      </c>
      <c r="O37" s="151"/>
      <c r="R37" s="117">
        <f>L29</f>
        <v>0</v>
      </c>
      <c r="X37" s="116"/>
      <c r="AB37" s="116"/>
      <c r="AM37" s="119"/>
    </row>
    <row r="38" spans="3:52">
      <c r="N38" s="151" t="s">
        <v>25</v>
      </c>
      <c r="O38" s="151"/>
      <c r="P38" s="117"/>
      <c r="R38" s="117">
        <f>AQ29</f>
        <v>0</v>
      </c>
      <c r="T38" s="161"/>
      <c r="U38" s="117" t="s">
        <v>77</v>
      </c>
      <c r="V38" s="117"/>
      <c r="W38" s="117"/>
      <c r="X38" s="117"/>
      <c r="Y38" s="119"/>
      <c r="Z38" s="130"/>
      <c r="AB38" s="116"/>
      <c r="AM38" s="117"/>
    </row>
    <row r="39" spans="3:52">
      <c r="N39" s="151" t="s">
        <v>78</v>
      </c>
      <c r="O39" s="151"/>
      <c r="P39" s="117"/>
      <c r="R39" s="117">
        <f>AR29</f>
        <v>0</v>
      </c>
      <c r="T39" s="161"/>
      <c r="U39" s="117"/>
      <c r="V39" s="119"/>
      <c r="W39" s="119"/>
      <c r="X39" s="119"/>
      <c r="Y39" s="119"/>
      <c r="Z39" s="129"/>
      <c r="AB39" s="116"/>
      <c r="AE39" s="117"/>
      <c r="AM39" s="117"/>
    </row>
    <row r="40" spans="3:52">
      <c r="N40" s="151" t="s">
        <v>79</v>
      </c>
      <c r="O40" s="151"/>
      <c r="P40" s="117"/>
      <c r="R40" s="117">
        <f>AS29</f>
        <v>0</v>
      </c>
      <c r="T40" s="161"/>
      <c r="U40" s="161"/>
      <c r="V40" s="119"/>
      <c r="W40" s="119"/>
      <c r="X40" s="119"/>
      <c r="Y40" s="119"/>
      <c r="Z40" s="129"/>
      <c r="AB40" s="116"/>
    </row>
    <row r="41" spans="3:52">
      <c r="N41" s="151" t="s">
        <v>80</v>
      </c>
      <c r="O41" s="151"/>
      <c r="P41" s="117"/>
      <c r="R41" s="117">
        <v>0</v>
      </c>
      <c r="V41" s="119"/>
      <c r="W41" s="119"/>
      <c r="X41" s="119"/>
      <c r="Y41" s="119"/>
      <c r="AB41" s="116"/>
      <c r="AT41" s="118"/>
    </row>
    <row r="42" spans="3:52">
      <c r="N42" s="151" t="s">
        <v>81</v>
      </c>
      <c r="O42" s="151"/>
      <c r="P42" s="117"/>
      <c r="R42" s="117">
        <v>0</v>
      </c>
      <c r="V42" s="119"/>
      <c r="W42" s="119"/>
      <c r="X42" s="119"/>
      <c r="Y42" s="119"/>
      <c r="AB42" s="116"/>
      <c r="AT42" s="118"/>
    </row>
    <row r="43" spans="3:52">
      <c r="P43" s="124" t="s">
        <v>82</v>
      </c>
      <c r="S43" s="117">
        <f>AF29</f>
        <v>138322.55833333332</v>
      </c>
      <c r="X43" s="116"/>
      <c r="AB43" s="116"/>
    </row>
    <row r="44" spans="3:52">
      <c r="P44" s="124" t="s">
        <v>21</v>
      </c>
      <c r="S44" s="117">
        <f>AJ29</f>
        <v>41395.83</v>
      </c>
      <c r="X44" s="116"/>
      <c r="AB44" s="116"/>
    </row>
    <row r="45" spans="3:52">
      <c r="P45" s="124" t="s">
        <v>83</v>
      </c>
      <c r="S45" s="117">
        <f>W29+AQ29</f>
        <v>0</v>
      </c>
      <c r="T45" s="161">
        <f>S45-AX29</f>
        <v>0</v>
      </c>
      <c r="X45" s="116"/>
      <c r="AB45" s="116"/>
    </row>
    <row r="46" spans="3:52">
      <c r="P46" s="124" t="s">
        <v>84</v>
      </c>
      <c r="S46" s="117">
        <f>X29+AR29</f>
        <v>0</v>
      </c>
      <c r="T46" s="161">
        <f>S46-AY29</f>
        <v>0</v>
      </c>
      <c r="X46" s="116"/>
      <c r="AB46" s="116"/>
      <c r="AT46" s="206"/>
    </row>
    <row r="47" spans="3:52">
      <c r="P47" s="124" t="s">
        <v>85</v>
      </c>
      <c r="S47" s="117">
        <f>Y29+AS29</f>
        <v>0</v>
      </c>
      <c r="T47" s="161">
        <f>S47-AZ29</f>
        <v>0</v>
      </c>
      <c r="X47" s="116"/>
      <c r="AB47" s="116"/>
      <c r="AT47" s="206"/>
    </row>
    <row r="48" spans="3:52">
      <c r="P48" s="124" t="s">
        <v>86</v>
      </c>
      <c r="S48" s="117">
        <f>-AK29</f>
        <v>5417.6122164755352</v>
      </c>
      <c r="T48" s="161"/>
      <c r="X48" s="116"/>
      <c r="AB48" s="116"/>
      <c r="AT48" s="206"/>
    </row>
    <row r="49" spans="9:46">
      <c r="P49" s="124" t="s">
        <v>87</v>
      </c>
      <c r="S49" s="164">
        <f>AM29</f>
        <v>672338.97358812217</v>
      </c>
      <c r="T49" s="161">
        <f>S49-AM29</f>
        <v>0</v>
      </c>
      <c r="X49" s="116"/>
      <c r="AB49" s="116"/>
      <c r="AT49" s="206"/>
    </row>
    <row r="50" spans="9:46">
      <c r="P50" s="124" t="s">
        <v>88</v>
      </c>
      <c r="S50" s="117">
        <f>AG29+AH29</f>
        <v>8044.37</v>
      </c>
      <c r="T50" s="161">
        <f>S50-SUM(AG29:AH29)</f>
        <v>0</v>
      </c>
    </row>
    <row r="51" spans="9:46">
      <c r="P51" s="124" t="s">
        <v>89</v>
      </c>
      <c r="S51" s="117">
        <f>AI29</f>
        <v>697.88</v>
      </c>
    </row>
    <row r="52" spans="9:46" ht="15" thickBot="1">
      <c r="R52" s="153">
        <f>SUM(R35:R50)</f>
        <v>866217.22413793101</v>
      </c>
      <c r="S52" s="153">
        <f>SUM(S35:S51)</f>
        <v>866217.22413793101</v>
      </c>
    </row>
    <row r="53" spans="9:46" ht="15" thickTop="1">
      <c r="I53" s="117"/>
      <c r="S53" s="117">
        <f>R52-S52</f>
        <v>0</v>
      </c>
    </row>
  </sheetData>
  <sheetProtection formatRows="0" insertRows="0" deleteRows="0"/>
  <mergeCells count="44">
    <mergeCell ref="AT6:AT7"/>
    <mergeCell ref="AW5:AW7"/>
    <mergeCell ref="AF5:AF7"/>
    <mergeCell ref="AJ5:AJ7"/>
    <mergeCell ref="AG5:AH5"/>
    <mergeCell ref="AG6:AG7"/>
    <mergeCell ref="AH6:AH7"/>
    <mergeCell ref="AN6:AS6"/>
    <mergeCell ref="AM5:AM7"/>
    <mergeCell ref="AL5:AL7"/>
    <mergeCell ref="AK5:AK7"/>
    <mergeCell ref="AZ5:AZ7"/>
    <mergeCell ref="AY5:AY7"/>
    <mergeCell ref="AX5:AX7"/>
    <mergeCell ref="AU5:AU7"/>
    <mergeCell ref="AV5:AV7"/>
    <mergeCell ref="A5:A7"/>
    <mergeCell ref="C5:C7"/>
    <mergeCell ref="D5:D7"/>
    <mergeCell ref="E5:E7"/>
    <mergeCell ref="N5:N7"/>
    <mergeCell ref="F6:F7"/>
    <mergeCell ref="G6:G7"/>
    <mergeCell ref="H6:H7"/>
    <mergeCell ref="T5:T7"/>
    <mergeCell ref="J6:J7"/>
    <mergeCell ref="K6:K7"/>
    <mergeCell ref="P5:P7"/>
    <mergeCell ref="I6:I7"/>
    <mergeCell ref="Q5:Q7"/>
    <mergeCell ref="R5:R7"/>
    <mergeCell ref="S5:S7"/>
    <mergeCell ref="O5:O7"/>
    <mergeCell ref="M5:M7"/>
    <mergeCell ref="F5:K5"/>
    <mergeCell ref="L5:L7"/>
    <mergeCell ref="AC6:AC7"/>
    <mergeCell ref="AD6:AD7"/>
    <mergeCell ref="AE6:AE7"/>
    <mergeCell ref="AB6:AB7"/>
    <mergeCell ref="U5:Y6"/>
    <mergeCell ref="Z5:Z7"/>
    <mergeCell ref="AA6:AA7"/>
    <mergeCell ref="AA5:AE5"/>
  </mergeCells>
  <printOptions horizontalCentered="1"/>
  <pageMargins left="0.5" right="0.5" top="0.98425196850393704" bottom="0.74803149606299202" header="0.31496062992126" footer="0.31496062992126"/>
  <pageSetup paperSize="5" scale="3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3CBA-D6B8-4942-B4B0-1679F55FFBD5}">
  <sheetPr>
    <tabColor theme="5" tint="0.59999389629810485"/>
    <pageSetUpPr fitToPage="1"/>
  </sheetPr>
  <dimension ref="A1:KK41"/>
  <sheetViews>
    <sheetView topLeftCell="GX1" zoomScale="88" zoomScaleNormal="85" zoomScaleSheetLayoutView="100" workbookViewId="0">
      <selection activeCell="KC3" sqref="KC3"/>
    </sheetView>
  </sheetViews>
  <sheetFormatPr defaultColWidth="0" defaultRowHeight="14.45" outlineLevelCol="1"/>
  <cols>
    <col min="1" max="1" width="9.42578125" style="100" hidden="1" customWidth="1" outlineLevel="1"/>
    <col min="2" max="2" width="6" style="100" hidden="1" customWidth="1" outlineLevel="1"/>
    <col min="3" max="3" width="9.5703125" style="100" hidden="1" customWidth="1" outlineLevel="1"/>
    <col min="4" max="4" width="11.42578125" style="100" hidden="1" customWidth="1" outlineLevel="1"/>
    <col min="5" max="5" width="15.5703125" style="100" hidden="1" customWidth="1" outlineLevel="1"/>
    <col min="6" max="6" width="10.42578125" style="100" hidden="1" customWidth="1" outlineLevel="1"/>
    <col min="7" max="7" width="16.5703125" style="100" hidden="1" customWidth="1" outlineLevel="1"/>
    <col min="8" max="8" width="12.42578125" style="258" hidden="1" customWidth="1" outlineLevel="1"/>
    <col min="9" max="9" width="4.5703125" style="100" hidden="1" customWidth="1" outlineLevel="1"/>
    <col min="10" max="10" width="9.42578125" style="100" hidden="1" customWidth="1" outlineLevel="1"/>
    <col min="11" max="11" width="6" style="100" hidden="1" customWidth="1" outlineLevel="1"/>
    <col min="12" max="12" width="9.5703125" style="100" hidden="1" customWidth="1" outlineLevel="1"/>
    <col min="13" max="13" width="11.42578125" style="100" hidden="1" customWidth="1" outlineLevel="1"/>
    <col min="14" max="14" width="15.5703125" style="100" hidden="1" customWidth="1" outlineLevel="1"/>
    <col min="15" max="15" width="10.42578125" style="100" hidden="1" customWidth="1" outlineLevel="1"/>
    <col min="16" max="16" width="16.5703125" style="100" hidden="1" customWidth="1" outlineLevel="1"/>
    <col min="17" max="17" width="12.42578125" style="258" hidden="1" customWidth="1" outlineLevel="1"/>
    <col min="18" max="18" width="4.5703125" style="300" hidden="1" customWidth="1" outlineLevel="1"/>
    <col min="19" max="19" width="9.42578125" style="100" hidden="1" customWidth="1" outlineLevel="1"/>
    <col min="20" max="20" width="6" style="100" hidden="1" customWidth="1" outlineLevel="1"/>
    <col min="21" max="21" width="9.5703125" style="100" hidden="1" customWidth="1" outlineLevel="1"/>
    <col min="22" max="22" width="11.42578125" style="100" hidden="1" customWidth="1" outlineLevel="1"/>
    <col min="23" max="23" width="15.5703125" style="100" hidden="1" customWidth="1" outlineLevel="1"/>
    <col min="24" max="24" width="10.42578125" style="100" hidden="1" customWidth="1" outlineLevel="1"/>
    <col min="25" max="25" width="16.5703125" style="100" hidden="1" customWidth="1" outlineLevel="1"/>
    <col min="26" max="26" width="12.42578125" style="258" hidden="1" customWidth="1" outlineLevel="1"/>
    <col min="27" max="27" width="4.5703125" style="300" hidden="1" customWidth="1" outlineLevel="1"/>
    <col min="28" max="28" width="9.42578125" style="100" hidden="1" customWidth="1" outlineLevel="1"/>
    <col min="29" max="29" width="6" style="100" hidden="1" customWidth="1" outlineLevel="1"/>
    <col min="30" max="30" width="9.5703125" style="100" hidden="1" customWidth="1" outlineLevel="1"/>
    <col min="31" max="31" width="11.42578125" style="100" hidden="1" customWidth="1" outlineLevel="1"/>
    <col min="32" max="32" width="15.5703125" style="100" hidden="1" customWidth="1" outlineLevel="1"/>
    <col min="33" max="33" width="10.42578125" style="100" hidden="1" customWidth="1" outlineLevel="1"/>
    <col min="34" max="34" width="16.5703125" style="100" hidden="1" customWidth="1" outlineLevel="1"/>
    <col min="35" max="35" width="12.42578125" style="258" hidden="1" customWidth="1" outlineLevel="1"/>
    <col min="36" max="36" width="4.5703125" style="100" hidden="1" customWidth="1" outlineLevel="1"/>
    <col min="37" max="37" width="9.42578125" style="100" hidden="1" customWidth="1" outlineLevel="1"/>
    <col min="38" max="38" width="6" style="100" hidden="1" customWidth="1" outlineLevel="1"/>
    <col min="39" max="39" width="9.5703125" style="100" hidden="1" customWidth="1" outlineLevel="1"/>
    <col min="40" max="40" width="11.42578125" style="100" hidden="1" customWidth="1" outlineLevel="1"/>
    <col min="41" max="41" width="15.5703125" style="100" hidden="1" customWidth="1" outlineLevel="1"/>
    <col min="42" max="42" width="10.42578125" style="100" hidden="1" customWidth="1" outlineLevel="1"/>
    <col min="43" max="43" width="16.5703125" style="100" hidden="1" customWidth="1" outlineLevel="1"/>
    <col min="44" max="44" width="12.42578125" style="258" hidden="1" customWidth="1" outlineLevel="1"/>
    <col min="45" max="45" width="4.5703125" style="100" customWidth="1" collapsed="1"/>
    <col min="46" max="46" width="9.42578125" style="100" hidden="1" customWidth="1" outlineLevel="1"/>
    <col min="47" max="47" width="6" style="100" hidden="1" customWidth="1" outlineLevel="1"/>
    <col min="48" max="48" width="9.5703125" style="100" hidden="1" customWidth="1" outlineLevel="1"/>
    <col min="49" max="49" width="11.42578125" style="100" hidden="1" customWidth="1" outlineLevel="1"/>
    <col min="50" max="50" width="15.5703125" style="100" hidden="1" customWidth="1" outlineLevel="1"/>
    <col min="51" max="51" width="10.42578125" style="100" hidden="1" customWidth="1" outlineLevel="1"/>
    <col min="52" max="52" width="16.5703125" style="100" hidden="1" customWidth="1" outlineLevel="1"/>
    <col min="53" max="53" width="12.42578125" style="258" hidden="1" customWidth="1" outlineLevel="1"/>
    <col min="54" max="54" width="4.5703125" style="100" hidden="1" customWidth="1" outlineLevel="1"/>
    <col min="55" max="55" width="9.42578125" style="100" hidden="1" customWidth="1" outlineLevel="1"/>
    <col min="56" max="56" width="6" style="100" hidden="1" customWidth="1" outlineLevel="1"/>
    <col min="57" max="57" width="9.5703125" style="100" hidden="1" customWidth="1" outlineLevel="1"/>
    <col min="58" max="58" width="11.42578125" style="100" hidden="1" customWidth="1" outlineLevel="1"/>
    <col min="59" max="59" width="15.5703125" style="100" hidden="1" customWidth="1" outlineLevel="1"/>
    <col min="60" max="60" width="10.42578125" style="100" hidden="1" customWidth="1" outlineLevel="1"/>
    <col min="61" max="61" width="16.5703125" style="100" hidden="1" customWidth="1" outlineLevel="1"/>
    <col min="62" max="62" width="12.42578125" style="258" hidden="1" customWidth="1" outlineLevel="1"/>
    <col min="63" max="63" width="4.5703125" style="100" hidden="1" customWidth="1" outlineLevel="1"/>
    <col min="64" max="64" width="9.42578125" style="100" hidden="1" customWidth="1" outlineLevel="1"/>
    <col min="65" max="65" width="6" style="100" hidden="1" customWidth="1" outlineLevel="1"/>
    <col min="66" max="66" width="9.5703125" style="100" hidden="1" customWidth="1" outlineLevel="1"/>
    <col min="67" max="67" width="11.42578125" style="100" hidden="1" customWidth="1" outlineLevel="1"/>
    <col min="68" max="68" width="15.5703125" style="100" hidden="1" customWidth="1" outlineLevel="1"/>
    <col min="69" max="69" width="10.42578125" style="100" hidden="1" customWidth="1" outlineLevel="1"/>
    <col min="70" max="70" width="16.5703125" style="100" hidden="1" customWidth="1" outlineLevel="1"/>
    <col min="71" max="71" width="12.42578125" style="258" hidden="1" customWidth="1" outlineLevel="1"/>
    <col min="72" max="72" width="4.5703125" style="100" hidden="1" customWidth="1" outlineLevel="1"/>
    <col min="73" max="73" width="9.42578125" customWidth="1" collapsed="1"/>
    <col min="74" max="74" width="6" customWidth="1"/>
    <col min="75" max="75" width="9.5703125" customWidth="1"/>
    <col min="76" max="76" width="11.42578125" customWidth="1"/>
    <col min="77" max="77" width="15.5703125" customWidth="1"/>
    <col min="78" max="78" width="10.42578125" customWidth="1"/>
    <col min="79" max="79" width="22.5703125" customWidth="1"/>
    <col min="80" max="80" width="13.85546875" style="25" customWidth="1"/>
    <col min="81" max="81" width="4.5703125" style="100" customWidth="1"/>
    <col min="82" max="82" width="9.42578125" hidden="1" customWidth="1" collapsed="1"/>
    <col min="83" max="83" width="6" hidden="1" customWidth="1"/>
    <col min="84" max="84" width="9.5703125" hidden="1" customWidth="1"/>
    <col min="85" max="85" width="11.42578125" hidden="1" customWidth="1"/>
    <col min="86" max="86" width="15.5703125" hidden="1" customWidth="1"/>
    <col min="87" max="87" width="10.42578125" hidden="1" customWidth="1"/>
    <col min="88" max="88" width="16.5703125" hidden="1" customWidth="1"/>
    <col min="89" max="89" width="12.42578125" style="25" hidden="1" customWidth="1"/>
    <col min="90" max="90" width="4.5703125" style="100" hidden="1" customWidth="1"/>
    <col min="91" max="91" width="9.42578125" style="100" hidden="1" customWidth="1" outlineLevel="1" collapsed="1"/>
    <col min="92" max="92" width="6" style="100" hidden="1" customWidth="1" outlineLevel="1"/>
    <col min="93" max="93" width="9.5703125" style="100" hidden="1" customWidth="1" outlineLevel="1"/>
    <col min="94" max="94" width="11.42578125" style="100" hidden="1" customWidth="1" outlineLevel="1"/>
    <col min="95" max="95" width="15.5703125" style="100" hidden="1" customWidth="1" outlineLevel="1"/>
    <col min="96" max="96" width="10.42578125" style="100" hidden="1" customWidth="1" outlineLevel="1"/>
    <col min="97" max="97" width="16.5703125" style="100" hidden="1" customWidth="1" outlineLevel="1"/>
    <col min="98" max="98" width="12.42578125" style="258" hidden="1" customWidth="1" outlineLevel="1"/>
    <col min="99" max="99" width="4.5703125" style="100" hidden="1" customWidth="1" outlineLevel="1"/>
    <col min="100" max="100" width="9.42578125" customWidth="1" collapsed="1"/>
    <col min="101" max="101" width="6" customWidth="1"/>
    <col min="102" max="102" width="9.5703125" customWidth="1"/>
    <col min="103" max="103" width="11.42578125" customWidth="1"/>
    <col min="104" max="104" width="15.5703125" customWidth="1"/>
    <col min="105" max="105" width="10.42578125" customWidth="1"/>
    <col min="106" max="106" width="22.5703125" customWidth="1"/>
    <col min="107" max="107" width="12.42578125" style="25" customWidth="1"/>
    <col min="108" max="108" width="4.5703125" style="100" customWidth="1"/>
    <col min="109" max="109" width="9.42578125" style="300" hidden="1" customWidth="1" outlineLevel="1" collapsed="1"/>
    <col min="110" max="110" width="6" style="300" hidden="1" customWidth="1" outlineLevel="1"/>
    <col min="111" max="111" width="9.5703125" style="300" hidden="1" customWidth="1" outlineLevel="1"/>
    <col min="112" max="112" width="11.42578125" style="300" hidden="1" customWidth="1" outlineLevel="1"/>
    <col min="113" max="113" width="15.5703125" style="300" hidden="1" customWidth="1" outlineLevel="1"/>
    <col min="114" max="114" width="10.42578125" style="300" hidden="1" customWidth="1" outlineLevel="1"/>
    <col min="115" max="115" width="16.5703125" style="300" hidden="1" customWidth="1" outlineLevel="1"/>
    <col min="116" max="116" width="12.42578125" style="306" hidden="1" customWidth="1" outlineLevel="1"/>
    <col min="117" max="117" width="4.5703125" style="300" hidden="1" customWidth="1" outlineLevel="1"/>
    <col min="118" max="118" width="9.42578125" customWidth="1" collapsed="1"/>
    <col min="119" max="119" width="6" customWidth="1"/>
    <col min="120" max="120" width="9.5703125" customWidth="1"/>
    <col min="121" max="121" width="11.42578125" customWidth="1"/>
    <col min="122" max="122" width="15.5703125" customWidth="1"/>
    <col min="123" max="123" width="10.42578125" customWidth="1"/>
    <col min="124" max="124" width="22.5703125" customWidth="1"/>
    <col min="125" max="125" width="12.42578125" style="25" customWidth="1"/>
    <col min="126" max="126" width="4.5703125" style="100" customWidth="1"/>
    <col min="127" max="127" width="9.42578125" customWidth="1" collapsed="1"/>
    <col min="128" max="128" width="6" customWidth="1"/>
    <col min="129" max="129" width="9.5703125" customWidth="1"/>
    <col min="130" max="130" width="11.42578125" customWidth="1"/>
    <col min="131" max="131" width="21.42578125" bestFit="1" customWidth="1"/>
    <col min="132" max="132" width="10.42578125" customWidth="1"/>
    <col min="133" max="133" width="20.42578125" bestFit="1" customWidth="1"/>
    <col min="134" max="134" width="12.42578125" style="25" customWidth="1"/>
    <col min="135" max="135" width="4.5703125" style="100" customWidth="1"/>
    <col min="136" max="136" width="9.42578125" customWidth="1" collapsed="1"/>
    <col min="137" max="137" width="6" customWidth="1"/>
    <col min="138" max="138" width="9.5703125" customWidth="1"/>
    <col min="139" max="139" width="11.42578125" customWidth="1"/>
    <col min="140" max="140" width="22.5703125" customWidth="1"/>
    <col min="141" max="141" width="10.42578125" customWidth="1"/>
    <col min="142" max="142" width="22.5703125" customWidth="1"/>
    <col min="143" max="143" width="12.42578125" style="25" customWidth="1"/>
    <col min="144" max="144" width="4.5703125" style="100" customWidth="1"/>
    <col min="145" max="145" width="9.42578125" customWidth="1" collapsed="1"/>
    <col min="146" max="146" width="6" customWidth="1"/>
    <col min="147" max="147" width="9.5703125" customWidth="1"/>
    <col min="148" max="148" width="11.42578125" customWidth="1"/>
    <col min="149" max="149" width="15.5703125" customWidth="1"/>
    <col min="150" max="150" width="10.42578125" customWidth="1"/>
    <col min="151" max="151" width="22.5703125" customWidth="1"/>
    <col min="152" max="152" width="12.42578125" style="25" customWidth="1"/>
    <col min="153" max="153" width="4.5703125" style="100" customWidth="1"/>
    <col min="154" max="154" width="9.42578125" customWidth="1" collapsed="1"/>
    <col min="155" max="155" width="6" customWidth="1"/>
    <col min="156" max="156" width="9.5703125" customWidth="1"/>
    <col min="157" max="157" width="11.42578125" customWidth="1"/>
    <col min="158" max="158" width="15.5703125" customWidth="1"/>
    <col min="159" max="159" width="10.42578125" customWidth="1"/>
    <col min="160" max="160" width="22.5703125" customWidth="1"/>
    <col min="161" max="161" width="12.42578125" style="25" customWidth="1"/>
    <col min="162" max="162" width="4.5703125" style="100" customWidth="1"/>
    <col min="163" max="163" width="9.42578125" customWidth="1" collapsed="1"/>
    <col min="164" max="164" width="6" customWidth="1"/>
    <col min="165" max="165" width="9.5703125" customWidth="1"/>
    <col min="166" max="166" width="11.42578125" customWidth="1"/>
    <col min="167" max="167" width="15.5703125" customWidth="1"/>
    <col min="168" max="168" width="10.42578125" customWidth="1"/>
    <col min="169" max="169" width="22.5703125" customWidth="1"/>
    <col min="170" max="170" width="12.42578125" style="25" customWidth="1"/>
    <col min="171" max="171" width="4.5703125" style="100" customWidth="1"/>
    <col min="172" max="172" width="9.42578125" customWidth="1" collapsed="1"/>
    <col min="173" max="173" width="6" customWidth="1"/>
    <col min="174" max="174" width="9.5703125" customWidth="1"/>
    <col min="175" max="175" width="11.42578125" customWidth="1"/>
    <col min="176" max="176" width="15.5703125" customWidth="1"/>
    <col min="177" max="177" width="10.42578125" customWidth="1"/>
    <col min="178" max="178" width="22.5703125" customWidth="1"/>
    <col min="179" max="179" width="12.42578125" style="25" customWidth="1"/>
    <col min="180" max="180" width="4.5703125" style="100" customWidth="1"/>
    <col min="181" max="181" width="9.42578125" style="300" hidden="1" customWidth="1" outlineLevel="1" collapsed="1"/>
    <col min="182" max="182" width="6" style="300" hidden="1" customWidth="1" outlineLevel="1"/>
    <col min="183" max="183" width="9.5703125" style="300" hidden="1" customWidth="1" outlineLevel="1"/>
    <col min="184" max="184" width="11.42578125" style="300" hidden="1" customWidth="1" outlineLevel="1"/>
    <col min="185" max="185" width="15.5703125" style="300" hidden="1" customWidth="1" outlineLevel="1"/>
    <col min="186" max="186" width="10.42578125" style="300" hidden="1" customWidth="1" outlineLevel="1"/>
    <col min="187" max="187" width="16.5703125" style="300" hidden="1" customWidth="1" outlineLevel="1"/>
    <col min="188" max="188" width="12.42578125" style="306" hidden="1" customWidth="1" outlineLevel="1"/>
    <col min="189" max="189" width="4.5703125" style="100" hidden="1" customWidth="1" outlineLevel="1"/>
    <col min="190" max="190" width="9.42578125" customWidth="1" collapsed="1"/>
    <col min="191" max="191" width="6" customWidth="1"/>
    <col min="192" max="192" width="9.5703125" customWidth="1"/>
    <col min="193" max="193" width="11.42578125" customWidth="1"/>
    <col min="194" max="194" width="15.5703125" customWidth="1"/>
    <col min="195" max="195" width="10.42578125" customWidth="1"/>
    <col min="196" max="196" width="16.5703125" customWidth="1"/>
    <col min="197" max="197" width="12.42578125" style="25" customWidth="1"/>
    <col min="198" max="198" width="4.5703125" style="100" customWidth="1"/>
    <col min="199" max="199" width="9.42578125" customWidth="1" collapsed="1"/>
    <col min="200" max="200" width="6" customWidth="1"/>
    <col min="201" max="201" width="9.5703125" customWidth="1"/>
    <col min="202" max="202" width="11.42578125" customWidth="1"/>
    <col min="203" max="203" width="15.5703125" customWidth="1"/>
    <col min="204" max="204" width="10.42578125" customWidth="1"/>
    <col min="205" max="205" width="16.5703125" customWidth="1"/>
    <col min="206" max="206" width="12.42578125" style="25" customWidth="1"/>
    <col min="207" max="207" width="4.5703125" style="100" customWidth="1"/>
    <col min="208" max="208" width="9.42578125" customWidth="1" collapsed="1"/>
    <col min="209" max="209" width="6" customWidth="1"/>
    <col min="210" max="210" width="9.5703125" customWidth="1"/>
    <col min="211" max="211" width="11.42578125" customWidth="1"/>
    <col min="212" max="212" width="15.5703125" customWidth="1"/>
    <col min="213" max="213" width="10.42578125" customWidth="1"/>
    <col min="214" max="214" width="16.5703125" customWidth="1"/>
    <col min="215" max="215" width="12.42578125" style="25" customWidth="1"/>
    <col min="216" max="216" width="4.5703125" style="100" customWidth="1"/>
    <col min="217" max="217" width="9.42578125" customWidth="1" collapsed="1"/>
    <col min="218" max="218" width="6" customWidth="1"/>
    <col min="219" max="219" width="9.5703125" customWidth="1"/>
    <col min="220" max="220" width="11.42578125" customWidth="1"/>
    <col min="221" max="221" width="15.5703125" customWidth="1"/>
    <col min="222" max="222" width="10.42578125" customWidth="1"/>
    <col min="223" max="223" width="16.5703125" customWidth="1"/>
    <col min="224" max="224" width="12.42578125" style="25" customWidth="1"/>
    <col min="225" max="225" width="4.5703125" style="100" customWidth="1"/>
    <col min="226" max="226" width="9.42578125" customWidth="1" collapsed="1"/>
    <col min="227" max="227" width="6" customWidth="1"/>
    <col min="228" max="228" width="9.5703125" customWidth="1"/>
    <col min="229" max="229" width="11.42578125" customWidth="1"/>
    <col min="230" max="230" width="15.5703125" customWidth="1"/>
    <col min="231" max="231" width="10.42578125" customWidth="1"/>
    <col min="232" max="232" width="16.5703125" customWidth="1"/>
    <col min="233" max="233" width="12.42578125" style="25" customWidth="1"/>
    <col min="234" max="234" width="4.5703125" style="100" customWidth="1"/>
    <col min="235" max="235" width="9.42578125" customWidth="1" collapsed="1"/>
    <col min="236" max="236" width="6" customWidth="1"/>
    <col min="237" max="237" width="9.5703125" customWidth="1"/>
    <col min="238" max="238" width="11.42578125" customWidth="1"/>
    <col min="239" max="239" width="15.5703125" customWidth="1"/>
    <col min="240" max="240" width="10.42578125" customWidth="1"/>
    <col min="241" max="241" width="16.5703125" customWidth="1"/>
    <col min="242" max="242" width="12.42578125" style="25" customWidth="1"/>
    <col min="243" max="243" width="4.5703125" style="100" customWidth="1"/>
    <col min="244" max="244" width="9.42578125" customWidth="1" collapsed="1"/>
    <col min="245" max="245" width="6" customWidth="1"/>
    <col min="246" max="246" width="9.5703125" customWidth="1"/>
    <col min="247" max="247" width="11.42578125" customWidth="1"/>
    <col min="248" max="248" width="15.5703125" customWidth="1"/>
    <col min="249" max="249" width="10.42578125" customWidth="1"/>
    <col min="250" max="250" width="16.5703125" customWidth="1"/>
    <col min="251" max="251" width="12.42578125" style="25" customWidth="1"/>
    <col min="252" max="252" width="4.5703125" style="100" customWidth="1"/>
    <col min="253" max="253" width="9.42578125" customWidth="1" collapsed="1"/>
    <col min="254" max="254" width="6" customWidth="1"/>
    <col min="255" max="255" width="9.5703125" customWidth="1"/>
    <col min="256" max="256" width="11.42578125" customWidth="1"/>
    <col min="257" max="257" width="15.5703125" customWidth="1"/>
    <col min="258" max="258" width="10.42578125" customWidth="1"/>
    <col min="259" max="259" width="16.5703125" customWidth="1"/>
    <col min="260" max="260" width="12.42578125" style="25" customWidth="1"/>
    <col min="261" max="261" width="4.5703125" style="100" customWidth="1"/>
    <col min="262" max="262" width="9.42578125" customWidth="1" collapsed="1"/>
    <col min="263" max="263" width="6" customWidth="1"/>
    <col min="264" max="264" width="9.5703125" customWidth="1"/>
    <col min="265" max="265" width="11.42578125" customWidth="1"/>
    <col min="266" max="266" width="15.5703125" customWidth="1"/>
    <col min="267" max="267" width="10.42578125" customWidth="1"/>
    <col min="268" max="268" width="16.5703125" customWidth="1"/>
    <col min="269" max="269" width="12.42578125" style="25" customWidth="1"/>
    <col min="270" max="270" width="4.5703125" style="100" customWidth="1"/>
    <col min="271" max="271" width="9.42578125" customWidth="1" collapsed="1"/>
    <col min="272" max="272" width="6" customWidth="1"/>
    <col min="273" max="273" width="9.5703125" customWidth="1"/>
    <col min="274" max="274" width="11.42578125" customWidth="1"/>
    <col min="275" max="275" width="15.5703125" customWidth="1"/>
    <col min="276" max="276" width="10.42578125" customWidth="1"/>
    <col min="277" max="277" width="16.5703125" customWidth="1"/>
    <col min="278" max="278" width="12.42578125" style="25" customWidth="1"/>
    <col min="279" max="279" width="4.5703125" style="100" customWidth="1"/>
    <col min="280" max="280" width="9.42578125" customWidth="1" collapsed="1"/>
    <col min="281" max="281" width="6" customWidth="1"/>
    <col min="282" max="282" width="9.5703125" customWidth="1"/>
    <col min="283" max="283" width="11.42578125" customWidth="1"/>
    <col min="284" max="284" width="15.5703125" customWidth="1"/>
    <col min="285" max="285" width="10.42578125" customWidth="1"/>
    <col min="286" max="286" width="16.5703125" customWidth="1"/>
    <col min="287" max="287" width="12.42578125" style="25" customWidth="1"/>
    <col min="288" max="288" width="4.5703125" style="100" customWidth="1"/>
    <col min="289" max="289" width="9.42578125" customWidth="1" collapsed="1"/>
    <col min="290" max="290" width="6" customWidth="1"/>
    <col min="291" max="291" width="9.5703125" customWidth="1"/>
    <col min="292" max="292" width="11.42578125" customWidth="1"/>
    <col min="293" max="293" width="15.5703125" customWidth="1"/>
    <col min="294" max="294" width="10.42578125" customWidth="1"/>
    <col min="295" max="295" width="16.5703125" customWidth="1"/>
    <col min="296" max="296" width="12.42578125" style="25" customWidth="1"/>
    <col min="297" max="297" width="4.5703125" style="100" customWidth="1"/>
    <col min="298" max="16384" width="11.42578125" hidden="1"/>
  </cols>
  <sheetData>
    <row r="1" spans="1:296" ht="69.75" customHeight="1">
      <c r="A1" s="624"/>
      <c r="B1" s="625"/>
      <c r="C1" s="625"/>
      <c r="D1" s="625"/>
      <c r="E1" s="625"/>
      <c r="F1" s="625"/>
      <c r="G1" s="625"/>
      <c r="H1" s="626"/>
      <c r="J1" s="624"/>
      <c r="K1" s="625"/>
      <c r="L1" s="625"/>
      <c r="M1" s="625"/>
      <c r="N1" s="625"/>
      <c r="O1" s="625"/>
      <c r="P1" s="625"/>
      <c r="Q1" s="626"/>
      <c r="S1" s="624"/>
      <c r="T1" s="625"/>
      <c r="U1" s="625"/>
      <c r="V1" s="625"/>
      <c r="W1" s="625"/>
      <c r="X1" s="625"/>
      <c r="Y1" s="625"/>
      <c r="Z1" s="626"/>
      <c r="AB1" s="624"/>
      <c r="AC1" s="625"/>
      <c r="AD1" s="625"/>
      <c r="AE1" s="625"/>
      <c r="AF1" s="625"/>
      <c r="AG1" s="625"/>
      <c r="AH1" s="625"/>
      <c r="AI1" s="626"/>
      <c r="AK1" s="624"/>
      <c r="AL1" s="625"/>
      <c r="AM1" s="625"/>
      <c r="AN1" s="625"/>
      <c r="AO1" s="625"/>
      <c r="AP1" s="625"/>
      <c r="AQ1" s="625"/>
      <c r="AR1" s="626"/>
      <c r="AT1" s="624"/>
      <c r="AU1" s="625"/>
      <c r="AV1" s="625"/>
      <c r="AW1" s="625"/>
      <c r="AX1" s="625"/>
      <c r="AY1" s="625"/>
      <c r="AZ1" s="625"/>
      <c r="BA1" s="626"/>
      <c r="BC1" s="624"/>
      <c r="BD1" s="625"/>
      <c r="BE1" s="625"/>
      <c r="BF1" s="625"/>
      <c r="BG1" s="625"/>
      <c r="BH1" s="625"/>
      <c r="BI1" s="625"/>
      <c r="BJ1" s="626"/>
      <c r="BL1" s="624"/>
      <c r="BM1" s="625"/>
      <c r="BN1" s="625"/>
      <c r="BO1" s="625"/>
      <c r="BP1" s="625"/>
      <c r="BQ1" s="625"/>
      <c r="BR1" s="625"/>
      <c r="BS1" s="626"/>
      <c r="BU1" s="615"/>
      <c r="BV1" s="616"/>
      <c r="BW1" s="616"/>
      <c r="BX1" s="616"/>
      <c r="BY1" s="616"/>
      <c r="BZ1" s="616"/>
      <c r="CA1" s="616"/>
      <c r="CB1" s="617"/>
      <c r="CD1" s="615"/>
      <c r="CE1" s="616"/>
      <c r="CF1" s="616"/>
      <c r="CG1" s="616"/>
      <c r="CH1" s="616"/>
      <c r="CI1" s="616"/>
      <c r="CJ1" s="616"/>
      <c r="CK1" s="617"/>
      <c r="CM1" s="624"/>
      <c r="CN1" s="625"/>
      <c r="CO1" s="625"/>
      <c r="CP1" s="625"/>
      <c r="CQ1" s="625"/>
      <c r="CR1" s="625"/>
      <c r="CS1" s="625"/>
      <c r="CT1" s="626"/>
      <c r="CV1" s="615"/>
      <c r="CW1" s="616"/>
      <c r="CX1" s="616"/>
      <c r="CY1" s="616"/>
      <c r="CZ1" s="616"/>
      <c r="DA1" s="616"/>
      <c r="DB1" s="616"/>
      <c r="DC1" s="617"/>
      <c r="DE1" s="639"/>
      <c r="DF1" s="640"/>
      <c r="DG1" s="640"/>
      <c r="DH1" s="640"/>
      <c r="DI1" s="640"/>
      <c r="DJ1" s="640"/>
      <c r="DK1" s="640"/>
      <c r="DL1" s="641"/>
      <c r="DN1" s="615"/>
      <c r="DO1" s="616"/>
      <c r="DP1" s="616"/>
      <c r="DQ1" s="616"/>
      <c r="DR1" s="616"/>
      <c r="DS1" s="616"/>
      <c r="DT1" s="616"/>
      <c r="DU1" s="617"/>
      <c r="DW1" s="615"/>
      <c r="DX1" s="616"/>
      <c r="DY1" s="616"/>
      <c r="DZ1" s="616"/>
      <c r="EA1" s="616"/>
      <c r="EB1" s="616"/>
      <c r="EC1" s="616"/>
      <c r="ED1" s="617"/>
      <c r="EF1" s="615"/>
      <c r="EG1" s="616"/>
      <c r="EH1" s="616"/>
      <c r="EI1" s="616"/>
      <c r="EJ1" s="616"/>
      <c r="EK1" s="616"/>
      <c r="EL1" s="616"/>
      <c r="EM1" s="617"/>
      <c r="EO1" s="615"/>
      <c r="EP1" s="616"/>
      <c r="EQ1" s="616"/>
      <c r="ER1" s="616"/>
      <c r="ES1" s="616"/>
      <c r="ET1" s="616"/>
      <c r="EU1" s="616"/>
      <c r="EV1" s="617"/>
      <c r="EX1" s="615"/>
      <c r="EY1" s="616"/>
      <c r="EZ1" s="616"/>
      <c r="FA1" s="616"/>
      <c r="FB1" s="616"/>
      <c r="FC1" s="616"/>
      <c r="FD1" s="616"/>
      <c r="FE1" s="617"/>
      <c r="FG1" s="615"/>
      <c r="FH1" s="616"/>
      <c r="FI1" s="616"/>
      <c r="FJ1" s="616"/>
      <c r="FK1" s="616"/>
      <c r="FL1" s="616"/>
      <c r="FM1" s="616"/>
      <c r="FN1" s="617"/>
      <c r="FP1" s="615"/>
      <c r="FQ1" s="616"/>
      <c r="FR1" s="616"/>
      <c r="FS1" s="616"/>
      <c r="FT1" s="616"/>
      <c r="FU1" s="616"/>
      <c r="FV1" s="616"/>
      <c r="FW1" s="617"/>
      <c r="FY1" s="639"/>
      <c r="FZ1" s="640"/>
      <c r="GA1" s="640"/>
      <c r="GB1" s="640"/>
      <c r="GC1" s="640"/>
      <c r="GD1" s="640"/>
      <c r="GE1" s="640"/>
      <c r="GF1" s="641"/>
      <c r="GH1" s="615"/>
      <c r="GI1" s="616"/>
      <c r="GJ1" s="616"/>
      <c r="GK1" s="616"/>
      <c r="GL1" s="616"/>
      <c r="GM1" s="616"/>
      <c r="GN1" s="616"/>
      <c r="GO1" s="617"/>
      <c r="GQ1" s="615"/>
      <c r="GR1" s="616"/>
      <c r="GS1" s="616"/>
      <c r="GT1" s="616"/>
      <c r="GU1" s="616"/>
      <c r="GV1" s="616"/>
      <c r="GW1" s="616"/>
      <c r="GX1" s="617"/>
      <c r="GZ1" s="615"/>
      <c r="HA1" s="616"/>
      <c r="HB1" s="616"/>
      <c r="HC1" s="616"/>
      <c r="HD1" s="616"/>
      <c r="HE1" s="616"/>
      <c r="HF1" s="616"/>
      <c r="HG1" s="617"/>
      <c r="HI1" s="615"/>
      <c r="HJ1" s="616"/>
      <c r="HK1" s="616"/>
      <c r="HL1" s="616"/>
      <c r="HM1" s="616"/>
      <c r="HN1" s="616"/>
      <c r="HO1" s="616"/>
      <c r="HP1" s="617"/>
      <c r="HR1" s="615"/>
      <c r="HS1" s="616"/>
      <c r="HT1" s="616"/>
      <c r="HU1" s="616"/>
      <c r="HV1" s="616"/>
      <c r="HW1" s="616"/>
      <c r="HX1" s="616"/>
      <c r="HY1" s="617"/>
      <c r="IA1" s="615"/>
      <c r="IB1" s="616"/>
      <c r="IC1" s="616"/>
      <c r="ID1" s="616"/>
      <c r="IE1" s="616"/>
      <c r="IF1" s="616"/>
      <c r="IG1" s="616"/>
      <c r="IH1" s="617"/>
      <c r="IJ1" s="615"/>
      <c r="IK1" s="616"/>
      <c r="IL1" s="616"/>
      <c r="IM1" s="616"/>
      <c r="IN1" s="616"/>
      <c r="IO1" s="616"/>
      <c r="IP1" s="616"/>
      <c r="IQ1" s="617"/>
      <c r="IS1" s="615"/>
      <c r="IT1" s="616"/>
      <c r="IU1" s="616"/>
      <c r="IV1" s="616"/>
      <c r="IW1" s="616"/>
      <c r="IX1" s="616"/>
      <c r="IY1" s="616"/>
      <c r="IZ1" s="617"/>
      <c r="JB1" s="615"/>
      <c r="JC1" s="616"/>
      <c r="JD1" s="616"/>
      <c r="JE1" s="616"/>
      <c r="JF1" s="616"/>
      <c r="JG1" s="616"/>
      <c r="JH1" s="616"/>
      <c r="JI1" s="617"/>
      <c r="JK1" s="615"/>
      <c r="JL1" s="616"/>
      <c r="JM1" s="616"/>
      <c r="JN1" s="616"/>
      <c r="JO1" s="616"/>
      <c r="JP1" s="616"/>
      <c r="JQ1" s="616"/>
      <c r="JR1" s="617"/>
      <c r="JT1" s="615"/>
      <c r="JU1" s="616"/>
      <c r="JV1" s="616"/>
      <c r="JW1" s="616"/>
      <c r="JX1" s="616"/>
      <c r="JY1" s="616"/>
      <c r="JZ1" s="616"/>
      <c r="KA1" s="617"/>
      <c r="KC1" s="615"/>
      <c r="KD1" s="616"/>
      <c r="KE1" s="616"/>
      <c r="KF1" s="616"/>
      <c r="KG1" s="616"/>
      <c r="KH1" s="616"/>
      <c r="KI1" s="616"/>
      <c r="KJ1" s="617"/>
    </row>
    <row r="2" spans="1:296" ht="15" customHeight="1">
      <c r="A2" s="636" t="s">
        <v>90</v>
      </c>
      <c r="B2" s="637"/>
      <c r="C2" s="637"/>
      <c r="D2" s="637"/>
      <c r="E2" s="637"/>
      <c r="F2" s="637"/>
      <c r="G2" s="637"/>
      <c r="H2" s="638"/>
      <c r="J2" s="636" t="s">
        <v>90</v>
      </c>
      <c r="K2" s="637"/>
      <c r="L2" s="637"/>
      <c r="M2" s="637"/>
      <c r="N2" s="637"/>
      <c r="O2" s="637"/>
      <c r="P2" s="637"/>
      <c r="Q2" s="638"/>
      <c r="S2" s="636" t="s">
        <v>90</v>
      </c>
      <c r="T2" s="637"/>
      <c r="U2" s="637"/>
      <c r="V2" s="637"/>
      <c r="W2" s="637"/>
      <c r="X2" s="637"/>
      <c r="Y2" s="637"/>
      <c r="Z2" s="638"/>
      <c r="AB2" s="636" t="s">
        <v>90</v>
      </c>
      <c r="AC2" s="637"/>
      <c r="AD2" s="637"/>
      <c r="AE2" s="637"/>
      <c r="AF2" s="637"/>
      <c r="AG2" s="637"/>
      <c r="AH2" s="637"/>
      <c r="AI2" s="638"/>
      <c r="AK2" s="636" t="s">
        <v>90</v>
      </c>
      <c r="AL2" s="637"/>
      <c r="AM2" s="637"/>
      <c r="AN2" s="637"/>
      <c r="AO2" s="637"/>
      <c r="AP2" s="637"/>
      <c r="AQ2" s="637"/>
      <c r="AR2" s="638"/>
      <c r="AT2" s="636" t="s">
        <v>90</v>
      </c>
      <c r="AU2" s="637"/>
      <c r="AV2" s="637"/>
      <c r="AW2" s="637"/>
      <c r="AX2" s="637"/>
      <c r="AY2" s="637"/>
      <c r="AZ2" s="637"/>
      <c r="BA2" s="638"/>
      <c r="BC2" s="636" t="s">
        <v>90</v>
      </c>
      <c r="BD2" s="637"/>
      <c r="BE2" s="637"/>
      <c r="BF2" s="637"/>
      <c r="BG2" s="637"/>
      <c r="BH2" s="637"/>
      <c r="BI2" s="637"/>
      <c r="BJ2" s="638"/>
      <c r="BL2" s="636" t="s">
        <v>90</v>
      </c>
      <c r="BM2" s="637"/>
      <c r="BN2" s="637"/>
      <c r="BO2" s="637"/>
      <c r="BP2" s="637"/>
      <c r="BQ2" s="637"/>
      <c r="BR2" s="637"/>
      <c r="BS2" s="638"/>
      <c r="BU2" s="612" t="s">
        <v>90</v>
      </c>
      <c r="BV2" s="613"/>
      <c r="BW2" s="613"/>
      <c r="BX2" s="613"/>
      <c r="BY2" s="613"/>
      <c r="BZ2" s="613"/>
      <c r="CA2" s="613"/>
      <c r="CB2" s="614"/>
      <c r="CD2" s="612" t="s">
        <v>90</v>
      </c>
      <c r="CE2" s="613"/>
      <c r="CF2" s="613"/>
      <c r="CG2" s="613"/>
      <c r="CH2" s="613"/>
      <c r="CI2" s="613"/>
      <c r="CJ2" s="613"/>
      <c r="CK2" s="614"/>
      <c r="CM2" s="636" t="s">
        <v>90</v>
      </c>
      <c r="CN2" s="637"/>
      <c r="CO2" s="637"/>
      <c r="CP2" s="637"/>
      <c r="CQ2" s="637"/>
      <c r="CR2" s="637"/>
      <c r="CS2" s="637"/>
      <c r="CT2" s="638"/>
      <c r="CV2" s="612" t="s">
        <v>90</v>
      </c>
      <c r="CW2" s="613"/>
      <c r="CX2" s="613"/>
      <c r="CY2" s="613"/>
      <c r="CZ2" s="613"/>
      <c r="DA2" s="613"/>
      <c r="DB2" s="613"/>
      <c r="DC2" s="614"/>
      <c r="DE2" s="633" t="s">
        <v>90</v>
      </c>
      <c r="DF2" s="634"/>
      <c r="DG2" s="634"/>
      <c r="DH2" s="634"/>
      <c r="DI2" s="634"/>
      <c r="DJ2" s="634"/>
      <c r="DK2" s="634"/>
      <c r="DL2" s="635"/>
      <c r="DN2" s="612" t="s">
        <v>90</v>
      </c>
      <c r="DO2" s="613"/>
      <c r="DP2" s="613"/>
      <c r="DQ2" s="613"/>
      <c r="DR2" s="613"/>
      <c r="DS2" s="613"/>
      <c r="DT2" s="613"/>
      <c r="DU2" s="614"/>
      <c r="DW2" s="612" t="s">
        <v>90</v>
      </c>
      <c r="DX2" s="613"/>
      <c r="DY2" s="613"/>
      <c r="DZ2" s="613"/>
      <c r="EA2" s="613"/>
      <c r="EB2" s="613"/>
      <c r="EC2" s="613"/>
      <c r="ED2" s="614"/>
      <c r="EF2" s="612" t="s">
        <v>90</v>
      </c>
      <c r="EG2" s="613"/>
      <c r="EH2" s="613"/>
      <c r="EI2" s="613"/>
      <c r="EJ2" s="613"/>
      <c r="EK2" s="613"/>
      <c r="EL2" s="613"/>
      <c r="EM2" s="614"/>
      <c r="EO2" s="612" t="s">
        <v>90</v>
      </c>
      <c r="EP2" s="613"/>
      <c r="EQ2" s="613"/>
      <c r="ER2" s="613"/>
      <c r="ES2" s="613"/>
      <c r="ET2" s="613"/>
      <c r="EU2" s="613"/>
      <c r="EV2" s="614"/>
      <c r="EX2" s="612" t="s">
        <v>90</v>
      </c>
      <c r="EY2" s="613"/>
      <c r="EZ2" s="613"/>
      <c r="FA2" s="613"/>
      <c r="FB2" s="613"/>
      <c r="FC2" s="613"/>
      <c r="FD2" s="613"/>
      <c r="FE2" s="614"/>
      <c r="FG2" s="612" t="s">
        <v>90</v>
      </c>
      <c r="FH2" s="613"/>
      <c r="FI2" s="613"/>
      <c r="FJ2" s="613"/>
      <c r="FK2" s="613"/>
      <c r="FL2" s="613"/>
      <c r="FM2" s="613"/>
      <c r="FN2" s="614"/>
      <c r="FP2" s="612" t="s">
        <v>90</v>
      </c>
      <c r="FQ2" s="613"/>
      <c r="FR2" s="613"/>
      <c r="FS2" s="613"/>
      <c r="FT2" s="613"/>
      <c r="FU2" s="613"/>
      <c r="FV2" s="613"/>
      <c r="FW2" s="614"/>
      <c r="FY2" s="633" t="s">
        <v>90</v>
      </c>
      <c r="FZ2" s="634"/>
      <c r="GA2" s="634"/>
      <c r="GB2" s="634"/>
      <c r="GC2" s="634"/>
      <c r="GD2" s="634"/>
      <c r="GE2" s="634"/>
      <c r="GF2" s="635"/>
      <c r="GH2" s="612" t="s">
        <v>90</v>
      </c>
      <c r="GI2" s="613"/>
      <c r="GJ2" s="613"/>
      <c r="GK2" s="613"/>
      <c r="GL2" s="613"/>
      <c r="GM2" s="613"/>
      <c r="GN2" s="613"/>
      <c r="GO2" s="614"/>
      <c r="GQ2" s="612" t="s">
        <v>90</v>
      </c>
      <c r="GR2" s="613"/>
      <c r="GS2" s="613"/>
      <c r="GT2" s="613"/>
      <c r="GU2" s="613"/>
      <c r="GV2" s="613"/>
      <c r="GW2" s="613"/>
      <c r="GX2" s="614"/>
      <c r="GZ2" s="612" t="s">
        <v>90</v>
      </c>
      <c r="HA2" s="613"/>
      <c r="HB2" s="613"/>
      <c r="HC2" s="613"/>
      <c r="HD2" s="613"/>
      <c r="HE2" s="613"/>
      <c r="HF2" s="613"/>
      <c r="HG2" s="614"/>
      <c r="HI2" s="612" t="s">
        <v>90</v>
      </c>
      <c r="HJ2" s="613"/>
      <c r="HK2" s="613"/>
      <c r="HL2" s="613"/>
      <c r="HM2" s="613"/>
      <c r="HN2" s="613"/>
      <c r="HO2" s="613"/>
      <c r="HP2" s="614"/>
      <c r="HR2" s="612" t="s">
        <v>90</v>
      </c>
      <c r="HS2" s="613"/>
      <c r="HT2" s="613"/>
      <c r="HU2" s="613"/>
      <c r="HV2" s="613"/>
      <c r="HW2" s="613"/>
      <c r="HX2" s="613"/>
      <c r="HY2" s="614"/>
      <c r="IA2" s="612" t="s">
        <v>90</v>
      </c>
      <c r="IB2" s="613"/>
      <c r="IC2" s="613"/>
      <c r="ID2" s="613"/>
      <c r="IE2" s="613"/>
      <c r="IF2" s="613"/>
      <c r="IG2" s="613"/>
      <c r="IH2" s="614"/>
      <c r="IJ2" s="612" t="s">
        <v>90</v>
      </c>
      <c r="IK2" s="613"/>
      <c r="IL2" s="613"/>
      <c r="IM2" s="613"/>
      <c r="IN2" s="613"/>
      <c r="IO2" s="613"/>
      <c r="IP2" s="613"/>
      <c r="IQ2" s="614"/>
      <c r="IS2" s="612" t="s">
        <v>90</v>
      </c>
      <c r="IT2" s="613"/>
      <c r="IU2" s="613"/>
      <c r="IV2" s="613"/>
      <c r="IW2" s="613"/>
      <c r="IX2" s="613"/>
      <c r="IY2" s="613"/>
      <c r="IZ2" s="614"/>
      <c r="JB2" s="612" t="s">
        <v>90</v>
      </c>
      <c r="JC2" s="613"/>
      <c r="JD2" s="613"/>
      <c r="JE2" s="613"/>
      <c r="JF2" s="613"/>
      <c r="JG2" s="613"/>
      <c r="JH2" s="613"/>
      <c r="JI2" s="614"/>
      <c r="JK2" s="612" t="s">
        <v>90</v>
      </c>
      <c r="JL2" s="613"/>
      <c r="JM2" s="613"/>
      <c r="JN2" s="613"/>
      <c r="JO2" s="613"/>
      <c r="JP2" s="613"/>
      <c r="JQ2" s="613"/>
      <c r="JR2" s="614"/>
      <c r="JT2" s="612" t="s">
        <v>90</v>
      </c>
      <c r="JU2" s="613"/>
      <c r="JV2" s="613"/>
      <c r="JW2" s="613"/>
      <c r="JX2" s="613"/>
      <c r="JY2" s="613"/>
      <c r="JZ2" s="613"/>
      <c r="KA2" s="614"/>
      <c r="KC2" s="612" t="s">
        <v>90</v>
      </c>
      <c r="KD2" s="613"/>
      <c r="KE2" s="613"/>
      <c r="KF2" s="613"/>
      <c r="KG2" s="613"/>
      <c r="KH2" s="613"/>
      <c r="KI2" s="613"/>
      <c r="KJ2" s="614"/>
    </row>
    <row r="3" spans="1:296" ht="6" customHeight="1">
      <c r="A3" s="253"/>
      <c r="H3" s="254"/>
      <c r="J3" s="253"/>
      <c r="Q3" s="254"/>
      <c r="S3" s="253"/>
      <c r="Z3" s="254"/>
      <c r="AB3" s="253"/>
      <c r="AI3" s="254"/>
      <c r="AK3" s="253"/>
      <c r="AR3" s="254"/>
      <c r="AT3" s="253"/>
      <c r="BA3" s="254"/>
      <c r="BC3" s="253"/>
      <c r="BJ3" s="254"/>
      <c r="BL3" s="253"/>
      <c r="BS3" s="254"/>
      <c r="BU3" s="21"/>
      <c r="CB3" s="22"/>
      <c r="CD3" s="21"/>
      <c r="CK3" s="22"/>
      <c r="CM3" s="253"/>
      <c r="CT3" s="254"/>
      <c r="CV3" s="21"/>
      <c r="DC3" s="22"/>
      <c r="DE3" s="301"/>
      <c r="DL3" s="302"/>
      <c r="DN3" s="21"/>
      <c r="DU3" s="22"/>
      <c r="DW3" s="21"/>
      <c r="ED3" s="22"/>
      <c r="EF3" s="21"/>
      <c r="EM3" s="22"/>
      <c r="EO3" s="21"/>
      <c r="EV3" s="22"/>
      <c r="EX3" s="21"/>
      <c r="FE3" s="22"/>
      <c r="FG3" s="21"/>
      <c r="FN3" s="22"/>
      <c r="FP3" s="21"/>
      <c r="FW3" s="22"/>
      <c r="FY3" s="301"/>
      <c r="GF3" s="302"/>
      <c r="GH3" s="21"/>
      <c r="GO3" s="22"/>
      <c r="GQ3" s="21"/>
      <c r="GX3" s="22"/>
      <c r="GZ3" s="21"/>
      <c r="HG3" s="22"/>
      <c r="HI3" s="21"/>
      <c r="HP3" s="22"/>
      <c r="HR3" s="21"/>
      <c r="HY3" s="22"/>
      <c r="IA3" s="21"/>
      <c r="IH3" s="22"/>
      <c r="IJ3" s="21"/>
      <c r="IQ3" s="22"/>
      <c r="IS3" s="21"/>
      <c r="IZ3" s="22"/>
      <c r="JB3" s="21"/>
      <c r="JI3" s="22"/>
      <c r="JK3" s="21"/>
      <c r="JR3" s="22"/>
      <c r="JT3" s="21"/>
      <c r="KA3" s="22"/>
      <c r="KC3" s="21"/>
      <c r="KJ3" s="22"/>
    </row>
    <row r="4" spans="1:296" ht="12.75" customHeight="1">
      <c r="A4" s="255" t="s">
        <v>91</v>
      </c>
      <c r="B4" s="256">
        <v>28</v>
      </c>
      <c r="C4" s="257" t="s">
        <v>92</v>
      </c>
      <c r="D4" s="258"/>
      <c r="F4" s="258" t="s">
        <v>93</v>
      </c>
      <c r="G4" s="259">
        <v>45946</v>
      </c>
      <c r="H4" s="260">
        <v>45961</v>
      </c>
      <c r="J4" s="255" t="s">
        <v>91</v>
      </c>
      <c r="K4" s="256">
        <v>29</v>
      </c>
      <c r="L4" s="257" t="s">
        <v>94</v>
      </c>
      <c r="M4" s="258"/>
      <c r="O4" s="258" t="s">
        <v>93</v>
      </c>
      <c r="P4" s="259">
        <v>45946</v>
      </c>
      <c r="Q4" s="260">
        <v>45961</v>
      </c>
      <c r="S4" s="255" t="s">
        <v>91</v>
      </c>
      <c r="T4" s="256">
        <v>30</v>
      </c>
      <c r="U4" s="257" t="s">
        <v>95</v>
      </c>
      <c r="V4" s="258"/>
      <c r="X4" s="258" t="s">
        <v>93</v>
      </c>
      <c r="Y4" s="259">
        <v>45946</v>
      </c>
      <c r="Z4" s="260">
        <v>45961</v>
      </c>
      <c r="AB4" s="255" t="s">
        <v>91</v>
      </c>
      <c r="AC4" s="256">
        <v>31</v>
      </c>
      <c r="AD4" s="257" t="s">
        <v>96</v>
      </c>
      <c r="AE4" s="258"/>
      <c r="AG4" s="258" t="s">
        <v>93</v>
      </c>
      <c r="AH4" s="259">
        <v>45946</v>
      </c>
      <c r="AI4" s="260">
        <v>45961</v>
      </c>
      <c r="AK4" s="255" t="s">
        <v>91</v>
      </c>
      <c r="AL4" s="256">
        <v>32</v>
      </c>
      <c r="AM4" s="257" t="s">
        <v>97</v>
      </c>
      <c r="AN4" s="258"/>
      <c r="AP4" s="258" t="s">
        <v>93</v>
      </c>
      <c r="AQ4" s="259">
        <v>45946</v>
      </c>
      <c r="AR4" s="260">
        <v>45961</v>
      </c>
      <c r="AT4" s="255" t="s">
        <v>91</v>
      </c>
      <c r="AU4" s="256">
        <v>33</v>
      </c>
      <c r="AV4" s="257" t="s">
        <v>98</v>
      </c>
      <c r="AW4" s="258"/>
      <c r="AY4" s="258" t="s">
        <v>93</v>
      </c>
      <c r="AZ4" s="259">
        <v>45946</v>
      </c>
      <c r="BA4" s="260">
        <v>45961</v>
      </c>
      <c r="BC4" s="255" t="s">
        <v>91</v>
      </c>
      <c r="BD4" s="256">
        <v>34</v>
      </c>
      <c r="BE4" s="257" t="s">
        <v>99</v>
      </c>
      <c r="BF4" s="258"/>
      <c r="BH4" s="258" t="s">
        <v>93</v>
      </c>
      <c r="BI4" s="259">
        <v>45946</v>
      </c>
      <c r="BJ4" s="260">
        <v>45961</v>
      </c>
      <c r="BL4" s="255" t="s">
        <v>91</v>
      </c>
      <c r="BM4" s="256">
        <v>35</v>
      </c>
      <c r="BN4" s="257" t="s">
        <v>100</v>
      </c>
      <c r="BO4" s="258"/>
      <c r="BQ4" s="258" t="s">
        <v>93</v>
      </c>
      <c r="BR4" s="259">
        <v>45946</v>
      </c>
      <c r="BS4" s="260">
        <v>45961</v>
      </c>
      <c r="BU4" s="23" t="s">
        <v>91</v>
      </c>
      <c r="BV4" s="101">
        <v>1</v>
      </c>
      <c r="BW4" s="24" t="str">
        <f>VLOOKUP(BV4,'Raw Sheet'!$A$8:$BK$59,'Raw Sheet'!$C$4,FALSE)</f>
        <v>A</v>
      </c>
      <c r="BX4" s="25"/>
      <c r="BZ4" s="25" t="s">
        <v>93</v>
      </c>
      <c r="CA4" s="97">
        <f>'Payroll Register'!D3</f>
        <v>46023</v>
      </c>
      <c r="CB4" s="98">
        <f>'Payroll Register'!E3</f>
        <v>46037</v>
      </c>
      <c r="CD4" s="23" t="s">
        <v>91</v>
      </c>
      <c r="CE4" s="101">
        <v>5</v>
      </c>
      <c r="CF4" s="24" t="e">
        <f>VLOOKUP(CE4,'Raw Sheet'!$A$8:$BK$59,'Raw Sheet'!$C$4,FALSE)</f>
        <v>#N/A</v>
      </c>
      <c r="CG4" s="25"/>
      <c r="CI4" s="25" t="s">
        <v>93</v>
      </c>
      <c r="CJ4" s="97">
        <v>45946</v>
      </c>
      <c r="CK4" s="98">
        <v>45961</v>
      </c>
      <c r="CM4" s="255" t="s">
        <v>91</v>
      </c>
      <c r="CN4" s="256">
        <v>38</v>
      </c>
      <c r="CO4" s="257" t="s">
        <v>101</v>
      </c>
      <c r="CP4" s="258"/>
      <c r="CR4" s="258" t="s">
        <v>93</v>
      </c>
      <c r="CS4" s="259">
        <v>45946</v>
      </c>
      <c r="CT4" s="260">
        <v>45961</v>
      </c>
      <c r="CV4" s="23" t="s">
        <v>91</v>
      </c>
      <c r="CW4" s="101">
        <v>8</v>
      </c>
      <c r="CX4" s="24" t="str">
        <f>VLOOKUP(CW4,'Raw Sheet'!$A$8:$BK$59,'Raw Sheet'!$C$4,FALSE)</f>
        <v>B</v>
      </c>
      <c r="CY4" s="25"/>
      <c r="DA4" s="25" t="s">
        <v>93</v>
      </c>
      <c r="DB4" s="97">
        <f>'Raw Sheet'!D2</f>
        <v>46023</v>
      </c>
      <c r="DC4" s="98">
        <f>'Raw Sheet'!E2</f>
        <v>46037</v>
      </c>
      <c r="DE4" s="303" t="s">
        <v>91</v>
      </c>
      <c r="DF4" s="304">
        <v>40</v>
      </c>
      <c r="DG4" s="305" t="s">
        <v>102</v>
      </c>
      <c r="DH4" s="306"/>
      <c r="DJ4" s="306" t="s">
        <v>93</v>
      </c>
      <c r="DK4" s="307">
        <v>45946</v>
      </c>
      <c r="DL4" s="308">
        <v>45961</v>
      </c>
      <c r="DN4" s="23" t="s">
        <v>91</v>
      </c>
      <c r="DO4" s="101">
        <v>10</v>
      </c>
      <c r="DP4" s="24" t="str">
        <f>VLOOKUP(DO4,'Raw Sheet'!$A$8:$BK$59,'Raw Sheet'!$C$4,FALSE)</f>
        <v>C</v>
      </c>
      <c r="DQ4" s="25"/>
      <c r="DS4" s="25" t="s">
        <v>93</v>
      </c>
      <c r="DT4" s="97">
        <f>'Raw Sheet'!D2</f>
        <v>46023</v>
      </c>
      <c r="DU4" s="98">
        <f>'Raw Sheet'!E2</f>
        <v>46037</v>
      </c>
      <c r="DW4" s="23" t="s">
        <v>91</v>
      </c>
      <c r="DX4" s="101">
        <v>11</v>
      </c>
      <c r="DY4" s="24" t="str">
        <f>VLOOKUP(DX4,'Raw Sheet'!$A$8:$BK$59,'Raw Sheet'!$C$4,FALSE)</f>
        <v>D</v>
      </c>
      <c r="DZ4" s="25"/>
      <c r="EB4" s="25" t="s">
        <v>93</v>
      </c>
      <c r="EC4" s="97">
        <f>'Raw Sheet'!D2</f>
        <v>46023</v>
      </c>
      <c r="ED4" s="98">
        <f>'Raw Sheet'!E2</f>
        <v>46037</v>
      </c>
      <c r="EF4" s="23" t="s">
        <v>91</v>
      </c>
      <c r="EG4" s="101">
        <v>12</v>
      </c>
      <c r="EH4" s="24" t="str">
        <f>VLOOKUP(EG4,'Raw Sheet'!$A$8:$BK$59,'Raw Sheet'!$C$4,FALSE)</f>
        <v>E</v>
      </c>
      <c r="EI4" s="25"/>
      <c r="EK4" s="25" t="s">
        <v>93</v>
      </c>
      <c r="EL4" s="97">
        <f>'Raw Sheet'!D2</f>
        <v>46023</v>
      </c>
      <c r="EM4" s="98">
        <f>'Raw Sheet'!E2</f>
        <v>46037</v>
      </c>
      <c r="EO4" s="23" t="s">
        <v>91</v>
      </c>
      <c r="EP4" s="101">
        <v>15</v>
      </c>
      <c r="EQ4" s="24" t="str">
        <f>VLOOKUP(EP4,'Raw Sheet'!$A$8:$BK$59,'Raw Sheet'!$C$4,FALSE)</f>
        <v>F</v>
      </c>
      <c r="ER4" s="25"/>
      <c r="ET4" s="25" t="s">
        <v>93</v>
      </c>
      <c r="EU4" s="97">
        <f>'Raw Sheet'!D2</f>
        <v>46023</v>
      </c>
      <c r="EV4" s="98">
        <f>'Raw Sheet'!E2</f>
        <v>46037</v>
      </c>
      <c r="EX4" s="23" t="s">
        <v>91</v>
      </c>
      <c r="EY4" s="101">
        <v>19</v>
      </c>
      <c r="EZ4" s="24" t="str">
        <f>VLOOKUP(EY4,'Raw Sheet'!$A$8:$BK$59,'Raw Sheet'!$C$4,FALSE)</f>
        <v>G</v>
      </c>
      <c r="FA4" s="25"/>
      <c r="FC4" s="25" t="s">
        <v>93</v>
      </c>
      <c r="FD4" s="97">
        <f>'Raw Sheet'!D2</f>
        <v>46023</v>
      </c>
      <c r="FE4" s="98">
        <f>'Raw Sheet'!E2</f>
        <v>46037</v>
      </c>
      <c r="FG4" s="23" t="s">
        <v>91</v>
      </c>
      <c r="FH4" s="101">
        <v>36</v>
      </c>
      <c r="FI4" s="24" t="str">
        <f>VLOOKUP(FH4,'Raw Sheet'!$A$8:$BK$59,'Raw Sheet'!$C$4,FALSE)</f>
        <v>H</v>
      </c>
      <c r="FJ4" s="25"/>
      <c r="FL4" s="25" t="s">
        <v>93</v>
      </c>
      <c r="FM4" s="97">
        <f>'Raw Sheet'!D2</f>
        <v>46023</v>
      </c>
      <c r="FN4" s="98">
        <f>'Raw Sheet'!E2</f>
        <v>46037</v>
      </c>
      <c r="FP4" s="23" t="s">
        <v>91</v>
      </c>
      <c r="FQ4" s="101">
        <v>37</v>
      </c>
      <c r="FR4" s="24" t="str">
        <f>VLOOKUP(FQ4,'Raw Sheet'!$A$8:$BK$59,'Raw Sheet'!$C$4,FALSE)</f>
        <v>I</v>
      </c>
      <c r="FS4" s="25"/>
      <c r="FU4" s="25" t="s">
        <v>93</v>
      </c>
      <c r="FV4" s="97">
        <f>'Raw Sheet'!D2</f>
        <v>46023</v>
      </c>
      <c r="FW4" s="98">
        <f>'Raw Sheet'!E2</f>
        <v>46037</v>
      </c>
      <c r="FY4" s="303" t="s">
        <v>91</v>
      </c>
      <c r="FZ4" s="304">
        <v>48</v>
      </c>
      <c r="GA4" s="305" t="s">
        <v>103</v>
      </c>
      <c r="GB4" s="306"/>
      <c r="GD4" s="306" t="s">
        <v>93</v>
      </c>
      <c r="GE4" s="307">
        <v>45946</v>
      </c>
      <c r="GF4" s="308">
        <v>45961</v>
      </c>
      <c r="GH4" s="23" t="s">
        <v>91</v>
      </c>
      <c r="GI4" s="101">
        <v>39</v>
      </c>
      <c r="GJ4" s="24" t="str">
        <f>VLOOKUP(GI4,'Raw Sheet'!$A$8:$BK$59,'Raw Sheet'!$C$4,FALSE)</f>
        <v>J</v>
      </c>
      <c r="GK4" s="25"/>
      <c r="GM4" s="25" t="s">
        <v>93</v>
      </c>
      <c r="GN4" s="97">
        <f>'Raw Sheet'!D2</f>
        <v>46023</v>
      </c>
      <c r="GO4" s="98">
        <f>'Raw Sheet'!E2</f>
        <v>46037</v>
      </c>
      <c r="GQ4" s="23" t="s">
        <v>91</v>
      </c>
      <c r="GR4" s="101">
        <v>41</v>
      </c>
      <c r="GS4" s="24" t="str">
        <f>VLOOKUP(GR4,'Raw Sheet'!$A$8:$BK$59,'Raw Sheet'!$C$4,FALSE)</f>
        <v>K</v>
      </c>
      <c r="GT4" s="25"/>
      <c r="GV4" s="25" t="s">
        <v>93</v>
      </c>
      <c r="GW4" s="97">
        <f>'Raw Sheet'!D2</f>
        <v>46023</v>
      </c>
      <c r="GX4" s="98">
        <f>'Raw Sheet'!E2</f>
        <v>46037</v>
      </c>
      <c r="GZ4" s="23" t="s">
        <v>91</v>
      </c>
      <c r="HA4" s="101">
        <v>42</v>
      </c>
      <c r="HB4" s="24" t="str">
        <f>VLOOKUP(HA4,'Raw Sheet'!$A$8:$BK$59,'Raw Sheet'!$C$4,FALSE)</f>
        <v>L</v>
      </c>
      <c r="HC4" s="25"/>
      <c r="HE4" s="25" t="s">
        <v>93</v>
      </c>
      <c r="HF4" s="97">
        <f>'Raw Sheet'!D2</f>
        <v>46023</v>
      </c>
      <c r="HG4" s="98">
        <f>'Raw Sheet'!E2</f>
        <v>46037</v>
      </c>
      <c r="HI4" s="23" t="s">
        <v>91</v>
      </c>
      <c r="HJ4" s="101">
        <v>43</v>
      </c>
      <c r="HK4" s="24" t="str">
        <f>VLOOKUP(HJ4,'Raw Sheet'!$A$8:$BK$59,'Raw Sheet'!$C$4,FALSE)</f>
        <v>M</v>
      </c>
      <c r="HL4" s="25"/>
      <c r="HN4" s="25" t="s">
        <v>93</v>
      </c>
      <c r="HO4" s="97">
        <f>'Raw Sheet'!D2</f>
        <v>46023</v>
      </c>
      <c r="HP4" s="98">
        <f>'Raw Sheet'!E2</f>
        <v>46037</v>
      </c>
      <c r="HR4" s="23" t="s">
        <v>91</v>
      </c>
      <c r="HS4" s="101">
        <v>44</v>
      </c>
      <c r="HT4" s="24" t="str">
        <f>VLOOKUP(HS4,'Raw Sheet'!$A$8:$BK$59,'Raw Sheet'!$C$4,FALSE)</f>
        <v>N</v>
      </c>
      <c r="HU4" s="25"/>
      <c r="HW4" s="25" t="s">
        <v>93</v>
      </c>
      <c r="HX4" s="97">
        <f>'Raw Sheet'!$D$2</f>
        <v>46023</v>
      </c>
      <c r="HY4" s="98">
        <f>'Raw Sheet'!$E$2</f>
        <v>46037</v>
      </c>
      <c r="IA4" s="23" t="s">
        <v>91</v>
      </c>
      <c r="IB4" s="101">
        <v>45</v>
      </c>
      <c r="IC4" s="24" t="str">
        <f>VLOOKUP(IB4,'Raw Sheet'!$A$8:$BK$59,'Raw Sheet'!$C$4,FALSE)</f>
        <v>O</v>
      </c>
      <c r="ID4" s="25"/>
      <c r="IF4" s="25" t="s">
        <v>93</v>
      </c>
      <c r="IG4" s="97">
        <f>'Raw Sheet'!$D$2</f>
        <v>46023</v>
      </c>
      <c r="IH4" s="98">
        <f>'Raw Sheet'!$E$2</f>
        <v>46037</v>
      </c>
      <c r="IJ4" s="23" t="s">
        <v>91</v>
      </c>
      <c r="IK4" s="101">
        <v>46</v>
      </c>
      <c r="IL4" s="24" t="str">
        <f>VLOOKUP(IK4,'Raw Sheet'!$A$8:$BK$59,'Raw Sheet'!$C$4,FALSE)</f>
        <v>P</v>
      </c>
      <c r="IM4" s="25"/>
      <c r="IO4" s="25" t="s">
        <v>93</v>
      </c>
      <c r="IP4" s="97">
        <f>'Raw Sheet'!$D$2</f>
        <v>46023</v>
      </c>
      <c r="IQ4" s="98">
        <f>'Raw Sheet'!$E$2</f>
        <v>46037</v>
      </c>
      <c r="IS4" s="23" t="s">
        <v>91</v>
      </c>
      <c r="IT4" s="101">
        <v>47</v>
      </c>
      <c r="IU4" s="24" t="str">
        <f>VLOOKUP(IT4,'Raw Sheet'!$A$8:$BK$59,'Raw Sheet'!$C$4,FALSE)</f>
        <v>Q</v>
      </c>
      <c r="IV4" s="25"/>
      <c r="IX4" s="25" t="s">
        <v>93</v>
      </c>
      <c r="IY4" s="97">
        <f>'Raw Sheet'!$D$2</f>
        <v>46023</v>
      </c>
      <c r="IZ4" s="98">
        <f>'Raw Sheet'!$E$2</f>
        <v>46037</v>
      </c>
      <c r="JB4" s="23" t="s">
        <v>91</v>
      </c>
      <c r="JC4" s="101">
        <v>49</v>
      </c>
      <c r="JD4" s="24" t="str">
        <f>VLOOKUP(JC4,'Raw Sheet'!$A$8:$BK$59,'Raw Sheet'!$C$4,FALSE)</f>
        <v>R</v>
      </c>
      <c r="JE4" s="25"/>
      <c r="JG4" s="25" t="s">
        <v>93</v>
      </c>
      <c r="JH4" s="97">
        <f>'Raw Sheet'!$D$2</f>
        <v>46023</v>
      </c>
      <c r="JI4" s="98">
        <f>'Raw Sheet'!$E$2</f>
        <v>46037</v>
      </c>
      <c r="JK4" s="23" t="s">
        <v>91</v>
      </c>
      <c r="JL4" s="101">
        <v>50</v>
      </c>
      <c r="JM4" s="24" t="str">
        <f>VLOOKUP(JL4,'Raw Sheet'!$A$8:$BK$59,'Raw Sheet'!$C$4,FALSE)</f>
        <v>S</v>
      </c>
      <c r="JN4" s="25"/>
      <c r="JP4" s="25" t="s">
        <v>93</v>
      </c>
      <c r="JQ4" s="97">
        <f>'Raw Sheet'!$D$2</f>
        <v>46023</v>
      </c>
      <c r="JR4" s="98">
        <f>'Raw Sheet'!$E$2</f>
        <v>46037</v>
      </c>
      <c r="JT4" s="23" t="s">
        <v>91</v>
      </c>
      <c r="JU4" s="101">
        <v>51</v>
      </c>
      <c r="JV4" s="24" t="str">
        <f>VLOOKUP(JU4,'Raw Sheet'!$A$8:$BK$59,'Raw Sheet'!$C$4,FALSE)</f>
        <v>T</v>
      </c>
      <c r="JW4" s="25"/>
      <c r="JY4" s="25" t="s">
        <v>93</v>
      </c>
      <c r="JZ4" s="97">
        <f>'Raw Sheet'!$D$2</f>
        <v>46023</v>
      </c>
      <c r="KA4" s="98">
        <f>'Raw Sheet'!$E$2</f>
        <v>46037</v>
      </c>
      <c r="KC4" s="23" t="s">
        <v>91</v>
      </c>
      <c r="KD4" s="101">
        <v>52</v>
      </c>
      <c r="KE4" s="24" t="str">
        <f>VLOOKUP(KD4,'Raw Sheet'!$A$8:$BK$59,'Raw Sheet'!$C$4,FALSE)</f>
        <v>U</v>
      </c>
      <c r="KF4" s="25"/>
      <c r="KH4" s="25" t="s">
        <v>93</v>
      </c>
      <c r="KI4" s="97">
        <f>'Raw Sheet'!$D$2</f>
        <v>46023</v>
      </c>
      <c r="KJ4" s="98">
        <f>'Raw Sheet'!$E$2</f>
        <v>46037</v>
      </c>
    </row>
    <row r="5" spans="1:296" ht="12.75" customHeight="1">
      <c r="A5" s="255" t="s">
        <v>104</v>
      </c>
      <c r="B5" s="257" t="s">
        <v>105</v>
      </c>
      <c r="C5" s="258"/>
      <c r="D5" s="258"/>
      <c r="F5" s="258"/>
      <c r="G5" s="261"/>
      <c r="H5" s="254"/>
      <c r="J5" s="255" t="s">
        <v>104</v>
      </c>
      <c r="K5" s="257" t="s">
        <v>105</v>
      </c>
      <c r="L5" s="258"/>
      <c r="M5" s="258"/>
      <c r="O5" s="258"/>
      <c r="P5" s="261"/>
      <c r="Q5" s="254"/>
      <c r="S5" s="255" t="s">
        <v>104</v>
      </c>
      <c r="T5" s="257" t="s">
        <v>105</v>
      </c>
      <c r="U5" s="258"/>
      <c r="V5" s="258"/>
      <c r="X5" s="258"/>
      <c r="Y5" s="261"/>
      <c r="Z5" s="254"/>
      <c r="AB5" s="255" t="s">
        <v>104</v>
      </c>
      <c r="AC5" s="257" t="s">
        <v>106</v>
      </c>
      <c r="AD5" s="258"/>
      <c r="AE5" s="258"/>
      <c r="AG5" s="258"/>
      <c r="AH5" s="261"/>
      <c r="AI5" s="254"/>
      <c r="AK5" s="255" t="s">
        <v>104</v>
      </c>
      <c r="AL5" s="257" t="s">
        <v>107</v>
      </c>
      <c r="AM5" s="258"/>
      <c r="AN5" s="258"/>
      <c r="AP5" s="258"/>
      <c r="AQ5" s="261"/>
      <c r="AR5" s="254"/>
      <c r="AT5" s="255" t="s">
        <v>104</v>
      </c>
      <c r="AU5" s="257" t="s">
        <v>105</v>
      </c>
      <c r="AV5" s="258"/>
      <c r="AW5" s="258"/>
      <c r="AY5" s="258"/>
      <c r="AZ5" s="261"/>
      <c r="BA5" s="254"/>
      <c r="BC5" s="255" t="s">
        <v>104</v>
      </c>
      <c r="BD5" s="257" t="s">
        <v>105</v>
      </c>
      <c r="BE5" s="258"/>
      <c r="BF5" s="258"/>
      <c r="BH5" s="258"/>
      <c r="BI5" s="261"/>
      <c r="BJ5" s="254"/>
      <c r="BL5" s="255" t="s">
        <v>104</v>
      </c>
      <c r="BM5" s="257" t="s">
        <v>105</v>
      </c>
      <c r="BN5" s="258"/>
      <c r="BO5" s="258"/>
      <c r="BQ5" s="258"/>
      <c r="BR5" s="261"/>
      <c r="BS5" s="254"/>
      <c r="BU5" s="23" t="s">
        <v>104</v>
      </c>
      <c r="BV5" s="24" t="str">
        <f>VLOOKUP(BV4,'Raw Sheet'!$A$8:$BK$28,'Raw Sheet'!$F$4,FALSE)</f>
        <v>Service Desk Analyst-L1</v>
      </c>
      <c r="BW5" s="25"/>
      <c r="BX5" s="25"/>
      <c r="BZ5" s="25"/>
      <c r="CA5" s="26"/>
      <c r="CB5" s="22"/>
      <c r="CD5" s="23" t="s">
        <v>104</v>
      </c>
      <c r="CE5" s="24" t="e">
        <f>VLOOKUP(CE4,'Raw Sheet'!$A$8:$BK$28,'Raw Sheet'!$F$4,FALSE)</f>
        <v>#N/A</v>
      </c>
      <c r="CF5" s="25"/>
      <c r="CG5" s="25"/>
      <c r="CI5" s="25"/>
      <c r="CJ5" s="26"/>
      <c r="CK5" s="22"/>
      <c r="CM5" s="255" t="s">
        <v>104</v>
      </c>
      <c r="CN5" s="257" t="s">
        <v>108</v>
      </c>
      <c r="CO5" s="258"/>
      <c r="CP5" s="258"/>
      <c r="CR5" s="258"/>
      <c r="CS5" s="261"/>
      <c r="CT5" s="254"/>
      <c r="CV5" s="23" t="s">
        <v>104</v>
      </c>
      <c r="CW5" s="24" t="str">
        <f>VLOOKUP(CW4,'Raw Sheet'!$A$8:$BK$28,'Raw Sheet'!$F$4,FALSE)</f>
        <v>Service Desk Analyst-L1</v>
      </c>
      <c r="CX5" s="25"/>
      <c r="CY5" s="25"/>
      <c r="DA5" s="25"/>
      <c r="DB5" s="26"/>
      <c r="DC5" s="22"/>
      <c r="DE5" s="303" t="s">
        <v>104</v>
      </c>
      <c r="DF5" s="305" t="s">
        <v>107</v>
      </c>
      <c r="DG5" s="306"/>
      <c r="DH5" s="306"/>
      <c r="DJ5" s="306"/>
      <c r="DK5" s="309"/>
      <c r="DL5" s="302"/>
      <c r="DN5" s="23" t="s">
        <v>104</v>
      </c>
      <c r="DO5" s="24" t="str">
        <f>VLOOKUP(DO4,'Raw Sheet'!$A$8:$BK$28,'Raw Sheet'!$F$4,FALSE)</f>
        <v>Service Desk Analyst-L1</v>
      </c>
      <c r="DP5" s="25"/>
      <c r="DQ5" s="25"/>
      <c r="DS5" s="25"/>
      <c r="DT5" s="26"/>
      <c r="DU5" s="22"/>
      <c r="DW5" s="23" t="s">
        <v>104</v>
      </c>
      <c r="DX5" s="24" t="str">
        <f>VLOOKUP(DX4,'Raw Sheet'!$A$8:$BK$28,'Raw Sheet'!$F$4,FALSE)</f>
        <v>Senior Operations Manager</v>
      </c>
      <c r="DY5" s="25"/>
      <c r="DZ5" s="25"/>
      <c r="EB5" s="25"/>
      <c r="EC5" s="26"/>
      <c r="ED5" s="22"/>
      <c r="EF5" s="23" t="s">
        <v>104</v>
      </c>
      <c r="EG5" s="24" t="str">
        <f>VLOOKUP(EG4,'Raw Sheet'!$A$8:$BK$28,'Raw Sheet'!$F$4,FALSE)</f>
        <v>Senior Project Manager</v>
      </c>
      <c r="EH5" s="25"/>
      <c r="EI5" s="25"/>
      <c r="EK5" s="25"/>
      <c r="EL5" s="26"/>
      <c r="EM5" s="22"/>
      <c r="EO5" s="23" t="s">
        <v>104</v>
      </c>
      <c r="EP5" s="24" t="str">
        <f>VLOOKUP(EP4,'Raw Sheet'!$A$8:$BK$28,'Raw Sheet'!$F$4,FALSE)</f>
        <v>Service Desk Analyst-L1</v>
      </c>
      <c r="EQ5" s="25"/>
      <c r="ER5" s="25"/>
      <c r="ET5" s="25"/>
      <c r="EU5" s="26"/>
      <c r="EV5" s="22"/>
      <c r="EX5" s="23" t="s">
        <v>104</v>
      </c>
      <c r="EY5" s="24" t="str">
        <f>VLOOKUP(EY4,'Raw Sheet'!$A$8:$BK$28,'Raw Sheet'!$F$4,FALSE)</f>
        <v>Service Desk Analyst-L1</v>
      </c>
      <c r="EZ5" s="25"/>
      <c r="FA5" s="25"/>
      <c r="FC5" s="25"/>
      <c r="FD5" s="26"/>
      <c r="FE5" s="22"/>
      <c r="FG5" s="23" t="s">
        <v>104</v>
      </c>
      <c r="FH5" s="24" t="str">
        <f>VLOOKUP(FH4,'Raw Sheet'!$A$8:$BK$28,'Raw Sheet'!$F$4,FALSE)</f>
        <v>Senior Security Analyst</v>
      </c>
      <c r="FI5" s="25"/>
      <c r="FJ5" s="25"/>
      <c r="FL5" s="25"/>
      <c r="FM5" s="26"/>
      <c r="FN5" s="22"/>
      <c r="FP5" s="23" t="s">
        <v>104</v>
      </c>
      <c r="FQ5" s="24" t="str">
        <f>VLOOKUP(FQ4,'Raw Sheet'!$A$8:$BK$28,'Raw Sheet'!$F$4,FALSE)</f>
        <v>Lead Security Analyst</v>
      </c>
      <c r="FR5" s="25"/>
      <c r="FS5" s="25"/>
      <c r="FU5" s="25"/>
      <c r="FV5" s="26"/>
      <c r="FW5" s="22"/>
      <c r="FY5" s="303" t="s">
        <v>104</v>
      </c>
      <c r="FZ5" s="305" t="s">
        <v>108</v>
      </c>
      <c r="GA5" s="306"/>
      <c r="GB5" s="306"/>
      <c r="GD5" s="306"/>
      <c r="GE5" s="309"/>
      <c r="GF5" s="302"/>
      <c r="GH5" s="23" t="s">
        <v>104</v>
      </c>
      <c r="GI5" s="24" t="str">
        <f>VLOOKUP(GI4,'Raw Sheet'!$A$8:$BK$28,'Raw Sheet'!$F$4,FALSE)</f>
        <v>Service Desk Analyst L-1</v>
      </c>
      <c r="GJ5" s="25"/>
      <c r="GK5" s="25"/>
      <c r="GM5" s="25"/>
      <c r="GN5" s="26"/>
      <c r="GO5" s="22"/>
      <c r="GQ5" s="23" t="s">
        <v>104</v>
      </c>
      <c r="GR5" s="24" t="str">
        <f>VLOOKUP(GR4,'Raw Sheet'!$A$8:$BK$28,'Raw Sheet'!$F$4,FALSE)</f>
        <v>Service Desk Analyst L-1</v>
      </c>
      <c r="GS5" s="25"/>
      <c r="GT5" s="25"/>
      <c r="GV5" s="25"/>
      <c r="GW5" s="26"/>
      <c r="GX5" s="22"/>
      <c r="GZ5" s="23" t="s">
        <v>104</v>
      </c>
      <c r="HA5" s="24" t="str">
        <f>VLOOKUP(HA4,'Raw Sheet'!$A$8:$BK$28,'Raw Sheet'!$F$4,FALSE)</f>
        <v>Lead Security Analyst</v>
      </c>
      <c r="HB5" s="25"/>
      <c r="HC5" s="25"/>
      <c r="HE5" s="25"/>
      <c r="HF5" s="26"/>
      <c r="HG5" s="22"/>
      <c r="HI5" s="23" t="s">
        <v>104</v>
      </c>
      <c r="HJ5" s="24" t="str">
        <f>VLOOKUP(HJ4,'Raw Sheet'!$A$8:$BK$28,'Raw Sheet'!$F$4,FALSE)</f>
        <v>Senior Security Analyst</v>
      </c>
      <c r="HK5" s="25"/>
      <c r="HL5" s="25"/>
      <c r="HN5" s="25"/>
      <c r="HO5" s="26"/>
      <c r="HP5" s="22"/>
      <c r="HR5" s="23" t="s">
        <v>104</v>
      </c>
      <c r="HS5" s="24" t="str">
        <f>VLOOKUP(HS4,'Raw Sheet'!$A$8:$BK$28,'Raw Sheet'!$F$4,FALSE)</f>
        <v>Service Desk Analyst-L1</v>
      </c>
      <c r="HT5" s="25"/>
      <c r="HU5" s="25"/>
      <c r="HW5" s="25"/>
      <c r="HX5" s="26"/>
      <c r="HY5" s="22"/>
      <c r="IA5" s="23" t="s">
        <v>104</v>
      </c>
      <c r="IB5" s="24" t="str">
        <f>VLOOKUP(IB4,'Raw Sheet'!$A$8:$BK$28,'Raw Sheet'!$F$4,FALSE)</f>
        <v>Senior Security Analyst</v>
      </c>
      <c r="IC5" s="25"/>
      <c r="ID5" s="25"/>
      <c r="IF5" s="25"/>
      <c r="IG5" s="26"/>
      <c r="IH5" s="22"/>
      <c r="IJ5" s="23" t="s">
        <v>104</v>
      </c>
      <c r="IK5" s="24" t="str">
        <f>VLOOKUP(IK4,'Raw Sheet'!$A$8:$BK$28,'Raw Sheet'!$F$4,FALSE)</f>
        <v>Senior Security Analyst</v>
      </c>
      <c r="IL5" s="25"/>
      <c r="IM5" s="25"/>
      <c r="IO5" s="25"/>
      <c r="IP5" s="26"/>
      <c r="IQ5" s="22"/>
      <c r="IS5" s="23" t="s">
        <v>104</v>
      </c>
      <c r="IT5" s="24" t="str">
        <f>VLOOKUP(IT4,'Raw Sheet'!$A$8:$BK$28,'Raw Sheet'!$F$4,FALSE)</f>
        <v>Service Desk Analyst L-1</v>
      </c>
      <c r="IU5" s="25"/>
      <c r="IV5" s="25"/>
      <c r="IX5" s="25"/>
      <c r="IY5" s="26"/>
      <c r="IZ5" s="22"/>
      <c r="JB5" s="23" t="s">
        <v>104</v>
      </c>
      <c r="JC5" s="24" t="str">
        <f>VLOOKUP(JC4,'Raw Sheet'!$A$8:$BK$28,'Raw Sheet'!$F$4,FALSE)</f>
        <v>Service Desk Analyst L-1</v>
      </c>
      <c r="JD5" s="25"/>
      <c r="JE5" s="25"/>
      <c r="JG5" s="25"/>
      <c r="JH5" s="26"/>
      <c r="JI5" s="22"/>
      <c r="JK5" s="23" t="s">
        <v>104</v>
      </c>
      <c r="JL5" s="24" t="str">
        <f>VLOOKUP(JL4,'Raw Sheet'!$A$8:$BK$28,'Raw Sheet'!$F$4,FALSE)</f>
        <v>Senior Security Analyst</v>
      </c>
      <c r="JM5" s="25"/>
      <c r="JN5" s="25"/>
      <c r="JP5" s="25"/>
      <c r="JQ5" s="26"/>
      <c r="JR5" s="22"/>
      <c r="JT5" s="23" t="s">
        <v>104</v>
      </c>
      <c r="JU5" s="24" t="str">
        <f>VLOOKUP(JU4,'Raw Sheet'!$A$8:$BK$28,'Raw Sheet'!$F$4,FALSE)</f>
        <v>Service Desk Analyst L-1</v>
      </c>
      <c r="JV5" s="25"/>
      <c r="JW5" s="25"/>
      <c r="JY5" s="25"/>
      <c r="JZ5" s="26"/>
      <c r="KA5" s="22"/>
      <c r="KC5" s="23" t="s">
        <v>104</v>
      </c>
      <c r="KD5" s="24" t="str">
        <f>VLOOKUP(KD4,'Raw Sheet'!$A$8:$BK$28,'Raw Sheet'!$F$4,FALSE)</f>
        <v>Service Desk Analyst L-1</v>
      </c>
      <c r="KE5" s="25"/>
      <c r="KF5" s="25"/>
      <c r="KH5" s="25"/>
      <c r="KI5" s="26"/>
      <c r="KJ5" s="22"/>
    </row>
    <row r="6" spans="1:296" ht="12.75" customHeight="1">
      <c r="A6" s="255"/>
      <c r="B6" s="347"/>
      <c r="C6" s="258"/>
      <c r="D6" s="258"/>
      <c r="E6" s="258"/>
      <c r="F6" s="258"/>
      <c r="G6" s="258"/>
      <c r="H6" s="254"/>
      <c r="J6" s="255"/>
      <c r="K6" s="347"/>
      <c r="L6" s="258"/>
      <c r="M6" s="258"/>
      <c r="N6" s="258"/>
      <c r="O6" s="258"/>
      <c r="P6" s="258"/>
      <c r="Q6" s="254"/>
      <c r="S6" s="255"/>
      <c r="T6" s="347"/>
      <c r="U6" s="258"/>
      <c r="V6" s="258"/>
      <c r="W6" s="258"/>
      <c r="X6" s="258"/>
      <c r="Y6" s="258"/>
      <c r="Z6" s="254"/>
      <c r="AB6" s="255"/>
      <c r="AC6" s="347"/>
      <c r="AD6" s="258"/>
      <c r="AE6" s="258"/>
      <c r="AF6" s="258"/>
      <c r="AG6" s="258"/>
      <c r="AH6" s="258"/>
      <c r="AI6" s="254"/>
      <c r="AK6" s="255"/>
      <c r="AL6" s="347"/>
      <c r="AM6" s="258"/>
      <c r="AN6" s="258"/>
      <c r="AO6" s="258"/>
      <c r="AP6" s="258"/>
      <c r="AQ6" s="258"/>
      <c r="AR6" s="254"/>
      <c r="AT6" s="255"/>
      <c r="AU6" s="347"/>
      <c r="AV6" s="258"/>
      <c r="AW6" s="258"/>
      <c r="AX6" s="258"/>
      <c r="AY6" s="258"/>
      <c r="AZ6" s="258"/>
      <c r="BA6" s="254"/>
      <c r="BC6" s="255"/>
      <c r="BD6" s="347"/>
      <c r="BE6" s="258"/>
      <c r="BF6" s="258"/>
      <c r="BG6" s="258"/>
      <c r="BH6" s="258"/>
      <c r="BI6" s="258"/>
      <c r="BJ6" s="254"/>
      <c r="BL6" s="255"/>
      <c r="BM6" s="347"/>
      <c r="BN6" s="258"/>
      <c r="BO6" s="258"/>
      <c r="BP6" s="258"/>
      <c r="BQ6" s="258"/>
      <c r="BR6" s="258"/>
      <c r="BS6" s="254"/>
      <c r="BU6" s="23"/>
      <c r="BV6" s="96"/>
      <c r="BW6" s="25"/>
      <c r="BX6" s="25"/>
      <c r="BY6" s="25"/>
      <c r="BZ6" s="25"/>
      <c r="CA6" s="25"/>
      <c r="CB6" s="22"/>
      <c r="CD6" s="23"/>
      <c r="CE6" s="96"/>
      <c r="CF6" s="25"/>
      <c r="CG6" s="25"/>
      <c r="CH6" s="25"/>
      <c r="CI6" s="25"/>
      <c r="CJ6" s="25"/>
      <c r="CK6" s="22"/>
      <c r="CM6" s="255"/>
      <c r="CN6" s="347"/>
      <c r="CO6" s="258"/>
      <c r="CP6" s="258"/>
      <c r="CQ6" s="258"/>
      <c r="CR6" s="258"/>
      <c r="CS6" s="258"/>
      <c r="CT6" s="254"/>
      <c r="CV6" s="23"/>
      <c r="CW6" s="96"/>
      <c r="CX6" s="25"/>
      <c r="CY6" s="25"/>
      <c r="CZ6" s="25"/>
      <c r="DA6" s="25"/>
      <c r="DB6" s="25"/>
      <c r="DC6" s="22"/>
      <c r="DE6" s="303"/>
      <c r="DF6" s="414"/>
      <c r="DG6" s="306"/>
      <c r="DH6" s="306"/>
      <c r="DI6" s="306"/>
      <c r="DJ6" s="306"/>
      <c r="DK6" s="306"/>
      <c r="DL6" s="302"/>
      <c r="DN6" s="23"/>
      <c r="DO6" s="96"/>
      <c r="DP6" s="25"/>
      <c r="DQ6" s="25"/>
      <c r="DR6" s="25"/>
      <c r="DS6" s="25"/>
      <c r="DT6" s="25"/>
      <c r="DU6" s="22"/>
      <c r="DW6" s="23"/>
      <c r="DX6" s="96"/>
      <c r="DY6" s="25"/>
      <c r="DZ6" s="25"/>
      <c r="EA6" s="25"/>
      <c r="EB6" s="25"/>
      <c r="EC6" s="25"/>
      <c r="ED6" s="22"/>
      <c r="EF6" s="23"/>
      <c r="EG6" s="96"/>
      <c r="EH6" s="25"/>
      <c r="EI6" s="25"/>
      <c r="EJ6" s="25"/>
      <c r="EK6" s="25"/>
      <c r="EL6" s="25"/>
      <c r="EM6" s="22"/>
      <c r="EO6" s="23"/>
      <c r="EP6" s="96"/>
      <c r="EQ6" s="25"/>
      <c r="ER6" s="25"/>
      <c r="ES6" s="25"/>
      <c r="ET6" s="25"/>
      <c r="EU6" s="25"/>
      <c r="EV6" s="22"/>
      <c r="EX6" s="23"/>
      <c r="EY6" s="96"/>
      <c r="EZ6" s="25"/>
      <c r="FA6" s="25"/>
      <c r="FB6" s="25"/>
      <c r="FC6" s="25"/>
      <c r="FD6" s="25"/>
      <c r="FE6" s="22"/>
      <c r="FG6" s="23"/>
      <c r="FH6" s="96"/>
      <c r="FI6" s="25"/>
      <c r="FJ6" s="25"/>
      <c r="FK6" s="25"/>
      <c r="FL6" s="25"/>
      <c r="FM6" s="25"/>
      <c r="FN6" s="22"/>
      <c r="FP6" s="23"/>
      <c r="FQ6" s="96"/>
      <c r="FR6" s="25"/>
      <c r="FS6" s="25"/>
      <c r="FT6" s="25"/>
      <c r="FU6" s="25"/>
      <c r="FV6" s="25"/>
      <c r="FW6" s="22"/>
      <c r="FY6" s="303"/>
      <c r="FZ6" s="414"/>
      <c r="GA6" s="306"/>
      <c r="GB6" s="306"/>
      <c r="GC6" s="306"/>
      <c r="GD6" s="306"/>
      <c r="GE6" s="306"/>
      <c r="GF6" s="302"/>
      <c r="GH6" s="23"/>
      <c r="GI6" s="96"/>
      <c r="GJ6" s="25"/>
      <c r="GK6" s="25"/>
      <c r="GL6" s="25"/>
      <c r="GM6" s="25"/>
      <c r="GN6" s="25"/>
      <c r="GO6" s="22"/>
      <c r="GQ6" s="23"/>
      <c r="GR6" s="96"/>
      <c r="GS6" s="25"/>
      <c r="GT6" s="25"/>
      <c r="GU6" s="25"/>
      <c r="GV6" s="25"/>
      <c r="GW6" s="25"/>
      <c r="GX6" s="22"/>
      <c r="GZ6" s="23"/>
      <c r="HA6" s="96"/>
      <c r="HB6" s="25"/>
      <c r="HC6" s="25"/>
      <c r="HD6" s="25"/>
      <c r="HE6" s="25"/>
      <c r="HF6" s="25"/>
      <c r="HG6" s="22"/>
      <c r="HI6" s="23"/>
      <c r="HJ6" s="96"/>
      <c r="HK6" s="25"/>
      <c r="HL6" s="25"/>
      <c r="HM6" s="25"/>
      <c r="HN6" s="25"/>
      <c r="HO6" s="25"/>
      <c r="HP6" s="22"/>
      <c r="HR6" s="23"/>
      <c r="HS6" s="96"/>
      <c r="HT6" s="25"/>
      <c r="HU6" s="25"/>
      <c r="HV6" s="25"/>
      <c r="HW6" s="25"/>
      <c r="HX6" s="25"/>
      <c r="HY6" s="22"/>
      <c r="IA6" s="23"/>
      <c r="IB6" s="96"/>
      <c r="IC6" s="25"/>
      <c r="ID6" s="25"/>
      <c r="IE6" s="25"/>
      <c r="IF6" s="25"/>
      <c r="IG6" s="25"/>
      <c r="IH6" s="22"/>
      <c r="IJ6" s="23"/>
      <c r="IK6" s="96"/>
      <c r="IL6" s="25"/>
      <c r="IM6" s="25"/>
      <c r="IN6" s="25"/>
      <c r="IO6" s="25"/>
      <c r="IP6" s="25"/>
      <c r="IQ6" s="22"/>
      <c r="IS6" s="23"/>
      <c r="IT6" s="96"/>
      <c r="IU6" s="25"/>
      <c r="IV6" s="25"/>
      <c r="IW6" s="25"/>
      <c r="IX6" s="25"/>
      <c r="IY6" s="25"/>
      <c r="IZ6" s="22"/>
      <c r="JB6" s="23"/>
      <c r="JC6" s="96"/>
      <c r="JD6" s="25"/>
      <c r="JE6" s="25"/>
      <c r="JF6" s="25"/>
      <c r="JG6" s="25"/>
      <c r="JH6" s="25"/>
      <c r="JI6" s="22"/>
      <c r="JK6" s="23"/>
      <c r="JL6" s="96"/>
      <c r="JM6" s="25"/>
      <c r="JN6" s="25"/>
      <c r="JO6" s="25"/>
      <c r="JP6" s="25"/>
      <c r="JQ6" s="25"/>
      <c r="JR6" s="22"/>
      <c r="JT6" s="23"/>
      <c r="JU6" s="96"/>
      <c r="JV6" s="25"/>
      <c r="JW6" s="25"/>
      <c r="JX6" s="25"/>
      <c r="JY6" s="25"/>
      <c r="JZ6" s="25"/>
      <c r="KA6" s="22"/>
      <c r="KC6" s="23"/>
      <c r="KD6" s="96"/>
      <c r="KE6" s="25"/>
      <c r="KF6" s="25"/>
      <c r="KG6" s="25"/>
      <c r="KH6" s="25"/>
      <c r="KI6" s="25"/>
      <c r="KJ6" s="22"/>
    </row>
    <row r="7" spans="1:296" ht="12.75" customHeight="1">
      <c r="A7" s="618" t="s">
        <v>109</v>
      </c>
      <c r="B7" s="620"/>
      <c r="C7" s="620"/>
      <c r="D7" s="619"/>
      <c r="E7" s="618" t="s">
        <v>110</v>
      </c>
      <c r="F7" s="619"/>
      <c r="G7" s="618" t="s">
        <v>111</v>
      </c>
      <c r="H7" s="619"/>
      <c r="J7" s="618" t="s">
        <v>109</v>
      </c>
      <c r="K7" s="620"/>
      <c r="L7" s="620"/>
      <c r="M7" s="619"/>
      <c r="N7" s="618" t="s">
        <v>110</v>
      </c>
      <c r="O7" s="619"/>
      <c r="P7" s="618" t="s">
        <v>111</v>
      </c>
      <c r="Q7" s="619"/>
      <c r="S7" s="618" t="s">
        <v>109</v>
      </c>
      <c r="T7" s="620"/>
      <c r="U7" s="620"/>
      <c r="V7" s="619"/>
      <c r="W7" s="618" t="s">
        <v>110</v>
      </c>
      <c r="X7" s="619"/>
      <c r="Y7" s="618" t="s">
        <v>111</v>
      </c>
      <c r="Z7" s="619"/>
      <c r="AB7" s="618" t="s">
        <v>109</v>
      </c>
      <c r="AC7" s="620"/>
      <c r="AD7" s="620"/>
      <c r="AE7" s="619"/>
      <c r="AF7" s="618" t="s">
        <v>110</v>
      </c>
      <c r="AG7" s="619"/>
      <c r="AH7" s="618" t="s">
        <v>111</v>
      </c>
      <c r="AI7" s="619"/>
      <c r="AK7" s="618" t="s">
        <v>109</v>
      </c>
      <c r="AL7" s="620"/>
      <c r="AM7" s="620"/>
      <c r="AN7" s="619"/>
      <c r="AO7" s="618" t="s">
        <v>110</v>
      </c>
      <c r="AP7" s="619"/>
      <c r="AQ7" s="618" t="s">
        <v>111</v>
      </c>
      <c r="AR7" s="619"/>
      <c r="AT7" s="618" t="s">
        <v>109</v>
      </c>
      <c r="AU7" s="620"/>
      <c r="AV7" s="620"/>
      <c r="AW7" s="619"/>
      <c r="AX7" s="618" t="s">
        <v>110</v>
      </c>
      <c r="AY7" s="619"/>
      <c r="AZ7" s="618" t="s">
        <v>111</v>
      </c>
      <c r="BA7" s="619"/>
      <c r="BC7" s="618" t="s">
        <v>109</v>
      </c>
      <c r="BD7" s="620"/>
      <c r="BE7" s="620"/>
      <c r="BF7" s="619"/>
      <c r="BG7" s="618" t="s">
        <v>110</v>
      </c>
      <c r="BH7" s="619"/>
      <c r="BI7" s="618" t="s">
        <v>111</v>
      </c>
      <c r="BJ7" s="619"/>
      <c r="BL7" s="618" t="s">
        <v>109</v>
      </c>
      <c r="BM7" s="620"/>
      <c r="BN7" s="620"/>
      <c r="BO7" s="619"/>
      <c r="BP7" s="618" t="s">
        <v>110</v>
      </c>
      <c r="BQ7" s="619"/>
      <c r="BR7" s="618" t="s">
        <v>111</v>
      </c>
      <c r="BS7" s="619"/>
      <c r="BU7" s="609" t="s">
        <v>109</v>
      </c>
      <c r="BV7" s="611"/>
      <c r="BW7" s="611"/>
      <c r="BX7" s="610"/>
      <c r="BY7" s="609" t="s">
        <v>110</v>
      </c>
      <c r="BZ7" s="610"/>
      <c r="CA7" s="609" t="s">
        <v>111</v>
      </c>
      <c r="CB7" s="610"/>
      <c r="CD7" s="609" t="s">
        <v>109</v>
      </c>
      <c r="CE7" s="611"/>
      <c r="CF7" s="611"/>
      <c r="CG7" s="610"/>
      <c r="CH7" s="609" t="s">
        <v>110</v>
      </c>
      <c r="CI7" s="610"/>
      <c r="CJ7" s="609" t="s">
        <v>111</v>
      </c>
      <c r="CK7" s="610"/>
      <c r="CM7" s="618" t="s">
        <v>109</v>
      </c>
      <c r="CN7" s="620"/>
      <c r="CO7" s="620"/>
      <c r="CP7" s="619"/>
      <c r="CQ7" s="618" t="s">
        <v>110</v>
      </c>
      <c r="CR7" s="619"/>
      <c r="CS7" s="618" t="s">
        <v>111</v>
      </c>
      <c r="CT7" s="619"/>
      <c r="CV7" s="609" t="s">
        <v>109</v>
      </c>
      <c r="CW7" s="611"/>
      <c r="CX7" s="611"/>
      <c r="CY7" s="610"/>
      <c r="CZ7" s="609" t="s">
        <v>110</v>
      </c>
      <c r="DA7" s="610"/>
      <c r="DB7" s="609" t="s">
        <v>111</v>
      </c>
      <c r="DC7" s="610"/>
      <c r="DE7" s="630" t="s">
        <v>109</v>
      </c>
      <c r="DF7" s="631"/>
      <c r="DG7" s="631"/>
      <c r="DH7" s="632"/>
      <c r="DI7" s="630" t="s">
        <v>110</v>
      </c>
      <c r="DJ7" s="632"/>
      <c r="DK7" s="630" t="s">
        <v>111</v>
      </c>
      <c r="DL7" s="632"/>
      <c r="DN7" s="609" t="s">
        <v>109</v>
      </c>
      <c r="DO7" s="611"/>
      <c r="DP7" s="611"/>
      <c r="DQ7" s="610"/>
      <c r="DR7" s="609" t="s">
        <v>110</v>
      </c>
      <c r="DS7" s="610"/>
      <c r="DT7" s="609" t="s">
        <v>111</v>
      </c>
      <c r="DU7" s="610"/>
      <c r="DW7" s="609" t="s">
        <v>109</v>
      </c>
      <c r="DX7" s="611"/>
      <c r="DY7" s="611"/>
      <c r="DZ7" s="610"/>
      <c r="EA7" s="609" t="s">
        <v>110</v>
      </c>
      <c r="EB7" s="610"/>
      <c r="EC7" s="609" t="s">
        <v>111</v>
      </c>
      <c r="ED7" s="610"/>
      <c r="EF7" s="609" t="s">
        <v>109</v>
      </c>
      <c r="EG7" s="611"/>
      <c r="EH7" s="611"/>
      <c r="EI7" s="610"/>
      <c r="EJ7" s="609" t="s">
        <v>110</v>
      </c>
      <c r="EK7" s="610"/>
      <c r="EL7" s="609" t="s">
        <v>111</v>
      </c>
      <c r="EM7" s="610"/>
      <c r="EO7" s="609" t="s">
        <v>109</v>
      </c>
      <c r="EP7" s="611"/>
      <c r="EQ7" s="611"/>
      <c r="ER7" s="610"/>
      <c r="ES7" s="609" t="s">
        <v>110</v>
      </c>
      <c r="ET7" s="610"/>
      <c r="EU7" s="609" t="s">
        <v>111</v>
      </c>
      <c r="EV7" s="610"/>
      <c r="EX7" s="609" t="s">
        <v>109</v>
      </c>
      <c r="EY7" s="611"/>
      <c r="EZ7" s="611"/>
      <c r="FA7" s="610"/>
      <c r="FB7" s="609" t="s">
        <v>110</v>
      </c>
      <c r="FC7" s="610"/>
      <c r="FD7" s="609" t="s">
        <v>111</v>
      </c>
      <c r="FE7" s="610"/>
      <c r="FG7" s="609" t="s">
        <v>109</v>
      </c>
      <c r="FH7" s="611"/>
      <c r="FI7" s="611"/>
      <c r="FJ7" s="610"/>
      <c r="FK7" s="609" t="s">
        <v>110</v>
      </c>
      <c r="FL7" s="610"/>
      <c r="FM7" s="609" t="s">
        <v>111</v>
      </c>
      <c r="FN7" s="610"/>
      <c r="FP7" s="609" t="s">
        <v>109</v>
      </c>
      <c r="FQ7" s="611"/>
      <c r="FR7" s="611"/>
      <c r="FS7" s="610"/>
      <c r="FT7" s="609" t="s">
        <v>110</v>
      </c>
      <c r="FU7" s="610"/>
      <c r="FV7" s="609" t="s">
        <v>111</v>
      </c>
      <c r="FW7" s="610"/>
      <c r="FY7" s="630" t="s">
        <v>109</v>
      </c>
      <c r="FZ7" s="631"/>
      <c r="GA7" s="631"/>
      <c r="GB7" s="632"/>
      <c r="GC7" s="630" t="s">
        <v>110</v>
      </c>
      <c r="GD7" s="632"/>
      <c r="GE7" s="630" t="s">
        <v>111</v>
      </c>
      <c r="GF7" s="632"/>
      <c r="GH7" s="609" t="s">
        <v>109</v>
      </c>
      <c r="GI7" s="611"/>
      <c r="GJ7" s="611"/>
      <c r="GK7" s="610"/>
      <c r="GL7" s="609" t="s">
        <v>110</v>
      </c>
      <c r="GM7" s="610"/>
      <c r="GN7" s="609" t="s">
        <v>111</v>
      </c>
      <c r="GO7" s="610"/>
      <c r="GQ7" s="609" t="s">
        <v>109</v>
      </c>
      <c r="GR7" s="611"/>
      <c r="GS7" s="611"/>
      <c r="GT7" s="610"/>
      <c r="GU7" s="609" t="s">
        <v>110</v>
      </c>
      <c r="GV7" s="610"/>
      <c r="GW7" s="609" t="s">
        <v>111</v>
      </c>
      <c r="GX7" s="610"/>
      <c r="GZ7" s="609" t="s">
        <v>109</v>
      </c>
      <c r="HA7" s="611"/>
      <c r="HB7" s="611"/>
      <c r="HC7" s="610"/>
      <c r="HD7" s="609" t="s">
        <v>110</v>
      </c>
      <c r="HE7" s="610"/>
      <c r="HF7" s="609" t="s">
        <v>111</v>
      </c>
      <c r="HG7" s="610"/>
      <c r="HI7" s="609" t="s">
        <v>109</v>
      </c>
      <c r="HJ7" s="611"/>
      <c r="HK7" s="611"/>
      <c r="HL7" s="610"/>
      <c r="HM7" s="609" t="s">
        <v>110</v>
      </c>
      <c r="HN7" s="610"/>
      <c r="HO7" s="609" t="s">
        <v>111</v>
      </c>
      <c r="HP7" s="610"/>
      <c r="HR7" s="609" t="s">
        <v>109</v>
      </c>
      <c r="HS7" s="611"/>
      <c r="HT7" s="611"/>
      <c r="HU7" s="610"/>
      <c r="HV7" s="609" t="s">
        <v>110</v>
      </c>
      <c r="HW7" s="610"/>
      <c r="HX7" s="609" t="s">
        <v>111</v>
      </c>
      <c r="HY7" s="610"/>
      <c r="IA7" s="609" t="s">
        <v>109</v>
      </c>
      <c r="IB7" s="611"/>
      <c r="IC7" s="611"/>
      <c r="ID7" s="610"/>
      <c r="IE7" s="609" t="s">
        <v>110</v>
      </c>
      <c r="IF7" s="610"/>
      <c r="IG7" s="609" t="s">
        <v>111</v>
      </c>
      <c r="IH7" s="610"/>
      <c r="IJ7" s="609" t="s">
        <v>109</v>
      </c>
      <c r="IK7" s="611"/>
      <c r="IL7" s="611"/>
      <c r="IM7" s="610"/>
      <c r="IN7" s="609" t="s">
        <v>110</v>
      </c>
      <c r="IO7" s="610"/>
      <c r="IP7" s="609" t="s">
        <v>111</v>
      </c>
      <c r="IQ7" s="610"/>
      <c r="IS7" s="609" t="s">
        <v>109</v>
      </c>
      <c r="IT7" s="611"/>
      <c r="IU7" s="611"/>
      <c r="IV7" s="610"/>
      <c r="IW7" s="609" t="s">
        <v>110</v>
      </c>
      <c r="IX7" s="610"/>
      <c r="IY7" s="609" t="s">
        <v>111</v>
      </c>
      <c r="IZ7" s="610"/>
      <c r="JB7" s="609" t="s">
        <v>109</v>
      </c>
      <c r="JC7" s="611"/>
      <c r="JD7" s="611"/>
      <c r="JE7" s="610"/>
      <c r="JF7" s="609" t="s">
        <v>110</v>
      </c>
      <c r="JG7" s="610"/>
      <c r="JH7" s="609" t="s">
        <v>111</v>
      </c>
      <c r="JI7" s="610"/>
      <c r="JK7" s="609" t="s">
        <v>109</v>
      </c>
      <c r="JL7" s="611"/>
      <c r="JM7" s="611"/>
      <c r="JN7" s="610"/>
      <c r="JO7" s="609" t="s">
        <v>110</v>
      </c>
      <c r="JP7" s="610"/>
      <c r="JQ7" s="609" t="s">
        <v>111</v>
      </c>
      <c r="JR7" s="610"/>
      <c r="JT7" s="609" t="s">
        <v>109</v>
      </c>
      <c r="JU7" s="611"/>
      <c r="JV7" s="611"/>
      <c r="JW7" s="610"/>
      <c r="JX7" s="609" t="s">
        <v>110</v>
      </c>
      <c r="JY7" s="610"/>
      <c r="JZ7" s="609" t="s">
        <v>111</v>
      </c>
      <c r="KA7" s="610"/>
      <c r="KC7" s="609" t="s">
        <v>109</v>
      </c>
      <c r="KD7" s="611"/>
      <c r="KE7" s="611"/>
      <c r="KF7" s="610"/>
      <c r="KG7" s="609" t="s">
        <v>110</v>
      </c>
      <c r="KH7" s="610"/>
      <c r="KI7" s="609" t="s">
        <v>111</v>
      </c>
      <c r="KJ7" s="610"/>
    </row>
    <row r="8" spans="1:296" ht="12.75" customHeight="1">
      <c r="A8" s="255"/>
      <c r="B8" s="258"/>
      <c r="C8" s="262" t="s">
        <v>112</v>
      </c>
      <c r="D8" s="263" t="s">
        <v>113</v>
      </c>
      <c r="E8" s="264"/>
      <c r="F8" s="265"/>
      <c r="G8" s="266"/>
      <c r="H8" s="265"/>
      <c r="J8" s="255"/>
      <c r="K8" s="258"/>
      <c r="L8" s="262" t="s">
        <v>112</v>
      </c>
      <c r="M8" s="263" t="s">
        <v>113</v>
      </c>
      <c r="N8" s="264"/>
      <c r="O8" s="265"/>
      <c r="P8" s="266"/>
      <c r="Q8" s="265"/>
      <c r="S8" s="255"/>
      <c r="T8" s="258"/>
      <c r="U8" s="262" t="s">
        <v>112</v>
      </c>
      <c r="V8" s="263" t="s">
        <v>113</v>
      </c>
      <c r="W8" s="264"/>
      <c r="X8" s="265"/>
      <c r="Y8" s="266"/>
      <c r="Z8" s="265"/>
      <c r="AB8" s="255"/>
      <c r="AC8" s="258"/>
      <c r="AD8" s="262" t="s">
        <v>112</v>
      </c>
      <c r="AE8" s="263" t="s">
        <v>113</v>
      </c>
      <c r="AF8" s="264"/>
      <c r="AG8" s="265"/>
      <c r="AH8" s="266"/>
      <c r="AI8" s="265"/>
      <c r="AK8" s="255"/>
      <c r="AL8" s="258"/>
      <c r="AM8" s="262" t="s">
        <v>112</v>
      </c>
      <c r="AN8" s="263" t="s">
        <v>113</v>
      </c>
      <c r="AO8" s="264"/>
      <c r="AP8" s="265"/>
      <c r="AQ8" s="266"/>
      <c r="AR8" s="265"/>
      <c r="AT8" s="255"/>
      <c r="AU8" s="258"/>
      <c r="AV8" s="262" t="s">
        <v>112</v>
      </c>
      <c r="AW8" s="263" t="s">
        <v>113</v>
      </c>
      <c r="AX8" s="264"/>
      <c r="AY8" s="265"/>
      <c r="AZ8" s="266"/>
      <c r="BA8" s="265"/>
      <c r="BC8" s="255"/>
      <c r="BD8" s="258"/>
      <c r="BE8" s="262" t="s">
        <v>112</v>
      </c>
      <c r="BF8" s="263" t="s">
        <v>113</v>
      </c>
      <c r="BG8" s="264"/>
      <c r="BH8" s="265"/>
      <c r="BI8" s="266"/>
      <c r="BJ8" s="265"/>
      <c r="BL8" s="255"/>
      <c r="BM8" s="258"/>
      <c r="BN8" s="262" t="s">
        <v>112</v>
      </c>
      <c r="BO8" s="263" t="s">
        <v>113</v>
      </c>
      <c r="BP8" s="264"/>
      <c r="BQ8" s="265"/>
      <c r="BR8" s="266"/>
      <c r="BS8" s="265"/>
      <c r="BU8" s="23"/>
      <c r="BV8" s="25"/>
      <c r="BW8" s="27" t="s">
        <v>112</v>
      </c>
      <c r="BX8" s="28" t="s">
        <v>113</v>
      </c>
      <c r="BY8" s="134"/>
      <c r="BZ8" s="144"/>
      <c r="CA8" s="145"/>
      <c r="CB8" s="144"/>
      <c r="CD8" s="23"/>
      <c r="CE8" s="25"/>
      <c r="CF8" s="27" t="s">
        <v>112</v>
      </c>
      <c r="CG8" s="28" t="s">
        <v>113</v>
      </c>
      <c r="CH8" s="134"/>
      <c r="CI8" s="144"/>
      <c r="CJ8" s="145"/>
      <c r="CK8" s="144"/>
      <c r="CM8" s="255"/>
      <c r="CN8" s="258"/>
      <c r="CO8" s="262" t="s">
        <v>112</v>
      </c>
      <c r="CP8" s="263" t="s">
        <v>113</v>
      </c>
      <c r="CQ8" s="264"/>
      <c r="CR8" s="265"/>
      <c r="CS8" s="266"/>
      <c r="CT8" s="265"/>
      <c r="CV8" s="23"/>
      <c r="CW8" s="25"/>
      <c r="CX8" s="27" t="s">
        <v>112</v>
      </c>
      <c r="CY8" s="28" t="s">
        <v>113</v>
      </c>
      <c r="CZ8" s="134"/>
      <c r="DA8" s="144"/>
      <c r="DB8" s="145"/>
      <c r="DC8" s="144"/>
      <c r="DE8" s="303"/>
      <c r="DF8" s="306"/>
      <c r="DG8" s="310" t="s">
        <v>112</v>
      </c>
      <c r="DH8" s="311" t="s">
        <v>113</v>
      </c>
      <c r="DI8" s="303"/>
      <c r="DJ8" s="302"/>
      <c r="DK8" s="306"/>
      <c r="DL8" s="302"/>
      <c r="DN8" s="23"/>
      <c r="DO8" s="25"/>
      <c r="DP8" s="27" t="s">
        <v>112</v>
      </c>
      <c r="DQ8" s="28" t="s">
        <v>113</v>
      </c>
      <c r="DR8" s="134"/>
      <c r="DS8" s="144"/>
      <c r="DT8" s="145"/>
      <c r="DU8" s="144"/>
      <c r="DW8" s="23"/>
      <c r="DX8" s="25"/>
      <c r="DY8" s="27" t="s">
        <v>112</v>
      </c>
      <c r="DZ8" s="28" t="s">
        <v>113</v>
      </c>
      <c r="EA8" s="134"/>
      <c r="EB8" s="144"/>
      <c r="EC8" s="145"/>
      <c r="ED8" s="144"/>
      <c r="EF8" s="23"/>
      <c r="EG8" s="25"/>
      <c r="EH8" s="27" t="s">
        <v>112</v>
      </c>
      <c r="EI8" s="28" t="s">
        <v>113</v>
      </c>
      <c r="EJ8" s="134"/>
      <c r="EK8" s="144"/>
      <c r="EL8" s="145"/>
      <c r="EM8" s="144"/>
      <c r="EO8" s="23"/>
      <c r="EP8" s="25"/>
      <c r="EQ8" s="27" t="s">
        <v>112</v>
      </c>
      <c r="ER8" s="28" t="s">
        <v>113</v>
      </c>
      <c r="ES8" s="134"/>
      <c r="ET8" s="144"/>
      <c r="EU8" s="145"/>
      <c r="EV8" s="144"/>
      <c r="EX8" s="23"/>
      <c r="EY8" s="25"/>
      <c r="EZ8" s="27" t="s">
        <v>112</v>
      </c>
      <c r="FA8" s="28" t="s">
        <v>113</v>
      </c>
      <c r="FB8" s="134"/>
      <c r="FC8" s="144"/>
      <c r="FD8" s="145"/>
      <c r="FE8" s="144"/>
      <c r="FG8" s="23"/>
      <c r="FH8" s="25"/>
      <c r="FI8" s="27" t="s">
        <v>112</v>
      </c>
      <c r="FJ8" s="28" t="s">
        <v>113</v>
      </c>
      <c r="FK8" s="134"/>
      <c r="FL8" s="144"/>
      <c r="FM8" s="145"/>
      <c r="FN8" s="144"/>
      <c r="FP8" s="23"/>
      <c r="FQ8" s="25"/>
      <c r="FR8" s="27" t="s">
        <v>112</v>
      </c>
      <c r="FS8" s="28" t="s">
        <v>113</v>
      </c>
      <c r="FT8" s="134"/>
      <c r="FU8" s="144"/>
      <c r="FV8" s="145"/>
      <c r="FW8" s="144"/>
      <c r="FY8" s="303"/>
      <c r="FZ8" s="306"/>
      <c r="GA8" s="310" t="s">
        <v>112</v>
      </c>
      <c r="GB8" s="311" t="s">
        <v>113</v>
      </c>
      <c r="GC8" s="303"/>
      <c r="GD8" s="302"/>
      <c r="GE8" s="306"/>
      <c r="GF8" s="302"/>
      <c r="GH8" s="23"/>
      <c r="GI8" s="25"/>
      <c r="GJ8" s="27" t="s">
        <v>112</v>
      </c>
      <c r="GK8" s="28" t="s">
        <v>113</v>
      </c>
      <c r="GL8" s="134"/>
      <c r="GM8" s="144"/>
      <c r="GN8" s="145"/>
      <c r="GO8" s="144"/>
      <c r="GQ8" s="23"/>
      <c r="GR8" s="25"/>
      <c r="GS8" s="27" t="s">
        <v>112</v>
      </c>
      <c r="GT8" s="28" t="s">
        <v>113</v>
      </c>
      <c r="GU8" s="134"/>
      <c r="GV8" s="144"/>
      <c r="GW8" s="145"/>
      <c r="GX8" s="144"/>
      <c r="GZ8" s="23"/>
      <c r="HA8" s="25"/>
      <c r="HB8" s="27" t="s">
        <v>112</v>
      </c>
      <c r="HC8" s="28" t="s">
        <v>113</v>
      </c>
      <c r="HD8" s="134"/>
      <c r="HE8" s="144"/>
      <c r="HF8" s="145"/>
      <c r="HG8" s="144"/>
      <c r="HI8" s="23"/>
      <c r="HJ8" s="25"/>
      <c r="HK8" s="27" t="s">
        <v>112</v>
      </c>
      <c r="HL8" s="28" t="s">
        <v>113</v>
      </c>
      <c r="HM8" s="134"/>
      <c r="HN8" s="144"/>
      <c r="HO8" s="145"/>
      <c r="HP8" s="144"/>
      <c r="HR8" s="23"/>
      <c r="HS8" s="25"/>
      <c r="HT8" s="27" t="s">
        <v>112</v>
      </c>
      <c r="HU8" s="28" t="s">
        <v>113</v>
      </c>
      <c r="HV8" s="134"/>
      <c r="HW8" s="144"/>
      <c r="HX8" s="145"/>
      <c r="HY8" s="144"/>
      <c r="IA8" s="23"/>
      <c r="IB8" s="25"/>
      <c r="IC8" s="27" t="s">
        <v>112</v>
      </c>
      <c r="ID8" s="28" t="s">
        <v>113</v>
      </c>
      <c r="IE8" s="134"/>
      <c r="IF8" s="144"/>
      <c r="IG8" s="145"/>
      <c r="IH8" s="144"/>
      <c r="IJ8" s="23"/>
      <c r="IK8" s="25"/>
      <c r="IL8" s="27" t="s">
        <v>112</v>
      </c>
      <c r="IM8" s="28" t="s">
        <v>113</v>
      </c>
      <c r="IN8" s="134"/>
      <c r="IO8" s="144"/>
      <c r="IP8" s="145"/>
      <c r="IQ8" s="144"/>
      <c r="IS8" s="23"/>
      <c r="IT8" s="25"/>
      <c r="IU8" s="27" t="s">
        <v>112</v>
      </c>
      <c r="IV8" s="28" t="s">
        <v>113</v>
      </c>
      <c r="IW8" s="134"/>
      <c r="IX8" s="144"/>
      <c r="IY8" s="145"/>
      <c r="IZ8" s="144"/>
      <c r="JB8" s="23"/>
      <c r="JC8" s="25"/>
      <c r="JD8" s="27" t="s">
        <v>112</v>
      </c>
      <c r="JE8" s="28" t="s">
        <v>113</v>
      </c>
      <c r="JF8" s="134"/>
      <c r="JG8" s="144"/>
      <c r="JH8" s="145"/>
      <c r="JI8" s="144"/>
      <c r="JK8" s="23"/>
      <c r="JL8" s="25"/>
      <c r="JM8" s="27" t="s">
        <v>112</v>
      </c>
      <c r="JN8" s="28" t="s">
        <v>113</v>
      </c>
      <c r="JO8" s="134"/>
      <c r="JP8" s="144"/>
      <c r="JQ8" s="145"/>
      <c r="JR8" s="144"/>
      <c r="JT8" s="23"/>
      <c r="JU8" s="25"/>
      <c r="JV8" s="27" t="s">
        <v>112</v>
      </c>
      <c r="JW8" s="28" t="s">
        <v>113</v>
      </c>
      <c r="JX8" s="134"/>
      <c r="JY8" s="144"/>
      <c r="JZ8" s="145"/>
      <c r="KA8" s="144"/>
      <c r="KC8" s="23"/>
      <c r="KD8" s="25"/>
      <c r="KE8" s="27" t="s">
        <v>112</v>
      </c>
      <c r="KF8" s="28" t="s">
        <v>113</v>
      </c>
      <c r="KG8" s="134"/>
      <c r="KH8" s="144"/>
      <c r="KI8" s="145"/>
      <c r="KJ8" s="144"/>
    </row>
    <row r="9" spans="1:296" ht="12.75" customHeight="1">
      <c r="A9" s="255" t="s">
        <v>114</v>
      </c>
      <c r="B9" s="258"/>
      <c r="C9" s="262"/>
      <c r="D9" s="268">
        <v>0</v>
      </c>
      <c r="E9" s="264"/>
      <c r="F9" s="267"/>
      <c r="G9" s="264"/>
      <c r="H9" s="267"/>
      <c r="J9" s="255" t="s">
        <v>114</v>
      </c>
      <c r="K9" s="258"/>
      <c r="L9" s="262"/>
      <c r="M9" s="268">
        <v>0</v>
      </c>
      <c r="N9" s="264"/>
      <c r="O9" s="267"/>
      <c r="P9" s="264"/>
      <c r="Q9" s="267"/>
      <c r="S9" s="255" t="s">
        <v>114</v>
      </c>
      <c r="T9" s="258"/>
      <c r="U9" s="262"/>
      <c r="V9" s="268">
        <v>0</v>
      </c>
      <c r="W9" s="264"/>
      <c r="X9" s="267"/>
      <c r="Y9" s="264"/>
      <c r="Z9" s="267"/>
      <c r="AB9" s="255" t="s">
        <v>114</v>
      </c>
      <c r="AC9" s="258"/>
      <c r="AD9" s="262"/>
      <c r="AE9" s="268">
        <v>0</v>
      </c>
      <c r="AF9" s="264"/>
      <c r="AG9" s="267"/>
      <c r="AH9" s="264"/>
      <c r="AI9" s="267"/>
      <c r="AK9" s="255" t="s">
        <v>114</v>
      </c>
      <c r="AL9" s="258"/>
      <c r="AM9" s="262"/>
      <c r="AN9" s="268">
        <v>0</v>
      </c>
      <c r="AO9" s="264"/>
      <c r="AP9" s="267"/>
      <c r="AQ9" s="266" t="s">
        <v>75</v>
      </c>
      <c r="AR9" s="267" t="e">
        <v>#REF!</v>
      </c>
      <c r="AT9" s="255" t="s">
        <v>114</v>
      </c>
      <c r="AU9" s="258"/>
      <c r="AV9" s="262"/>
      <c r="AW9" s="268">
        <v>0</v>
      </c>
      <c r="AX9" s="264"/>
      <c r="AY9" s="267"/>
      <c r="AZ9" s="266" t="s">
        <v>75</v>
      </c>
      <c r="BA9" s="267">
        <v>0</v>
      </c>
      <c r="BC9" s="255" t="s">
        <v>114</v>
      </c>
      <c r="BD9" s="258"/>
      <c r="BE9" s="262"/>
      <c r="BF9" s="268">
        <v>0</v>
      </c>
      <c r="BG9" s="264"/>
      <c r="BH9" s="267"/>
      <c r="BI9" s="266" t="s">
        <v>75</v>
      </c>
      <c r="BJ9" s="267" t="e">
        <v>#REF!</v>
      </c>
      <c r="BL9" s="255" t="s">
        <v>114</v>
      </c>
      <c r="BM9" s="258"/>
      <c r="BN9" s="262"/>
      <c r="BO9" s="268">
        <v>0</v>
      </c>
      <c r="BP9" s="264"/>
      <c r="BQ9" s="267"/>
      <c r="BR9" s="266" t="s">
        <v>75</v>
      </c>
      <c r="BS9" s="267" t="e">
        <v>#REF!</v>
      </c>
      <c r="BU9" s="23" t="s">
        <v>114</v>
      </c>
      <c r="BV9" s="25"/>
      <c r="BW9" s="27"/>
      <c r="BX9" s="29">
        <f>VLOOKUP(BV$4,'Raw Sheet'!$A$8:$BK$59,'Raw Sheet'!$H$4,FALSE)</f>
        <v>18600</v>
      </c>
      <c r="BY9" s="134"/>
      <c r="BZ9" s="135"/>
      <c r="CA9" s="145" t="s">
        <v>75</v>
      </c>
      <c r="CB9" s="135">
        <f>'Payroll Register'!T8</f>
        <v>1400</v>
      </c>
      <c r="CD9" s="23" t="s">
        <v>114</v>
      </c>
      <c r="CE9" s="25"/>
      <c r="CF9" s="27"/>
      <c r="CG9" s="29" t="e">
        <f>VLOOKUP(CE$4,'Raw Sheet'!$A$8:$BK$59,'Raw Sheet'!$H$4,FALSE)</f>
        <v>#N/A</v>
      </c>
      <c r="CH9" s="134"/>
      <c r="CI9" s="135"/>
      <c r="CJ9" s="145"/>
      <c r="CK9" s="135"/>
      <c r="CM9" s="255" t="s">
        <v>114</v>
      </c>
      <c r="CN9" s="258"/>
      <c r="CO9" s="262"/>
      <c r="CP9" s="268">
        <v>0</v>
      </c>
      <c r="CQ9" s="264"/>
      <c r="CR9" s="267"/>
      <c r="CS9" s="266" t="s">
        <v>75</v>
      </c>
      <c r="CT9" s="267" t="e">
        <v>#REF!</v>
      </c>
      <c r="CV9" s="23" t="s">
        <v>114</v>
      </c>
      <c r="CW9" s="25"/>
      <c r="CX9" s="27"/>
      <c r="CY9" s="29">
        <f>VLOOKUP(CW$4,'Raw Sheet'!$A$8:$BK$59,'Raw Sheet'!$H$4,FALSE)</f>
        <v>22500</v>
      </c>
      <c r="CZ9" s="134"/>
      <c r="DA9" s="135"/>
      <c r="DB9" s="145"/>
      <c r="DC9" s="135"/>
      <c r="DE9" s="303" t="s">
        <v>114</v>
      </c>
      <c r="DF9" s="306"/>
      <c r="DG9" s="310"/>
      <c r="DH9" s="313">
        <v>0</v>
      </c>
      <c r="DI9" s="303"/>
      <c r="DJ9" s="312"/>
      <c r="DK9" s="306" t="s">
        <v>75</v>
      </c>
      <c r="DL9" s="312" t="e">
        <v>#REF!</v>
      </c>
      <c r="DN9" s="23" t="s">
        <v>114</v>
      </c>
      <c r="DO9" s="25"/>
      <c r="DP9" s="27"/>
      <c r="DQ9" s="29">
        <f>VLOOKUP(DO$4,'Raw Sheet'!$A$8:$BK$59,'Raw Sheet'!$H$4,FALSE)</f>
        <v>21000</v>
      </c>
      <c r="DR9" s="134"/>
      <c r="DS9" s="135"/>
      <c r="DT9" s="145" t="s">
        <v>75</v>
      </c>
      <c r="DU9" s="135">
        <f>'Payroll Register'!T10</f>
        <v>1050</v>
      </c>
      <c r="DW9" s="23" t="s">
        <v>114</v>
      </c>
      <c r="DX9" s="25"/>
      <c r="DY9" s="27"/>
      <c r="DZ9" s="29">
        <f>VLOOKUP(DX$4,'Raw Sheet'!$A$8:$BK$59,'Raw Sheet'!$H$4,FALSE)</f>
        <v>84800</v>
      </c>
      <c r="EA9" s="145"/>
      <c r="EB9" s="135"/>
      <c r="EC9" s="145" t="s">
        <v>75</v>
      </c>
      <c r="ED9" s="135">
        <v>1400</v>
      </c>
      <c r="EF9" s="23" t="s">
        <v>114</v>
      </c>
      <c r="EG9" s="25"/>
      <c r="EH9" s="27"/>
      <c r="EI9" s="29">
        <f>VLOOKUP(EG$4,'Raw Sheet'!$A$8:$BK$59,'Raw Sheet'!$H$4,FALSE)</f>
        <v>127800</v>
      </c>
      <c r="EJ9" s="134"/>
      <c r="EK9" s="135"/>
      <c r="EL9" s="145" t="s">
        <v>75</v>
      </c>
      <c r="EM9" s="135">
        <v>1400</v>
      </c>
      <c r="EO9" s="23" t="s">
        <v>114</v>
      </c>
      <c r="EP9" s="25"/>
      <c r="EQ9" s="27"/>
      <c r="ER9" s="29">
        <f>VLOOKUP(EP$4,'Raw Sheet'!$A$8:$BK$59,'Raw Sheet'!$H$4,FALSE)</f>
        <v>13000</v>
      </c>
      <c r="ES9" s="134"/>
      <c r="ET9" s="135"/>
      <c r="EU9" s="145" t="s">
        <v>75</v>
      </c>
      <c r="EV9" s="135">
        <f>'Payroll Register'!T13</f>
        <v>780</v>
      </c>
      <c r="EX9" s="23" t="s">
        <v>114</v>
      </c>
      <c r="EY9" s="25"/>
      <c r="EZ9" s="27"/>
      <c r="FA9" s="29">
        <f>VLOOKUP(EY$4,'Raw Sheet'!$A$8:$BK$59,'Raw Sheet'!$H$4,FALSE)</f>
        <v>14840</v>
      </c>
      <c r="FB9" s="134"/>
      <c r="FC9" s="135"/>
      <c r="FD9" s="145" t="s">
        <v>75</v>
      </c>
      <c r="FE9" s="135">
        <v>1400</v>
      </c>
      <c r="FG9" s="23" t="s">
        <v>114</v>
      </c>
      <c r="FH9" s="25"/>
      <c r="FI9" s="27"/>
      <c r="FJ9" s="29">
        <f>VLOOKUP(FH$4,'Raw Sheet'!$A$8:$BK$59,'Raw Sheet'!$H$4,FALSE)</f>
        <v>45050</v>
      </c>
      <c r="FK9" s="134"/>
      <c r="FL9" s="135"/>
      <c r="FM9" s="145" t="s">
        <v>75</v>
      </c>
      <c r="FN9" s="135">
        <v>1400</v>
      </c>
      <c r="FP9" s="23" t="s">
        <v>114</v>
      </c>
      <c r="FQ9" s="25"/>
      <c r="FR9" s="27"/>
      <c r="FS9" s="29">
        <f>VLOOKUP(FQ$4,'Raw Sheet'!$A$8:$BK$59,'Raw Sheet'!$H$4,FALSE)</f>
        <v>66562.5</v>
      </c>
      <c r="FT9" s="134"/>
      <c r="FU9" s="135"/>
      <c r="FV9" s="145" t="s">
        <v>75</v>
      </c>
      <c r="FW9" s="135">
        <v>1400</v>
      </c>
      <c r="FY9" s="303" t="s">
        <v>114</v>
      </c>
      <c r="FZ9" s="306"/>
      <c r="GA9" s="310"/>
      <c r="GB9" s="313">
        <v>0</v>
      </c>
      <c r="GC9" s="303"/>
      <c r="GD9" s="312"/>
      <c r="GE9" s="306" t="s">
        <v>75</v>
      </c>
      <c r="GF9" s="312" t="e">
        <v>#REF!</v>
      </c>
      <c r="GH9" s="23" t="s">
        <v>114</v>
      </c>
      <c r="GI9" s="25"/>
      <c r="GJ9" s="27"/>
      <c r="GK9" s="29">
        <f>VLOOKUP(GI$4,'Raw Sheet'!$A$8:$BK$59,'Raw Sheet'!$H$4,FALSE)</f>
        <v>13125</v>
      </c>
      <c r="GL9" s="134"/>
      <c r="GM9" s="135"/>
      <c r="GN9" s="145" t="s">
        <v>75</v>
      </c>
      <c r="GO9" s="135">
        <v>1400</v>
      </c>
      <c r="GQ9" s="23" t="s">
        <v>114</v>
      </c>
      <c r="GR9" s="25"/>
      <c r="GS9" s="27"/>
      <c r="GT9" s="29">
        <f>VLOOKUP(GR$4,'Raw Sheet'!$A$8:$BK$59,'Raw Sheet'!$H$4,FALSE)</f>
        <v>14323</v>
      </c>
      <c r="GU9" s="134"/>
      <c r="GV9" s="135"/>
      <c r="GW9" s="145" t="s">
        <v>75</v>
      </c>
      <c r="GX9" s="135">
        <v>1400</v>
      </c>
      <c r="GZ9" s="23" t="s">
        <v>114</v>
      </c>
      <c r="HA9" s="25"/>
      <c r="HB9" s="27"/>
      <c r="HC9" s="29">
        <f>VLOOKUP(HA$4,'Raw Sheet'!$A$8:$BK$59,'Raw Sheet'!$H$4,FALSE)</f>
        <v>93750</v>
      </c>
      <c r="HD9" s="134"/>
      <c r="HE9" s="135"/>
      <c r="HF9" s="145" t="s">
        <v>75</v>
      </c>
      <c r="HG9" s="135">
        <v>1400</v>
      </c>
      <c r="HI9" s="23" t="s">
        <v>114</v>
      </c>
      <c r="HJ9" s="25"/>
      <c r="HK9" s="27"/>
      <c r="HL9" s="29">
        <f>VLOOKUP(HJ$4,'Raw Sheet'!$A$8:$BK$59,'Raw Sheet'!$H$4,FALSE)</f>
        <v>51408</v>
      </c>
      <c r="HM9" s="134"/>
      <c r="HN9" s="135"/>
      <c r="HO9" s="145" t="s">
        <v>75</v>
      </c>
      <c r="HP9" s="135">
        <v>1400</v>
      </c>
      <c r="HR9" s="23" t="s">
        <v>114</v>
      </c>
      <c r="HS9" s="25"/>
      <c r="HT9" s="27"/>
      <c r="HU9" s="29">
        <f>VLOOKUP(HS$4,'Raw Sheet'!$A$8:$BK$59,'Raw Sheet'!$H$4,FALSE)</f>
        <v>12350</v>
      </c>
      <c r="HV9" s="134"/>
      <c r="HW9" s="135"/>
      <c r="HX9" s="145" t="s">
        <v>75</v>
      </c>
      <c r="HY9" s="135">
        <v>1400</v>
      </c>
      <c r="IA9" s="23" t="s">
        <v>114</v>
      </c>
      <c r="IB9" s="25"/>
      <c r="IC9" s="27"/>
      <c r="ID9" s="29">
        <f>VLOOKUP(IB$4,'Raw Sheet'!$A$8:$BK$59,'Raw Sheet'!$H$4,FALSE)</f>
        <v>42500</v>
      </c>
      <c r="IE9" s="134"/>
      <c r="IF9" s="135"/>
      <c r="IG9" s="145" t="s">
        <v>75</v>
      </c>
      <c r="IH9" s="135">
        <v>1400</v>
      </c>
      <c r="IJ9" s="23" t="s">
        <v>114</v>
      </c>
      <c r="IK9" s="25"/>
      <c r="IL9" s="27"/>
      <c r="IM9" s="29">
        <f>VLOOKUP(IK$4,'Raw Sheet'!$A$8:$BK$59,'Raw Sheet'!$H$4,FALSE)</f>
        <v>65000</v>
      </c>
      <c r="IN9" s="134"/>
      <c r="IO9" s="135"/>
      <c r="IP9" s="145" t="s">
        <v>75</v>
      </c>
      <c r="IQ9" s="135">
        <v>1400</v>
      </c>
      <c r="IS9" s="23" t="s">
        <v>114</v>
      </c>
      <c r="IT9" s="25"/>
      <c r="IU9" s="27"/>
      <c r="IV9" s="29">
        <f>VLOOKUP(IT$4,'Raw Sheet'!$A$8:$BK$59,'Raw Sheet'!$H$4,FALSE)</f>
        <v>15000</v>
      </c>
      <c r="IW9" s="134"/>
      <c r="IX9" s="135"/>
      <c r="IY9" s="145" t="s">
        <v>75</v>
      </c>
      <c r="IZ9" s="135">
        <v>1400</v>
      </c>
      <c r="JB9" s="23" t="s">
        <v>114</v>
      </c>
      <c r="JC9" s="25"/>
      <c r="JD9" s="27"/>
      <c r="JE9" s="29">
        <f>VLOOKUP(JC$4,'Raw Sheet'!$A$8:$BK$59,'Raw Sheet'!$H$4,FALSE)</f>
        <v>14000</v>
      </c>
      <c r="JF9" s="134"/>
      <c r="JG9" s="135"/>
      <c r="JH9" s="145" t="s">
        <v>75</v>
      </c>
      <c r="JI9" s="135">
        <v>1400</v>
      </c>
      <c r="JK9" s="23" t="s">
        <v>114</v>
      </c>
      <c r="JL9" s="25"/>
      <c r="JM9" s="27"/>
      <c r="JN9" s="29">
        <f>VLOOKUP(JL$4,'Raw Sheet'!$A$8:$BK$59,'Raw Sheet'!$H$4,FALSE)</f>
        <v>42500</v>
      </c>
      <c r="JO9" s="134"/>
      <c r="JP9" s="135"/>
      <c r="JQ9" s="145" t="s">
        <v>75</v>
      </c>
      <c r="JR9" s="135">
        <v>1400</v>
      </c>
      <c r="JT9" s="23" t="s">
        <v>114</v>
      </c>
      <c r="JU9" s="25"/>
      <c r="JV9" s="27"/>
      <c r="JW9" s="29">
        <f>VLOOKUP(JU$4,'Raw Sheet'!$A$8:$BK$59,'Raw Sheet'!$H$4,FALSE)</f>
        <v>11000</v>
      </c>
      <c r="JX9" s="134"/>
      <c r="JY9" s="135"/>
      <c r="JZ9" s="145" t="s">
        <v>75</v>
      </c>
      <c r="KA9" s="135">
        <v>1400</v>
      </c>
      <c r="KC9" s="23" t="s">
        <v>114</v>
      </c>
      <c r="KD9" s="25"/>
      <c r="KE9" s="27"/>
      <c r="KF9" s="29">
        <f>VLOOKUP(KD$4,'Raw Sheet'!$A$8:$BK$59,'Raw Sheet'!$H$4,FALSE)</f>
        <v>9000</v>
      </c>
      <c r="KG9" s="134"/>
      <c r="KH9" s="135"/>
      <c r="KI9" s="145" t="s">
        <v>75</v>
      </c>
      <c r="KJ9" s="135">
        <v>1400</v>
      </c>
    </row>
    <row r="10" spans="1:296" ht="12.75" customHeight="1">
      <c r="A10" s="255" t="s">
        <v>115</v>
      </c>
      <c r="B10" s="258"/>
      <c r="C10" s="270">
        <v>0</v>
      </c>
      <c r="D10" s="268"/>
      <c r="E10" s="264"/>
      <c r="F10" s="265"/>
      <c r="G10" s="266"/>
      <c r="H10" s="269"/>
      <c r="J10" s="255" t="s">
        <v>115</v>
      </c>
      <c r="K10" s="258"/>
      <c r="L10" s="270">
        <v>0</v>
      </c>
      <c r="M10" s="268"/>
      <c r="N10" s="264"/>
      <c r="O10" s="265"/>
      <c r="P10" s="266"/>
      <c r="Q10" s="269"/>
      <c r="S10" s="255" t="s">
        <v>115</v>
      </c>
      <c r="T10" s="258"/>
      <c r="U10" s="270">
        <v>0</v>
      </c>
      <c r="V10" s="268"/>
      <c r="W10" s="264"/>
      <c r="X10" s="265"/>
      <c r="Y10" s="266"/>
      <c r="Z10" s="269"/>
      <c r="AB10" s="255" t="s">
        <v>115</v>
      </c>
      <c r="AC10" s="258"/>
      <c r="AD10" s="270">
        <v>0</v>
      </c>
      <c r="AE10" s="268"/>
      <c r="AF10" s="264"/>
      <c r="AG10" s="265"/>
      <c r="AH10" s="266"/>
      <c r="AI10" s="269"/>
      <c r="AK10" s="255" t="s">
        <v>115</v>
      </c>
      <c r="AL10" s="258"/>
      <c r="AM10" s="270">
        <v>0</v>
      </c>
      <c r="AN10" s="268"/>
      <c r="AO10" s="264"/>
      <c r="AP10" s="265"/>
      <c r="AQ10" s="266"/>
      <c r="AR10" s="269"/>
      <c r="AT10" s="255" t="s">
        <v>115</v>
      </c>
      <c r="AU10" s="258"/>
      <c r="AV10" s="270">
        <v>0</v>
      </c>
      <c r="AW10" s="268"/>
      <c r="AX10" s="264"/>
      <c r="AY10" s="265"/>
      <c r="AZ10" s="266"/>
      <c r="BA10" s="269"/>
      <c r="BC10" s="255" t="s">
        <v>115</v>
      </c>
      <c r="BD10" s="258"/>
      <c r="BE10" s="270">
        <v>0</v>
      </c>
      <c r="BF10" s="268"/>
      <c r="BG10" s="264"/>
      <c r="BH10" s="265"/>
      <c r="BI10" s="266"/>
      <c r="BJ10" s="269"/>
      <c r="BL10" s="255" t="s">
        <v>115</v>
      </c>
      <c r="BM10" s="258"/>
      <c r="BN10" s="270">
        <v>0</v>
      </c>
      <c r="BO10" s="268"/>
      <c r="BP10" s="264"/>
      <c r="BQ10" s="265"/>
      <c r="BR10" s="266"/>
      <c r="BS10" s="269"/>
      <c r="BU10" s="23" t="s">
        <v>115</v>
      </c>
      <c r="BV10" s="25"/>
      <c r="BW10" s="30">
        <f>VLOOKUP(BV4,'Raw Sheet'!$A$8:$BK$59,'Raw Sheet'!$J$4,FALSE)</f>
        <v>213.79310344827587</v>
      </c>
      <c r="BX10" s="29"/>
      <c r="BY10" s="134"/>
      <c r="BZ10" s="144"/>
      <c r="CA10" s="145"/>
      <c r="CB10" s="146"/>
      <c r="CD10" s="23" t="s">
        <v>115</v>
      </c>
      <c r="CE10" s="25"/>
      <c r="CF10" s="30" t="e">
        <f>VLOOKUP(CE4,'Raw Sheet'!$A$8:$BK$59,'Raw Sheet'!$J$4,FALSE)</f>
        <v>#N/A</v>
      </c>
      <c r="CG10" s="29"/>
      <c r="CH10" s="134"/>
      <c r="CI10" s="144"/>
      <c r="CJ10" s="145"/>
      <c r="CK10" s="146"/>
      <c r="CM10" s="255" t="s">
        <v>115</v>
      </c>
      <c r="CN10" s="258"/>
      <c r="CO10" s="270">
        <v>0</v>
      </c>
      <c r="CP10" s="268"/>
      <c r="CQ10" s="264"/>
      <c r="CR10" s="265"/>
      <c r="CS10" s="266"/>
      <c r="CT10" s="269"/>
      <c r="CV10" s="23" t="s">
        <v>115</v>
      </c>
      <c r="CW10" s="25"/>
      <c r="CX10" s="30">
        <f>VLOOKUP(CW4,'Raw Sheet'!$A$8:$BK$59,'Raw Sheet'!$J$4,FALSE)</f>
        <v>258.62068965517244</v>
      </c>
      <c r="CY10" s="29"/>
      <c r="CZ10" s="134"/>
      <c r="DA10" s="144"/>
      <c r="DB10" s="145"/>
      <c r="DC10" s="146"/>
      <c r="DE10" s="303" t="s">
        <v>115</v>
      </c>
      <c r="DF10" s="306"/>
      <c r="DG10" s="315">
        <v>0</v>
      </c>
      <c r="DH10" s="313"/>
      <c r="DI10" s="303"/>
      <c r="DJ10" s="302"/>
      <c r="DK10" s="306"/>
      <c r="DL10" s="314"/>
      <c r="DN10" s="23" t="s">
        <v>115</v>
      </c>
      <c r="DO10" s="25"/>
      <c r="DP10" s="30">
        <f>VLOOKUP(DO4,'Raw Sheet'!$A$8:$BK$59,'Raw Sheet'!$J$4,FALSE)</f>
        <v>241.37931034482759</v>
      </c>
      <c r="DQ10" s="29"/>
      <c r="DR10" s="134"/>
      <c r="DS10" s="144"/>
      <c r="DT10" s="145"/>
      <c r="DU10" s="146"/>
      <c r="DW10" s="23" t="s">
        <v>115</v>
      </c>
      <c r="DX10" s="25"/>
      <c r="DY10" s="30">
        <f>VLOOKUP(DX4,'Raw Sheet'!$A$8:$BK$59,'Raw Sheet'!$J$4,FALSE)</f>
        <v>974.71264367816093</v>
      </c>
      <c r="DZ10" s="29"/>
      <c r="EA10" s="134"/>
      <c r="EB10" s="144"/>
      <c r="EC10" s="145"/>
      <c r="ED10" s="146"/>
      <c r="EF10" s="23" t="s">
        <v>115</v>
      </c>
      <c r="EG10" s="25"/>
      <c r="EH10" s="30">
        <f>VLOOKUP(EG4,'Raw Sheet'!$A$8:$BK$59,'Raw Sheet'!$J$4,FALSE)</f>
        <v>1468.9655172413793</v>
      </c>
      <c r="EI10" s="29"/>
      <c r="EJ10" s="134"/>
      <c r="EK10" s="144"/>
      <c r="EL10" s="145"/>
      <c r="EM10" s="146"/>
      <c r="EO10" s="23" t="s">
        <v>115</v>
      </c>
      <c r="EP10" s="25"/>
      <c r="EQ10" s="30">
        <f>VLOOKUP(EP4,'Raw Sheet'!$A$8:$BK$59,'Raw Sheet'!$J$4,FALSE)</f>
        <v>149.42528735632183</v>
      </c>
      <c r="ER10" s="29"/>
      <c r="ES10" s="134"/>
      <c r="ET10" s="144"/>
      <c r="EU10" s="145" t="s">
        <v>22</v>
      </c>
      <c r="EV10" s="146">
        <f>'Payroll Register'!AK13</f>
        <v>4333.3365517241273</v>
      </c>
      <c r="EX10" s="23" t="s">
        <v>115</v>
      </c>
      <c r="EY10" s="25"/>
      <c r="EZ10" s="30">
        <f>VLOOKUP(EY4,'Raw Sheet'!$A$8:$BK$59,'Raw Sheet'!$J$4,FALSE)</f>
        <v>170.57471264367817</v>
      </c>
      <c r="FA10" s="29"/>
      <c r="FB10" s="134"/>
      <c r="FC10" s="144"/>
      <c r="FD10" s="145"/>
      <c r="FE10" s="146"/>
      <c r="FG10" s="23" t="s">
        <v>115</v>
      </c>
      <c r="FH10" s="25"/>
      <c r="FI10" s="30">
        <f>VLOOKUP(FH4,'Raw Sheet'!$A$8:$BK$59,'Raw Sheet'!$J$4,FALSE)</f>
        <v>517.81609195402302</v>
      </c>
      <c r="FJ10" s="29"/>
      <c r="FK10" s="134"/>
      <c r="FL10" s="144"/>
      <c r="FM10" s="145"/>
      <c r="FN10" s="146"/>
      <c r="FP10" s="23" t="s">
        <v>115</v>
      </c>
      <c r="FQ10" s="25"/>
      <c r="FR10" s="30">
        <f>VLOOKUP(FQ4,'Raw Sheet'!$A$8:$BK$59,'Raw Sheet'!$J$4,FALSE)</f>
        <v>765.08620689655174</v>
      </c>
      <c r="FS10" s="29"/>
      <c r="FT10" s="134"/>
      <c r="FU10" s="144"/>
      <c r="FV10" s="145"/>
      <c r="FW10" s="146"/>
      <c r="FY10" s="303" t="s">
        <v>115</v>
      </c>
      <c r="FZ10" s="306"/>
      <c r="GA10" s="315">
        <v>0</v>
      </c>
      <c r="GB10" s="313"/>
      <c r="GC10" s="303"/>
      <c r="GD10" s="302"/>
      <c r="GE10" s="306"/>
      <c r="GF10" s="314"/>
      <c r="GH10" s="23" t="s">
        <v>115</v>
      </c>
      <c r="GI10" s="25"/>
      <c r="GJ10" s="30">
        <f>VLOOKUP(GI4,'Raw Sheet'!$A$8:$BK$59,'Raw Sheet'!$J$4,FALSE)</f>
        <v>150.86206896551724</v>
      </c>
      <c r="GK10" s="29"/>
      <c r="GL10" s="134"/>
      <c r="GM10" s="144"/>
      <c r="GN10" s="145"/>
      <c r="GO10" s="146"/>
      <c r="GQ10" s="23" t="s">
        <v>115</v>
      </c>
      <c r="GR10" s="25"/>
      <c r="GS10" s="30">
        <f>VLOOKUP(GR4,'Raw Sheet'!$A$8:$BK$59,'Raw Sheet'!$J$4,FALSE)</f>
        <v>164.63218390804599</v>
      </c>
      <c r="GT10" s="29"/>
      <c r="GU10" s="134"/>
      <c r="GV10" s="144"/>
      <c r="GW10" s="145"/>
      <c r="GX10" s="146"/>
      <c r="GZ10" s="23" t="s">
        <v>115</v>
      </c>
      <c r="HA10" s="25"/>
      <c r="HB10" s="30">
        <f>VLOOKUP(HA4,'Raw Sheet'!$A$8:$BK$59,'Raw Sheet'!$J$4,FALSE)</f>
        <v>1077.5862068965516</v>
      </c>
      <c r="HC10" s="29"/>
      <c r="HD10" s="134"/>
      <c r="HE10" s="144"/>
      <c r="HF10" s="145"/>
      <c r="HG10" s="146"/>
      <c r="HI10" s="23" t="s">
        <v>115</v>
      </c>
      <c r="HJ10" s="25"/>
      <c r="HK10" s="30">
        <f>VLOOKUP(HJ4,'Raw Sheet'!$A$8:$BK$59,'Raw Sheet'!$J$4,FALSE)</f>
        <v>590.89655172413791</v>
      </c>
      <c r="HL10" s="29"/>
      <c r="HM10" s="134"/>
      <c r="HN10" s="144"/>
      <c r="HO10" s="145"/>
      <c r="HP10" s="146"/>
      <c r="HR10" s="23" t="s">
        <v>115</v>
      </c>
      <c r="HS10" s="25"/>
      <c r="HT10" s="30">
        <f>VLOOKUP(HS4,'Raw Sheet'!$A$8:$BK$59,'Raw Sheet'!$J$4,FALSE)</f>
        <v>141.95402298850576</v>
      </c>
      <c r="HU10" s="29"/>
      <c r="HV10" s="134"/>
      <c r="HW10" s="144"/>
      <c r="HX10" s="145"/>
      <c r="HY10" s="146"/>
      <c r="IA10" s="23" t="s">
        <v>115</v>
      </c>
      <c r="IB10" s="25"/>
      <c r="IC10" s="30">
        <f>VLOOKUP(IB4,'Raw Sheet'!$A$8:$BK$59,'Raw Sheet'!$J$4,FALSE)</f>
        <v>488.5057471264368</v>
      </c>
      <c r="ID10" s="29"/>
      <c r="IE10" s="134"/>
      <c r="IF10" s="144"/>
      <c r="IG10" s="145"/>
      <c r="IH10" s="146"/>
      <c r="IJ10" s="23" t="s">
        <v>115</v>
      </c>
      <c r="IK10" s="25"/>
      <c r="IL10" s="30">
        <f>VLOOKUP(IK4,'Raw Sheet'!$A$8:$BK$59,'Raw Sheet'!$J$4,FALSE)</f>
        <v>747.12643678160919</v>
      </c>
      <c r="IM10" s="29"/>
      <c r="IN10" s="134"/>
      <c r="IO10" s="144"/>
      <c r="IP10" s="145"/>
      <c r="IQ10" s="146"/>
      <c r="IS10" s="23" t="s">
        <v>115</v>
      </c>
      <c r="IT10" s="25"/>
      <c r="IU10" s="30">
        <f>VLOOKUP(IT4,'Raw Sheet'!$A$8:$BK$59,'Raw Sheet'!$J$4,FALSE)</f>
        <v>172.41379310344828</v>
      </c>
      <c r="IV10" s="29"/>
      <c r="IW10" s="134"/>
      <c r="IX10" s="144"/>
      <c r="IY10" s="145"/>
      <c r="IZ10" s="146"/>
      <c r="JB10" s="23" t="s">
        <v>115</v>
      </c>
      <c r="JC10" s="25"/>
      <c r="JD10" s="30">
        <f>VLOOKUP(JC4,'Raw Sheet'!$A$8:$BK$59,'Raw Sheet'!$J$4,FALSE)</f>
        <v>160.91954022988506</v>
      </c>
      <c r="JE10" s="29"/>
      <c r="JF10" s="134"/>
      <c r="JG10" s="144"/>
      <c r="JH10" s="145"/>
      <c r="JI10" s="146"/>
      <c r="JK10" s="23" t="s">
        <v>115</v>
      </c>
      <c r="JL10" s="25"/>
      <c r="JM10" s="30">
        <f>VLOOKUP(JL4,'Raw Sheet'!$A$8:$BK$59,'Raw Sheet'!$J$4,FALSE)</f>
        <v>488.5057471264368</v>
      </c>
      <c r="JN10" s="29"/>
      <c r="JO10" s="134"/>
      <c r="JP10" s="144"/>
      <c r="JQ10" s="145"/>
      <c r="JR10" s="146"/>
      <c r="JT10" s="23" t="s">
        <v>115</v>
      </c>
      <c r="JU10" s="25"/>
      <c r="JV10" s="30">
        <f>VLOOKUP(JU4,'Raw Sheet'!$A$8:$BK$59,'Raw Sheet'!$J$4,FALSE)</f>
        <v>126.43678160919541</v>
      </c>
      <c r="JW10" s="29"/>
      <c r="JX10" s="134"/>
      <c r="JY10" s="144"/>
      <c r="JZ10" s="145"/>
      <c r="KA10" s="146"/>
      <c r="KC10" s="23" t="s">
        <v>115</v>
      </c>
      <c r="KD10" s="25"/>
      <c r="KE10" s="30">
        <f>VLOOKUP(KD4,'Raw Sheet'!$A$8:$BK$59,'Raw Sheet'!$J$4,FALSE)</f>
        <v>103.44827586206897</v>
      </c>
      <c r="KF10" s="29"/>
      <c r="KG10" s="134"/>
      <c r="KH10" s="144"/>
      <c r="KI10" s="145"/>
      <c r="KJ10" s="146"/>
    </row>
    <row r="11" spans="1:296" ht="12.75" customHeight="1">
      <c r="A11" s="255" t="s">
        <v>116</v>
      </c>
      <c r="B11" s="258"/>
      <c r="C11" s="262">
        <v>96</v>
      </c>
      <c r="D11" s="268"/>
      <c r="E11" s="264"/>
      <c r="F11" s="265"/>
      <c r="G11" s="266"/>
      <c r="H11" s="269"/>
      <c r="J11" s="255" t="s">
        <v>116</v>
      </c>
      <c r="K11" s="258"/>
      <c r="L11" s="262">
        <v>96</v>
      </c>
      <c r="M11" s="268"/>
      <c r="N11" s="264"/>
      <c r="O11" s="265"/>
      <c r="P11" s="266"/>
      <c r="Q11" s="269"/>
      <c r="S11" s="255" t="s">
        <v>116</v>
      </c>
      <c r="T11" s="258"/>
      <c r="U11" s="262">
        <v>96</v>
      </c>
      <c r="V11" s="268"/>
      <c r="W11" s="264"/>
      <c r="X11" s="265"/>
      <c r="Y11" s="266"/>
      <c r="Z11" s="269"/>
      <c r="AB11" s="255" t="s">
        <v>116</v>
      </c>
      <c r="AC11" s="258"/>
      <c r="AD11" s="262">
        <v>96</v>
      </c>
      <c r="AE11" s="268"/>
      <c r="AF11" s="264"/>
      <c r="AG11" s="265"/>
      <c r="AH11" s="266"/>
      <c r="AI11" s="269"/>
      <c r="AK11" s="255" t="s">
        <v>116</v>
      </c>
      <c r="AL11" s="258"/>
      <c r="AM11" s="262">
        <v>96</v>
      </c>
      <c r="AN11" s="268"/>
      <c r="AO11" s="264"/>
      <c r="AP11" s="265"/>
      <c r="AQ11" s="266"/>
      <c r="AR11" s="269"/>
      <c r="AT11" s="255" t="s">
        <v>116</v>
      </c>
      <c r="AU11" s="258"/>
      <c r="AV11" s="262">
        <v>96</v>
      </c>
      <c r="AW11" s="268"/>
      <c r="AX11" s="264"/>
      <c r="AY11" s="265"/>
      <c r="AZ11" s="266"/>
      <c r="BA11" s="269"/>
      <c r="BC11" s="255" t="s">
        <v>116</v>
      </c>
      <c r="BD11" s="258"/>
      <c r="BE11" s="262">
        <v>96</v>
      </c>
      <c r="BF11" s="268"/>
      <c r="BG11" s="264"/>
      <c r="BH11" s="265"/>
      <c r="BI11" s="266"/>
      <c r="BJ11" s="269"/>
      <c r="BL11" s="255" t="s">
        <v>116</v>
      </c>
      <c r="BM11" s="258"/>
      <c r="BN11" s="262">
        <v>96</v>
      </c>
      <c r="BO11" s="268"/>
      <c r="BP11" s="264"/>
      <c r="BQ11" s="265"/>
      <c r="BR11" s="266"/>
      <c r="BS11" s="269"/>
      <c r="BU11" s="23" t="s">
        <v>116</v>
      </c>
      <c r="BV11" s="25"/>
      <c r="BW11" s="27">
        <f>VLOOKUP(BV4,'Raw Sheet'!$A$8:$BK$28,63,FALSE)</f>
        <v>72</v>
      </c>
      <c r="BX11" s="29"/>
      <c r="BY11" s="134"/>
      <c r="BZ11" s="144"/>
      <c r="CA11" s="145"/>
      <c r="CB11" s="146"/>
      <c r="CD11" s="23" t="s">
        <v>116</v>
      </c>
      <c r="CE11" s="25"/>
      <c r="CF11" s="27" t="e">
        <f>VLOOKUP(CF4,'Raw Sheet'!L:BT,60,0)</f>
        <v>#N/A</v>
      </c>
      <c r="CG11" s="29"/>
      <c r="CH11" s="134"/>
      <c r="CI11" s="144"/>
      <c r="CJ11" s="145"/>
      <c r="CK11" s="146"/>
      <c r="CM11" s="255" t="s">
        <v>116</v>
      </c>
      <c r="CN11" s="258"/>
      <c r="CO11" s="262">
        <v>96</v>
      </c>
      <c r="CP11" s="268"/>
      <c r="CQ11" s="264"/>
      <c r="CR11" s="265"/>
      <c r="CS11" s="266"/>
      <c r="CT11" s="269"/>
      <c r="CV11" s="23" t="s">
        <v>116</v>
      </c>
      <c r="CW11" s="25"/>
      <c r="CX11" s="27">
        <f>VLOOKUP(CW4,'Raw Sheet'!$A$8:$BK$28,63,0)</f>
        <v>80</v>
      </c>
      <c r="CY11" s="29"/>
      <c r="CZ11" s="134"/>
      <c r="DA11" s="144"/>
      <c r="DB11" s="145"/>
      <c r="DC11" s="146"/>
      <c r="DE11" s="303" t="s">
        <v>116</v>
      </c>
      <c r="DF11" s="306"/>
      <c r="DG11" s="310">
        <v>96</v>
      </c>
      <c r="DH11" s="313"/>
      <c r="DI11" s="303"/>
      <c r="DJ11" s="302"/>
      <c r="DK11" s="306"/>
      <c r="DL11" s="314"/>
      <c r="DN11" s="23" t="s">
        <v>116</v>
      </c>
      <c r="DO11" s="25"/>
      <c r="DP11" s="27">
        <f>VLOOKUP(DO4,'Raw Sheet'!$A$8:$BK$28,63,0)</f>
        <v>80</v>
      </c>
      <c r="DQ11" s="29"/>
      <c r="DR11" s="134"/>
      <c r="DS11" s="144"/>
      <c r="DT11" s="145"/>
      <c r="DU11" s="146"/>
      <c r="DW11" s="23" t="s">
        <v>116</v>
      </c>
      <c r="DX11" s="25"/>
      <c r="DY11" s="27">
        <f>VLOOKUP(DX4,'Raw Sheet'!$A$8:$BK$28,63,0)</f>
        <v>80</v>
      </c>
      <c r="DZ11" s="29"/>
      <c r="EA11" s="134"/>
      <c r="EB11" s="144"/>
      <c r="EC11" s="145"/>
      <c r="ED11" s="146"/>
      <c r="EF11" s="23" t="s">
        <v>116</v>
      </c>
      <c r="EG11" s="25"/>
      <c r="EH11" s="27">
        <f>VLOOKUP(EG4,'Raw Sheet'!$A$8:$BK$28,63,0)</f>
        <v>72</v>
      </c>
      <c r="EI11" s="29"/>
      <c r="EJ11" s="134"/>
      <c r="EK11" s="144"/>
      <c r="EL11" s="145"/>
      <c r="EM11" s="146"/>
      <c r="EO11" s="23" t="s">
        <v>116</v>
      </c>
      <c r="EP11" s="25"/>
      <c r="EQ11" s="27">
        <f>VLOOKUP(EP4,'Raw Sheet'!$A$8:$BK$28,63,0)</f>
        <v>80</v>
      </c>
      <c r="ER11" s="29"/>
      <c r="ES11" s="134"/>
      <c r="ET11" s="144"/>
      <c r="EU11" s="145"/>
      <c r="EV11" s="146"/>
      <c r="EX11" s="23" t="s">
        <v>116</v>
      </c>
      <c r="EY11" s="25"/>
      <c r="EZ11" s="27">
        <f>VLOOKUP(EY4,'Raw Sheet'!$A$8:$BK$28,63,0)</f>
        <v>76</v>
      </c>
      <c r="FA11" s="29"/>
      <c r="FB11" s="134"/>
      <c r="FC11" s="144"/>
      <c r="FD11" s="145"/>
      <c r="FE11" s="146"/>
      <c r="FG11" s="23" t="s">
        <v>116</v>
      </c>
      <c r="FH11" s="25"/>
      <c r="FI11" s="27">
        <f>VLOOKUP(FH4,'Raw Sheet'!$A$8:$BK$28,63,0)</f>
        <v>80</v>
      </c>
      <c r="FJ11" s="29"/>
      <c r="FK11" s="134"/>
      <c r="FL11" s="144"/>
      <c r="FM11" s="145"/>
      <c r="FN11" s="146"/>
      <c r="FP11" s="23" t="s">
        <v>116</v>
      </c>
      <c r="FQ11" s="25"/>
      <c r="FR11" s="27">
        <f>VLOOKUP(FR4,'Raw Sheet'!C:BK,60,0)</f>
        <v>0</v>
      </c>
      <c r="FS11" s="29"/>
      <c r="FT11" s="134"/>
      <c r="FU11" s="144"/>
      <c r="FV11" s="145"/>
      <c r="FW11" s="146"/>
      <c r="FY11" s="303" t="s">
        <v>116</v>
      </c>
      <c r="FZ11" s="306"/>
      <c r="GA11" s="310">
        <v>96</v>
      </c>
      <c r="GB11" s="313"/>
      <c r="GC11" s="303"/>
      <c r="GD11" s="302"/>
      <c r="GE11" s="306"/>
      <c r="GF11" s="314"/>
      <c r="GH11" s="23" t="s">
        <v>116</v>
      </c>
      <c r="GI11" s="25"/>
      <c r="GJ11" s="27">
        <f>VLOOKUP(GJ4,'Raw Sheet'!C:BK,60,0)</f>
        <v>0</v>
      </c>
      <c r="GK11" s="29"/>
      <c r="GL11" s="134"/>
      <c r="GM11" s="144"/>
      <c r="GN11" s="145"/>
      <c r="GO11" s="146"/>
      <c r="GQ11" s="23" t="s">
        <v>116</v>
      </c>
      <c r="GR11" s="25"/>
      <c r="GS11" s="27">
        <f>VLOOKUP(GS4,'Raw Sheet'!C:BK,60,0)</f>
        <v>0</v>
      </c>
      <c r="GT11" s="29"/>
      <c r="GU11" s="134"/>
      <c r="GV11" s="144"/>
      <c r="GW11" s="145"/>
      <c r="GX11" s="146"/>
      <c r="GZ11" s="23" t="s">
        <v>116</v>
      </c>
      <c r="HA11" s="25"/>
      <c r="HB11" s="27">
        <f>VLOOKUP(HB4,'Raw Sheet'!C:BK,60,0)</f>
        <v>0</v>
      </c>
      <c r="HC11" s="29"/>
      <c r="HD11" s="134"/>
      <c r="HE11" s="144"/>
      <c r="HF11" s="145"/>
      <c r="HG11" s="146"/>
      <c r="HI11" s="23" t="s">
        <v>116</v>
      </c>
      <c r="HJ11" s="25"/>
      <c r="HK11" s="27">
        <f>'Raw Sheet'!BK20</f>
        <v>0</v>
      </c>
      <c r="HL11" s="29"/>
      <c r="HM11" s="134"/>
      <c r="HN11" s="144"/>
      <c r="HO11" s="145"/>
      <c r="HP11" s="146"/>
      <c r="HR11" s="23" t="s">
        <v>116</v>
      </c>
      <c r="HS11" s="25"/>
      <c r="HT11" s="27">
        <f>VLOOKUP(HT4,'Raw Sheet'!C:BK,60,0)</f>
        <v>0</v>
      </c>
      <c r="HU11" s="29"/>
      <c r="HV11" s="134"/>
      <c r="HW11" s="144"/>
      <c r="HX11" s="145"/>
      <c r="HY11" s="146"/>
      <c r="IA11" s="23" t="s">
        <v>116</v>
      </c>
      <c r="IB11" s="25"/>
      <c r="IC11" s="27">
        <f>VLOOKUP(IC4,'Raw Sheet'!C:BK,60,0)</f>
        <v>0</v>
      </c>
      <c r="ID11" s="29"/>
      <c r="IE11" s="134"/>
      <c r="IF11" s="144"/>
      <c r="IG11" s="145"/>
      <c r="IH11" s="146"/>
      <c r="IJ11" s="23" t="s">
        <v>116</v>
      </c>
      <c r="IK11" s="25"/>
      <c r="IL11" s="27">
        <f>VLOOKUP(IL4,'Raw Sheet'!C:BK,60,0)</f>
        <v>0</v>
      </c>
      <c r="IM11" s="29"/>
      <c r="IN11" s="134"/>
      <c r="IO11" s="144"/>
      <c r="IP11" s="145"/>
      <c r="IQ11" s="146"/>
      <c r="IS11" s="23" t="s">
        <v>116</v>
      </c>
      <c r="IT11" s="25"/>
      <c r="IU11" s="27">
        <f>VLOOKUP(IU4,'Raw Sheet'!C:BK,60,0)</f>
        <v>-1379.3103448275863</v>
      </c>
      <c r="IV11" s="29"/>
      <c r="IW11" s="134"/>
      <c r="IX11" s="144"/>
      <c r="IY11" s="145"/>
      <c r="IZ11" s="146"/>
      <c r="JB11" s="23" t="s">
        <v>116</v>
      </c>
      <c r="JC11" s="25"/>
      <c r="JD11" s="27">
        <f>VLOOKUP(JD4,'Raw Sheet'!C:BK,60,0)</f>
        <v>0</v>
      </c>
      <c r="JE11" s="29"/>
      <c r="JF11" s="134"/>
      <c r="JG11" s="144"/>
      <c r="JH11" s="145"/>
      <c r="JI11" s="146"/>
      <c r="JK11" s="23" t="s">
        <v>116</v>
      </c>
      <c r="JL11" s="25"/>
      <c r="JM11" s="27">
        <f>VLOOKUP(JM4,'Raw Sheet'!C:BK,60,0)</f>
        <v>0</v>
      </c>
      <c r="JN11" s="29"/>
      <c r="JO11" s="134"/>
      <c r="JP11" s="144"/>
      <c r="JQ11" s="145"/>
      <c r="JR11" s="146"/>
      <c r="JT11" s="23" t="s">
        <v>116</v>
      </c>
      <c r="JU11" s="25"/>
      <c r="JV11" s="27">
        <f>'Raw Sheet'!BK27</f>
        <v>68</v>
      </c>
      <c r="JW11" s="29"/>
      <c r="JX11" s="134"/>
      <c r="JY11" s="144"/>
      <c r="JZ11" s="145"/>
      <c r="KA11" s="146"/>
      <c r="KC11" s="23" t="s">
        <v>116</v>
      </c>
      <c r="KD11" s="25"/>
      <c r="KE11" s="27">
        <f>VLOOKUP(KE4,'Raw Sheet'!C:BK,60,0)</f>
        <v>0</v>
      </c>
      <c r="KF11" s="29"/>
      <c r="KG11" s="134"/>
      <c r="KH11" s="144"/>
      <c r="KI11" s="145"/>
      <c r="KJ11" s="146"/>
    </row>
    <row r="12" spans="1:296" ht="12.75" customHeight="1">
      <c r="A12" s="255" t="s">
        <v>117</v>
      </c>
      <c r="B12" s="258"/>
      <c r="C12" s="262">
        <v>0</v>
      </c>
      <c r="D12" s="271">
        <f>C10*10%*C12</f>
        <v>0</v>
      </c>
      <c r="E12" s="264"/>
      <c r="F12" s="265"/>
      <c r="G12" s="266"/>
      <c r="H12" s="269"/>
      <c r="J12" s="255" t="s">
        <v>117</v>
      </c>
      <c r="K12" s="258"/>
      <c r="L12" s="262">
        <v>0</v>
      </c>
      <c r="M12" s="271">
        <f>L10*10%*L12</f>
        <v>0</v>
      </c>
      <c r="N12" s="264"/>
      <c r="O12" s="265"/>
      <c r="P12" s="266"/>
      <c r="Q12" s="269"/>
      <c r="S12" s="255" t="s">
        <v>117</v>
      </c>
      <c r="T12" s="258"/>
      <c r="U12" s="262">
        <v>0</v>
      </c>
      <c r="V12" s="271">
        <f>U10*10%*U12</f>
        <v>0</v>
      </c>
      <c r="W12" s="264"/>
      <c r="X12" s="265"/>
      <c r="Y12" s="266"/>
      <c r="Z12" s="269"/>
      <c r="AB12" s="255" t="s">
        <v>117</v>
      </c>
      <c r="AC12" s="258"/>
      <c r="AD12" s="262">
        <v>0</v>
      </c>
      <c r="AE12" s="271">
        <f>AD10*10%*AD12</f>
        <v>0</v>
      </c>
      <c r="AF12" s="264"/>
      <c r="AG12" s="265"/>
      <c r="AH12" s="266"/>
      <c r="AI12" s="269"/>
      <c r="AK12" s="255" t="s">
        <v>117</v>
      </c>
      <c r="AL12" s="258"/>
      <c r="AM12" s="262">
        <v>22</v>
      </c>
      <c r="AN12" s="271">
        <f>AM10*10%*AM12</f>
        <v>0</v>
      </c>
      <c r="AO12" s="264"/>
      <c r="AP12" s="265"/>
      <c r="AQ12" s="266"/>
      <c r="AR12" s="269"/>
      <c r="AT12" s="255" t="s">
        <v>117</v>
      </c>
      <c r="AU12" s="258"/>
      <c r="AV12" s="262">
        <v>22</v>
      </c>
      <c r="AW12" s="271">
        <f>AV10*10%*AV12</f>
        <v>0</v>
      </c>
      <c r="AX12" s="264"/>
      <c r="AY12" s="265"/>
      <c r="AZ12" s="266"/>
      <c r="BA12" s="269"/>
      <c r="BC12" s="255" t="s">
        <v>117</v>
      </c>
      <c r="BD12" s="258"/>
      <c r="BE12" s="262">
        <v>22</v>
      </c>
      <c r="BF12" s="271">
        <f>BE10*10%*BE12</f>
        <v>0</v>
      </c>
      <c r="BG12" s="264"/>
      <c r="BH12" s="265"/>
      <c r="BI12" s="266"/>
      <c r="BJ12" s="269"/>
      <c r="BL12" s="255" t="s">
        <v>117</v>
      </c>
      <c r="BM12" s="258"/>
      <c r="BN12" s="262">
        <v>22</v>
      </c>
      <c r="BO12" s="271">
        <f>BN10*10%*BN12</f>
        <v>0</v>
      </c>
      <c r="BP12" s="264"/>
      <c r="BQ12" s="265"/>
      <c r="BR12" s="266"/>
      <c r="BS12" s="269"/>
      <c r="BU12" s="23" t="s">
        <v>117</v>
      </c>
      <c r="BV12" s="25"/>
      <c r="BW12" s="27">
        <f>VLOOKUP(BV4,'Raw Sheet'!$A$8:$AI$28,35,0)</f>
        <v>12</v>
      </c>
      <c r="BX12" s="169">
        <f>BW10*10%*BW12</f>
        <v>256.55172413793105</v>
      </c>
      <c r="BY12" s="134"/>
      <c r="BZ12" s="144"/>
      <c r="CA12" s="145"/>
      <c r="CB12" s="146"/>
      <c r="CD12" s="23" t="s">
        <v>117</v>
      </c>
      <c r="CE12" s="25"/>
      <c r="CF12" s="27">
        <v>6</v>
      </c>
      <c r="CG12" s="169" t="e">
        <f>CF10*10%*CF12</f>
        <v>#N/A</v>
      </c>
      <c r="CH12" s="134"/>
      <c r="CI12" s="144"/>
      <c r="CJ12" s="145"/>
      <c r="CK12" s="146"/>
      <c r="CM12" s="255" t="s">
        <v>117</v>
      </c>
      <c r="CN12" s="258"/>
      <c r="CO12" s="262">
        <v>0</v>
      </c>
      <c r="CP12" s="271">
        <f>CO10*10%*CO12</f>
        <v>0</v>
      </c>
      <c r="CQ12" s="264"/>
      <c r="CR12" s="265"/>
      <c r="CS12" s="266"/>
      <c r="CT12" s="269"/>
      <c r="CV12" s="23" t="s">
        <v>117</v>
      </c>
      <c r="CW12" s="25"/>
      <c r="CX12" s="27">
        <f>VLOOKUP(CW4,'Raw Sheet'!$A$8:$AI$28,35,0)</f>
        <v>30</v>
      </c>
      <c r="CY12" s="169">
        <f>'Payroll Register'!O9</f>
        <v>879.31034482758628</v>
      </c>
      <c r="CZ12" s="134"/>
      <c r="DA12" s="144"/>
      <c r="DB12" s="145"/>
      <c r="DC12" s="146"/>
      <c r="DE12" s="303" t="s">
        <v>117</v>
      </c>
      <c r="DF12" s="306"/>
      <c r="DG12" s="310">
        <v>0</v>
      </c>
      <c r="DH12" s="316">
        <f>DG10*10%*DG12</f>
        <v>0</v>
      </c>
      <c r="DI12" s="303"/>
      <c r="DJ12" s="302"/>
      <c r="DK12" s="306"/>
      <c r="DL12" s="314"/>
      <c r="DN12" s="23" t="s">
        <v>117</v>
      </c>
      <c r="DO12" s="25"/>
      <c r="DP12" s="27">
        <f>'Raw Sheet'!AI10+'Raw Sheet'!AO10+'Raw Sheet'!BA10+'Raw Sheet'!BG10</f>
        <v>0</v>
      </c>
      <c r="DQ12" s="169">
        <f>DP10*10%*DP12</f>
        <v>0</v>
      </c>
      <c r="DR12" s="134"/>
      <c r="DS12" s="144"/>
      <c r="DT12" s="145"/>
      <c r="DU12" s="146"/>
      <c r="DW12" s="23" t="s">
        <v>117</v>
      </c>
      <c r="DX12" s="25"/>
      <c r="DY12" s="27">
        <f>'Raw Sheet'!AI11+'Raw Sheet'!AO11+'Raw Sheet'!BA11+'Raw Sheet'!BG11</f>
        <v>0</v>
      </c>
      <c r="DZ12" s="169">
        <f>DY10*10%*DY12</f>
        <v>0</v>
      </c>
      <c r="EA12" s="134"/>
      <c r="EB12" s="144"/>
      <c r="EC12" s="145"/>
      <c r="ED12" s="146"/>
      <c r="EF12" s="23" t="s">
        <v>117</v>
      </c>
      <c r="EG12" s="25"/>
      <c r="EH12" s="27">
        <f>'Raw Sheet'!AI12+'Raw Sheet'!AO12+'Raw Sheet'!BA12+'Raw Sheet'!BG12</f>
        <v>0</v>
      </c>
      <c r="EI12" s="169">
        <f>EH10*10%*EH12</f>
        <v>0</v>
      </c>
      <c r="EJ12" s="134"/>
      <c r="EK12" s="144"/>
      <c r="EL12" s="145"/>
      <c r="EM12" s="146"/>
      <c r="EO12" s="23" t="s">
        <v>117</v>
      </c>
      <c r="EP12" s="25"/>
      <c r="EQ12" s="27">
        <f>'Raw Sheet'!AI13+'Raw Sheet'!AO13+'Raw Sheet'!BA13+'Raw Sheet'!BG13</f>
        <v>0</v>
      </c>
      <c r="ER12" s="169">
        <f>EQ10*10%*EQ12</f>
        <v>0</v>
      </c>
      <c r="ES12" s="134"/>
      <c r="ET12" s="144"/>
      <c r="EU12" s="145"/>
      <c r="EV12" s="146"/>
      <c r="EX12" s="23" t="s">
        <v>117</v>
      </c>
      <c r="EY12" s="25"/>
      <c r="EZ12" s="27">
        <f>VLOOKUP(EY4,'Raw Sheet'!A8:AI28,35,0)</f>
        <v>9</v>
      </c>
      <c r="FA12" s="169">
        <f>'Payroll Register'!O14</f>
        <v>187.63218390804599</v>
      </c>
      <c r="FB12" s="134"/>
      <c r="FC12" s="144"/>
      <c r="FD12" s="145"/>
      <c r="FE12" s="146"/>
      <c r="FG12" s="23" t="s">
        <v>117</v>
      </c>
      <c r="FH12" s="25"/>
      <c r="FI12" s="27">
        <f>'Raw Sheet'!AI15+'Raw Sheet'!AO15+'Raw Sheet'!BA15+'Raw Sheet'!BG15</f>
        <v>0</v>
      </c>
      <c r="FJ12" s="169">
        <f>FI10*10%*FI12</f>
        <v>0</v>
      </c>
      <c r="FK12" s="134"/>
      <c r="FL12" s="144"/>
      <c r="FM12" s="145"/>
      <c r="FN12" s="146"/>
      <c r="FP12" s="23" t="s">
        <v>117</v>
      </c>
      <c r="FQ12" s="25"/>
      <c r="FR12" s="27">
        <f>'Raw Sheet'!AI16+'Raw Sheet'!AO16+'Raw Sheet'!BA16+'Raw Sheet'!BG16</f>
        <v>40</v>
      </c>
      <c r="FS12" s="169">
        <f>FR10*10%*FR12</f>
        <v>3060.344827586207</v>
      </c>
      <c r="FT12" s="134"/>
      <c r="FU12" s="144"/>
      <c r="FV12" s="145"/>
      <c r="FW12" s="146"/>
      <c r="FY12" s="303" t="s">
        <v>117</v>
      </c>
      <c r="FZ12" s="306"/>
      <c r="GA12" s="310">
        <v>32</v>
      </c>
      <c r="GB12" s="316">
        <f>GA10*10%*GA12</f>
        <v>0</v>
      </c>
      <c r="GC12" s="303"/>
      <c r="GD12" s="302"/>
      <c r="GE12" s="306"/>
      <c r="GF12" s="314"/>
      <c r="GH12" s="23" t="s">
        <v>117</v>
      </c>
      <c r="GI12" s="25"/>
      <c r="GJ12" s="27">
        <f>'Raw Sheet'!AI17+'Raw Sheet'!AO17+'Raw Sheet'!BG17</f>
        <v>86</v>
      </c>
      <c r="GK12" s="169">
        <f>GJ10*10%*GJ12</f>
        <v>1297.4137931034484</v>
      </c>
      <c r="GL12" s="134"/>
      <c r="GM12" s="144"/>
      <c r="GN12" s="145"/>
      <c r="GO12" s="146"/>
      <c r="GQ12" s="23" t="s">
        <v>117</v>
      </c>
      <c r="GR12" s="25"/>
      <c r="GS12" s="27">
        <f>'Raw Sheet'!AI18+'Raw Sheet'!AO18+'Raw Sheet'!BG18</f>
        <v>80</v>
      </c>
      <c r="GT12" s="169">
        <f>GS10*10%*GS12</f>
        <v>1317.0574712643679</v>
      </c>
      <c r="GU12" s="134"/>
      <c r="GV12" s="144"/>
      <c r="GW12" s="145"/>
      <c r="GX12" s="146"/>
      <c r="GZ12" s="23" t="s">
        <v>117</v>
      </c>
      <c r="HA12" s="25"/>
      <c r="HB12" s="27">
        <f>'Raw Sheet'!AI19</f>
        <v>20</v>
      </c>
      <c r="HC12" s="169">
        <f>'Payroll Register'!O19</f>
        <v>2155.1724137931033</v>
      </c>
      <c r="HD12" s="134"/>
      <c r="HE12" s="144"/>
      <c r="HF12" s="145"/>
      <c r="HG12" s="146"/>
      <c r="HI12" s="23" t="s">
        <v>117</v>
      </c>
      <c r="HJ12" s="25"/>
      <c r="HK12" s="27">
        <f>'Raw Sheet'!AI20+'Raw Sheet'!AO20+'Raw Sheet'!BG20</f>
        <v>0</v>
      </c>
      <c r="HL12" s="169">
        <f>HK10*10%*HK12</f>
        <v>0</v>
      </c>
      <c r="HM12" s="134"/>
      <c r="HN12" s="144"/>
      <c r="HO12" s="145"/>
      <c r="HP12" s="146"/>
      <c r="HR12" s="23" t="s">
        <v>117</v>
      </c>
      <c r="HS12" s="25"/>
      <c r="HT12" s="27">
        <f>'Raw Sheet'!AI21+'Raw Sheet'!AO21+'Raw Sheet'!BG21</f>
        <v>64</v>
      </c>
      <c r="HU12" s="169">
        <f>HT10*10%*HT12</f>
        <v>908.50574712643686</v>
      </c>
      <c r="HV12" s="134"/>
      <c r="HW12" s="144"/>
      <c r="HX12" s="145"/>
      <c r="HY12" s="146"/>
      <c r="IA12" s="23" t="s">
        <v>117</v>
      </c>
      <c r="IB12" s="25"/>
      <c r="IC12" s="27">
        <f>'Raw Sheet'!AI22+'Raw Sheet'!AO22+'Raw Sheet'!BG22</f>
        <v>72</v>
      </c>
      <c r="ID12" s="169">
        <f>IC10*10%*IC12</f>
        <v>3517.2413793103451</v>
      </c>
      <c r="IE12" s="134"/>
      <c r="IF12" s="144"/>
      <c r="IG12" s="145"/>
      <c r="IH12" s="146"/>
      <c r="IJ12" s="23" t="s">
        <v>117</v>
      </c>
      <c r="IK12" s="25"/>
      <c r="IL12" s="27">
        <f>'Raw Sheet'!AI23+'Raw Sheet'!AO23+'Raw Sheet'!BG23</f>
        <v>48</v>
      </c>
      <c r="IM12" s="169">
        <f>IL10*10%*IL12</f>
        <v>3586.2068965517237</v>
      </c>
      <c r="IN12" s="134"/>
      <c r="IO12" s="144"/>
      <c r="IP12" s="145"/>
      <c r="IQ12" s="146"/>
      <c r="IS12" s="23" t="s">
        <v>117</v>
      </c>
      <c r="IT12" s="25"/>
      <c r="IU12" s="27">
        <f>'Raw Sheet'!AI24+'Raw Sheet'!AO24+'Raw Sheet'!BG24</f>
        <v>16</v>
      </c>
      <c r="IV12" s="169">
        <f>IU10*10%*IU12</f>
        <v>275.86206896551727</v>
      </c>
      <c r="IW12" s="134"/>
      <c r="IX12" s="144"/>
      <c r="IY12" s="145"/>
      <c r="IZ12" s="146"/>
      <c r="JB12" s="23" t="s">
        <v>117</v>
      </c>
      <c r="JC12" s="25"/>
      <c r="JD12" s="27">
        <f>'Raw Sheet'!AI25+'Raw Sheet'!AO25+'Raw Sheet'!BG25</f>
        <v>20</v>
      </c>
      <c r="JE12" s="169">
        <f>JD10*10%*JD12</f>
        <v>321.83908045977012</v>
      </c>
      <c r="JF12" s="134"/>
      <c r="JG12" s="144"/>
      <c r="JH12" s="145"/>
      <c r="JI12" s="146"/>
      <c r="JK12" s="23" t="s">
        <v>117</v>
      </c>
      <c r="JL12" s="25"/>
      <c r="JM12" s="27">
        <f>'Raw Sheet'!AI26+'Raw Sheet'!AO26+'Raw Sheet'!BG26</f>
        <v>32</v>
      </c>
      <c r="JN12" s="169">
        <f>JM10*10%*JM12</f>
        <v>1563.2183908045979</v>
      </c>
      <c r="JO12" s="134"/>
      <c r="JP12" s="144"/>
      <c r="JQ12" s="145"/>
      <c r="JR12" s="146"/>
      <c r="JT12" s="23" t="s">
        <v>117</v>
      </c>
      <c r="JU12" s="25"/>
      <c r="JV12" s="27">
        <f>'Raw Sheet'!AI27+'Raw Sheet'!AO27+'Raw Sheet'!BG27</f>
        <v>24</v>
      </c>
      <c r="JW12" s="169">
        <f>JV10*10%*JV12</f>
        <v>303.44827586206901</v>
      </c>
      <c r="JX12" s="134"/>
      <c r="JY12" s="144"/>
      <c r="JZ12" s="145"/>
      <c r="KA12" s="146"/>
      <c r="KC12" s="23" t="s">
        <v>117</v>
      </c>
      <c r="KD12" s="25"/>
      <c r="KE12" s="27">
        <f>'Raw Sheet'!AI28+'Raw Sheet'!AO28+'Raw Sheet'!BG28</f>
        <v>22</v>
      </c>
      <c r="KF12" s="169">
        <f>KE10*10%*KE12</f>
        <v>227.58620689655174</v>
      </c>
      <c r="KG12" s="134"/>
      <c r="KH12" s="144"/>
      <c r="KI12" s="145"/>
      <c r="KJ12" s="146"/>
    </row>
    <row r="13" spans="1:296" ht="12.75" customHeight="1">
      <c r="A13" s="255" t="s">
        <v>118</v>
      </c>
      <c r="B13" s="258"/>
      <c r="C13" s="262">
        <v>0</v>
      </c>
      <c r="D13" s="272">
        <v>0</v>
      </c>
      <c r="E13" s="264"/>
      <c r="F13" s="265"/>
      <c r="G13" s="266"/>
      <c r="H13" s="269"/>
      <c r="J13" s="255" t="s">
        <v>118</v>
      </c>
      <c r="K13" s="258"/>
      <c r="L13" s="262">
        <v>0</v>
      </c>
      <c r="M13" s="272">
        <v>0</v>
      </c>
      <c r="N13" s="264"/>
      <c r="O13" s="265"/>
      <c r="P13" s="266"/>
      <c r="Q13" s="269"/>
      <c r="S13" s="255" t="s">
        <v>118</v>
      </c>
      <c r="T13" s="258"/>
      <c r="U13" s="262">
        <v>0</v>
      </c>
      <c r="V13" s="272">
        <v>0</v>
      </c>
      <c r="W13" s="264"/>
      <c r="X13" s="265"/>
      <c r="Y13" s="266"/>
      <c r="Z13" s="269"/>
      <c r="AB13" s="255" t="s">
        <v>118</v>
      </c>
      <c r="AC13" s="258"/>
      <c r="AD13" s="262">
        <v>0</v>
      </c>
      <c r="AE13" s="272">
        <v>0</v>
      </c>
      <c r="AF13" s="264"/>
      <c r="AG13" s="265"/>
      <c r="AH13" s="266"/>
      <c r="AI13" s="269"/>
      <c r="AK13" s="255" t="s">
        <v>118</v>
      </c>
      <c r="AL13" s="258"/>
      <c r="AM13" s="262">
        <v>0</v>
      </c>
      <c r="AN13" s="272">
        <v>0</v>
      </c>
      <c r="AO13" s="264"/>
      <c r="AP13" s="265"/>
      <c r="AQ13" s="266"/>
      <c r="AR13" s="269"/>
      <c r="AT13" s="255" t="s">
        <v>118</v>
      </c>
      <c r="AU13" s="258"/>
      <c r="AV13" s="262">
        <v>0</v>
      </c>
      <c r="AW13" s="272">
        <v>0</v>
      </c>
      <c r="AX13" s="264"/>
      <c r="AY13" s="265"/>
      <c r="AZ13" s="266"/>
      <c r="BA13" s="269"/>
      <c r="BC13" s="255" t="s">
        <v>118</v>
      </c>
      <c r="BD13" s="258"/>
      <c r="BE13" s="262">
        <v>0</v>
      </c>
      <c r="BF13" s="272">
        <v>0</v>
      </c>
      <c r="BG13" s="264"/>
      <c r="BH13" s="265"/>
      <c r="BI13" s="266"/>
      <c r="BJ13" s="269"/>
      <c r="BL13" s="255" t="s">
        <v>118</v>
      </c>
      <c r="BM13" s="258"/>
      <c r="BN13" s="262">
        <v>0</v>
      </c>
      <c r="BO13" s="272">
        <v>0</v>
      </c>
      <c r="BP13" s="264"/>
      <c r="BQ13" s="265"/>
      <c r="BR13" s="266"/>
      <c r="BS13" s="269"/>
      <c r="BU13" s="23" t="s">
        <v>118</v>
      </c>
      <c r="BV13" s="25"/>
      <c r="BW13" s="27">
        <v>0</v>
      </c>
      <c r="BX13" s="31">
        <v>0</v>
      </c>
      <c r="BY13" s="134"/>
      <c r="BZ13" s="144"/>
      <c r="CA13" s="145"/>
      <c r="CB13" s="146"/>
      <c r="CD13" s="23" t="s">
        <v>118</v>
      </c>
      <c r="CE13" s="25"/>
      <c r="CF13" s="27">
        <v>72</v>
      </c>
      <c r="CG13" s="169" t="e">
        <f>'Payroll Register'!#REF!</f>
        <v>#REF!</v>
      </c>
      <c r="CH13" s="134"/>
      <c r="CI13" s="144"/>
      <c r="CJ13" s="145"/>
      <c r="CK13" s="146"/>
      <c r="CM13" s="255" t="s">
        <v>118</v>
      </c>
      <c r="CN13" s="258"/>
      <c r="CO13" s="262">
        <v>0</v>
      </c>
      <c r="CP13" s="272">
        <v>0</v>
      </c>
      <c r="CQ13" s="264"/>
      <c r="CR13" s="265"/>
      <c r="CS13" s="266"/>
      <c r="CT13" s="269"/>
      <c r="CV13" s="23" t="s">
        <v>118</v>
      </c>
      <c r="CW13" s="25"/>
      <c r="CX13" s="27">
        <v>0</v>
      </c>
      <c r="CY13" s="31">
        <v>0</v>
      </c>
      <c r="CZ13" s="134"/>
      <c r="DA13" s="144"/>
      <c r="DB13" s="145"/>
      <c r="DC13" s="146"/>
      <c r="DE13" s="303" t="s">
        <v>118</v>
      </c>
      <c r="DF13" s="306"/>
      <c r="DG13" s="310">
        <v>0</v>
      </c>
      <c r="DH13" s="316">
        <v>0</v>
      </c>
      <c r="DI13" s="303"/>
      <c r="DJ13" s="302"/>
      <c r="DK13" s="306"/>
      <c r="DL13" s="314"/>
      <c r="DN13" s="23" t="s">
        <v>118</v>
      </c>
      <c r="DO13" s="25"/>
      <c r="DP13" s="27">
        <v>0</v>
      </c>
      <c r="DQ13" s="31">
        <v>0</v>
      </c>
      <c r="DR13" s="134"/>
      <c r="DS13" s="144"/>
      <c r="DT13" s="145"/>
      <c r="DU13" s="146"/>
      <c r="DW13" s="23" t="s">
        <v>118</v>
      </c>
      <c r="DX13" s="25"/>
      <c r="DY13" s="27">
        <v>0</v>
      </c>
      <c r="DZ13" s="31">
        <v>0</v>
      </c>
      <c r="EA13" s="134"/>
      <c r="EB13" s="144"/>
      <c r="EC13" s="145"/>
      <c r="ED13" s="146"/>
      <c r="EF13" s="23" t="s">
        <v>118</v>
      </c>
      <c r="EG13" s="25"/>
      <c r="EH13" s="27">
        <v>0</v>
      </c>
      <c r="EI13" s="31">
        <v>0</v>
      </c>
      <c r="EJ13" s="134"/>
      <c r="EK13" s="144"/>
      <c r="EL13" s="145"/>
      <c r="EM13" s="146"/>
      <c r="EO13" s="23" t="s">
        <v>118</v>
      </c>
      <c r="EP13" s="25"/>
      <c r="EQ13" s="27">
        <v>0</v>
      </c>
      <c r="ER13" s="31">
        <v>0</v>
      </c>
      <c r="ES13" s="134"/>
      <c r="ET13" s="144"/>
      <c r="EU13" s="145"/>
      <c r="EV13" s="146"/>
      <c r="EX13" s="23" t="s">
        <v>118</v>
      </c>
      <c r="EY13" s="25"/>
      <c r="EZ13" s="27">
        <v>0</v>
      </c>
      <c r="FA13" s="31">
        <v>0</v>
      </c>
      <c r="FB13" s="134"/>
      <c r="FC13" s="144"/>
      <c r="FD13" s="145"/>
      <c r="FE13" s="146"/>
      <c r="FG13" s="23" t="s">
        <v>118</v>
      </c>
      <c r="FH13" s="25"/>
      <c r="FI13" s="27">
        <v>0</v>
      </c>
      <c r="FJ13" s="31">
        <v>0</v>
      </c>
      <c r="FK13" s="134"/>
      <c r="FL13" s="144"/>
      <c r="FM13" s="145"/>
      <c r="FN13" s="146"/>
      <c r="FP13" s="23" t="s">
        <v>118</v>
      </c>
      <c r="FQ13" s="25"/>
      <c r="FR13" s="27">
        <v>0</v>
      </c>
      <c r="FS13" s="31">
        <v>0</v>
      </c>
      <c r="FT13" s="134"/>
      <c r="FU13" s="144"/>
      <c r="FV13" s="145"/>
      <c r="FW13" s="146"/>
      <c r="FY13" s="303" t="s">
        <v>118</v>
      </c>
      <c r="FZ13" s="306"/>
      <c r="GA13" s="310">
        <v>0</v>
      </c>
      <c r="GB13" s="316">
        <v>0</v>
      </c>
      <c r="GC13" s="303"/>
      <c r="GD13" s="302"/>
      <c r="GE13" s="306"/>
      <c r="GF13" s="314"/>
      <c r="GH13" s="23" t="s">
        <v>118</v>
      </c>
      <c r="GI13" s="25"/>
      <c r="GJ13" s="27">
        <v>0</v>
      </c>
      <c r="GK13" s="31">
        <v>0</v>
      </c>
      <c r="GL13" s="134"/>
      <c r="GM13" s="144"/>
      <c r="GN13" s="145"/>
      <c r="GO13" s="146"/>
      <c r="GQ13" s="23" t="s">
        <v>118</v>
      </c>
      <c r="GR13" s="25"/>
      <c r="GS13" s="27">
        <v>0</v>
      </c>
      <c r="GT13" s="31">
        <v>0</v>
      </c>
      <c r="GU13" s="134"/>
      <c r="GV13" s="144"/>
      <c r="GW13" s="145"/>
      <c r="GX13" s="146"/>
      <c r="GZ13" s="23" t="s">
        <v>118</v>
      </c>
      <c r="HA13" s="25"/>
      <c r="HB13" s="27">
        <v>0</v>
      </c>
      <c r="HC13" s="31">
        <v>0</v>
      </c>
      <c r="HD13" s="134"/>
      <c r="HE13" s="144"/>
      <c r="HF13" s="145"/>
      <c r="HG13" s="146"/>
      <c r="HI13" s="23" t="s">
        <v>118</v>
      </c>
      <c r="HJ13" s="25"/>
      <c r="HK13" s="27">
        <v>3</v>
      </c>
      <c r="HL13" s="31">
        <f>-'Payroll Register'!P20</f>
        <v>14181.51724137931</v>
      </c>
      <c r="HM13" s="134"/>
      <c r="HN13" s="144"/>
      <c r="HO13" s="145"/>
      <c r="HP13" s="146"/>
      <c r="HR13" s="23" t="s">
        <v>118</v>
      </c>
      <c r="HS13" s="25"/>
      <c r="HT13" s="27">
        <v>0</v>
      </c>
      <c r="HU13" s="31">
        <v>0</v>
      </c>
      <c r="HV13" s="134"/>
      <c r="HW13" s="144"/>
      <c r="HX13" s="145"/>
      <c r="HY13" s="146"/>
      <c r="IA13" s="23" t="s">
        <v>118</v>
      </c>
      <c r="IB13" s="25"/>
      <c r="IC13" s="27">
        <v>0</v>
      </c>
      <c r="ID13" s="31">
        <v>0</v>
      </c>
      <c r="IE13" s="134"/>
      <c r="IF13" s="144"/>
      <c r="IG13" s="145"/>
      <c r="IH13" s="146"/>
      <c r="IJ13" s="23" t="s">
        <v>118</v>
      </c>
      <c r="IK13" s="25"/>
      <c r="IL13" s="27">
        <v>0</v>
      </c>
      <c r="IM13" s="31">
        <v>0</v>
      </c>
      <c r="IN13" s="134"/>
      <c r="IO13" s="144"/>
      <c r="IP13" s="145"/>
      <c r="IQ13" s="146"/>
      <c r="IS13" s="23" t="s">
        <v>118</v>
      </c>
      <c r="IT13" s="25"/>
      <c r="IU13" s="27">
        <v>0</v>
      </c>
      <c r="IV13" s="31">
        <v>0</v>
      </c>
      <c r="IW13" s="134"/>
      <c r="IX13" s="144"/>
      <c r="IY13" s="145"/>
      <c r="IZ13" s="146"/>
      <c r="JB13" s="23" t="s">
        <v>118</v>
      </c>
      <c r="JC13" s="25"/>
      <c r="JD13" s="27">
        <v>0</v>
      </c>
      <c r="JE13" s="31">
        <v>0</v>
      </c>
      <c r="JF13" s="134"/>
      <c r="JG13" s="144"/>
      <c r="JH13" s="145"/>
      <c r="JI13" s="146"/>
      <c r="JK13" s="23" t="s">
        <v>118</v>
      </c>
      <c r="JL13" s="25"/>
      <c r="JM13" s="27">
        <v>0</v>
      </c>
      <c r="JN13" s="31">
        <v>0</v>
      </c>
      <c r="JO13" s="134"/>
      <c r="JP13" s="144"/>
      <c r="JQ13" s="145"/>
      <c r="JR13" s="146"/>
      <c r="JT13" s="23" t="s">
        <v>118</v>
      </c>
      <c r="JU13" s="25"/>
      <c r="JV13" s="27">
        <v>0</v>
      </c>
      <c r="JX13" s="134"/>
      <c r="JY13" s="144"/>
      <c r="JZ13" s="145"/>
      <c r="KA13" s="146"/>
      <c r="KC13" s="23" t="s">
        <v>118</v>
      </c>
      <c r="KD13" s="25"/>
      <c r="KE13" s="27">
        <v>0</v>
      </c>
      <c r="KF13" s="31">
        <v>0</v>
      </c>
      <c r="KG13" s="134"/>
      <c r="KH13" s="144"/>
      <c r="KI13" s="145"/>
      <c r="KJ13" s="146"/>
    </row>
    <row r="14" spans="1:296" ht="12.75" customHeight="1">
      <c r="A14" s="255" t="s">
        <v>119</v>
      </c>
      <c r="B14" s="258"/>
      <c r="C14" s="262">
        <v>0</v>
      </c>
      <c r="D14" s="273">
        <v>0</v>
      </c>
      <c r="E14" s="264"/>
      <c r="F14" s="265"/>
      <c r="G14" s="266"/>
      <c r="H14" s="269"/>
      <c r="J14" s="255" t="s">
        <v>119</v>
      </c>
      <c r="K14" s="258"/>
      <c r="L14" s="262">
        <v>0</v>
      </c>
      <c r="M14" s="273">
        <v>0</v>
      </c>
      <c r="N14" s="264"/>
      <c r="O14" s="265"/>
      <c r="P14" s="266"/>
      <c r="Q14" s="269"/>
      <c r="S14" s="255" t="s">
        <v>119</v>
      </c>
      <c r="T14" s="258"/>
      <c r="U14" s="262">
        <v>0</v>
      </c>
      <c r="V14" s="273">
        <v>0</v>
      </c>
      <c r="W14" s="264"/>
      <c r="X14" s="265"/>
      <c r="Y14" s="266"/>
      <c r="Z14" s="269"/>
      <c r="AB14" s="255" t="s">
        <v>119</v>
      </c>
      <c r="AC14" s="258"/>
      <c r="AD14" s="262">
        <v>0</v>
      </c>
      <c r="AE14" s="273">
        <v>0</v>
      </c>
      <c r="AF14" s="264"/>
      <c r="AG14" s="265"/>
      <c r="AH14" s="266"/>
      <c r="AI14" s="269"/>
      <c r="AK14" s="255" t="s">
        <v>119</v>
      </c>
      <c r="AL14" s="258"/>
      <c r="AM14" s="262">
        <v>0</v>
      </c>
      <c r="AN14" s="273">
        <v>0</v>
      </c>
      <c r="AO14" s="264"/>
      <c r="AP14" s="265"/>
      <c r="AQ14" s="266"/>
      <c r="AR14" s="269"/>
      <c r="AT14" s="255" t="s">
        <v>119</v>
      </c>
      <c r="AU14" s="258"/>
      <c r="AV14" s="262">
        <v>0</v>
      </c>
      <c r="AW14" s="273">
        <v>0</v>
      </c>
      <c r="AX14" s="264"/>
      <c r="AY14" s="265"/>
      <c r="AZ14" s="266"/>
      <c r="BA14" s="269"/>
      <c r="BC14" s="255" t="s">
        <v>119</v>
      </c>
      <c r="BD14" s="258"/>
      <c r="BE14" s="262">
        <v>0</v>
      </c>
      <c r="BF14" s="273">
        <v>0</v>
      </c>
      <c r="BG14" s="264"/>
      <c r="BH14" s="265"/>
      <c r="BI14" s="266"/>
      <c r="BJ14" s="269"/>
      <c r="BL14" s="255" t="s">
        <v>119</v>
      </c>
      <c r="BM14" s="258"/>
      <c r="BN14" s="262">
        <v>0</v>
      </c>
      <c r="BO14" s="273">
        <v>0</v>
      </c>
      <c r="BP14" s="264"/>
      <c r="BQ14" s="265"/>
      <c r="BR14" s="266"/>
      <c r="BS14" s="269"/>
      <c r="BU14" s="23" t="s">
        <v>119</v>
      </c>
      <c r="BV14" s="25"/>
      <c r="BW14" s="27">
        <v>0</v>
      </c>
      <c r="BX14" s="32">
        <v>0</v>
      </c>
      <c r="BY14" s="134"/>
      <c r="BZ14" s="144"/>
      <c r="CA14" s="145"/>
      <c r="CB14" s="146"/>
      <c r="CD14" s="23" t="s">
        <v>119</v>
      </c>
      <c r="CE14" s="25"/>
      <c r="CF14" s="27">
        <v>0</v>
      </c>
      <c r="CG14" s="32">
        <v>0</v>
      </c>
      <c r="CH14" s="134"/>
      <c r="CI14" s="144"/>
      <c r="CJ14" s="145"/>
      <c r="CK14" s="146"/>
      <c r="CM14" s="255" t="s">
        <v>119</v>
      </c>
      <c r="CN14" s="258"/>
      <c r="CO14" s="262">
        <v>0</v>
      </c>
      <c r="CP14" s="273">
        <v>0</v>
      </c>
      <c r="CQ14" s="264"/>
      <c r="CR14" s="265"/>
      <c r="CS14" s="266"/>
      <c r="CT14" s="269"/>
      <c r="CV14" s="23" t="s">
        <v>119</v>
      </c>
      <c r="CW14" s="25"/>
      <c r="CX14" s="27">
        <v>0</v>
      </c>
      <c r="CY14" s="32">
        <v>0</v>
      </c>
      <c r="CZ14" s="134"/>
      <c r="DA14" s="144"/>
      <c r="DB14" s="145"/>
      <c r="DC14" s="146"/>
      <c r="DE14" s="303" t="s">
        <v>119</v>
      </c>
      <c r="DF14" s="306"/>
      <c r="DG14" s="310">
        <v>0</v>
      </c>
      <c r="DH14" s="317">
        <v>0</v>
      </c>
      <c r="DI14" s="303"/>
      <c r="DJ14" s="302"/>
      <c r="DK14" s="306"/>
      <c r="DL14" s="314"/>
      <c r="DN14" s="23" t="s">
        <v>119</v>
      </c>
      <c r="DO14" s="25"/>
      <c r="DP14" s="27">
        <v>0</v>
      </c>
      <c r="DQ14" s="32">
        <v>0</v>
      </c>
      <c r="DR14" s="134"/>
      <c r="DS14" s="144"/>
      <c r="DT14" s="145"/>
      <c r="DU14" s="146"/>
      <c r="DW14" s="23" t="s">
        <v>119</v>
      </c>
      <c r="DX14" s="25"/>
      <c r="DY14" s="27">
        <v>0</v>
      </c>
      <c r="DZ14" s="32">
        <v>0</v>
      </c>
      <c r="EA14" s="134"/>
      <c r="EB14" s="144"/>
      <c r="EC14" s="145"/>
      <c r="ED14" s="146"/>
      <c r="EF14" s="23" t="s">
        <v>119</v>
      </c>
      <c r="EG14" s="25"/>
      <c r="EH14" s="27">
        <v>0</v>
      </c>
      <c r="EI14" s="32">
        <v>0</v>
      </c>
      <c r="EJ14" s="134"/>
      <c r="EK14" s="144"/>
      <c r="EL14" s="145"/>
      <c r="EM14" s="146"/>
      <c r="EO14" s="23" t="s">
        <v>119</v>
      </c>
      <c r="EP14" s="25"/>
      <c r="EQ14" s="27">
        <v>0</v>
      </c>
      <c r="ER14" s="32">
        <v>0</v>
      </c>
      <c r="ES14" s="134"/>
      <c r="ET14" s="144"/>
      <c r="EU14" s="145"/>
      <c r="EV14" s="146"/>
      <c r="EX14" s="23" t="s">
        <v>119</v>
      </c>
      <c r="EY14" s="25"/>
      <c r="EZ14" s="27">
        <v>0</v>
      </c>
      <c r="FA14" s="32">
        <v>0</v>
      </c>
      <c r="FB14" s="134"/>
      <c r="FC14" s="144"/>
      <c r="FD14" s="145"/>
      <c r="FE14" s="146"/>
      <c r="FG14" s="23" t="s">
        <v>119</v>
      </c>
      <c r="FH14" s="25"/>
      <c r="FI14" s="27">
        <v>0</v>
      </c>
      <c r="FJ14" s="32">
        <v>0</v>
      </c>
      <c r="FK14" s="134"/>
      <c r="FL14" s="144"/>
      <c r="FM14" s="145"/>
      <c r="FN14" s="146"/>
      <c r="FP14" s="23" t="s">
        <v>119</v>
      </c>
      <c r="FQ14" s="25"/>
      <c r="FR14" s="27">
        <v>0</v>
      </c>
      <c r="FS14" s="32">
        <v>0</v>
      </c>
      <c r="FT14" s="134"/>
      <c r="FU14" s="144"/>
      <c r="FV14" s="145"/>
      <c r="FW14" s="146"/>
      <c r="FY14" s="303" t="s">
        <v>119</v>
      </c>
      <c r="FZ14" s="306"/>
      <c r="GA14" s="310">
        <v>0</v>
      </c>
      <c r="GB14" s="317">
        <v>0</v>
      </c>
      <c r="GC14" s="303"/>
      <c r="GD14" s="302"/>
      <c r="GE14" s="306"/>
      <c r="GF14" s="314"/>
      <c r="GH14" s="23" t="s">
        <v>119</v>
      </c>
      <c r="GI14" s="25"/>
      <c r="GJ14" s="27">
        <v>0</v>
      </c>
      <c r="GK14" s="32">
        <v>0</v>
      </c>
      <c r="GL14" s="134"/>
      <c r="GM14" s="144"/>
      <c r="GN14" s="145"/>
      <c r="GO14" s="146"/>
      <c r="GQ14" s="23" t="s">
        <v>119</v>
      </c>
      <c r="GR14" s="25"/>
      <c r="GS14" s="27">
        <v>0</v>
      </c>
      <c r="GT14" s="32">
        <v>0</v>
      </c>
      <c r="GU14" s="134"/>
      <c r="GV14" s="144"/>
      <c r="GW14" s="145"/>
      <c r="GX14" s="146"/>
      <c r="GZ14" s="23" t="s">
        <v>119</v>
      </c>
      <c r="HA14" s="25"/>
      <c r="HB14" s="27">
        <v>0</v>
      </c>
      <c r="HC14" s="32">
        <v>0</v>
      </c>
      <c r="HD14" s="134"/>
      <c r="HE14" s="144"/>
      <c r="HF14" s="145"/>
      <c r="HG14" s="146"/>
      <c r="HI14" s="23" t="s">
        <v>119</v>
      </c>
      <c r="HJ14" s="25"/>
      <c r="HK14" s="27">
        <v>0</v>
      </c>
      <c r="HL14" s="32">
        <v>0</v>
      </c>
      <c r="HM14" s="134"/>
      <c r="HN14" s="144"/>
      <c r="HO14" s="145"/>
      <c r="HP14" s="146"/>
      <c r="HR14" s="23" t="s">
        <v>119</v>
      </c>
      <c r="HS14" s="25"/>
      <c r="HT14" s="27">
        <v>0</v>
      </c>
      <c r="HU14" s="32">
        <v>0</v>
      </c>
      <c r="HV14" s="134"/>
      <c r="HW14" s="144"/>
      <c r="HX14" s="145"/>
      <c r="HY14" s="146"/>
      <c r="IA14" s="23" t="s">
        <v>119</v>
      </c>
      <c r="IB14" s="25"/>
      <c r="IC14" s="27">
        <v>0</v>
      </c>
      <c r="ID14" s="32">
        <v>0</v>
      </c>
      <c r="IE14" s="134"/>
      <c r="IF14" s="144"/>
      <c r="IG14" s="145"/>
      <c r="IH14" s="146"/>
      <c r="IJ14" s="23" t="s">
        <v>119</v>
      </c>
      <c r="IK14" s="25"/>
      <c r="IL14" s="27">
        <v>0</v>
      </c>
      <c r="IM14" s="32">
        <v>0</v>
      </c>
      <c r="IN14" s="134"/>
      <c r="IO14" s="144"/>
      <c r="IP14" s="145"/>
      <c r="IQ14" s="146"/>
      <c r="IS14" s="23" t="s">
        <v>119</v>
      </c>
      <c r="IT14" s="25"/>
      <c r="IU14" s="27">
        <v>0</v>
      </c>
      <c r="IV14" s="32">
        <v>0</v>
      </c>
      <c r="IW14" s="134"/>
      <c r="IX14" s="144"/>
      <c r="IY14" s="145"/>
      <c r="IZ14" s="146"/>
      <c r="JB14" s="23" t="s">
        <v>119</v>
      </c>
      <c r="JC14" s="25"/>
      <c r="JD14" s="27">
        <v>0</v>
      </c>
      <c r="JE14" s="32">
        <f>'Payroll Register'!P25</f>
        <v>0</v>
      </c>
      <c r="JF14" s="134"/>
      <c r="JG14" s="144"/>
      <c r="JH14" s="145"/>
      <c r="JI14" s="146"/>
      <c r="JK14" s="23" t="s">
        <v>119</v>
      </c>
      <c r="JL14" s="25"/>
      <c r="JM14" s="27">
        <v>0</v>
      </c>
      <c r="JN14" s="32">
        <v>0</v>
      </c>
      <c r="JO14" s="134"/>
      <c r="JP14" s="144"/>
      <c r="JQ14" s="145"/>
      <c r="JR14" s="146"/>
      <c r="JT14" s="23" t="s">
        <v>119</v>
      </c>
      <c r="JU14" s="25"/>
      <c r="JV14" s="27">
        <f>'Raw Sheet'!AA27</f>
        <v>2</v>
      </c>
      <c r="JW14" s="32">
        <f>-'Payroll Register'!P27</f>
        <v>252.87356321839081</v>
      </c>
      <c r="JX14" s="134"/>
      <c r="JY14" s="144"/>
      <c r="JZ14" s="145"/>
      <c r="KA14" s="146"/>
      <c r="KC14" s="23" t="s">
        <v>119</v>
      </c>
      <c r="KD14" s="25"/>
      <c r="KE14" s="27">
        <v>0</v>
      </c>
      <c r="KF14" s="32">
        <v>0</v>
      </c>
      <c r="KG14" s="134"/>
      <c r="KH14" s="144"/>
      <c r="KI14" s="145"/>
      <c r="KJ14" s="146"/>
    </row>
    <row r="15" spans="1:296" ht="12.75" customHeight="1">
      <c r="A15" s="255" t="s">
        <v>120</v>
      </c>
      <c r="B15" s="258"/>
      <c r="C15" s="262"/>
      <c r="D15" s="268">
        <f>SUM(D9:D12)-SUM(D13:D14)</f>
        <v>0</v>
      </c>
      <c r="E15" s="264"/>
      <c r="F15" s="265"/>
      <c r="G15" s="266"/>
      <c r="H15" s="269"/>
      <c r="J15" s="255" t="s">
        <v>120</v>
      </c>
      <c r="K15" s="258"/>
      <c r="L15" s="262"/>
      <c r="M15" s="268">
        <f>SUM(M9:M12)-SUM(M13:M14)</f>
        <v>0</v>
      </c>
      <c r="N15" s="264"/>
      <c r="O15" s="265"/>
      <c r="P15" s="266"/>
      <c r="Q15" s="269"/>
      <c r="S15" s="255" t="s">
        <v>120</v>
      </c>
      <c r="T15" s="258"/>
      <c r="U15" s="262"/>
      <c r="V15" s="268">
        <f>SUM(V9:V12)-SUM(V13:V14)</f>
        <v>0</v>
      </c>
      <c r="W15" s="264"/>
      <c r="X15" s="265"/>
      <c r="Y15" s="266"/>
      <c r="Z15" s="269"/>
      <c r="AB15" s="255" t="s">
        <v>120</v>
      </c>
      <c r="AC15" s="258"/>
      <c r="AD15" s="262"/>
      <c r="AE15" s="268">
        <f>SUM(AE9:AE12)-SUM(AE13:AE14)</f>
        <v>0</v>
      </c>
      <c r="AF15" s="264"/>
      <c r="AG15" s="265"/>
      <c r="AH15" s="266"/>
      <c r="AI15" s="269"/>
      <c r="AK15" s="255" t="s">
        <v>120</v>
      </c>
      <c r="AL15" s="258"/>
      <c r="AM15" s="262"/>
      <c r="AN15" s="268">
        <f>SUM(AN9:AN12)-SUM(AN13:AN14)</f>
        <v>0</v>
      </c>
      <c r="AO15" s="264"/>
      <c r="AP15" s="265"/>
      <c r="AQ15" s="266"/>
      <c r="AR15" s="269"/>
      <c r="AT15" s="255" t="s">
        <v>120</v>
      </c>
      <c r="AU15" s="258"/>
      <c r="AV15" s="262"/>
      <c r="AW15" s="268">
        <f>SUM(AW9:AW12)-SUM(AW13:AW14)</f>
        <v>0</v>
      </c>
      <c r="AX15" s="264"/>
      <c r="AY15" s="265"/>
      <c r="AZ15" s="266"/>
      <c r="BA15" s="269"/>
      <c r="BC15" s="255" t="s">
        <v>120</v>
      </c>
      <c r="BD15" s="258"/>
      <c r="BE15" s="262"/>
      <c r="BF15" s="268">
        <f>SUM(BF9:BF12)-SUM(BF13:BF14)</f>
        <v>0</v>
      </c>
      <c r="BG15" s="264"/>
      <c r="BH15" s="265"/>
      <c r="BI15" s="266"/>
      <c r="BJ15" s="269"/>
      <c r="BL15" s="255" t="s">
        <v>120</v>
      </c>
      <c r="BM15" s="258"/>
      <c r="BN15" s="262"/>
      <c r="BO15" s="268">
        <f>SUM(BO9:BO12)-SUM(BO13:BO14)</f>
        <v>0</v>
      </c>
      <c r="BP15" s="264"/>
      <c r="BQ15" s="265"/>
      <c r="BR15" s="266"/>
      <c r="BS15" s="269"/>
      <c r="BU15" s="23" t="s">
        <v>120</v>
      </c>
      <c r="BV15" s="25"/>
      <c r="BW15" s="27"/>
      <c r="BX15" s="29">
        <f>SUM(BX9:BX12)-SUM(BX13:BX14)</f>
        <v>18856.551724137931</v>
      </c>
      <c r="BY15" s="134"/>
      <c r="BZ15" s="144"/>
      <c r="CA15" s="145"/>
      <c r="CB15" s="146"/>
      <c r="CD15" s="23" t="s">
        <v>120</v>
      </c>
      <c r="CE15" s="25"/>
      <c r="CF15" s="27"/>
      <c r="CG15" s="29" t="e">
        <f>SUM(CG9:CG12)+SUM(CG13:CG14)</f>
        <v>#N/A</v>
      </c>
      <c r="CH15" s="134"/>
      <c r="CI15" s="144"/>
      <c r="CJ15" s="145"/>
      <c r="CK15" s="146"/>
      <c r="CM15" s="255" t="s">
        <v>120</v>
      </c>
      <c r="CN15" s="258"/>
      <c r="CO15" s="262"/>
      <c r="CP15" s="268">
        <f>SUM(CP9:CP12)-SUM(CP13:CP14)</f>
        <v>0</v>
      </c>
      <c r="CQ15" s="264"/>
      <c r="CR15" s="265"/>
      <c r="CS15" s="266"/>
      <c r="CT15" s="269"/>
      <c r="CV15" s="23" t="s">
        <v>120</v>
      </c>
      <c r="CW15" s="25"/>
      <c r="CX15" s="27"/>
      <c r="CY15" s="29">
        <f>SUM(CY9:CY12)-SUM(CY13:CY14)</f>
        <v>23379.310344827587</v>
      </c>
      <c r="CZ15" s="134"/>
      <c r="DA15" s="144"/>
      <c r="DB15" s="145"/>
      <c r="DC15" s="146"/>
      <c r="DE15" s="303" t="s">
        <v>120</v>
      </c>
      <c r="DF15" s="306"/>
      <c r="DG15" s="310"/>
      <c r="DH15" s="313">
        <f>SUM(DH9:DH12)-SUM(DH13:DH14)</f>
        <v>0</v>
      </c>
      <c r="DI15" s="303"/>
      <c r="DJ15" s="302"/>
      <c r="DK15" s="306"/>
      <c r="DL15" s="314"/>
      <c r="DN15" s="23" t="s">
        <v>120</v>
      </c>
      <c r="DO15" s="25"/>
      <c r="DP15" s="27"/>
      <c r="DQ15" s="29">
        <f>SUM(DQ9:DQ12)-SUM(DQ13:DQ14)</f>
        <v>21000</v>
      </c>
      <c r="DR15" s="134"/>
      <c r="DS15" s="144"/>
      <c r="DT15" s="145"/>
      <c r="DU15" s="146"/>
      <c r="DW15" s="23" t="s">
        <v>120</v>
      </c>
      <c r="DX15" s="25"/>
      <c r="DY15" s="27"/>
      <c r="DZ15" s="29">
        <f>SUM(DZ9:DZ12)-SUM(DZ13:DZ14)</f>
        <v>84800</v>
      </c>
      <c r="EA15" s="134"/>
      <c r="EB15" s="144"/>
      <c r="EC15" s="145"/>
      <c r="ED15" s="146"/>
      <c r="EF15" s="23" t="s">
        <v>120</v>
      </c>
      <c r="EG15" s="25"/>
      <c r="EH15" s="27"/>
      <c r="EI15" s="29">
        <f>SUM(EI9:EI12)-SUM(EI13:EI14)</f>
        <v>127800</v>
      </c>
      <c r="EJ15" s="134"/>
      <c r="EK15" s="144"/>
      <c r="EL15" s="145"/>
      <c r="EM15" s="146"/>
      <c r="EO15" s="23" t="s">
        <v>120</v>
      </c>
      <c r="EP15" s="25"/>
      <c r="EQ15" s="27"/>
      <c r="ER15" s="29">
        <f>SUM(ER9:ER12)-SUM(ER13:ER14)</f>
        <v>13000</v>
      </c>
      <c r="ES15" s="134"/>
      <c r="ET15" s="144"/>
      <c r="EU15" s="145"/>
      <c r="EV15" s="146"/>
      <c r="EX15" s="23" t="s">
        <v>120</v>
      </c>
      <c r="EY15" s="25"/>
      <c r="EZ15" s="27"/>
      <c r="FA15" s="29">
        <f>SUM(FA9:FA12)-SUM(FA13:FA14)</f>
        <v>15027.632183908046</v>
      </c>
      <c r="FB15" s="134"/>
      <c r="FC15" s="144"/>
      <c r="FD15" s="145"/>
      <c r="FE15" s="146"/>
      <c r="FG15" s="23" t="s">
        <v>120</v>
      </c>
      <c r="FH15" s="25"/>
      <c r="FI15" s="27"/>
      <c r="FJ15" s="29">
        <f>SUM(FJ9:FJ12)-SUM(FJ13:FJ14)</f>
        <v>45050</v>
      </c>
      <c r="FK15" s="134"/>
      <c r="FL15" s="144"/>
      <c r="FM15" s="145"/>
      <c r="FN15" s="146"/>
      <c r="FP15" s="23" t="s">
        <v>120</v>
      </c>
      <c r="FQ15" s="25"/>
      <c r="FR15" s="27"/>
      <c r="FS15" s="29">
        <f>SUM(FS9:FS12)-SUM(FS13:FS14)</f>
        <v>69622.844827586203</v>
      </c>
      <c r="FT15" s="134"/>
      <c r="FU15" s="144"/>
      <c r="FV15" s="145"/>
      <c r="FW15" s="146"/>
      <c r="FY15" s="303" t="s">
        <v>120</v>
      </c>
      <c r="FZ15" s="306"/>
      <c r="GA15" s="310"/>
      <c r="GB15" s="313">
        <f>SUM(GB9:GB12)-SUM(GB13:GB14)</f>
        <v>0</v>
      </c>
      <c r="GC15" s="303"/>
      <c r="GD15" s="302"/>
      <c r="GE15" s="306"/>
      <c r="GF15" s="314"/>
      <c r="GH15" s="23" t="s">
        <v>120</v>
      </c>
      <c r="GI15" s="25"/>
      <c r="GJ15" s="27"/>
      <c r="GK15" s="29">
        <f>SUM(GK9:GK12)-SUM(GK13:GK14)</f>
        <v>14422.413793103449</v>
      </c>
      <c r="GL15" s="134"/>
      <c r="GM15" s="144"/>
      <c r="GN15" s="145"/>
      <c r="GO15" s="146"/>
      <c r="GQ15" s="23" t="s">
        <v>120</v>
      </c>
      <c r="GR15" s="25"/>
      <c r="GS15" s="27"/>
      <c r="GT15" s="29">
        <f>SUM(GT9:GT12)-SUM(GT13:GT14)</f>
        <v>15640.057471264368</v>
      </c>
      <c r="GU15" s="134"/>
      <c r="GV15" s="144"/>
      <c r="GW15" s="145"/>
      <c r="GX15" s="146"/>
      <c r="GZ15" s="23" t="s">
        <v>120</v>
      </c>
      <c r="HA15" s="25"/>
      <c r="HB15" s="27"/>
      <c r="HC15" s="29">
        <f>SUM(HC9:HC12)-SUM(HC13:HC14)</f>
        <v>95905.172413793101</v>
      </c>
      <c r="HD15" s="134"/>
      <c r="HE15" s="144"/>
      <c r="HF15" s="145"/>
      <c r="HG15" s="146"/>
      <c r="HI15" s="23" t="s">
        <v>120</v>
      </c>
      <c r="HJ15" s="25"/>
      <c r="HK15" s="27"/>
      <c r="HL15" s="29">
        <f>SUM(HL9:HL12)-SUM(HL13:HL14)</f>
        <v>37226.482758620688</v>
      </c>
      <c r="HM15" s="134"/>
      <c r="HN15" s="144"/>
      <c r="HO15" s="145"/>
      <c r="HP15" s="146"/>
      <c r="HR15" s="23" t="s">
        <v>120</v>
      </c>
      <c r="HS15" s="25"/>
      <c r="HT15" s="27"/>
      <c r="HU15" s="29">
        <f>SUM(HU9:HU12)-SUM(HU13:HU14)</f>
        <v>13258.505747126437</v>
      </c>
      <c r="HV15" s="134"/>
      <c r="HW15" s="144"/>
      <c r="HX15" s="145"/>
      <c r="HY15" s="146"/>
      <c r="IA15" s="23" t="s">
        <v>120</v>
      </c>
      <c r="IB15" s="25"/>
      <c r="IC15" s="27"/>
      <c r="ID15" s="29">
        <f>SUM(ID9:ID12)-SUM(ID13:ID14)</f>
        <v>46017.241379310348</v>
      </c>
      <c r="IE15" s="134"/>
      <c r="IF15" s="144"/>
      <c r="IG15" s="145"/>
      <c r="IH15" s="146"/>
      <c r="IJ15" s="23" t="s">
        <v>120</v>
      </c>
      <c r="IK15" s="25"/>
      <c r="IL15" s="27"/>
      <c r="IM15" s="29">
        <f>SUM(IM9:IM12)-SUM(IM13:IM14)</f>
        <v>68586.206896551725</v>
      </c>
      <c r="IN15" s="134"/>
      <c r="IO15" s="144"/>
      <c r="IP15" s="145"/>
      <c r="IQ15" s="146"/>
      <c r="IS15" s="23" t="s">
        <v>120</v>
      </c>
      <c r="IT15" s="25"/>
      <c r="IU15" s="27"/>
      <c r="IV15" s="29">
        <f>SUM(IV9:IV12)-SUM(IV13:IV14)</f>
        <v>15275.862068965518</v>
      </c>
      <c r="IW15" s="134"/>
      <c r="IX15" s="144"/>
      <c r="IY15" s="145"/>
      <c r="IZ15" s="146"/>
      <c r="JB15" s="23" t="s">
        <v>120</v>
      </c>
      <c r="JC15" s="25"/>
      <c r="JD15" s="27"/>
      <c r="JE15" s="29">
        <f>SUM(JE9:JE12)+SUM(JE13:JE14)</f>
        <v>14321.839080459769</v>
      </c>
      <c r="JF15" s="134"/>
      <c r="JG15" s="144"/>
      <c r="JH15" s="145"/>
      <c r="JI15" s="146"/>
      <c r="JK15" s="23" t="s">
        <v>120</v>
      </c>
      <c r="JL15" s="25"/>
      <c r="JM15" s="27"/>
      <c r="JN15" s="29">
        <f>SUM(JN9:JN12)-SUM(JN13:JN14)</f>
        <v>44063.218390804599</v>
      </c>
      <c r="JO15" s="134"/>
      <c r="JP15" s="144"/>
      <c r="JQ15" s="145"/>
      <c r="JR15" s="146"/>
      <c r="JT15" s="23" t="s">
        <v>120</v>
      </c>
      <c r="JU15" s="25"/>
      <c r="JV15" s="27"/>
      <c r="JW15" s="29">
        <f>SUM(JW9:JW12)-SUM(JW14:JW14)</f>
        <v>11050.574712643678</v>
      </c>
      <c r="JX15" s="134"/>
      <c r="JY15" s="144"/>
      <c r="JZ15" s="145"/>
      <c r="KA15" s="146"/>
      <c r="KC15" s="23" t="s">
        <v>120</v>
      </c>
      <c r="KD15" s="25"/>
      <c r="KE15" s="27"/>
      <c r="KF15" s="29">
        <f>SUM(KF9:KF12)-SUM(KF13:KF14)</f>
        <v>9227.5862068965525</v>
      </c>
      <c r="KG15" s="134"/>
      <c r="KH15" s="144"/>
      <c r="KI15" s="145"/>
      <c r="KJ15" s="146"/>
    </row>
    <row r="16" spans="1:296" ht="12.75" customHeight="1">
      <c r="A16" s="255"/>
      <c r="B16" s="258"/>
      <c r="C16" s="258"/>
      <c r="D16" s="272"/>
      <c r="E16" s="264"/>
      <c r="F16" s="265"/>
      <c r="G16" s="266"/>
      <c r="H16" s="269"/>
      <c r="J16" s="255"/>
      <c r="K16" s="258"/>
      <c r="L16" s="258"/>
      <c r="M16" s="272"/>
      <c r="N16" s="264"/>
      <c r="O16" s="265"/>
      <c r="P16" s="266"/>
      <c r="Q16" s="269"/>
      <c r="S16" s="255"/>
      <c r="T16" s="258"/>
      <c r="U16" s="258"/>
      <c r="V16" s="272"/>
      <c r="W16" s="264"/>
      <c r="X16" s="265"/>
      <c r="Y16" s="266"/>
      <c r="Z16" s="269"/>
      <c r="AB16" s="255"/>
      <c r="AC16" s="258"/>
      <c r="AD16" s="258"/>
      <c r="AE16" s="272"/>
      <c r="AF16" s="264"/>
      <c r="AG16" s="265"/>
      <c r="AH16" s="266"/>
      <c r="AI16" s="269"/>
      <c r="AK16" s="255"/>
      <c r="AL16" s="258"/>
      <c r="AM16" s="258"/>
      <c r="AN16" s="272"/>
      <c r="AO16" s="264"/>
      <c r="AP16" s="265"/>
      <c r="AQ16" s="266"/>
      <c r="AR16" s="269"/>
      <c r="AT16" s="255"/>
      <c r="AU16" s="258"/>
      <c r="AV16" s="258"/>
      <c r="AW16" s="272"/>
      <c r="AX16" s="264"/>
      <c r="AY16" s="265"/>
      <c r="AZ16" s="266"/>
      <c r="BA16" s="269"/>
      <c r="BC16" s="255"/>
      <c r="BD16" s="258"/>
      <c r="BE16" s="258"/>
      <c r="BF16" s="272"/>
      <c r="BG16" s="264"/>
      <c r="BH16" s="265"/>
      <c r="BI16" s="266"/>
      <c r="BJ16" s="269"/>
      <c r="BL16" s="255"/>
      <c r="BM16" s="258"/>
      <c r="BN16" s="258"/>
      <c r="BO16" s="272"/>
      <c r="BP16" s="264"/>
      <c r="BQ16" s="265"/>
      <c r="BR16" s="266"/>
      <c r="BS16" s="269"/>
      <c r="BU16" s="23"/>
      <c r="BV16" s="25"/>
      <c r="BW16" s="25"/>
      <c r="BX16" s="31"/>
      <c r="BY16" s="134"/>
      <c r="BZ16" s="144"/>
      <c r="CA16" s="145"/>
      <c r="CB16" s="146"/>
      <c r="CD16" s="23"/>
      <c r="CE16" s="25"/>
      <c r="CF16" s="25"/>
      <c r="CG16" s="31"/>
      <c r="CH16" s="134"/>
      <c r="CI16" s="144"/>
      <c r="CJ16" s="145"/>
      <c r="CK16" s="146"/>
      <c r="CM16" s="255"/>
      <c r="CN16" s="258"/>
      <c r="CO16" s="258"/>
      <c r="CP16" s="272"/>
      <c r="CQ16" s="264"/>
      <c r="CR16" s="265"/>
      <c r="CS16" s="266"/>
      <c r="CT16" s="269"/>
      <c r="CV16" s="23"/>
      <c r="CW16" s="25"/>
      <c r="CX16" s="25"/>
      <c r="CY16" s="31"/>
      <c r="CZ16" s="134"/>
      <c r="DA16" s="144"/>
      <c r="DB16" s="145"/>
      <c r="DC16" s="146"/>
      <c r="DE16" s="303"/>
      <c r="DF16" s="306"/>
      <c r="DG16" s="306"/>
      <c r="DH16" s="316"/>
      <c r="DI16" s="303"/>
      <c r="DJ16" s="302"/>
      <c r="DK16" s="306"/>
      <c r="DL16" s="314"/>
      <c r="DN16" s="23"/>
      <c r="DO16" s="25"/>
      <c r="DP16" s="25"/>
      <c r="DQ16" s="31"/>
      <c r="DR16" s="134"/>
      <c r="DS16" s="144"/>
      <c r="DT16" s="145"/>
      <c r="DU16" s="146"/>
      <c r="DW16" s="23"/>
      <c r="DX16" s="25"/>
      <c r="DY16" s="25"/>
      <c r="DZ16" s="31"/>
      <c r="EA16" s="134"/>
      <c r="EB16" s="144"/>
      <c r="EC16" s="145"/>
      <c r="ED16" s="146"/>
      <c r="EF16" s="23"/>
      <c r="EG16" s="25"/>
      <c r="EH16" s="25"/>
      <c r="EI16" s="31"/>
      <c r="EJ16" s="134"/>
      <c r="EK16" s="144"/>
      <c r="EL16" s="145"/>
      <c r="EM16" s="146"/>
      <c r="EO16" s="23"/>
      <c r="EP16" s="25"/>
      <c r="EQ16" s="25"/>
      <c r="ER16" s="31"/>
      <c r="ES16" s="134"/>
      <c r="ET16" s="144"/>
      <c r="EU16" s="145"/>
      <c r="EV16" s="146"/>
      <c r="EX16" s="23"/>
      <c r="EY16" s="25"/>
      <c r="EZ16" s="25"/>
      <c r="FA16" s="31"/>
      <c r="FB16" s="134"/>
      <c r="FC16" s="144"/>
      <c r="FD16" s="145"/>
      <c r="FE16" s="146"/>
      <c r="FG16" s="23"/>
      <c r="FH16" s="25"/>
      <c r="FI16" s="25"/>
      <c r="FJ16" s="31"/>
      <c r="FK16" s="134"/>
      <c r="FL16" s="144"/>
      <c r="FM16" s="145"/>
      <c r="FN16" s="146"/>
      <c r="FP16" s="23"/>
      <c r="FQ16" s="25"/>
      <c r="FR16" s="25"/>
      <c r="FS16" s="31"/>
      <c r="FT16" s="134"/>
      <c r="FU16" s="144"/>
      <c r="FV16" s="145"/>
      <c r="FW16" s="146"/>
      <c r="FY16" s="303"/>
      <c r="FZ16" s="306"/>
      <c r="GA16" s="306"/>
      <c r="GB16" s="316"/>
      <c r="GC16" s="303"/>
      <c r="GD16" s="302"/>
      <c r="GE16" s="306"/>
      <c r="GF16" s="314"/>
      <c r="GH16" s="23"/>
      <c r="GI16" s="25"/>
      <c r="GJ16" s="25"/>
      <c r="GK16" s="31"/>
      <c r="GL16" s="134"/>
      <c r="GM16" s="144"/>
      <c r="GN16" s="145"/>
      <c r="GO16" s="146"/>
      <c r="GQ16" s="23"/>
      <c r="GR16" s="25"/>
      <c r="GS16" s="25"/>
      <c r="GT16" s="31"/>
      <c r="GU16" s="134"/>
      <c r="GV16" s="144"/>
      <c r="GW16" s="145"/>
      <c r="GX16" s="146"/>
      <c r="GZ16" s="23"/>
      <c r="HA16" s="25"/>
      <c r="HB16" s="25"/>
      <c r="HC16" s="31"/>
      <c r="HD16" s="134"/>
      <c r="HE16" s="144"/>
      <c r="HF16" s="145"/>
      <c r="HG16" s="146"/>
      <c r="HI16" s="23"/>
      <c r="HJ16" s="25"/>
      <c r="HK16" s="25"/>
      <c r="HL16" s="31"/>
      <c r="HM16" s="134"/>
      <c r="HN16" s="144"/>
      <c r="HO16" s="145"/>
      <c r="HP16" s="146"/>
      <c r="HR16" s="23"/>
      <c r="HS16" s="25"/>
      <c r="HT16" s="25"/>
      <c r="HU16" s="31"/>
      <c r="HV16" s="134"/>
      <c r="HW16" s="144"/>
      <c r="HX16" s="145"/>
      <c r="HY16" s="146"/>
      <c r="IA16" s="23"/>
      <c r="IB16" s="25"/>
      <c r="IC16" s="25"/>
      <c r="ID16" s="31"/>
      <c r="IE16" s="134"/>
      <c r="IF16" s="144"/>
      <c r="IG16" s="145"/>
      <c r="IH16" s="146"/>
      <c r="IJ16" s="23"/>
      <c r="IK16" s="25"/>
      <c r="IL16" s="25"/>
      <c r="IM16" s="31"/>
      <c r="IN16" s="134"/>
      <c r="IO16" s="144"/>
      <c r="IP16" s="145"/>
      <c r="IQ16" s="146"/>
      <c r="IS16" s="23"/>
      <c r="IT16" s="25"/>
      <c r="IU16" s="25"/>
      <c r="IV16" s="31"/>
      <c r="IW16" s="134"/>
      <c r="IX16" s="144"/>
      <c r="IY16" s="145"/>
      <c r="IZ16" s="146"/>
      <c r="JB16" s="23"/>
      <c r="JC16" s="25"/>
      <c r="JD16" s="25"/>
      <c r="JE16" s="31"/>
      <c r="JF16" s="134"/>
      <c r="JG16" s="144"/>
      <c r="JH16" s="145"/>
      <c r="JI16" s="146"/>
      <c r="JK16" s="23"/>
      <c r="JL16" s="25"/>
      <c r="JM16" s="25"/>
      <c r="JN16" s="31"/>
      <c r="JO16" s="134"/>
      <c r="JP16" s="144"/>
      <c r="JQ16" s="145"/>
      <c r="JR16" s="146"/>
      <c r="JT16" s="23"/>
      <c r="JU16" s="25"/>
      <c r="JV16" s="25"/>
      <c r="JW16" s="31"/>
      <c r="JX16" s="134"/>
      <c r="JY16" s="144"/>
      <c r="JZ16" s="145"/>
      <c r="KA16" s="146"/>
      <c r="KC16" s="23"/>
      <c r="KD16" s="25"/>
      <c r="KE16" s="25"/>
      <c r="KF16" s="31"/>
      <c r="KG16" s="134"/>
      <c r="KH16" s="144"/>
      <c r="KI16" s="145"/>
      <c r="KJ16" s="146"/>
    </row>
    <row r="17" spans="1:296" ht="12.75" customHeight="1">
      <c r="A17" s="255" t="s">
        <v>121</v>
      </c>
      <c r="B17" s="258"/>
      <c r="C17" s="262">
        <v>0</v>
      </c>
      <c r="D17" s="272">
        <v>0</v>
      </c>
      <c r="E17" s="274"/>
      <c r="F17" s="275"/>
      <c r="G17" s="274"/>
      <c r="H17" s="276"/>
      <c r="J17" s="255" t="s">
        <v>121</v>
      </c>
      <c r="K17" s="258"/>
      <c r="L17" s="262">
        <v>0</v>
      </c>
      <c r="M17" s="272">
        <v>0</v>
      </c>
      <c r="N17" s="274"/>
      <c r="O17" s="275"/>
      <c r="P17" s="274"/>
      <c r="Q17" s="276"/>
      <c r="S17" s="255" t="s">
        <v>121</v>
      </c>
      <c r="T17" s="258"/>
      <c r="U17" s="262">
        <v>0</v>
      </c>
      <c r="V17" s="272">
        <v>0</v>
      </c>
      <c r="W17" s="274"/>
      <c r="X17" s="275"/>
      <c r="Y17" s="274"/>
      <c r="Z17" s="276"/>
      <c r="AB17" s="255" t="s">
        <v>121</v>
      </c>
      <c r="AC17" s="258"/>
      <c r="AD17" s="262">
        <v>0</v>
      </c>
      <c r="AE17" s="272">
        <v>0</v>
      </c>
      <c r="AF17" s="274"/>
      <c r="AG17" s="275"/>
      <c r="AH17" s="274"/>
      <c r="AI17" s="276"/>
      <c r="AK17" s="255" t="s">
        <v>121</v>
      </c>
      <c r="AL17" s="258"/>
      <c r="AM17" s="262">
        <v>0</v>
      </c>
      <c r="AN17" s="272">
        <v>0</v>
      </c>
      <c r="AO17" s="274"/>
      <c r="AP17" s="275"/>
      <c r="AQ17" s="274"/>
      <c r="AR17" s="276"/>
      <c r="AT17" s="255" t="s">
        <v>121</v>
      </c>
      <c r="AU17" s="258"/>
      <c r="AV17" s="262">
        <v>0</v>
      </c>
      <c r="AW17" s="272">
        <v>0</v>
      </c>
      <c r="AX17" s="274"/>
      <c r="AY17" s="275"/>
      <c r="AZ17" s="274"/>
      <c r="BA17" s="276"/>
      <c r="BC17" s="255" t="s">
        <v>121</v>
      </c>
      <c r="BD17" s="258"/>
      <c r="BE17" s="262">
        <v>0</v>
      </c>
      <c r="BF17" s="272">
        <v>0</v>
      </c>
      <c r="BG17" s="274"/>
      <c r="BH17" s="275"/>
      <c r="BI17" s="274"/>
      <c r="BJ17" s="276"/>
      <c r="BL17" s="255" t="s">
        <v>121</v>
      </c>
      <c r="BM17" s="258"/>
      <c r="BN17" s="262">
        <v>0</v>
      </c>
      <c r="BO17" s="272">
        <v>0</v>
      </c>
      <c r="BP17" s="274"/>
      <c r="BQ17" s="275"/>
      <c r="BR17" s="274"/>
      <c r="BS17" s="276"/>
      <c r="BU17" s="23" t="s">
        <v>121</v>
      </c>
      <c r="BV17" s="25"/>
      <c r="BW17" s="27">
        <v>0</v>
      </c>
      <c r="BX17" s="31">
        <v>0</v>
      </c>
      <c r="BY17" s="147"/>
      <c r="BZ17" s="148"/>
      <c r="CA17" s="147"/>
      <c r="CB17" s="149"/>
      <c r="CD17" s="23" t="s">
        <v>121</v>
      </c>
      <c r="CE17" s="25"/>
      <c r="CF17" s="27">
        <v>0</v>
      </c>
      <c r="CG17" s="31">
        <v>0</v>
      </c>
      <c r="CH17" s="147"/>
      <c r="CI17" s="148"/>
      <c r="CJ17" s="147"/>
      <c r="CK17" s="149"/>
      <c r="CM17" s="255" t="s">
        <v>121</v>
      </c>
      <c r="CN17" s="258"/>
      <c r="CO17" s="262">
        <v>0</v>
      </c>
      <c r="CP17" s="272">
        <v>0</v>
      </c>
      <c r="CQ17" s="274"/>
      <c r="CR17" s="275"/>
      <c r="CS17" s="274"/>
      <c r="CT17" s="276"/>
      <c r="CV17" s="23" t="s">
        <v>121</v>
      </c>
      <c r="CW17" s="25"/>
      <c r="CX17" s="27">
        <f>VLOOKUP(CW4,'Raw Sheet'!$A$8:$AG$29,33,0)</f>
        <v>9</v>
      </c>
      <c r="CY17" s="31">
        <f>VLOOKUP(CW4,'Raw Sheet'!$A$8:$AH$28,34,0)</f>
        <v>2909.4827586206902</v>
      </c>
      <c r="CZ17" s="147"/>
      <c r="DA17" s="148"/>
      <c r="DB17" s="147"/>
      <c r="DC17" s="149"/>
      <c r="DE17" s="303" t="s">
        <v>121</v>
      </c>
      <c r="DF17" s="306"/>
      <c r="DG17" s="310">
        <v>0</v>
      </c>
      <c r="DH17" s="316">
        <v>0</v>
      </c>
      <c r="DI17" s="318"/>
      <c r="DJ17" s="319"/>
      <c r="DK17" s="318"/>
      <c r="DL17" s="320"/>
      <c r="DN17" s="23" t="s">
        <v>121</v>
      </c>
      <c r="DO17" s="25"/>
      <c r="DP17" s="27">
        <f>VLOOKUP(DO4,'Raw Sheet'!$A$8:$AG$29,33,0)</f>
        <v>12</v>
      </c>
      <c r="DQ17" s="446">
        <f>VLOOKUP(DO4,'Raw Sheet'!$A$8:$AH$28,34,0)</f>
        <v>3620.6896551724139</v>
      </c>
      <c r="DR17" s="147"/>
      <c r="DS17" s="148"/>
      <c r="DT17" s="147"/>
      <c r="DU17" s="149"/>
      <c r="DW17" s="23" t="s">
        <v>121</v>
      </c>
      <c r="DX17" s="25"/>
      <c r="DY17" s="27">
        <v>0</v>
      </c>
      <c r="DZ17" s="31">
        <v>0</v>
      </c>
      <c r="EA17" s="147"/>
      <c r="EB17" s="148"/>
      <c r="EC17" s="147"/>
      <c r="ED17" s="149"/>
      <c r="EF17" s="23" t="s">
        <v>121</v>
      </c>
      <c r="EG17" s="25"/>
      <c r="EH17" s="27">
        <v>0</v>
      </c>
      <c r="EI17" s="31">
        <v>0</v>
      </c>
      <c r="EJ17" s="147"/>
      <c r="EK17" s="148"/>
      <c r="EL17" s="147"/>
      <c r="EM17" s="149"/>
      <c r="EO17" s="23" t="s">
        <v>121</v>
      </c>
      <c r="EP17" s="25"/>
      <c r="EQ17" s="27">
        <v>0</v>
      </c>
      <c r="ER17" s="31">
        <v>0</v>
      </c>
      <c r="ES17" s="147"/>
      <c r="ET17" s="148"/>
      <c r="EU17" s="147"/>
      <c r="EV17" s="149"/>
      <c r="EX17" s="23" t="s">
        <v>121</v>
      </c>
      <c r="EY17" s="25"/>
      <c r="EZ17" s="27">
        <f>VLOOKUP(EY4,'Raw Sheet'!$A$8:$AG$28,33,0)</f>
        <v>0</v>
      </c>
      <c r="FA17" s="31">
        <f>VLOOKUP(EY4,'Raw Sheet'!$A$8:$AH$28,34,0)</f>
        <v>0</v>
      </c>
      <c r="FB17" s="147"/>
      <c r="FC17" s="148"/>
      <c r="FD17" s="147"/>
      <c r="FE17" s="149"/>
      <c r="FG17" s="23" t="s">
        <v>121</v>
      </c>
      <c r="FH17" s="25"/>
      <c r="FI17" s="27">
        <v>0</v>
      </c>
      <c r="FJ17" s="31">
        <v>0</v>
      </c>
      <c r="FK17" s="147"/>
      <c r="FL17" s="148"/>
      <c r="FM17" s="147"/>
      <c r="FN17" s="149"/>
      <c r="FP17" s="23" t="s">
        <v>121</v>
      </c>
      <c r="FQ17" s="25"/>
      <c r="FR17" s="27">
        <v>0</v>
      </c>
      <c r="FS17" s="31">
        <v>0</v>
      </c>
      <c r="FT17" s="147"/>
      <c r="FU17" s="148"/>
      <c r="FV17" s="147"/>
      <c r="FW17" s="149"/>
      <c r="FY17" s="303" t="s">
        <v>121</v>
      </c>
      <c r="FZ17" s="306"/>
      <c r="GA17" s="310">
        <v>0</v>
      </c>
      <c r="GB17" s="316">
        <v>0</v>
      </c>
      <c r="GC17" s="318"/>
      <c r="GD17" s="319"/>
      <c r="GE17" s="318"/>
      <c r="GF17" s="320"/>
      <c r="GH17" s="23" t="s">
        <v>121</v>
      </c>
      <c r="GI17" s="25"/>
      <c r="GJ17" s="27">
        <v>0</v>
      </c>
      <c r="GK17" s="31">
        <v>0</v>
      </c>
      <c r="GL17" s="147"/>
      <c r="GM17" s="148"/>
      <c r="GN17" s="147"/>
      <c r="GO17" s="149"/>
      <c r="GQ17" s="23" t="s">
        <v>121</v>
      </c>
      <c r="GR17" s="25"/>
      <c r="GS17" s="27">
        <v>0</v>
      </c>
      <c r="GT17" s="31">
        <v>0</v>
      </c>
      <c r="GU17" s="147"/>
      <c r="GV17" s="148"/>
      <c r="GW17" s="147"/>
      <c r="GX17" s="149"/>
      <c r="GZ17" s="23" t="s">
        <v>121</v>
      </c>
      <c r="HA17" s="25"/>
      <c r="HB17" s="27">
        <v>0</v>
      </c>
      <c r="HC17" s="31">
        <v>0</v>
      </c>
      <c r="HD17" s="147"/>
      <c r="HE17" s="148"/>
      <c r="HF17" s="147"/>
      <c r="HG17" s="149"/>
      <c r="HI17" s="23" t="s">
        <v>121</v>
      </c>
      <c r="HJ17" s="25"/>
      <c r="HK17" s="27">
        <v>0</v>
      </c>
      <c r="HL17" s="31">
        <v>0</v>
      </c>
      <c r="HM17" s="147"/>
      <c r="HN17" s="148"/>
      <c r="HO17" s="147"/>
      <c r="HP17" s="149"/>
      <c r="HR17" s="23" t="s">
        <v>121</v>
      </c>
      <c r="HS17" s="25"/>
      <c r="HT17" s="27">
        <v>0</v>
      </c>
      <c r="HU17" s="31">
        <v>0</v>
      </c>
      <c r="HV17" s="147"/>
      <c r="HW17" s="148"/>
      <c r="HX17" s="147"/>
      <c r="HY17" s="149"/>
      <c r="IA17" s="23" t="s">
        <v>121</v>
      </c>
      <c r="IB17" s="25"/>
      <c r="IC17" s="27">
        <v>0</v>
      </c>
      <c r="ID17" s="31">
        <v>0</v>
      </c>
      <c r="IE17" s="147"/>
      <c r="IF17" s="148"/>
      <c r="IG17" s="147"/>
      <c r="IH17" s="149"/>
      <c r="IJ17" s="23" t="s">
        <v>121</v>
      </c>
      <c r="IK17" s="25"/>
      <c r="IL17" s="27">
        <v>0</v>
      </c>
      <c r="IM17" s="31">
        <v>0</v>
      </c>
      <c r="IN17" s="147"/>
      <c r="IO17" s="148"/>
      <c r="IP17" s="147"/>
      <c r="IQ17" s="149"/>
      <c r="IS17" s="23" t="s">
        <v>121</v>
      </c>
      <c r="IT17" s="25"/>
      <c r="IU17" s="27">
        <v>0</v>
      </c>
      <c r="IV17" s="31">
        <v>0</v>
      </c>
      <c r="IW17" s="147"/>
      <c r="IX17" s="148"/>
      <c r="IY17" s="147"/>
      <c r="IZ17" s="149"/>
      <c r="JB17" s="23" t="s">
        <v>121</v>
      </c>
      <c r="JC17" s="25"/>
      <c r="JD17" s="27">
        <v>0</v>
      </c>
      <c r="JE17" s="31">
        <v>0</v>
      </c>
      <c r="JF17" s="147"/>
      <c r="JG17" s="148"/>
      <c r="JH17" s="147"/>
      <c r="JI17" s="149"/>
      <c r="JK17" s="23" t="s">
        <v>121</v>
      </c>
      <c r="JL17" s="25"/>
      <c r="JM17" s="27">
        <v>0</v>
      </c>
      <c r="JN17" s="31">
        <v>0</v>
      </c>
      <c r="JO17" s="147"/>
      <c r="JP17" s="148"/>
      <c r="JQ17" s="147"/>
      <c r="JR17" s="149"/>
      <c r="JT17" s="23" t="s">
        <v>121</v>
      </c>
      <c r="JU17" s="25"/>
      <c r="JV17" s="27">
        <f>'Raw Sheet'!BC27</f>
        <v>8</v>
      </c>
      <c r="JW17" s="31">
        <f>'Payroll Register'!Q27</f>
        <v>1011.4942528735633</v>
      </c>
      <c r="JX17" s="147"/>
      <c r="JY17" s="148"/>
      <c r="JZ17" s="147"/>
      <c r="KA17" s="149"/>
      <c r="KC17" s="23" t="s">
        <v>121</v>
      </c>
      <c r="KD17" s="25"/>
      <c r="KE17" s="27">
        <v>0</v>
      </c>
      <c r="KF17" s="31">
        <v>0</v>
      </c>
      <c r="KG17" s="147"/>
      <c r="KH17" s="148"/>
      <c r="KI17" s="147"/>
      <c r="KJ17" s="149"/>
    </row>
    <row r="18" spans="1:296" ht="12.75" customHeight="1">
      <c r="A18" s="255" t="s">
        <v>122</v>
      </c>
      <c r="C18" s="262">
        <f>IF(C17&gt;0,C19,0)</f>
        <v>0</v>
      </c>
      <c r="D18" s="272">
        <v>0</v>
      </c>
      <c r="E18" s="258" t="s">
        <v>123</v>
      </c>
      <c r="F18" s="258"/>
      <c r="G18" s="258"/>
      <c r="H18" s="277">
        <f>D15+(SUM(D17:D29)+(F9+F10+F11)+SUM(H9:H17))</f>
        <v>0</v>
      </c>
      <c r="J18" s="255" t="s">
        <v>122</v>
      </c>
      <c r="L18" s="262">
        <f>IF(L17&gt;0,L19,0)</f>
        <v>0</v>
      </c>
      <c r="M18" s="272">
        <v>0</v>
      </c>
      <c r="N18" s="258" t="s">
        <v>123</v>
      </c>
      <c r="O18" s="258"/>
      <c r="P18" s="258"/>
      <c r="Q18" s="277">
        <f>M15+(SUM(M17:M29)+(O9+O10+O11)+SUM(Q9:Q17))</f>
        <v>0</v>
      </c>
      <c r="S18" s="255" t="s">
        <v>122</v>
      </c>
      <c r="U18" s="262">
        <f>IF(U17&gt;0,U19,0)</f>
        <v>0</v>
      </c>
      <c r="V18" s="272">
        <v>0</v>
      </c>
      <c r="W18" s="258" t="s">
        <v>123</v>
      </c>
      <c r="X18" s="258"/>
      <c r="Y18" s="258"/>
      <c r="Z18" s="277">
        <f>V15+(SUM(V17:V29)+(X9+X10+X11)+SUM(Z9:Z17))</f>
        <v>0</v>
      </c>
      <c r="AB18" s="255" t="s">
        <v>122</v>
      </c>
      <c r="AD18" s="262">
        <f>IF(AD17&gt;0,AD19,0)</f>
        <v>0</v>
      </c>
      <c r="AE18" s="272">
        <v>0</v>
      </c>
      <c r="AF18" s="258" t="s">
        <v>123</v>
      </c>
      <c r="AG18" s="258"/>
      <c r="AH18" s="258"/>
      <c r="AI18" s="277">
        <f>AE15+(SUM(AE17:AE29)+(AG9+AG10+AG11)+SUM(AI9:AI17))</f>
        <v>0</v>
      </c>
      <c r="AK18" s="255" t="s">
        <v>122</v>
      </c>
      <c r="AM18" s="262">
        <f>IF(AM17&gt;0,AM19,0)</f>
        <v>0</v>
      </c>
      <c r="AN18" s="272">
        <v>0</v>
      </c>
      <c r="AO18" s="258" t="s">
        <v>123</v>
      </c>
      <c r="AP18" s="258"/>
      <c r="AQ18" s="258"/>
      <c r="AR18" s="277" t="e">
        <f>AN15+(SUM(AN17:AN29)+(AP9+AP10+AP11)+SUM(AR9:AR17))</f>
        <v>#REF!</v>
      </c>
      <c r="AT18" s="255" t="s">
        <v>122</v>
      </c>
      <c r="AV18" s="262">
        <f>IF(AV17&gt;0,AV19,0)</f>
        <v>0</v>
      </c>
      <c r="AW18" s="272">
        <v>0</v>
      </c>
      <c r="AX18" s="258" t="s">
        <v>123</v>
      </c>
      <c r="AY18" s="258"/>
      <c r="AZ18" s="258"/>
      <c r="BA18" s="277">
        <f>AW15+(SUM(AW17:AW29)+(AY9+AY10+AY11)+SUM(BA9:BA17))</f>
        <v>0</v>
      </c>
      <c r="BC18" s="255" t="s">
        <v>122</v>
      </c>
      <c r="BE18" s="262">
        <f>IF(BE17&gt;0,BE19,0)</f>
        <v>0</v>
      </c>
      <c r="BF18" s="272">
        <v>0</v>
      </c>
      <c r="BG18" s="258" t="s">
        <v>123</v>
      </c>
      <c r="BH18" s="258"/>
      <c r="BI18" s="258"/>
      <c r="BJ18" s="277" t="e">
        <f>BF15+(SUM(BF17:BF29)+(BH9+BH10+BH11)+SUM(BJ9:BJ17))</f>
        <v>#REF!</v>
      </c>
      <c r="BL18" s="255" t="s">
        <v>122</v>
      </c>
      <c r="BN18" s="262">
        <f>IF(BN17&gt;0,BN19,0)</f>
        <v>0</v>
      </c>
      <c r="BO18" s="272">
        <v>0</v>
      </c>
      <c r="BP18" s="258" t="s">
        <v>123</v>
      </c>
      <c r="BQ18" s="258"/>
      <c r="BR18" s="258"/>
      <c r="BS18" s="277" t="e">
        <f>BO15+(SUM(BO17:BO29)+(BQ9+BQ10+BQ11)+SUM(BS9:BS17))</f>
        <v>#REF!</v>
      </c>
      <c r="BU18" s="23" t="s">
        <v>122</v>
      </c>
      <c r="BW18" s="27">
        <f>IF(BW17&gt;0,BW19,0)</f>
        <v>0</v>
      </c>
      <c r="BX18" s="31">
        <v>0</v>
      </c>
      <c r="BY18" s="25" t="s">
        <v>123</v>
      </c>
      <c r="BZ18" s="25"/>
      <c r="CA18" s="25"/>
      <c r="CB18" s="35">
        <f>BX15+(SUM(BX17:BX29)+(BZ9+BZ10+BZ11)+SUM(CB9:CB17))</f>
        <v>20256.551724137931</v>
      </c>
      <c r="CD18" s="23" t="s">
        <v>122</v>
      </c>
      <c r="CF18" s="27">
        <f>IF(CF17&gt;0,CF19,0)</f>
        <v>0</v>
      </c>
      <c r="CG18" s="31">
        <v>0</v>
      </c>
      <c r="CH18" s="25" t="s">
        <v>123</v>
      </c>
      <c r="CI18" s="25"/>
      <c r="CJ18" s="25"/>
      <c r="CK18" s="35" t="e">
        <f>CG15+(SUM(CG17:CG29)+(CI9+CI10+CI11)+SUM(CK9:CK17))</f>
        <v>#N/A</v>
      </c>
      <c r="CM18" s="255" t="s">
        <v>122</v>
      </c>
      <c r="CO18" s="262">
        <f>IF(CO17&gt;0,CO19,0)</f>
        <v>0</v>
      </c>
      <c r="CP18" s="272">
        <v>0</v>
      </c>
      <c r="CQ18" s="258" t="s">
        <v>123</v>
      </c>
      <c r="CR18" s="258"/>
      <c r="CS18" s="258"/>
      <c r="CT18" s="277" t="e">
        <f>CP15+(SUM(CP17:CP29)+(CR9+CR10+CR11)+SUM(CT9:CT17))</f>
        <v>#REF!</v>
      </c>
      <c r="CV18" s="23" t="s">
        <v>122</v>
      </c>
      <c r="CX18" s="27">
        <f>IF(CX17&gt;0,CX19,0)</f>
        <v>0</v>
      </c>
      <c r="CY18" s="31">
        <v>0</v>
      </c>
      <c r="CZ18" s="25" t="s">
        <v>123</v>
      </c>
      <c r="DA18" s="25"/>
      <c r="DB18" s="25"/>
      <c r="DC18" s="35">
        <f>CY15+(SUM(CY17:CY29)+(DA9+DA10+DA11)+SUM(DC9:DC17))</f>
        <v>28357.758620689656</v>
      </c>
      <c r="DE18" s="303" t="s">
        <v>122</v>
      </c>
      <c r="DG18" s="310">
        <f>IF(DG17&gt;0,DG19,0)</f>
        <v>0</v>
      </c>
      <c r="DH18" s="316">
        <v>0</v>
      </c>
      <c r="DI18" s="306" t="s">
        <v>123</v>
      </c>
      <c r="DJ18" s="306"/>
      <c r="DK18" s="306"/>
      <c r="DL18" s="321" t="e">
        <f>DH15+(SUM(DH17:DH29)+(DJ9+DJ10+DJ11)+SUM(DL9:DL17))</f>
        <v>#REF!</v>
      </c>
      <c r="DN18" s="23" t="s">
        <v>122</v>
      </c>
      <c r="DP18" s="27">
        <v>0</v>
      </c>
      <c r="DQ18" s="31">
        <v>0</v>
      </c>
      <c r="DR18" s="25" t="s">
        <v>123</v>
      </c>
      <c r="DS18" s="25"/>
      <c r="DT18" s="25"/>
      <c r="DU18" s="35">
        <f>DQ15+(SUM(DQ17:DQ29)+(DS9+DS10+DS11)+SUM(DU9:DU17))</f>
        <v>25670.689655172413</v>
      </c>
      <c r="DW18" s="23" t="s">
        <v>122</v>
      </c>
      <c r="DY18" s="27">
        <f>IF(DY17&gt;0,DY19,0)</f>
        <v>0</v>
      </c>
      <c r="DZ18" s="31">
        <v>0</v>
      </c>
      <c r="EA18" s="25" t="s">
        <v>123</v>
      </c>
      <c r="EB18" s="25"/>
      <c r="EC18" s="25"/>
      <c r="ED18" s="35">
        <f>DZ15+(SUM(DZ17:DZ29)+(EB9+EB10+EB11)+SUM(ED9:ED17))</f>
        <v>86200</v>
      </c>
      <c r="EF18" s="23" t="s">
        <v>122</v>
      </c>
      <c r="EH18" s="27">
        <f>IF(EH17&gt;0,EH19,0)</f>
        <v>0</v>
      </c>
      <c r="EI18" s="31">
        <v>0</v>
      </c>
      <c r="EJ18" s="25" t="s">
        <v>123</v>
      </c>
      <c r="EK18" s="25"/>
      <c r="EL18" s="25"/>
      <c r="EM18" s="35">
        <f>EI15+(SUM(EI17:EI29)+(EK9+EK10+EK11)+SUM(EM9:EM17))</f>
        <v>129200</v>
      </c>
      <c r="EO18" s="23" t="s">
        <v>122</v>
      </c>
      <c r="EQ18" s="27">
        <f>IF(EQ17&gt;0,EQ19,0)</f>
        <v>0</v>
      </c>
      <c r="ER18" s="31">
        <v>0</v>
      </c>
      <c r="ES18" s="25" t="s">
        <v>123</v>
      </c>
      <c r="ET18" s="25"/>
      <c r="EU18" s="25"/>
      <c r="EV18" s="35">
        <f>ER15+(SUM(ER17:ER29)+(ET9+ET10+ET11)+SUM(EV9:EV17))</f>
        <v>20025.980229885048</v>
      </c>
      <c r="EX18" s="23" t="s">
        <v>122</v>
      </c>
      <c r="EZ18" s="27">
        <v>0</v>
      </c>
      <c r="FA18" s="31">
        <v>0</v>
      </c>
      <c r="FB18" s="25" t="s">
        <v>123</v>
      </c>
      <c r="FC18" s="25"/>
      <c r="FD18" s="25"/>
      <c r="FE18" s="35">
        <f>FA15+(SUM(FA17:FA29)+(FC9+FC10+FC11)+SUM(FE9:FE17))</f>
        <v>18610.988505747126</v>
      </c>
      <c r="FG18" s="23" t="s">
        <v>122</v>
      </c>
      <c r="FI18" s="27">
        <f>IF(FI17&gt;0,FI19,0)</f>
        <v>0</v>
      </c>
      <c r="FJ18" s="31">
        <v>0</v>
      </c>
      <c r="FK18" s="25" t="s">
        <v>123</v>
      </c>
      <c r="FL18" s="25"/>
      <c r="FM18" s="25"/>
      <c r="FN18" s="35">
        <f>FJ15+(SUM(FJ17:FJ29)+(FL9+FL10+FL11)+SUM(FN9:FN17))</f>
        <v>46450</v>
      </c>
      <c r="FP18" s="23" t="s">
        <v>122</v>
      </c>
      <c r="FR18" s="27">
        <f>IF(FR17&gt;0,FR19,0)</f>
        <v>0</v>
      </c>
      <c r="FS18" s="31">
        <v>0</v>
      </c>
      <c r="FT18" s="25" t="s">
        <v>123</v>
      </c>
      <c r="FU18" s="25"/>
      <c r="FV18" s="25"/>
      <c r="FW18" s="35">
        <f>FS15+(SUM(FS17:FS29)+(FU9+FU10+FU11)+SUM(FW9:FW17))</f>
        <v>71022.844827586203</v>
      </c>
      <c r="FY18" s="303" t="s">
        <v>122</v>
      </c>
      <c r="GA18" s="310">
        <f>IF(GA17&gt;0,GA19,0)</f>
        <v>0</v>
      </c>
      <c r="GB18" s="316">
        <v>0</v>
      </c>
      <c r="GC18" s="306" t="s">
        <v>123</v>
      </c>
      <c r="GD18" s="306"/>
      <c r="GE18" s="306"/>
      <c r="GF18" s="321" t="e">
        <f>GB15+(SUM(GB17:GB29)+(GD9+GD10+GD11)+SUM(GF9:GF17))</f>
        <v>#REF!</v>
      </c>
      <c r="GH18" s="23" t="s">
        <v>122</v>
      </c>
      <c r="GJ18" s="27">
        <v>12</v>
      </c>
      <c r="GK18" s="31">
        <f>'Payroll Register'!N17</f>
        <v>3439.655172413793</v>
      </c>
      <c r="GL18" s="25" t="s">
        <v>123</v>
      </c>
      <c r="GM18" s="25"/>
      <c r="GN18" s="25"/>
      <c r="GO18" s="35">
        <f>GK15+(SUM(GK17:GK29)+(GM9+GM10+GM11)+SUM(GO9:GO17))</f>
        <v>19262.068965517243</v>
      </c>
      <c r="GQ18" s="23" t="s">
        <v>122</v>
      </c>
      <c r="GS18" s="27">
        <f>IF(GS17&gt;0,GS19,0)</f>
        <v>0</v>
      </c>
      <c r="GT18" s="31">
        <v>0</v>
      </c>
      <c r="GU18" s="25" t="s">
        <v>123</v>
      </c>
      <c r="GV18" s="25"/>
      <c r="GW18" s="25"/>
      <c r="GX18" s="35">
        <f>GT15+(SUM(GT17:GT29)+(GV9+GV10+GV11)+SUM(GX9:GX17))</f>
        <v>17369.321839080461</v>
      </c>
      <c r="GZ18" s="23" t="s">
        <v>122</v>
      </c>
      <c r="HB18" s="27">
        <f>IF(HB17&gt;0,HB19,0)</f>
        <v>0</v>
      </c>
      <c r="HC18" s="31">
        <v>0</v>
      </c>
      <c r="HD18" s="25" t="s">
        <v>123</v>
      </c>
      <c r="HE18" s="25"/>
      <c r="HF18" s="25"/>
      <c r="HG18" s="35">
        <f>HC15+(SUM(HC17:HC29)+(HE9+HE10+HE11)+SUM(HG9:HG17))</f>
        <v>97305.172413793101</v>
      </c>
      <c r="HI18" s="23" t="s">
        <v>122</v>
      </c>
      <c r="HK18" s="27">
        <v>0</v>
      </c>
      <c r="HL18" s="31">
        <f>VLOOKUP(HJ4,'Raw Sheet'!$A$8:$BL$29,33,FALSE)</f>
        <v>0</v>
      </c>
      <c r="HM18" s="25" t="s">
        <v>123</v>
      </c>
      <c r="HN18" s="25"/>
      <c r="HO18" s="25"/>
      <c r="HP18" s="35">
        <f>HL15+(SUM(HL17:HL29)+(HN9+HN10+HN11)+SUM(HP9:HP17))</f>
        <v>38626.482758620688</v>
      </c>
      <c r="HR18" s="23" t="s">
        <v>122</v>
      </c>
      <c r="HT18" s="27">
        <v>0</v>
      </c>
      <c r="HU18" s="31">
        <f>VLOOKUP(HS4,'Raw Sheet'!$A$8:$BL$29,33,FALSE)</f>
        <v>0</v>
      </c>
      <c r="HV18" s="25" t="s">
        <v>123</v>
      </c>
      <c r="HW18" s="25"/>
      <c r="HX18" s="25"/>
      <c r="HY18" s="35">
        <f>HU15+(SUM(HU17:HU29)+(HW9+HW10+HW11)+SUM(HY9:HY17))</f>
        <v>15084.367816091955</v>
      </c>
      <c r="IA18" s="23" t="s">
        <v>122</v>
      </c>
      <c r="IC18" s="27">
        <v>0</v>
      </c>
      <c r="ID18" s="31">
        <f>'Payroll Register'!N22</f>
        <v>7474.1379310344837</v>
      </c>
      <c r="IE18" s="25" t="s">
        <v>123</v>
      </c>
      <c r="IF18" s="25"/>
      <c r="IG18" s="25"/>
      <c r="IH18" s="35">
        <f>ID15+(SUM(ID17:ID29)+(IF9+IF10+IF11)+SUM(IH9:IH17))</f>
        <v>54891.379310344833</v>
      </c>
      <c r="IJ18" s="23" t="s">
        <v>122</v>
      </c>
      <c r="IL18" s="27">
        <f>'Raw Sheet'!AG23</f>
        <v>6</v>
      </c>
      <c r="IM18" s="31">
        <f>'Payroll Register'!N23</f>
        <v>5715.5172413793098</v>
      </c>
      <c r="IN18" s="25" t="s">
        <v>123</v>
      </c>
      <c r="IO18" s="25"/>
      <c r="IP18" s="25"/>
      <c r="IQ18" s="35">
        <f>IM15+(SUM(IM17:IM29)+(IO9+IO10+IO11)+SUM(IQ9:IQ17))</f>
        <v>75701.724137931029</v>
      </c>
      <c r="IS18" s="23" t="s">
        <v>122</v>
      </c>
      <c r="IU18" s="27">
        <v>0</v>
      </c>
      <c r="IV18" s="31">
        <f>VLOOKUP(IT4,'Raw Sheet'!$A$8:$BL$29,33,FALSE)</f>
        <v>0</v>
      </c>
      <c r="IW18" s="25" t="s">
        <v>123</v>
      </c>
      <c r="IX18" s="25"/>
      <c r="IY18" s="25"/>
      <c r="IZ18" s="35">
        <f>IV15+(SUM(IV17:IV29)+(IX9+IX10+IX11)+SUM(IZ9:IZ17))</f>
        <v>16675.862068965518</v>
      </c>
      <c r="JB18" s="23" t="s">
        <v>122</v>
      </c>
      <c r="JD18" s="27">
        <v>0</v>
      </c>
      <c r="JE18" s="31">
        <f>VLOOKUP(JC4,'Raw Sheet'!$A$8:$BL$29,33,FALSE)</f>
        <v>0</v>
      </c>
      <c r="JF18" s="25" t="s">
        <v>123</v>
      </c>
      <c r="JG18" s="25"/>
      <c r="JH18" s="25"/>
      <c r="JI18" s="35">
        <f>JE15+(SUM(JE17:JE29)+(JG9+JG10+JG11)+SUM(JI9:JI17))</f>
        <v>15721.839080459769</v>
      </c>
      <c r="JK18" s="23" t="s">
        <v>122</v>
      </c>
      <c r="JM18" s="27">
        <f>'Raw Sheet'!AG26</f>
        <v>6</v>
      </c>
      <c r="JN18" s="31">
        <f>'Payroll Register'!N26</f>
        <v>3737.0689655172418</v>
      </c>
      <c r="JO18" s="25" t="s">
        <v>123</v>
      </c>
      <c r="JP18" s="25"/>
      <c r="JQ18" s="25"/>
      <c r="JR18" s="35">
        <f>JN15+(SUM(JN17:JN29)+(JP9+JP10+JP11)+SUM(JR9:JR17))</f>
        <v>49200.287356321838</v>
      </c>
      <c r="JT18" s="23" t="s">
        <v>122</v>
      </c>
      <c r="JV18" s="27">
        <v>0</v>
      </c>
      <c r="JW18" s="31">
        <f>VLOOKUP(JU4,'Raw Sheet'!$A$8:$BL$29,33,FALSE)</f>
        <v>0</v>
      </c>
      <c r="JX18" s="25" t="s">
        <v>123</v>
      </c>
      <c r="JY18" s="25"/>
      <c r="JZ18" s="25"/>
      <c r="KA18" s="35">
        <f>JW15+(SUM(JW17:JW29)+(JY9+JY10+JY11)+SUM(KA9:KA17))</f>
        <v>13462.068965517241</v>
      </c>
      <c r="KC18" s="23" t="s">
        <v>122</v>
      </c>
      <c r="KE18" s="27">
        <v>0</v>
      </c>
      <c r="KF18" s="31">
        <f>VLOOKUP(KD4,'Raw Sheet'!$A$8:$BL$29,33,FALSE)</f>
        <v>0</v>
      </c>
      <c r="KG18" s="25" t="s">
        <v>123</v>
      </c>
      <c r="KH18" s="25"/>
      <c r="KI18" s="25"/>
      <c r="KJ18" s="35">
        <f>KF15+(SUM(KF17:KF29)+(KH9+KH10+KH11)+SUM(KJ9:KJ17))</f>
        <v>11455.172413793105</v>
      </c>
    </row>
    <row r="19" spans="1:296" ht="12.75" customHeight="1">
      <c r="A19" s="255" t="s">
        <v>117</v>
      </c>
      <c r="B19" s="258"/>
      <c r="C19" s="262">
        <v>0</v>
      </c>
      <c r="D19" s="272">
        <v>0</v>
      </c>
      <c r="E19" s="258"/>
      <c r="F19" s="258"/>
      <c r="G19" s="258"/>
      <c r="H19" s="254"/>
      <c r="J19" s="255" t="s">
        <v>117</v>
      </c>
      <c r="K19" s="258"/>
      <c r="L19" s="262">
        <v>0</v>
      </c>
      <c r="M19" s="272">
        <v>0</v>
      </c>
      <c r="N19" s="258"/>
      <c r="O19" s="258"/>
      <c r="P19" s="258"/>
      <c r="Q19" s="254"/>
      <c r="S19" s="255" t="s">
        <v>117</v>
      </c>
      <c r="T19" s="258"/>
      <c r="U19" s="262">
        <v>0</v>
      </c>
      <c r="V19" s="272">
        <v>0</v>
      </c>
      <c r="W19" s="258"/>
      <c r="X19" s="258"/>
      <c r="Y19" s="258"/>
      <c r="Z19" s="254"/>
      <c r="AB19" s="255" t="s">
        <v>117</v>
      </c>
      <c r="AC19" s="258"/>
      <c r="AD19" s="262">
        <v>0</v>
      </c>
      <c r="AE19" s="272">
        <v>0</v>
      </c>
      <c r="AF19" s="258"/>
      <c r="AG19" s="258"/>
      <c r="AH19" s="258"/>
      <c r="AI19" s="254"/>
      <c r="AK19" s="255" t="s">
        <v>117</v>
      </c>
      <c r="AL19" s="258"/>
      <c r="AM19" s="262">
        <v>-22</v>
      </c>
      <c r="AN19" s="272">
        <v>0</v>
      </c>
      <c r="AO19" s="258"/>
      <c r="AP19" s="258"/>
      <c r="AQ19" s="258"/>
      <c r="AR19" s="254"/>
      <c r="AT19" s="255" t="s">
        <v>117</v>
      </c>
      <c r="AU19" s="258"/>
      <c r="AV19" s="262">
        <v>-22</v>
      </c>
      <c r="AW19" s="272">
        <v>0</v>
      </c>
      <c r="AX19" s="258"/>
      <c r="AY19" s="258"/>
      <c r="AZ19" s="258"/>
      <c r="BA19" s="254"/>
      <c r="BC19" s="255" t="s">
        <v>117</v>
      </c>
      <c r="BD19" s="258"/>
      <c r="BE19" s="262">
        <v>-22</v>
      </c>
      <c r="BF19" s="272">
        <v>0</v>
      </c>
      <c r="BG19" s="258"/>
      <c r="BH19" s="258"/>
      <c r="BI19" s="258"/>
      <c r="BJ19" s="254"/>
      <c r="BL19" s="255" t="s">
        <v>117</v>
      </c>
      <c r="BM19" s="258"/>
      <c r="BN19" s="262">
        <v>-22</v>
      </c>
      <c r="BO19" s="272">
        <v>0</v>
      </c>
      <c r="BP19" s="258"/>
      <c r="BQ19" s="258"/>
      <c r="BR19" s="258"/>
      <c r="BS19" s="254"/>
      <c r="BU19" s="23" t="s">
        <v>117</v>
      </c>
      <c r="BV19" s="25"/>
      <c r="BW19" s="27">
        <v>0</v>
      </c>
      <c r="BX19" s="31">
        <v>0</v>
      </c>
      <c r="BY19" s="25"/>
      <c r="BZ19" s="25"/>
      <c r="CA19" s="25"/>
      <c r="CB19" s="22"/>
      <c r="CD19" s="23" t="s">
        <v>117</v>
      </c>
      <c r="CE19" s="25"/>
      <c r="CF19" s="27">
        <f>IF(CF18&gt;0,CF20,0)</f>
        <v>0</v>
      </c>
      <c r="CG19" s="31">
        <v>0</v>
      </c>
      <c r="CH19" s="25"/>
      <c r="CI19" s="25"/>
      <c r="CJ19" s="25"/>
      <c r="CK19" s="22"/>
      <c r="CM19" s="255" t="s">
        <v>117</v>
      </c>
      <c r="CN19" s="258"/>
      <c r="CO19" s="262">
        <v>0</v>
      </c>
      <c r="CP19" s="272">
        <v>0</v>
      </c>
      <c r="CQ19" s="258"/>
      <c r="CR19" s="258"/>
      <c r="CS19" s="258"/>
      <c r="CT19" s="254"/>
      <c r="CV19" s="23" t="s">
        <v>117</v>
      </c>
      <c r="CW19" s="25"/>
      <c r="CX19" s="27">
        <v>0</v>
      </c>
      <c r="CY19" s="31">
        <v>0</v>
      </c>
      <c r="CZ19" s="25"/>
      <c r="DA19" s="25"/>
      <c r="DB19" s="25"/>
      <c r="DC19" s="22"/>
      <c r="DE19" s="303" t="s">
        <v>117</v>
      </c>
      <c r="DF19" s="306"/>
      <c r="DG19" s="310">
        <v>0</v>
      </c>
      <c r="DH19" s="316">
        <v>0</v>
      </c>
      <c r="DI19" s="306"/>
      <c r="DJ19" s="306"/>
      <c r="DK19" s="306"/>
      <c r="DL19" s="302"/>
      <c r="DN19" s="23" t="s">
        <v>117</v>
      </c>
      <c r="DO19" s="25"/>
      <c r="DP19" s="27">
        <f>IF(DP18&gt;0,DP20,0)</f>
        <v>0</v>
      </c>
      <c r="DQ19" s="31">
        <v>0</v>
      </c>
      <c r="DR19" s="25"/>
      <c r="DS19" s="25"/>
      <c r="DT19" s="25"/>
      <c r="DU19" s="22"/>
      <c r="DW19" s="23" t="s">
        <v>117</v>
      </c>
      <c r="DX19" s="25"/>
      <c r="DY19" s="27">
        <f>IF(DY18&gt;0,DY20,0)</f>
        <v>0</v>
      </c>
      <c r="DZ19" s="31">
        <v>0</v>
      </c>
      <c r="EA19" s="25"/>
      <c r="EB19" s="25"/>
      <c r="EC19" s="25"/>
      <c r="ED19" s="22"/>
      <c r="EF19" s="23" t="s">
        <v>117</v>
      </c>
      <c r="EG19" s="25"/>
      <c r="EH19" s="27">
        <f>IF(EH18&gt;0,EH20,0)</f>
        <v>0</v>
      </c>
      <c r="EI19" s="31">
        <v>0</v>
      </c>
      <c r="EJ19" s="25"/>
      <c r="EK19" s="25"/>
      <c r="EL19" s="25"/>
      <c r="EM19" s="22"/>
      <c r="EO19" s="23" t="s">
        <v>117</v>
      </c>
      <c r="EP19" s="25"/>
      <c r="EQ19" s="27">
        <f>IF(EQ18&gt;0,EQ20,0)</f>
        <v>0</v>
      </c>
      <c r="ER19" s="31">
        <v>0</v>
      </c>
      <c r="ES19" s="25"/>
      <c r="ET19" s="25"/>
      <c r="EU19" s="25"/>
      <c r="EV19" s="22"/>
      <c r="EX19" s="23" t="s">
        <v>117</v>
      </c>
      <c r="EY19" s="25"/>
      <c r="EZ19" s="27">
        <f>IF(EZ18&gt;0,EZ20,0)</f>
        <v>0</v>
      </c>
      <c r="FA19" s="31">
        <v>0</v>
      </c>
      <c r="FB19" s="25"/>
      <c r="FC19" s="25"/>
      <c r="FD19" s="25"/>
      <c r="FE19" s="22"/>
      <c r="FG19" s="23" t="s">
        <v>117</v>
      </c>
      <c r="FH19" s="25"/>
      <c r="FI19" s="27">
        <f>IF(FI18&gt;0,FI20,0)</f>
        <v>0</v>
      </c>
      <c r="FJ19" s="31">
        <v>0</v>
      </c>
      <c r="FK19" s="25"/>
      <c r="FL19" s="25"/>
      <c r="FM19" s="25"/>
      <c r="FN19" s="22"/>
      <c r="FP19" s="23" t="s">
        <v>117</v>
      </c>
      <c r="FQ19" s="25"/>
      <c r="FR19" s="27">
        <f>IF(FR18&gt;0,FR20,0)</f>
        <v>0</v>
      </c>
      <c r="FS19" s="31">
        <v>0</v>
      </c>
      <c r="FT19" s="25"/>
      <c r="FU19" s="25"/>
      <c r="FV19" s="25"/>
      <c r="FW19" s="22"/>
      <c r="FY19" s="303" t="s">
        <v>117</v>
      </c>
      <c r="FZ19" s="306"/>
      <c r="GA19" s="310">
        <v>-32</v>
      </c>
      <c r="GB19" s="316">
        <v>0</v>
      </c>
      <c r="GC19" s="306"/>
      <c r="GD19" s="306"/>
      <c r="GE19" s="306"/>
      <c r="GF19" s="302"/>
      <c r="GH19" s="23" t="s">
        <v>117</v>
      </c>
      <c r="GI19" s="25"/>
      <c r="GJ19" s="27">
        <f>IF(GJ18&gt;0,GJ20,0)</f>
        <v>0</v>
      </c>
      <c r="GK19" s="31">
        <v>0</v>
      </c>
      <c r="GL19" s="25"/>
      <c r="GM19" s="25"/>
      <c r="GN19" s="25"/>
      <c r="GO19" s="22"/>
      <c r="GQ19" s="23" t="s">
        <v>117</v>
      </c>
      <c r="GR19" s="25"/>
      <c r="GS19" s="27">
        <f>IF(GS18&gt;0,GS20,0)</f>
        <v>0</v>
      </c>
      <c r="GT19" s="31">
        <v>0</v>
      </c>
      <c r="GU19" s="25"/>
      <c r="GV19" s="25"/>
      <c r="GW19" s="25"/>
      <c r="GX19" s="22"/>
      <c r="GZ19" s="23" t="s">
        <v>117</v>
      </c>
      <c r="HA19" s="25"/>
      <c r="HB19" s="27">
        <f>IF(HB18&gt;0,HB20,0)</f>
        <v>0</v>
      </c>
      <c r="HC19" s="31">
        <v>0</v>
      </c>
      <c r="HD19" s="25"/>
      <c r="HE19" s="25"/>
      <c r="HF19" s="25"/>
      <c r="HG19" s="22"/>
      <c r="HI19" s="23" t="s">
        <v>117</v>
      </c>
      <c r="HJ19" s="25"/>
      <c r="HK19" s="27">
        <f>IF(HK18&gt;0,HK20,0)</f>
        <v>0</v>
      </c>
      <c r="HL19" s="31">
        <v>0</v>
      </c>
      <c r="HM19" s="25"/>
      <c r="HN19" s="25"/>
      <c r="HO19" s="25"/>
      <c r="HP19" s="22"/>
      <c r="HR19" s="23" t="s">
        <v>117</v>
      </c>
      <c r="HS19" s="25"/>
      <c r="HT19" s="27">
        <f>IF(HT18&gt;0,HT20,0)</f>
        <v>0</v>
      </c>
      <c r="HU19" s="31">
        <v>0</v>
      </c>
      <c r="HV19" s="25"/>
      <c r="HW19" s="25"/>
      <c r="HX19" s="25"/>
      <c r="HY19" s="22"/>
      <c r="IA19" s="23" t="s">
        <v>117</v>
      </c>
      <c r="IB19" s="25"/>
      <c r="IC19" s="27">
        <f>IF(IC18&gt;0,IC20,0)</f>
        <v>0</v>
      </c>
      <c r="ID19" s="31">
        <v>0</v>
      </c>
      <c r="IE19" s="25"/>
      <c r="IF19" s="25"/>
      <c r="IG19" s="25"/>
      <c r="IH19" s="22"/>
      <c r="IJ19" s="23" t="s">
        <v>117</v>
      </c>
      <c r="IK19" s="25"/>
      <c r="IL19" s="27">
        <f>IF(IL18&gt;0,IL20,0)</f>
        <v>0</v>
      </c>
      <c r="IM19" s="31">
        <v>0</v>
      </c>
      <c r="IN19" s="25"/>
      <c r="IO19" s="25"/>
      <c r="IP19" s="25"/>
      <c r="IQ19" s="22"/>
      <c r="IS19" s="23" t="s">
        <v>117</v>
      </c>
      <c r="IT19" s="25"/>
      <c r="IU19" s="27">
        <f>IF(IU18&gt;0,IU20,0)</f>
        <v>0</v>
      </c>
      <c r="IV19" s="31">
        <v>0</v>
      </c>
      <c r="IW19" s="25"/>
      <c r="IX19" s="25"/>
      <c r="IY19" s="25"/>
      <c r="IZ19" s="22"/>
      <c r="JB19" s="23" t="s">
        <v>117</v>
      </c>
      <c r="JC19" s="25"/>
      <c r="JD19" s="27">
        <f>IF(JD18&gt;0,JD20,0)</f>
        <v>0</v>
      </c>
      <c r="JE19" s="31">
        <v>0</v>
      </c>
      <c r="JF19" s="25"/>
      <c r="JG19" s="25"/>
      <c r="JH19" s="25"/>
      <c r="JI19" s="22"/>
      <c r="JK19" s="23" t="s">
        <v>117</v>
      </c>
      <c r="JL19" s="25"/>
      <c r="JM19" s="27">
        <f>IF(JM18&gt;0,JM20,0)</f>
        <v>0</v>
      </c>
      <c r="JN19" s="31">
        <v>0</v>
      </c>
      <c r="JO19" s="25"/>
      <c r="JP19" s="25"/>
      <c r="JQ19" s="25"/>
      <c r="JR19" s="22"/>
      <c r="JT19" s="23" t="s">
        <v>117</v>
      </c>
      <c r="JU19" s="25"/>
      <c r="JV19" s="27">
        <f>IF(JV18&gt;0,JV20,0)</f>
        <v>0</v>
      </c>
      <c r="JW19" s="31">
        <v>0</v>
      </c>
      <c r="JX19" s="25"/>
      <c r="JY19" s="25"/>
      <c r="JZ19" s="25"/>
      <c r="KA19" s="22"/>
      <c r="KC19" s="23" t="s">
        <v>117</v>
      </c>
      <c r="KD19" s="25"/>
      <c r="KE19" s="27">
        <f>IF(KE18&gt;0,KE20,0)</f>
        <v>0</v>
      </c>
      <c r="KF19" s="31">
        <v>0</v>
      </c>
      <c r="KG19" s="25"/>
      <c r="KH19" s="25"/>
      <c r="KI19" s="25"/>
      <c r="KJ19" s="22"/>
    </row>
    <row r="20" spans="1:296" ht="12.75" customHeight="1">
      <c r="A20" s="255" t="s">
        <v>124</v>
      </c>
      <c r="B20" s="258"/>
      <c r="C20" s="262">
        <v>0</v>
      </c>
      <c r="D20" s="272">
        <v>0</v>
      </c>
      <c r="E20" s="627" t="s">
        <v>125</v>
      </c>
      <c r="F20" s="628"/>
      <c r="G20" s="628" t="s">
        <v>126</v>
      </c>
      <c r="H20" s="629"/>
      <c r="J20" s="255" t="s">
        <v>124</v>
      </c>
      <c r="K20" s="258"/>
      <c r="L20" s="262">
        <v>0</v>
      </c>
      <c r="M20" s="272">
        <v>0</v>
      </c>
      <c r="N20" s="627" t="s">
        <v>125</v>
      </c>
      <c r="O20" s="628"/>
      <c r="P20" s="628" t="s">
        <v>126</v>
      </c>
      <c r="Q20" s="629"/>
      <c r="S20" s="255" t="s">
        <v>124</v>
      </c>
      <c r="T20" s="258"/>
      <c r="U20" s="262">
        <v>0</v>
      </c>
      <c r="V20" s="272">
        <v>0</v>
      </c>
      <c r="W20" s="627" t="s">
        <v>125</v>
      </c>
      <c r="X20" s="628"/>
      <c r="Y20" s="628" t="s">
        <v>126</v>
      </c>
      <c r="Z20" s="629"/>
      <c r="AB20" s="255" t="s">
        <v>124</v>
      </c>
      <c r="AC20" s="258"/>
      <c r="AD20" s="262">
        <v>0</v>
      </c>
      <c r="AE20" s="272">
        <v>0</v>
      </c>
      <c r="AF20" s="627" t="s">
        <v>125</v>
      </c>
      <c r="AG20" s="628"/>
      <c r="AH20" s="628" t="s">
        <v>126</v>
      </c>
      <c r="AI20" s="629"/>
      <c r="AK20" s="255" t="s">
        <v>124</v>
      </c>
      <c r="AL20" s="258"/>
      <c r="AM20" s="262">
        <v>0</v>
      </c>
      <c r="AN20" s="272">
        <v>0</v>
      </c>
      <c r="AO20" s="627" t="s">
        <v>125</v>
      </c>
      <c r="AP20" s="628"/>
      <c r="AQ20" s="628" t="s">
        <v>126</v>
      </c>
      <c r="AR20" s="629"/>
      <c r="AT20" s="255" t="s">
        <v>124</v>
      </c>
      <c r="AU20" s="258"/>
      <c r="AV20" s="262">
        <v>0</v>
      </c>
      <c r="AW20" s="272">
        <v>0</v>
      </c>
      <c r="AX20" s="627" t="s">
        <v>125</v>
      </c>
      <c r="AY20" s="628"/>
      <c r="AZ20" s="628" t="s">
        <v>126</v>
      </c>
      <c r="BA20" s="629"/>
      <c r="BC20" s="255" t="s">
        <v>124</v>
      </c>
      <c r="BD20" s="258"/>
      <c r="BE20" s="262">
        <v>0</v>
      </c>
      <c r="BF20" s="272">
        <v>0</v>
      </c>
      <c r="BG20" s="627" t="s">
        <v>125</v>
      </c>
      <c r="BH20" s="628"/>
      <c r="BI20" s="628" t="s">
        <v>126</v>
      </c>
      <c r="BJ20" s="629"/>
      <c r="BL20" s="255" t="s">
        <v>124</v>
      </c>
      <c r="BM20" s="258"/>
      <c r="BN20" s="262">
        <v>0</v>
      </c>
      <c r="BO20" s="272">
        <v>0</v>
      </c>
      <c r="BP20" s="627" t="s">
        <v>125</v>
      </c>
      <c r="BQ20" s="628"/>
      <c r="BR20" s="628" t="s">
        <v>126</v>
      </c>
      <c r="BS20" s="629"/>
      <c r="BU20" s="23" t="s">
        <v>124</v>
      </c>
      <c r="BV20" s="25"/>
      <c r="BW20" s="27">
        <v>0</v>
      </c>
      <c r="BX20" s="31">
        <v>0</v>
      </c>
      <c r="BY20" s="608" t="s">
        <v>125</v>
      </c>
      <c r="BZ20" s="606"/>
      <c r="CA20" s="606" t="s">
        <v>126</v>
      </c>
      <c r="CB20" s="607"/>
      <c r="CD20" s="23" t="s">
        <v>124</v>
      </c>
      <c r="CE20" s="25"/>
      <c r="CF20" s="27">
        <v>0</v>
      </c>
      <c r="CG20" s="31">
        <v>0</v>
      </c>
      <c r="CH20" s="608" t="s">
        <v>125</v>
      </c>
      <c r="CI20" s="606"/>
      <c r="CJ20" s="606" t="s">
        <v>126</v>
      </c>
      <c r="CK20" s="607"/>
      <c r="CM20" s="255" t="s">
        <v>124</v>
      </c>
      <c r="CN20" s="258"/>
      <c r="CO20" s="262">
        <v>0</v>
      </c>
      <c r="CP20" s="272">
        <v>0</v>
      </c>
      <c r="CQ20" s="627" t="s">
        <v>125</v>
      </c>
      <c r="CR20" s="628"/>
      <c r="CS20" s="628" t="s">
        <v>126</v>
      </c>
      <c r="CT20" s="629"/>
      <c r="CV20" s="23" t="s">
        <v>124</v>
      </c>
      <c r="CW20" s="25"/>
      <c r="CX20" s="27">
        <v>0</v>
      </c>
      <c r="CY20" s="31">
        <v>0</v>
      </c>
      <c r="CZ20" s="608" t="s">
        <v>125</v>
      </c>
      <c r="DA20" s="606"/>
      <c r="DB20" s="606" t="s">
        <v>126</v>
      </c>
      <c r="DC20" s="607"/>
      <c r="DE20" s="303" t="s">
        <v>124</v>
      </c>
      <c r="DF20" s="306"/>
      <c r="DG20" s="310">
        <v>0</v>
      </c>
      <c r="DH20" s="316">
        <v>0</v>
      </c>
      <c r="DI20" s="621" t="s">
        <v>125</v>
      </c>
      <c r="DJ20" s="622"/>
      <c r="DK20" s="622" t="s">
        <v>126</v>
      </c>
      <c r="DL20" s="623"/>
      <c r="DN20" s="23" t="s">
        <v>124</v>
      </c>
      <c r="DO20" s="25"/>
      <c r="DP20" s="27">
        <v>0</v>
      </c>
      <c r="DQ20" s="31">
        <v>0</v>
      </c>
      <c r="DR20" s="608" t="s">
        <v>125</v>
      </c>
      <c r="DS20" s="606"/>
      <c r="DT20" s="606" t="s">
        <v>126</v>
      </c>
      <c r="DU20" s="607"/>
      <c r="DW20" s="23" t="s">
        <v>124</v>
      </c>
      <c r="DX20" s="25"/>
      <c r="DY20" s="27">
        <v>0</v>
      </c>
      <c r="DZ20" s="31">
        <v>0</v>
      </c>
      <c r="EA20" s="608" t="s">
        <v>125</v>
      </c>
      <c r="EB20" s="606"/>
      <c r="EC20" s="606" t="s">
        <v>126</v>
      </c>
      <c r="ED20" s="607"/>
      <c r="EF20" s="23" t="s">
        <v>124</v>
      </c>
      <c r="EG20" s="25"/>
      <c r="EH20" s="27">
        <v>0</v>
      </c>
      <c r="EI20" s="31">
        <v>0</v>
      </c>
      <c r="EJ20" s="608" t="s">
        <v>125</v>
      </c>
      <c r="EK20" s="606"/>
      <c r="EL20" s="606" t="s">
        <v>126</v>
      </c>
      <c r="EM20" s="607"/>
      <c r="EO20" s="23" t="s">
        <v>124</v>
      </c>
      <c r="EP20" s="25"/>
      <c r="EQ20" s="27">
        <v>0</v>
      </c>
      <c r="ER20" s="31">
        <v>0</v>
      </c>
      <c r="ES20" s="608" t="s">
        <v>125</v>
      </c>
      <c r="ET20" s="606"/>
      <c r="EU20" s="606" t="s">
        <v>126</v>
      </c>
      <c r="EV20" s="607"/>
      <c r="EX20" s="23" t="s">
        <v>124</v>
      </c>
      <c r="EY20" s="25"/>
      <c r="EZ20" s="27">
        <v>0</v>
      </c>
      <c r="FA20" s="31">
        <v>0</v>
      </c>
      <c r="FB20" s="608" t="s">
        <v>125</v>
      </c>
      <c r="FC20" s="606"/>
      <c r="FD20" s="606" t="s">
        <v>126</v>
      </c>
      <c r="FE20" s="607"/>
      <c r="FG20" s="23" t="s">
        <v>124</v>
      </c>
      <c r="FH20" s="25"/>
      <c r="FI20" s="27">
        <v>0</v>
      </c>
      <c r="FJ20" s="31">
        <v>0</v>
      </c>
      <c r="FK20" s="608" t="s">
        <v>125</v>
      </c>
      <c r="FL20" s="606"/>
      <c r="FM20" s="606" t="s">
        <v>126</v>
      </c>
      <c r="FN20" s="607"/>
      <c r="FP20" s="23" t="s">
        <v>124</v>
      </c>
      <c r="FQ20" s="25"/>
      <c r="FR20" s="27">
        <v>0</v>
      </c>
      <c r="FS20" s="31">
        <v>0</v>
      </c>
      <c r="FT20" s="608" t="s">
        <v>125</v>
      </c>
      <c r="FU20" s="606"/>
      <c r="FV20" s="606" t="s">
        <v>126</v>
      </c>
      <c r="FW20" s="607"/>
      <c r="FY20" s="303" t="s">
        <v>124</v>
      </c>
      <c r="FZ20" s="306"/>
      <c r="GA20" s="310">
        <v>0</v>
      </c>
      <c r="GB20" s="316">
        <v>0</v>
      </c>
      <c r="GC20" s="621" t="s">
        <v>125</v>
      </c>
      <c r="GD20" s="622"/>
      <c r="GE20" s="622" t="s">
        <v>126</v>
      </c>
      <c r="GF20" s="623"/>
      <c r="GH20" s="23" t="s">
        <v>124</v>
      </c>
      <c r="GI20" s="25"/>
      <c r="GJ20" s="27">
        <v>0</v>
      </c>
      <c r="GK20" s="31">
        <v>0</v>
      </c>
      <c r="GL20" s="608" t="s">
        <v>125</v>
      </c>
      <c r="GM20" s="606"/>
      <c r="GN20" s="606" t="s">
        <v>126</v>
      </c>
      <c r="GO20" s="607"/>
      <c r="GQ20" s="23" t="s">
        <v>124</v>
      </c>
      <c r="GR20" s="25"/>
      <c r="GS20" s="27">
        <v>0</v>
      </c>
      <c r="GT20" s="31">
        <v>0</v>
      </c>
      <c r="GU20" s="608" t="s">
        <v>125</v>
      </c>
      <c r="GV20" s="606"/>
      <c r="GW20" s="606" t="s">
        <v>126</v>
      </c>
      <c r="GX20" s="607"/>
      <c r="GZ20" s="23" t="s">
        <v>124</v>
      </c>
      <c r="HA20" s="25"/>
      <c r="HB20" s="27">
        <v>0</v>
      </c>
      <c r="HC20" s="31">
        <v>0</v>
      </c>
      <c r="HD20" s="608" t="s">
        <v>125</v>
      </c>
      <c r="HE20" s="606"/>
      <c r="HF20" s="606" t="s">
        <v>126</v>
      </c>
      <c r="HG20" s="607"/>
      <c r="HI20" s="23" t="s">
        <v>124</v>
      </c>
      <c r="HJ20" s="25"/>
      <c r="HK20" s="27">
        <v>0</v>
      </c>
      <c r="HL20" s="31">
        <v>0</v>
      </c>
      <c r="HM20" s="608" t="s">
        <v>125</v>
      </c>
      <c r="HN20" s="606"/>
      <c r="HO20" s="606" t="s">
        <v>126</v>
      </c>
      <c r="HP20" s="607"/>
      <c r="HR20" s="23" t="s">
        <v>124</v>
      </c>
      <c r="HS20" s="25"/>
      <c r="HT20" s="27">
        <v>0</v>
      </c>
      <c r="HU20" s="31">
        <v>0</v>
      </c>
      <c r="HV20" s="608" t="s">
        <v>125</v>
      </c>
      <c r="HW20" s="606"/>
      <c r="HX20" s="606" t="s">
        <v>126</v>
      </c>
      <c r="HY20" s="607"/>
      <c r="IA20" s="23" t="s">
        <v>124</v>
      </c>
      <c r="IB20" s="25"/>
      <c r="IC20" s="27">
        <v>0</v>
      </c>
      <c r="ID20" s="31">
        <v>0</v>
      </c>
      <c r="IE20" s="608" t="s">
        <v>125</v>
      </c>
      <c r="IF20" s="606"/>
      <c r="IG20" s="606" t="s">
        <v>126</v>
      </c>
      <c r="IH20" s="607"/>
      <c r="IJ20" s="23" t="s">
        <v>124</v>
      </c>
      <c r="IK20" s="25"/>
      <c r="IL20" s="27">
        <v>0</v>
      </c>
      <c r="IM20" s="31">
        <v>0</v>
      </c>
      <c r="IN20" s="608" t="s">
        <v>125</v>
      </c>
      <c r="IO20" s="606"/>
      <c r="IP20" s="606" t="s">
        <v>126</v>
      </c>
      <c r="IQ20" s="607"/>
      <c r="IS20" s="23" t="s">
        <v>124</v>
      </c>
      <c r="IT20" s="25"/>
      <c r="IU20" s="27">
        <v>0</v>
      </c>
      <c r="IV20" s="31">
        <v>0</v>
      </c>
      <c r="IW20" s="608" t="s">
        <v>125</v>
      </c>
      <c r="IX20" s="606"/>
      <c r="IY20" s="606" t="s">
        <v>126</v>
      </c>
      <c r="IZ20" s="607"/>
      <c r="JB20" s="23" t="s">
        <v>124</v>
      </c>
      <c r="JC20" s="25"/>
      <c r="JD20" s="27">
        <v>0</v>
      </c>
      <c r="JE20" s="31">
        <v>0</v>
      </c>
      <c r="JF20" s="608" t="s">
        <v>125</v>
      </c>
      <c r="JG20" s="606"/>
      <c r="JH20" s="606" t="s">
        <v>126</v>
      </c>
      <c r="JI20" s="607"/>
      <c r="JK20" s="23" t="s">
        <v>124</v>
      </c>
      <c r="JL20" s="25"/>
      <c r="JM20" s="27">
        <v>0</v>
      </c>
      <c r="JN20" s="31">
        <v>0</v>
      </c>
      <c r="JO20" s="608" t="s">
        <v>125</v>
      </c>
      <c r="JP20" s="606"/>
      <c r="JQ20" s="606" t="s">
        <v>126</v>
      </c>
      <c r="JR20" s="607"/>
      <c r="JT20" s="23" t="s">
        <v>124</v>
      </c>
      <c r="JU20" s="25"/>
      <c r="JV20" s="27">
        <v>0</v>
      </c>
      <c r="JW20" s="31">
        <v>0</v>
      </c>
      <c r="JX20" s="608" t="s">
        <v>125</v>
      </c>
      <c r="JY20" s="606"/>
      <c r="JZ20" s="606" t="s">
        <v>126</v>
      </c>
      <c r="KA20" s="607"/>
      <c r="KC20" s="23" t="s">
        <v>124</v>
      </c>
      <c r="KD20" s="25"/>
      <c r="KE20" s="27">
        <v>0</v>
      </c>
      <c r="KF20" s="31">
        <v>0</v>
      </c>
      <c r="KG20" s="608" t="s">
        <v>125</v>
      </c>
      <c r="KH20" s="606"/>
      <c r="KI20" s="606" t="s">
        <v>126</v>
      </c>
      <c r="KJ20" s="607"/>
    </row>
    <row r="21" spans="1:296" ht="12.75" customHeight="1">
      <c r="A21" s="255" t="s">
        <v>127</v>
      </c>
      <c r="B21" s="258"/>
      <c r="C21" s="262">
        <f>IF(C20&gt;0,C22,0)</f>
        <v>0</v>
      </c>
      <c r="D21" s="272">
        <v>0</v>
      </c>
      <c r="E21" s="343"/>
      <c r="F21" s="343"/>
      <c r="G21" s="343"/>
      <c r="H21" s="344"/>
      <c r="J21" s="255" t="s">
        <v>127</v>
      </c>
      <c r="K21" s="258"/>
      <c r="L21" s="262">
        <f>IF(L20&gt;0,L22,0)</f>
        <v>0</v>
      </c>
      <c r="M21" s="272">
        <v>0</v>
      </c>
      <c r="N21" s="343"/>
      <c r="O21" s="343"/>
      <c r="P21" s="343"/>
      <c r="Q21" s="344"/>
      <c r="S21" s="255" t="s">
        <v>127</v>
      </c>
      <c r="T21" s="258"/>
      <c r="U21" s="262">
        <f>IF(U20&gt;0,U22,0)</f>
        <v>0</v>
      </c>
      <c r="V21" s="272">
        <v>0</v>
      </c>
      <c r="W21" s="343"/>
      <c r="X21" s="343"/>
      <c r="Y21" s="343"/>
      <c r="Z21" s="344"/>
      <c r="AB21" s="255" t="s">
        <v>127</v>
      </c>
      <c r="AC21" s="258"/>
      <c r="AD21" s="262">
        <f>IF(AD20&gt;0,AD22,0)</f>
        <v>0</v>
      </c>
      <c r="AE21" s="272">
        <v>0</v>
      </c>
      <c r="AF21" s="343"/>
      <c r="AG21" s="343"/>
      <c r="AH21" s="343"/>
      <c r="AI21" s="344"/>
      <c r="AK21" s="255" t="s">
        <v>127</v>
      </c>
      <c r="AL21" s="258"/>
      <c r="AM21" s="262">
        <f>IF(AM20&gt;0,AM22,0)</f>
        <v>0</v>
      </c>
      <c r="AN21" s="272">
        <v>0</v>
      </c>
      <c r="AO21" s="343"/>
      <c r="AP21" s="343"/>
      <c r="AQ21" s="343"/>
      <c r="AR21" s="344"/>
      <c r="AT21" s="255" t="s">
        <v>127</v>
      </c>
      <c r="AU21" s="258"/>
      <c r="AV21" s="262">
        <f>IF(AV20&gt;0,AV22,0)</f>
        <v>0</v>
      </c>
      <c r="AW21" s="272">
        <v>0</v>
      </c>
      <c r="AX21" s="343"/>
      <c r="AY21" s="343"/>
      <c r="AZ21" s="343"/>
      <c r="BA21" s="344"/>
      <c r="BC21" s="255" t="s">
        <v>127</v>
      </c>
      <c r="BD21" s="258"/>
      <c r="BE21" s="262">
        <f>IF(BE20&gt;0,BE22,0)</f>
        <v>0</v>
      </c>
      <c r="BF21" s="272">
        <v>0</v>
      </c>
      <c r="BG21" s="343"/>
      <c r="BH21" s="343"/>
      <c r="BI21" s="343"/>
      <c r="BJ21" s="344"/>
      <c r="BL21" s="255" t="s">
        <v>127</v>
      </c>
      <c r="BM21" s="258"/>
      <c r="BN21" s="262">
        <f>IF(BN20&gt;0,BN22,0)</f>
        <v>0</v>
      </c>
      <c r="BO21" s="272">
        <v>0</v>
      </c>
      <c r="BP21" s="343"/>
      <c r="BQ21" s="343"/>
      <c r="BR21" s="343"/>
      <c r="BS21" s="344"/>
      <c r="BU21" s="23" t="s">
        <v>127</v>
      </c>
      <c r="BV21" s="25"/>
      <c r="BW21" s="27">
        <f>IF(BW20&gt;0,BW22,0)</f>
        <v>0</v>
      </c>
      <c r="BX21" s="31">
        <v>0</v>
      </c>
      <c r="BY21" s="341"/>
      <c r="BZ21" s="341"/>
      <c r="CA21" s="341"/>
      <c r="CB21" s="342"/>
      <c r="CD21" s="23" t="s">
        <v>127</v>
      </c>
      <c r="CE21" s="25"/>
      <c r="CF21" s="27">
        <f>IF(CF20&gt;0,CF22,0)</f>
        <v>0</v>
      </c>
      <c r="CG21" s="31">
        <v>0</v>
      </c>
      <c r="CH21" s="341"/>
      <c r="CI21" s="341"/>
      <c r="CJ21" s="341"/>
      <c r="CK21" s="342"/>
      <c r="CM21" s="255" t="s">
        <v>127</v>
      </c>
      <c r="CN21" s="258"/>
      <c r="CO21" s="262">
        <f>IF(CO20&gt;0,CO22,0)</f>
        <v>0</v>
      </c>
      <c r="CP21" s="272">
        <v>0</v>
      </c>
      <c r="CQ21" s="343"/>
      <c r="CR21" s="343"/>
      <c r="CS21" s="343"/>
      <c r="CT21" s="344"/>
      <c r="CV21" s="23" t="s">
        <v>127</v>
      </c>
      <c r="CW21" s="25"/>
      <c r="CX21" s="27">
        <f>IF(CX20&gt;0,CX22,0)</f>
        <v>0</v>
      </c>
      <c r="CY21" s="31">
        <v>0</v>
      </c>
      <c r="CZ21" s="341"/>
      <c r="DA21" s="341"/>
      <c r="DB21" s="341"/>
      <c r="DC21" s="342"/>
      <c r="DE21" s="303" t="s">
        <v>127</v>
      </c>
      <c r="DF21" s="306"/>
      <c r="DG21" s="310">
        <v>0</v>
      </c>
      <c r="DH21" s="316">
        <v>0</v>
      </c>
      <c r="DI21" s="345"/>
      <c r="DJ21" s="345"/>
      <c r="DK21" s="345"/>
      <c r="DL21" s="346"/>
      <c r="DN21" s="23" t="s">
        <v>127</v>
      </c>
      <c r="DO21" s="25"/>
      <c r="DP21" s="27">
        <f>IF(DP20&gt;0,DP22,0)</f>
        <v>0</v>
      </c>
      <c r="DQ21" s="31">
        <v>0</v>
      </c>
      <c r="DR21" s="341"/>
      <c r="DS21" s="341"/>
      <c r="DT21" s="341"/>
      <c r="DU21" s="342"/>
      <c r="DW21" s="23" t="s">
        <v>127</v>
      </c>
      <c r="DX21" s="25"/>
      <c r="DY21" s="27">
        <f>IF(DY20&gt;0,DY22,0)</f>
        <v>0</v>
      </c>
      <c r="DZ21" s="31">
        <v>0</v>
      </c>
      <c r="EA21" s="341"/>
      <c r="EB21" s="341"/>
      <c r="EC21" s="341"/>
      <c r="ED21" s="342"/>
      <c r="EF21" s="23" t="s">
        <v>127</v>
      </c>
      <c r="EG21" s="25"/>
      <c r="EH21" s="27">
        <f>IF(EH20&gt;0,EH22,0)</f>
        <v>0</v>
      </c>
      <c r="EI21" s="31">
        <v>0</v>
      </c>
      <c r="EJ21" s="341"/>
      <c r="EK21" s="341"/>
      <c r="EL21" s="341"/>
      <c r="EM21" s="342"/>
      <c r="EO21" s="23" t="s">
        <v>127</v>
      </c>
      <c r="EP21" s="25"/>
      <c r="EQ21" s="27">
        <f>IF(EQ20&gt;0,EQ22,0)</f>
        <v>0</v>
      </c>
      <c r="ER21" s="31">
        <v>0</v>
      </c>
      <c r="ES21" s="341"/>
      <c r="ET21" s="341"/>
      <c r="EU21" s="341"/>
      <c r="EV21" s="342"/>
      <c r="EX21" s="23" t="s">
        <v>127</v>
      </c>
      <c r="EY21" s="25"/>
      <c r="EZ21" s="27">
        <f>VLOOKUP(EY4,'Raw Sheet'!$A$8:$AK$28,37,0)</f>
        <v>0</v>
      </c>
      <c r="FA21" s="31">
        <f>VLOOKUP(EY4,'Raw Sheet'!$A$8:$AL$28,38,0)</f>
        <v>0</v>
      </c>
      <c r="FB21" s="341"/>
      <c r="FC21" s="341"/>
      <c r="FD21" s="341"/>
      <c r="FE21" s="342"/>
      <c r="FG21" s="23" t="s">
        <v>127</v>
      </c>
      <c r="FH21" s="25"/>
      <c r="FI21" s="27">
        <f>IF(FI20&gt;0,FI22,0)</f>
        <v>0</v>
      </c>
      <c r="FJ21" s="31">
        <v>0</v>
      </c>
      <c r="FK21" s="341"/>
      <c r="FL21" s="341"/>
      <c r="FM21" s="341"/>
      <c r="FN21" s="342"/>
      <c r="FP21" s="23" t="s">
        <v>127</v>
      </c>
      <c r="FQ21" s="25"/>
      <c r="FR21" s="27">
        <f>IF(FR20&gt;0,FR22,0)</f>
        <v>0</v>
      </c>
      <c r="FS21" s="31">
        <v>0</v>
      </c>
      <c r="FT21" s="341"/>
      <c r="FU21" s="341"/>
      <c r="FV21" s="341"/>
      <c r="FW21" s="342"/>
      <c r="FY21" s="303" t="s">
        <v>127</v>
      </c>
      <c r="FZ21" s="306"/>
      <c r="GA21" s="310">
        <f>IF(GA20&gt;0,GA22,0)</f>
        <v>0</v>
      </c>
      <c r="GB21" s="316">
        <v>0</v>
      </c>
      <c r="GC21" s="345"/>
      <c r="GD21" s="345"/>
      <c r="GE21" s="345"/>
      <c r="GF21" s="346"/>
      <c r="GH21" s="23" t="s">
        <v>127</v>
      </c>
      <c r="GI21" s="25"/>
      <c r="GJ21" s="27">
        <f>IF(GJ20&gt;0,GJ22,0)</f>
        <v>0</v>
      </c>
      <c r="GK21" s="31">
        <v>0</v>
      </c>
      <c r="GL21" s="341"/>
      <c r="GM21" s="341"/>
      <c r="GN21" s="341"/>
      <c r="GO21" s="342"/>
      <c r="GQ21" s="23" t="s">
        <v>127</v>
      </c>
      <c r="GR21" s="25"/>
      <c r="GS21" s="27">
        <f>IF(GS20&gt;0,GS22,0)</f>
        <v>0</v>
      </c>
      <c r="GT21" s="31">
        <v>0</v>
      </c>
      <c r="GU21" s="341"/>
      <c r="GV21" s="341"/>
      <c r="GW21" s="341"/>
      <c r="GX21" s="342"/>
      <c r="GZ21" s="23" t="s">
        <v>127</v>
      </c>
      <c r="HA21" s="25"/>
      <c r="HB21" s="27">
        <f>IF(HB20&gt;0,HB22,0)</f>
        <v>0</v>
      </c>
      <c r="HC21" s="31">
        <v>0</v>
      </c>
      <c r="HD21" s="341"/>
      <c r="HE21" s="341"/>
      <c r="HF21" s="341"/>
      <c r="HG21" s="342"/>
      <c r="HI21" s="23" t="s">
        <v>127</v>
      </c>
      <c r="HJ21" s="25"/>
      <c r="HK21" s="27">
        <f>IF(HK20&gt;0,HK22,0)</f>
        <v>0</v>
      </c>
      <c r="HL21" s="31">
        <v>0</v>
      </c>
      <c r="HM21" s="341"/>
      <c r="HN21" s="341"/>
      <c r="HO21" s="341"/>
      <c r="HP21" s="342"/>
      <c r="HR21" s="23" t="s">
        <v>127</v>
      </c>
      <c r="HS21" s="25"/>
      <c r="HT21" s="27">
        <f>IF(HT20&gt;0,HT22,0)</f>
        <v>0</v>
      </c>
      <c r="HU21" s="31">
        <v>0</v>
      </c>
      <c r="HV21" s="341"/>
      <c r="HW21" s="341"/>
      <c r="HX21" s="341"/>
      <c r="HY21" s="342"/>
      <c r="IA21" s="23" t="s">
        <v>127</v>
      </c>
      <c r="IB21" s="25"/>
      <c r="IC21" s="27">
        <f>IF(IC20&gt;0,IC22,0)</f>
        <v>0</v>
      </c>
      <c r="ID21" s="31">
        <v>0</v>
      </c>
      <c r="IE21" s="341"/>
      <c r="IF21" s="341"/>
      <c r="IG21" s="341"/>
      <c r="IH21" s="342"/>
      <c r="IJ21" s="23" t="s">
        <v>127</v>
      </c>
      <c r="IK21" s="25"/>
      <c r="IL21" s="27">
        <f>IF(IL20&gt;0,IL22,0)</f>
        <v>0</v>
      </c>
      <c r="IM21" s="31">
        <v>0</v>
      </c>
      <c r="IN21" s="341"/>
      <c r="IO21" s="341"/>
      <c r="IP21" s="341"/>
      <c r="IQ21" s="342"/>
      <c r="IS21" s="23" t="s">
        <v>127</v>
      </c>
      <c r="IT21" s="25"/>
      <c r="IU21" s="27">
        <f>IF(IU20&gt;0,IU22,0)</f>
        <v>0</v>
      </c>
      <c r="IV21" s="31">
        <v>0</v>
      </c>
      <c r="IW21" s="341"/>
      <c r="IX21" s="341"/>
      <c r="IY21" s="341"/>
      <c r="IZ21" s="342"/>
      <c r="JB21" s="23" t="s">
        <v>127</v>
      </c>
      <c r="JC21" s="25"/>
      <c r="JD21" s="27">
        <f>IF(JD20&gt;0,JD22,0)</f>
        <v>0</v>
      </c>
      <c r="JE21" s="31">
        <v>0</v>
      </c>
      <c r="JF21" s="341"/>
      <c r="JG21" s="341"/>
      <c r="JH21" s="341"/>
      <c r="JI21" s="342"/>
      <c r="JK21" s="23" t="s">
        <v>127</v>
      </c>
      <c r="JL21" s="25"/>
      <c r="JM21" s="27">
        <f>IF(JM20&gt;0,JM22,0)</f>
        <v>0</v>
      </c>
      <c r="JN21" s="31">
        <v>0</v>
      </c>
      <c r="JO21" s="341"/>
      <c r="JP21" s="341"/>
      <c r="JQ21" s="341"/>
      <c r="JR21" s="342"/>
      <c r="JT21" s="23" t="s">
        <v>127</v>
      </c>
      <c r="JU21" s="25"/>
      <c r="JV21" s="27">
        <f>IF(JV20&gt;0,JV22,0)</f>
        <v>0</v>
      </c>
      <c r="JW21" s="31">
        <v>0</v>
      </c>
      <c r="JX21" s="341"/>
      <c r="JY21" s="341"/>
      <c r="JZ21" s="341"/>
      <c r="KA21" s="342"/>
      <c r="KC21" s="23" t="s">
        <v>127</v>
      </c>
      <c r="KD21" s="25"/>
      <c r="KE21" s="27">
        <f>IF(KE20&gt;0,KE22,0)</f>
        <v>0</v>
      </c>
      <c r="KF21" s="31">
        <v>0</v>
      </c>
      <c r="KG21" s="341"/>
      <c r="KH21" s="341"/>
      <c r="KI21" s="341"/>
      <c r="KJ21" s="342"/>
    </row>
    <row r="22" spans="1:296" ht="12.75" customHeight="1">
      <c r="A22" s="255" t="s">
        <v>128</v>
      </c>
      <c r="B22" s="258"/>
      <c r="C22" s="262">
        <v>0</v>
      </c>
      <c r="D22" s="272">
        <v>0</v>
      </c>
      <c r="E22" s="258" t="s">
        <v>129</v>
      </c>
      <c r="F22" s="278" t="e">
        <v>#N/A</v>
      </c>
      <c r="G22" s="258"/>
      <c r="H22" s="272"/>
      <c r="J22" s="255" t="s">
        <v>128</v>
      </c>
      <c r="K22" s="258"/>
      <c r="L22" s="262">
        <v>0</v>
      </c>
      <c r="M22" s="272">
        <v>0</v>
      </c>
      <c r="N22" s="258" t="s">
        <v>129</v>
      </c>
      <c r="O22" s="278" t="e">
        <v>#N/A</v>
      </c>
      <c r="P22" s="258"/>
      <c r="Q22" s="272"/>
      <c r="S22" s="255" t="s">
        <v>128</v>
      </c>
      <c r="T22" s="258"/>
      <c r="U22" s="262">
        <v>0</v>
      </c>
      <c r="V22" s="272">
        <v>0</v>
      </c>
      <c r="W22" s="258" t="s">
        <v>129</v>
      </c>
      <c r="X22" s="278" t="e">
        <v>#N/A</v>
      </c>
      <c r="Y22" s="258"/>
      <c r="Z22" s="272"/>
      <c r="AB22" s="255" t="s">
        <v>128</v>
      </c>
      <c r="AC22" s="258"/>
      <c r="AD22" s="262">
        <v>0</v>
      </c>
      <c r="AE22" s="272">
        <v>0</v>
      </c>
      <c r="AF22" s="258" t="s">
        <v>129</v>
      </c>
      <c r="AG22" s="278" t="e">
        <v>#N/A</v>
      </c>
      <c r="AH22" s="258"/>
      <c r="AI22" s="272"/>
      <c r="AK22" s="255" t="s">
        <v>128</v>
      </c>
      <c r="AL22" s="258"/>
      <c r="AM22" s="262">
        <v>0</v>
      </c>
      <c r="AN22" s="272">
        <v>0</v>
      </c>
      <c r="AO22" s="258" t="s">
        <v>129</v>
      </c>
      <c r="AP22" s="278" t="e">
        <v>#N/A</v>
      </c>
      <c r="AQ22" s="258"/>
      <c r="AR22" s="272"/>
      <c r="AT22" s="255" t="s">
        <v>128</v>
      </c>
      <c r="AU22" s="258"/>
      <c r="AV22" s="262">
        <v>0</v>
      </c>
      <c r="AW22" s="272">
        <v>0</v>
      </c>
      <c r="AX22" s="258" t="s">
        <v>129</v>
      </c>
      <c r="AY22" s="278" t="e">
        <v>#N/A</v>
      </c>
      <c r="AZ22" s="258"/>
      <c r="BA22" s="272"/>
      <c r="BC22" s="255" t="s">
        <v>128</v>
      </c>
      <c r="BD22" s="258"/>
      <c r="BE22" s="262">
        <v>0</v>
      </c>
      <c r="BF22" s="272">
        <v>0</v>
      </c>
      <c r="BG22" s="258" t="s">
        <v>129</v>
      </c>
      <c r="BH22" s="278" t="e">
        <v>#N/A</v>
      </c>
      <c r="BI22" s="258"/>
      <c r="BJ22" s="272"/>
      <c r="BL22" s="255" t="s">
        <v>128</v>
      </c>
      <c r="BM22" s="258"/>
      <c r="BN22" s="262">
        <v>0</v>
      </c>
      <c r="BO22" s="272">
        <v>0</v>
      </c>
      <c r="BP22" s="258" t="s">
        <v>129</v>
      </c>
      <c r="BQ22" s="278" t="e">
        <v>#N/A</v>
      </c>
      <c r="BR22" s="258"/>
      <c r="BS22" s="272"/>
      <c r="BU22" s="23" t="s">
        <v>128</v>
      </c>
      <c r="BV22" s="25"/>
      <c r="BW22" s="27">
        <v>0</v>
      </c>
      <c r="BX22" s="31">
        <v>0</v>
      </c>
      <c r="BY22" s="25" t="s">
        <v>129</v>
      </c>
      <c r="BZ22" s="36">
        <f>VLOOKUP(BV$4,'Payroll Register'!$A$5:$AS$29,23,FALSE)</f>
        <v>0</v>
      </c>
      <c r="CA22" s="25" t="s">
        <v>20</v>
      </c>
      <c r="CB22" s="31">
        <f>'Payroll Register'!AH8+'Payroll Register'!AG8</f>
        <v>1845.8</v>
      </c>
      <c r="CD22" s="23" t="s">
        <v>128</v>
      </c>
      <c r="CE22" s="25"/>
      <c r="CF22" s="27">
        <v>0</v>
      </c>
      <c r="CG22" s="31">
        <v>0</v>
      </c>
      <c r="CH22" s="25" t="s">
        <v>129</v>
      </c>
      <c r="CI22" s="36" t="e">
        <f>VLOOKUP(CE$4,'Payroll Register'!$A$5:$AS$29,23,FALSE)</f>
        <v>#N/A</v>
      </c>
      <c r="CJ22" s="25"/>
      <c r="CK22" s="31"/>
      <c r="CM22" s="255" t="s">
        <v>128</v>
      </c>
      <c r="CN22" s="258"/>
      <c r="CO22" s="262">
        <v>0</v>
      </c>
      <c r="CP22" s="272">
        <v>0</v>
      </c>
      <c r="CQ22" s="258" t="s">
        <v>129</v>
      </c>
      <c r="CR22" s="278" t="e">
        <v>#N/A</v>
      </c>
      <c r="CS22" s="258"/>
      <c r="CT22" s="272"/>
      <c r="CV22" s="23" t="s">
        <v>128</v>
      </c>
      <c r="CW22" s="25"/>
      <c r="CX22" s="27">
        <v>0</v>
      </c>
      <c r="CY22" s="31">
        <v>0</v>
      </c>
      <c r="CZ22" s="25" t="s">
        <v>129</v>
      </c>
      <c r="DA22" s="36">
        <f>VLOOKUP(CW$4,'Payroll Register'!$A$5:$AS$29,23,FALSE)</f>
        <v>0</v>
      </c>
      <c r="DB22" s="25" t="s">
        <v>20</v>
      </c>
      <c r="DC22" s="31">
        <f>'Payroll Register'!AH9+'Payroll Register'!AG9</f>
        <v>922.9</v>
      </c>
      <c r="DE22" s="303" t="s">
        <v>128</v>
      </c>
      <c r="DF22" s="306"/>
      <c r="DG22" s="310">
        <v>0</v>
      </c>
      <c r="DH22" s="316">
        <v>0</v>
      </c>
      <c r="DI22" s="306" t="s">
        <v>129</v>
      </c>
      <c r="DJ22" s="322" t="e">
        <v>#N/A</v>
      </c>
      <c r="DK22" s="306" t="s">
        <v>130</v>
      </c>
      <c r="DL22" s="316" t="e">
        <v>#REF!</v>
      </c>
      <c r="DN22" s="23" t="s">
        <v>128</v>
      </c>
      <c r="DO22" s="25"/>
      <c r="DP22" s="27">
        <v>0</v>
      </c>
      <c r="DQ22" s="31">
        <v>0</v>
      </c>
      <c r="DR22" s="25" t="s">
        <v>129</v>
      </c>
      <c r="DS22" s="36">
        <f>VLOOKUP(DO$4,'Payroll Register'!$A$5:$AS$29,23,FALSE)</f>
        <v>0</v>
      </c>
      <c r="DT22" s="25" t="s">
        <v>20</v>
      </c>
      <c r="DU22" s="31">
        <f>'Payroll Register'!AG10+'Payroll Register'!AH10</f>
        <v>922.9</v>
      </c>
      <c r="DW22" s="23" t="s">
        <v>128</v>
      </c>
      <c r="DX22" s="25"/>
      <c r="DY22" s="27">
        <v>0</v>
      </c>
      <c r="DZ22" s="31">
        <v>0</v>
      </c>
      <c r="EA22" s="25" t="s">
        <v>129</v>
      </c>
      <c r="EB22" s="36">
        <f>VLOOKUP(DX$4,'Payroll Register'!$A$5:$AS$29,23,FALSE)</f>
        <v>0</v>
      </c>
      <c r="EC22" s="25"/>
      <c r="ED22" s="31"/>
      <c r="EF22" s="23" t="s">
        <v>128</v>
      </c>
      <c r="EG22" s="25"/>
      <c r="EH22" s="27">
        <v>0</v>
      </c>
      <c r="EI22" s="31">
        <v>0</v>
      </c>
      <c r="EJ22" s="25" t="s">
        <v>129</v>
      </c>
      <c r="EK22" s="36">
        <f>VLOOKUP(EG$4,'Payroll Register'!$A$5:$AS$29,23,FALSE)</f>
        <v>0</v>
      </c>
      <c r="EL22" s="25" t="s">
        <v>21</v>
      </c>
      <c r="EM22" s="31">
        <f>'Payroll Register'!AJ12</f>
        <v>41395.83</v>
      </c>
      <c r="EO22" s="23" t="s">
        <v>128</v>
      </c>
      <c r="EP22" s="25"/>
      <c r="EQ22" s="27">
        <v>0</v>
      </c>
      <c r="ER22" s="31">
        <v>0</v>
      </c>
      <c r="ES22" s="25" t="s">
        <v>129</v>
      </c>
      <c r="ET22" s="36">
        <f>VLOOKUP(EP$4,'Payroll Register'!$A$5:$AS$29,23,FALSE)</f>
        <v>0</v>
      </c>
      <c r="EU22" s="25"/>
      <c r="EV22" s="31"/>
      <c r="EX22" s="23" t="s">
        <v>128</v>
      </c>
      <c r="EY22" s="25"/>
      <c r="EZ22" s="27">
        <v>0</v>
      </c>
      <c r="FA22" s="31">
        <v>0</v>
      </c>
      <c r="FB22" s="25" t="s">
        <v>129</v>
      </c>
      <c r="FC22" s="36">
        <f>VLOOKUP(EY$4,'Payroll Register'!$A$5:$AS$29,23,FALSE)</f>
        <v>0</v>
      </c>
      <c r="FD22" s="25" t="s">
        <v>20</v>
      </c>
      <c r="FE22" s="31">
        <f>'Payroll Register'!AG14</f>
        <v>0</v>
      </c>
      <c r="FG22" s="23" t="s">
        <v>128</v>
      </c>
      <c r="FH22" s="25"/>
      <c r="FI22" s="27">
        <v>0</v>
      </c>
      <c r="FJ22" s="31">
        <v>0</v>
      </c>
      <c r="FK22" s="25" t="s">
        <v>129</v>
      </c>
      <c r="FL22" s="36">
        <f>VLOOKUP(FH$4,'Payroll Register'!$A$5:$AS$29,23,FALSE)</f>
        <v>0</v>
      </c>
      <c r="FM22" s="25"/>
      <c r="FN22" s="31"/>
      <c r="FP22" s="23" t="s">
        <v>128</v>
      </c>
      <c r="FQ22" s="25"/>
      <c r="FR22" s="27">
        <v>0</v>
      </c>
      <c r="FS22" s="31">
        <v>0</v>
      </c>
      <c r="FT22" s="25" t="s">
        <v>129</v>
      </c>
      <c r="FU22" s="36">
        <f>VLOOKUP(FQ$4,'Payroll Register'!$A$5:$AS$29,23,FALSE)</f>
        <v>0</v>
      </c>
      <c r="FV22" s="25"/>
      <c r="FW22" s="31"/>
      <c r="FY22" s="303" t="s">
        <v>128</v>
      </c>
      <c r="FZ22" s="306"/>
      <c r="GA22" s="310">
        <v>0</v>
      </c>
      <c r="GB22" s="316">
        <v>0</v>
      </c>
      <c r="GC22" s="306" t="s">
        <v>129</v>
      </c>
      <c r="GD22" s="322" t="e">
        <v>#N/A</v>
      </c>
      <c r="GE22" s="306"/>
      <c r="GF22" s="316"/>
      <c r="GH22" s="23" t="s">
        <v>128</v>
      </c>
      <c r="GI22" s="25"/>
      <c r="GJ22" s="27">
        <v>0</v>
      </c>
      <c r="GK22" s="31">
        <v>0</v>
      </c>
      <c r="GL22" s="25" t="s">
        <v>129</v>
      </c>
      <c r="GM22" s="36">
        <f>VLOOKUP(GI$4,'Payroll Register'!$A$5:$AS$29,23,FALSE)</f>
        <v>0</v>
      </c>
      <c r="GN22" s="25"/>
      <c r="GO22" s="31"/>
      <c r="GQ22" s="23" t="s">
        <v>128</v>
      </c>
      <c r="GR22" s="25"/>
      <c r="GS22" s="27">
        <v>0</v>
      </c>
      <c r="GT22" s="31">
        <v>0</v>
      </c>
      <c r="GU22" s="25" t="s">
        <v>129</v>
      </c>
      <c r="GV22" s="36">
        <f>VLOOKUP(GR$4,'Payroll Register'!$A$5:$AS$29,23,FALSE)</f>
        <v>0</v>
      </c>
      <c r="GW22" s="25"/>
      <c r="GX22" s="31"/>
      <c r="GZ22" s="23" t="s">
        <v>128</v>
      </c>
      <c r="HA22" s="25"/>
      <c r="HB22" s="27">
        <v>0</v>
      </c>
      <c r="HC22" s="31">
        <v>0</v>
      </c>
      <c r="HD22" s="25" t="s">
        <v>129</v>
      </c>
      <c r="HE22" s="36">
        <f>VLOOKUP(HA$4,'Payroll Register'!$A$5:$AS$29,23,FALSE)</f>
        <v>0</v>
      </c>
      <c r="HF22" s="25"/>
      <c r="HG22" s="31"/>
      <c r="HI22" s="23" t="s">
        <v>128</v>
      </c>
      <c r="HJ22" s="25"/>
      <c r="HK22" s="27">
        <v>0</v>
      </c>
      <c r="HL22" s="31">
        <v>0</v>
      </c>
      <c r="HM22" s="25" t="s">
        <v>129</v>
      </c>
      <c r="HN22" s="36">
        <f>VLOOKUP(HJ$4,'Payroll Register'!$A$5:$AS$29,23,FALSE)</f>
        <v>0</v>
      </c>
      <c r="HO22" s="25"/>
      <c r="HP22" s="31"/>
      <c r="HR22" s="23" t="s">
        <v>128</v>
      </c>
      <c r="HS22" s="25"/>
      <c r="HT22" s="27">
        <v>0</v>
      </c>
      <c r="HU22" s="31">
        <v>0</v>
      </c>
      <c r="HV22" s="25" t="s">
        <v>129</v>
      </c>
      <c r="HW22" s="36">
        <f>VLOOKUP(HS$4,'Payroll Register'!$A$5:$AS$29,23,FALSE)</f>
        <v>0</v>
      </c>
      <c r="HX22" s="25" t="s">
        <v>20</v>
      </c>
      <c r="HY22" s="31">
        <f>'Payroll Register'!AG21+'Payroll Register'!AH21</f>
        <v>697.88</v>
      </c>
      <c r="IA22" s="23" t="s">
        <v>128</v>
      </c>
      <c r="IB22" s="25"/>
      <c r="IC22" s="27">
        <v>0</v>
      </c>
      <c r="ID22" s="31">
        <v>0</v>
      </c>
      <c r="IE22" s="25" t="s">
        <v>129</v>
      </c>
      <c r="IF22" s="36">
        <f>VLOOKUP(IB$4,'Payroll Register'!$A$5:$AS$29,23,FALSE)</f>
        <v>0</v>
      </c>
      <c r="IG22" s="25"/>
      <c r="IH22" s="31"/>
      <c r="IJ22" s="23" t="s">
        <v>128</v>
      </c>
      <c r="IK22" s="25"/>
      <c r="IL22" s="27">
        <v>0</v>
      </c>
      <c r="IM22" s="31">
        <v>0</v>
      </c>
      <c r="IN22" s="25" t="s">
        <v>129</v>
      </c>
      <c r="IO22" s="36">
        <f>VLOOKUP(IK$4,'Payroll Register'!$A$5:$AS$29,23,FALSE)</f>
        <v>0</v>
      </c>
      <c r="IP22" s="25" t="s">
        <v>20</v>
      </c>
      <c r="IQ22" s="31">
        <f>'Payroll Register'!AG23+'Payroll Register'!AH23</f>
        <v>1845.8</v>
      </c>
      <c r="IS22" s="23" t="s">
        <v>128</v>
      </c>
      <c r="IT22" s="25"/>
      <c r="IU22" s="27">
        <v>0</v>
      </c>
      <c r="IV22" s="31">
        <v>0</v>
      </c>
      <c r="IW22" s="25" t="s">
        <v>129</v>
      </c>
      <c r="IX22" s="36">
        <f>VLOOKUP(IT$4,'Payroll Register'!$A$5:$AS$29,23,FALSE)</f>
        <v>0</v>
      </c>
      <c r="IY22" s="25"/>
      <c r="IZ22" s="31"/>
      <c r="JB22" s="23" t="s">
        <v>128</v>
      </c>
      <c r="JC22" s="25"/>
      <c r="JD22" s="27">
        <v>0</v>
      </c>
      <c r="JE22" s="31">
        <v>0</v>
      </c>
      <c r="JF22" s="25" t="s">
        <v>129</v>
      </c>
      <c r="JG22" s="36">
        <f>VLOOKUP(JC$4,'Payroll Register'!$A$5:$AS$29,23,FALSE)</f>
        <v>0</v>
      </c>
      <c r="JH22" s="25"/>
      <c r="JI22" s="31"/>
      <c r="JK22" s="23" t="s">
        <v>128</v>
      </c>
      <c r="JL22" s="25"/>
      <c r="JM22" s="27">
        <v>0</v>
      </c>
      <c r="JN22" s="31">
        <v>0</v>
      </c>
      <c r="JO22" s="25" t="s">
        <v>129</v>
      </c>
      <c r="JP22" s="36">
        <f>VLOOKUP(JL$4,'Payroll Register'!$A$5:$AS$29,23,FALSE)</f>
        <v>0</v>
      </c>
      <c r="JQ22" s="25" t="s">
        <v>20</v>
      </c>
      <c r="JR22" s="31">
        <f>'Payroll Register'!AG26+'Payroll Register'!AH26</f>
        <v>1809.09</v>
      </c>
      <c r="JT22" s="23" t="s">
        <v>128</v>
      </c>
      <c r="JU22" s="25"/>
      <c r="JV22" s="27">
        <v>0</v>
      </c>
      <c r="JW22" s="31">
        <v>0</v>
      </c>
      <c r="JX22" s="25" t="s">
        <v>129</v>
      </c>
      <c r="JY22" s="36">
        <f>VLOOKUP(JU$4,'Payroll Register'!$A$5:$AS$29,23,FALSE)</f>
        <v>0</v>
      </c>
      <c r="JZ22" s="25"/>
      <c r="KA22" s="31"/>
      <c r="KC22" s="23" t="s">
        <v>128</v>
      </c>
      <c r="KD22" s="25"/>
      <c r="KE22" s="27">
        <v>0</v>
      </c>
      <c r="KF22" s="31">
        <v>0</v>
      </c>
      <c r="KG22" s="25" t="s">
        <v>129</v>
      </c>
      <c r="KH22" s="36">
        <f>VLOOKUP(KD$4,'Payroll Register'!$A$5:$AS$29,23,FALSE)</f>
        <v>0</v>
      </c>
      <c r="KI22" s="25"/>
      <c r="KJ22" s="31"/>
    </row>
    <row r="23" spans="1:296" ht="12.75" customHeight="1">
      <c r="A23" s="255" t="s">
        <v>131</v>
      </c>
      <c r="B23" s="258"/>
      <c r="C23" s="262">
        <v>0</v>
      </c>
      <c r="D23" s="272">
        <v>0</v>
      </c>
      <c r="E23" s="258" t="s">
        <v>132</v>
      </c>
      <c r="F23" s="278" t="e">
        <v>#N/A</v>
      </c>
      <c r="G23" s="258"/>
      <c r="H23" s="279"/>
      <c r="J23" s="255" t="s">
        <v>131</v>
      </c>
      <c r="K23" s="258"/>
      <c r="L23" s="262">
        <v>0</v>
      </c>
      <c r="M23" s="272">
        <v>0</v>
      </c>
      <c r="N23" s="258" t="s">
        <v>132</v>
      </c>
      <c r="O23" s="278" t="e">
        <v>#N/A</v>
      </c>
      <c r="P23" s="258"/>
      <c r="Q23" s="279"/>
      <c r="S23" s="255" t="s">
        <v>131</v>
      </c>
      <c r="T23" s="258"/>
      <c r="U23" s="262">
        <v>0</v>
      </c>
      <c r="V23" s="272">
        <v>0</v>
      </c>
      <c r="W23" s="258" t="s">
        <v>132</v>
      </c>
      <c r="X23" s="278" t="e">
        <v>#N/A</v>
      </c>
      <c r="Y23" s="258"/>
      <c r="Z23" s="279"/>
      <c r="AB23" s="255" t="s">
        <v>131</v>
      </c>
      <c r="AC23" s="258"/>
      <c r="AD23" s="262">
        <v>0</v>
      </c>
      <c r="AE23" s="272">
        <v>0</v>
      </c>
      <c r="AF23" s="258" t="s">
        <v>132</v>
      </c>
      <c r="AG23" s="278" t="e">
        <v>#N/A</v>
      </c>
      <c r="AH23" s="258"/>
      <c r="AI23" s="279"/>
      <c r="AK23" s="255" t="s">
        <v>131</v>
      </c>
      <c r="AL23" s="258"/>
      <c r="AM23" s="262">
        <v>0</v>
      </c>
      <c r="AN23" s="272">
        <v>0</v>
      </c>
      <c r="AO23" s="258" t="s">
        <v>132</v>
      </c>
      <c r="AP23" s="278" t="e">
        <v>#N/A</v>
      </c>
      <c r="AQ23" s="258"/>
      <c r="AR23" s="279"/>
      <c r="AT23" s="255" t="s">
        <v>131</v>
      </c>
      <c r="AU23" s="258"/>
      <c r="AV23" s="262">
        <v>0</v>
      </c>
      <c r="AW23" s="272">
        <v>0</v>
      </c>
      <c r="AX23" s="258" t="s">
        <v>132</v>
      </c>
      <c r="AY23" s="278" t="e">
        <v>#N/A</v>
      </c>
      <c r="AZ23" s="258"/>
      <c r="BA23" s="279"/>
      <c r="BC23" s="255" t="s">
        <v>131</v>
      </c>
      <c r="BD23" s="258"/>
      <c r="BE23" s="262">
        <v>0</v>
      </c>
      <c r="BF23" s="272">
        <v>0</v>
      </c>
      <c r="BG23" s="258" t="s">
        <v>132</v>
      </c>
      <c r="BH23" s="278" t="e">
        <v>#N/A</v>
      </c>
      <c r="BI23" s="258"/>
      <c r="BJ23" s="279"/>
      <c r="BL23" s="255" t="s">
        <v>131</v>
      </c>
      <c r="BM23" s="258"/>
      <c r="BN23" s="262">
        <v>0</v>
      </c>
      <c r="BO23" s="272">
        <v>0</v>
      </c>
      <c r="BP23" s="258" t="s">
        <v>132</v>
      </c>
      <c r="BQ23" s="278" t="e">
        <v>#N/A</v>
      </c>
      <c r="BR23" s="258"/>
      <c r="BS23" s="279"/>
      <c r="BU23" s="23" t="s">
        <v>131</v>
      </c>
      <c r="BV23" s="25"/>
      <c r="BW23" s="27">
        <v>0</v>
      </c>
      <c r="BX23" s="31">
        <v>0</v>
      </c>
      <c r="BY23" s="25" t="s">
        <v>132</v>
      </c>
      <c r="BZ23" s="36">
        <f>VLOOKUP(BV$4,'Payroll Register'!$A$5:$AS$29,24,FALSE)</f>
        <v>0</v>
      </c>
      <c r="CA23" s="25"/>
      <c r="CB23" s="150"/>
      <c r="CD23" s="23" t="s">
        <v>131</v>
      </c>
      <c r="CE23" s="25"/>
      <c r="CF23" s="27">
        <v>0</v>
      </c>
      <c r="CG23" s="31">
        <v>0</v>
      </c>
      <c r="CH23" s="25" t="s">
        <v>132</v>
      </c>
      <c r="CI23" s="36" t="e">
        <f>VLOOKUP(CE$4,'Payroll Register'!$A$5:$AS$29,24,FALSE)</f>
        <v>#N/A</v>
      </c>
      <c r="CJ23" s="25"/>
      <c r="CK23" s="150"/>
      <c r="CM23" s="255" t="s">
        <v>131</v>
      </c>
      <c r="CN23" s="258"/>
      <c r="CO23" s="262">
        <v>0</v>
      </c>
      <c r="CP23" s="272">
        <v>0</v>
      </c>
      <c r="CQ23" s="258" t="s">
        <v>132</v>
      </c>
      <c r="CR23" s="278" t="e">
        <v>#N/A</v>
      </c>
      <c r="CS23" s="258"/>
      <c r="CT23" s="279"/>
      <c r="CV23" s="23" t="s">
        <v>131</v>
      </c>
      <c r="CW23" s="25"/>
      <c r="CX23" s="27">
        <v>0</v>
      </c>
      <c r="CY23" s="31">
        <v>0</v>
      </c>
      <c r="CZ23" s="25" t="s">
        <v>132</v>
      </c>
      <c r="DA23" s="36">
        <f>VLOOKUP(CW$4,'Payroll Register'!$A$5:$AS$29,24,FALSE)</f>
        <v>0</v>
      </c>
      <c r="DB23" s="25"/>
      <c r="DC23" s="150"/>
      <c r="DE23" s="303" t="s">
        <v>131</v>
      </c>
      <c r="DF23" s="306"/>
      <c r="DG23" s="310">
        <v>0</v>
      </c>
      <c r="DH23" s="316">
        <v>0</v>
      </c>
      <c r="DI23" s="306" t="s">
        <v>132</v>
      </c>
      <c r="DJ23" s="322" t="e">
        <v>#N/A</v>
      </c>
      <c r="DK23" s="306"/>
      <c r="DL23" s="312"/>
      <c r="DN23" s="23" t="s">
        <v>131</v>
      </c>
      <c r="DO23" s="25"/>
      <c r="DP23" s="27">
        <v>0</v>
      </c>
      <c r="DQ23" s="31">
        <v>0</v>
      </c>
      <c r="DR23" s="25" t="s">
        <v>132</v>
      </c>
      <c r="DS23" s="36">
        <f>VLOOKUP(DO$4,'Payroll Register'!$A$5:$AS$29,24,FALSE)</f>
        <v>0</v>
      </c>
      <c r="DT23" s="25"/>
      <c r="DU23" s="150"/>
      <c r="DW23" s="23" t="s">
        <v>131</v>
      </c>
      <c r="DX23" s="25"/>
      <c r="DY23" s="27">
        <v>0</v>
      </c>
      <c r="DZ23" s="31">
        <v>0</v>
      </c>
      <c r="EA23" s="25" t="s">
        <v>132</v>
      </c>
      <c r="EB23" s="36">
        <f>VLOOKUP(DX$4,'Payroll Register'!$A$5:$AS$29,24,FALSE)</f>
        <v>0</v>
      </c>
      <c r="EC23" s="25"/>
      <c r="ED23" s="150"/>
      <c r="EF23" s="23" t="s">
        <v>131</v>
      </c>
      <c r="EG23" s="25"/>
      <c r="EH23" s="27">
        <v>0</v>
      </c>
      <c r="EI23" s="31">
        <v>0</v>
      </c>
      <c r="EJ23" s="25" t="s">
        <v>132</v>
      </c>
      <c r="EK23" s="36">
        <f>VLOOKUP(EG$4,'Payroll Register'!$A$5:$AS$29,24,FALSE)</f>
        <v>0</v>
      </c>
      <c r="EL23" s="25"/>
      <c r="EM23" s="150"/>
      <c r="EO23" s="23" t="s">
        <v>131</v>
      </c>
      <c r="EP23" s="25"/>
      <c r="EQ23" s="27">
        <v>0</v>
      </c>
      <c r="ER23" s="31">
        <v>0</v>
      </c>
      <c r="ES23" s="25" t="s">
        <v>132</v>
      </c>
      <c r="ET23" s="36">
        <f>VLOOKUP(EP$4,'Payroll Register'!$A$5:$AS$29,24,FALSE)</f>
        <v>0</v>
      </c>
      <c r="EU23" s="25"/>
      <c r="EV23" s="150"/>
      <c r="EX23" s="23" t="s">
        <v>131</v>
      </c>
      <c r="EY23" s="25"/>
      <c r="EZ23" s="27">
        <v>0</v>
      </c>
      <c r="FA23" s="31">
        <v>0</v>
      </c>
      <c r="FB23" s="25" t="s">
        <v>132</v>
      </c>
      <c r="FC23" s="36">
        <f>VLOOKUP(EY$4,'Payroll Register'!$A$5:$AS$29,24,FALSE)</f>
        <v>0</v>
      </c>
      <c r="FD23" s="25"/>
      <c r="FE23" s="150"/>
      <c r="FG23" s="23" t="s">
        <v>131</v>
      </c>
      <c r="FH23" s="25"/>
      <c r="FI23" s="27">
        <v>0</v>
      </c>
      <c r="FJ23" s="31">
        <v>0</v>
      </c>
      <c r="FK23" s="25" t="s">
        <v>132</v>
      </c>
      <c r="FL23" s="36">
        <f>VLOOKUP(FH$4,'Payroll Register'!$A$5:$AS$29,24,FALSE)</f>
        <v>0</v>
      </c>
      <c r="FM23" s="25"/>
      <c r="FN23" s="150"/>
      <c r="FP23" s="23" t="s">
        <v>131</v>
      </c>
      <c r="FQ23" s="25"/>
      <c r="FR23" s="27">
        <v>0</v>
      </c>
      <c r="FS23" s="31">
        <v>0</v>
      </c>
      <c r="FT23" s="25" t="s">
        <v>132</v>
      </c>
      <c r="FU23" s="36">
        <f>VLOOKUP(FQ$4,'Payroll Register'!$A$5:$AS$29,24,FALSE)</f>
        <v>0</v>
      </c>
      <c r="FV23" s="25"/>
      <c r="FW23" s="150"/>
      <c r="FY23" s="303" t="s">
        <v>131</v>
      </c>
      <c r="FZ23" s="306"/>
      <c r="GA23" s="310">
        <v>0</v>
      </c>
      <c r="GB23" s="316">
        <v>0</v>
      </c>
      <c r="GC23" s="306" t="s">
        <v>132</v>
      </c>
      <c r="GD23" s="322" t="e">
        <v>#N/A</v>
      </c>
      <c r="GE23" s="306"/>
      <c r="GF23" s="312"/>
      <c r="GH23" s="23" t="s">
        <v>131</v>
      </c>
      <c r="GI23" s="25"/>
      <c r="GJ23" s="27">
        <v>0</v>
      </c>
      <c r="GK23" s="31">
        <v>0</v>
      </c>
      <c r="GL23" s="25" t="s">
        <v>132</v>
      </c>
      <c r="GM23" s="36">
        <f>VLOOKUP(GI$4,'Payroll Register'!$A$5:$AS$29,24,FALSE)</f>
        <v>0</v>
      </c>
      <c r="GN23" s="25"/>
      <c r="GO23" s="150"/>
      <c r="GQ23" s="23" t="s">
        <v>131</v>
      </c>
      <c r="GR23" s="25"/>
      <c r="GS23" s="27">
        <v>0</v>
      </c>
      <c r="GT23" s="31">
        <v>0</v>
      </c>
      <c r="GU23" s="25" t="s">
        <v>132</v>
      </c>
      <c r="GV23" s="36">
        <f>VLOOKUP(GR$4,'Payroll Register'!$A$5:$AS$29,24,FALSE)</f>
        <v>0</v>
      </c>
      <c r="GW23" s="25"/>
      <c r="GX23" s="150"/>
      <c r="GZ23" s="23" t="s">
        <v>131</v>
      </c>
      <c r="HA23" s="25"/>
      <c r="HB23" s="27">
        <v>0</v>
      </c>
      <c r="HC23" s="31">
        <v>0</v>
      </c>
      <c r="HD23" s="25" t="s">
        <v>132</v>
      </c>
      <c r="HE23" s="36">
        <f>VLOOKUP(HA$4,'Payroll Register'!$A$5:$AS$29,24,FALSE)</f>
        <v>0</v>
      </c>
      <c r="HF23" s="25"/>
      <c r="HG23" s="150"/>
      <c r="HI23" s="23" t="s">
        <v>131</v>
      </c>
      <c r="HJ23" s="25"/>
      <c r="HK23" s="27">
        <v>0</v>
      </c>
      <c r="HL23" s="31">
        <v>0</v>
      </c>
      <c r="HM23" s="25" t="s">
        <v>132</v>
      </c>
      <c r="HN23" s="36">
        <f>VLOOKUP(HJ$4,'Payroll Register'!$A$5:$AS$29,24,FALSE)</f>
        <v>0</v>
      </c>
      <c r="HO23" s="25"/>
      <c r="HP23" s="150"/>
      <c r="HR23" s="23" t="s">
        <v>131</v>
      </c>
      <c r="HS23" s="25"/>
      <c r="HT23" s="27">
        <v>0</v>
      </c>
      <c r="HU23" s="31">
        <v>0</v>
      </c>
      <c r="HV23" s="25" t="s">
        <v>132</v>
      </c>
      <c r="HW23" s="36">
        <f>VLOOKUP(HS$4,'Payroll Register'!$A$5:$AS$29,24,FALSE)</f>
        <v>0</v>
      </c>
      <c r="HX23" s="25"/>
      <c r="HY23" s="150"/>
      <c r="IA23" s="23" t="s">
        <v>131</v>
      </c>
      <c r="IB23" s="25"/>
      <c r="IC23" s="27">
        <v>0</v>
      </c>
      <c r="ID23" s="31">
        <v>0</v>
      </c>
      <c r="IE23" s="25" t="s">
        <v>132</v>
      </c>
      <c r="IF23" s="36">
        <f>VLOOKUP(IB$4,'Payroll Register'!$A$5:$AS$29,24,FALSE)</f>
        <v>0</v>
      </c>
      <c r="IG23" s="25"/>
      <c r="IH23" s="150"/>
      <c r="IJ23" s="23" t="s">
        <v>131</v>
      </c>
      <c r="IK23" s="25"/>
      <c r="IL23" s="27">
        <v>0</v>
      </c>
      <c r="IM23" s="31">
        <v>0</v>
      </c>
      <c r="IN23" s="25" t="s">
        <v>132</v>
      </c>
      <c r="IO23" s="36">
        <f>VLOOKUP(IK$4,'Payroll Register'!$A$5:$AS$29,24,FALSE)</f>
        <v>0</v>
      </c>
      <c r="IP23" s="25" t="s">
        <v>133</v>
      </c>
      <c r="IQ23" s="150">
        <f>-'Payroll Register'!AK23</f>
        <v>9750.9511877396144</v>
      </c>
      <c r="IS23" s="23" t="s">
        <v>131</v>
      </c>
      <c r="IT23" s="25"/>
      <c r="IU23" s="27">
        <v>0</v>
      </c>
      <c r="IV23" s="31">
        <v>0</v>
      </c>
      <c r="IW23" s="25" t="s">
        <v>132</v>
      </c>
      <c r="IX23" s="36">
        <f>VLOOKUP(IT$4,'Payroll Register'!$A$5:$AS$29,24,FALSE)</f>
        <v>0</v>
      </c>
      <c r="IY23" s="25"/>
      <c r="IZ23" s="150"/>
      <c r="JB23" s="23" t="s">
        <v>131</v>
      </c>
      <c r="JC23" s="25"/>
      <c r="JD23" s="27">
        <v>0</v>
      </c>
      <c r="JE23" s="31">
        <v>0</v>
      </c>
      <c r="JF23" s="25" t="s">
        <v>132</v>
      </c>
      <c r="JG23" s="36">
        <f>VLOOKUP(JC$4,'Payroll Register'!$A$5:$AS$29,24,FALSE)</f>
        <v>0</v>
      </c>
      <c r="JH23" s="25"/>
      <c r="JI23" s="150"/>
      <c r="JK23" s="23" t="s">
        <v>131</v>
      </c>
      <c r="JL23" s="25"/>
      <c r="JM23" s="27">
        <v>0</v>
      </c>
      <c r="JN23" s="31">
        <v>0</v>
      </c>
      <c r="JO23" s="25" t="s">
        <v>132</v>
      </c>
      <c r="JP23" s="36">
        <f>VLOOKUP(JL$4,'Payroll Register'!$A$5:$AS$29,24,FALSE)</f>
        <v>0</v>
      </c>
      <c r="JQ23" s="25"/>
      <c r="JR23" s="150"/>
      <c r="JT23" s="23" t="s">
        <v>131</v>
      </c>
      <c r="JU23" s="25"/>
      <c r="JV23" s="27">
        <v>0</v>
      </c>
      <c r="JW23" s="31">
        <v>0</v>
      </c>
      <c r="JX23" s="25" t="s">
        <v>132</v>
      </c>
      <c r="JY23" s="36">
        <f>VLOOKUP(JU$4,'Payroll Register'!$A$5:$AS$29,24,FALSE)</f>
        <v>0</v>
      </c>
      <c r="JZ23" s="25"/>
      <c r="KA23" s="150"/>
      <c r="KC23" s="23" t="s">
        <v>131</v>
      </c>
      <c r="KD23" s="25"/>
      <c r="KE23" s="27">
        <v>0</v>
      </c>
      <c r="KF23" s="31">
        <v>0</v>
      </c>
      <c r="KG23" s="25" t="s">
        <v>132</v>
      </c>
      <c r="KH23" s="36">
        <f>VLOOKUP(KD$4,'Payroll Register'!$A$5:$AS$29,24,FALSE)</f>
        <v>0</v>
      </c>
      <c r="KI23" s="25"/>
      <c r="KJ23" s="150"/>
    </row>
    <row r="24" spans="1:296" ht="12.75" customHeight="1">
      <c r="A24" s="255" t="s">
        <v>134</v>
      </c>
      <c r="B24" s="258"/>
      <c r="C24" s="262">
        <f>IF(C23&gt;0,C25,0)</f>
        <v>0</v>
      </c>
      <c r="D24" s="272">
        <v>0</v>
      </c>
      <c r="E24" s="258" t="s">
        <v>46</v>
      </c>
      <c r="F24" s="278" t="e">
        <v>#N/A</v>
      </c>
      <c r="G24" s="258"/>
      <c r="H24" s="279"/>
      <c r="J24" s="255" t="s">
        <v>134</v>
      </c>
      <c r="K24" s="258"/>
      <c r="L24" s="262">
        <f>IF(L23&gt;0,L25,0)</f>
        <v>0</v>
      </c>
      <c r="M24" s="272">
        <v>0</v>
      </c>
      <c r="N24" s="258" t="s">
        <v>46</v>
      </c>
      <c r="O24" s="278" t="e">
        <v>#N/A</v>
      </c>
      <c r="P24" s="258"/>
      <c r="Q24" s="279"/>
      <c r="S24" s="255" t="s">
        <v>134</v>
      </c>
      <c r="T24" s="258"/>
      <c r="U24" s="262">
        <f>IF(U23&gt;0,U25,0)</f>
        <v>0</v>
      </c>
      <c r="V24" s="272">
        <v>0</v>
      </c>
      <c r="W24" s="258" t="s">
        <v>46</v>
      </c>
      <c r="X24" s="278" t="e">
        <v>#N/A</v>
      </c>
      <c r="Y24" s="258"/>
      <c r="Z24" s="279"/>
      <c r="AB24" s="255" t="s">
        <v>134</v>
      </c>
      <c r="AC24" s="258"/>
      <c r="AD24" s="262">
        <f>IF(AD23&gt;0,AD25,0)</f>
        <v>0</v>
      </c>
      <c r="AE24" s="272">
        <v>0</v>
      </c>
      <c r="AF24" s="258" t="s">
        <v>46</v>
      </c>
      <c r="AG24" s="278" t="e">
        <v>#N/A</v>
      </c>
      <c r="AH24" s="258"/>
      <c r="AI24" s="279"/>
      <c r="AK24" s="255" t="s">
        <v>134</v>
      </c>
      <c r="AL24" s="258"/>
      <c r="AM24" s="262">
        <f>IF(AM23&gt;0,AM25,0)</f>
        <v>0</v>
      </c>
      <c r="AN24" s="272">
        <v>0</v>
      </c>
      <c r="AO24" s="258" t="s">
        <v>46</v>
      </c>
      <c r="AP24" s="278" t="e">
        <v>#N/A</v>
      </c>
      <c r="AQ24" s="258"/>
      <c r="AR24" s="279"/>
      <c r="AT24" s="255" t="s">
        <v>134</v>
      </c>
      <c r="AU24" s="258"/>
      <c r="AV24" s="262">
        <f>IF(AV23&gt;0,AV25,0)</f>
        <v>0</v>
      </c>
      <c r="AW24" s="272">
        <v>0</v>
      </c>
      <c r="AX24" s="258" t="s">
        <v>46</v>
      </c>
      <c r="AY24" s="278" t="e">
        <v>#N/A</v>
      </c>
      <c r="AZ24" s="258"/>
      <c r="BA24" s="279"/>
      <c r="BC24" s="255" t="s">
        <v>134</v>
      </c>
      <c r="BD24" s="258"/>
      <c r="BE24" s="262">
        <f>IF(BE23&gt;0,BE25,0)</f>
        <v>0</v>
      </c>
      <c r="BF24" s="272">
        <v>0</v>
      </c>
      <c r="BG24" s="258" t="s">
        <v>46</v>
      </c>
      <c r="BH24" s="278" t="e">
        <v>#N/A</v>
      </c>
      <c r="BI24" s="258"/>
      <c r="BJ24" s="279"/>
      <c r="BL24" s="255" t="s">
        <v>134</v>
      </c>
      <c r="BM24" s="258"/>
      <c r="BN24" s="262">
        <f>IF(BN23&gt;0,BN25,0)</f>
        <v>0</v>
      </c>
      <c r="BO24" s="272">
        <v>0</v>
      </c>
      <c r="BP24" s="258" t="s">
        <v>46</v>
      </c>
      <c r="BQ24" s="278" t="e">
        <v>#N/A</v>
      </c>
      <c r="BR24" s="258"/>
      <c r="BS24" s="279"/>
      <c r="BU24" s="23" t="s">
        <v>134</v>
      </c>
      <c r="BV24" s="25"/>
      <c r="BW24" s="27">
        <f>IF(BW23&gt;0,BW25,0)</f>
        <v>0</v>
      </c>
      <c r="BX24" s="31">
        <v>0</v>
      </c>
      <c r="BY24" s="25" t="s">
        <v>46</v>
      </c>
      <c r="BZ24" s="36">
        <f>VLOOKUP(BV$4,'Payroll Register'!$A$5:$AS$29,25,FALSE)</f>
        <v>0</v>
      </c>
      <c r="CA24" s="25"/>
      <c r="CB24" s="150"/>
      <c r="CD24" s="23" t="s">
        <v>134</v>
      </c>
      <c r="CE24" s="25"/>
      <c r="CF24" s="27">
        <f>IF(CF23&gt;0,CF25,0)</f>
        <v>0</v>
      </c>
      <c r="CG24" s="31">
        <v>0</v>
      </c>
      <c r="CH24" s="25" t="s">
        <v>46</v>
      </c>
      <c r="CI24" s="36" t="e">
        <f>VLOOKUP(CE$4,'Payroll Register'!$A$5:$AS$29,25,FALSE)</f>
        <v>#N/A</v>
      </c>
      <c r="CJ24" s="25"/>
      <c r="CK24" s="150"/>
      <c r="CM24" s="255" t="s">
        <v>134</v>
      </c>
      <c r="CN24" s="258"/>
      <c r="CO24" s="262">
        <f>IF(CO23&gt;0,CO25,0)</f>
        <v>0</v>
      </c>
      <c r="CP24" s="272">
        <v>0</v>
      </c>
      <c r="CQ24" s="258" t="s">
        <v>46</v>
      </c>
      <c r="CR24" s="278" t="e">
        <v>#N/A</v>
      </c>
      <c r="CS24" s="258"/>
      <c r="CT24" s="279"/>
      <c r="CV24" s="23" t="s">
        <v>134</v>
      </c>
      <c r="CW24" s="25"/>
      <c r="CX24" s="27">
        <f>IF(CX23&gt;0,CX25,0)</f>
        <v>0</v>
      </c>
      <c r="CY24" s="31">
        <v>0</v>
      </c>
      <c r="CZ24" s="25" t="s">
        <v>46</v>
      </c>
      <c r="DA24" s="36">
        <f>VLOOKUP(CW$4,'Payroll Register'!$A$5:$AS$29,25,FALSE)</f>
        <v>0</v>
      </c>
      <c r="DB24" s="25"/>
      <c r="DC24" s="150"/>
      <c r="DE24" s="303" t="s">
        <v>134</v>
      </c>
      <c r="DF24" s="306"/>
      <c r="DG24" s="310">
        <v>0</v>
      </c>
      <c r="DH24" s="316">
        <v>0</v>
      </c>
      <c r="DI24" s="306" t="s">
        <v>46</v>
      </c>
      <c r="DJ24" s="322" t="e">
        <v>#N/A</v>
      </c>
      <c r="DK24" s="306"/>
      <c r="DL24" s="312"/>
      <c r="DN24" s="23" t="s">
        <v>134</v>
      </c>
      <c r="DO24" s="25"/>
      <c r="DP24" s="27">
        <f>IF(DP23&gt;0,DP25,0)</f>
        <v>0</v>
      </c>
      <c r="DQ24" s="31">
        <v>0</v>
      </c>
      <c r="DR24" s="25" t="s">
        <v>46</v>
      </c>
      <c r="DS24" s="36">
        <f>VLOOKUP(DO$4,'Payroll Register'!$A$5:$AS$29,25,FALSE)</f>
        <v>0</v>
      </c>
      <c r="DT24" s="25"/>
      <c r="DU24" s="150"/>
      <c r="DW24" s="23" t="s">
        <v>134</v>
      </c>
      <c r="DX24" s="25"/>
      <c r="DY24" s="27">
        <f>IF(DY23&gt;0,DY25,0)</f>
        <v>0</v>
      </c>
      <c r="DZ24" s="31">
        <v>0</v>
      </c>
      <c r="EA24" s="25" t="s">
        <v>46</v>
      </c>
      <c r="EB24" s="36">
        <f>VLOOKUP(DX$4,'Payroll Register'!$A$5:$AS$29,25,FALSE)</f>
        <v>0</v>
      </c>
      <c r="EC24" s="25"/>
      <c r="ED24" s="150"/>
      <c r="EF24" s="23" t="s">
        <v>134</v>
      </c>
      <c r="EG24" s="25"/>
      <c r="EH24" s="27">
        <f>IF(EH23&gt;0,EH25,0)</f>
        <v>0</v>
      </c>
      <c r="EI24" s="31">
        <v>0</v>
      </c>
      <c r="EJ24" s="25" t="s">
        <v>46</v>
      </c>
      <c r="EK24" s="36">
        <f>VLOOKUP(EG$4,'Payroll Register'!$A$5:$AS$29,25,FALSE)</f>
        <v>0</v>
      </c>
      <c r="EL24" s="25"/>
      <c r="EM24" s="150"/>
      <c r="EO24" s="23" t="s">
        <v>134</v>
      </c>
      <c r="EP24" s="25"/>
      <c r="EQ24" s="27">
        <f>IF(EQ23&gt;0,EQ25,0)</f>
        <v>0</v>
      </c>
      <c r="ER24" s="31">
        <v>0</v>
      </c>
      <c r="ES24" s="25" t="s">
        <v>46</v>
      </c>
      <c r="ET24" s="36">
        <f>VLOOKUP(EP$4,'Payroll Register'!$A$5:$AS$29,25,FALSE)</f>
        <v>0</v>
      </c>
      <c r="EU24" s="25"/>
      <c r="EV24" s="150"/>
      <c r="EX24" s="23" t="s">
        <v>134</v>
      </c>
      <c r="EY24" s="25"/>
      <c r="EZ24" s="27">
        <f>IF(EZ23&gt;0,EZ25,0)</f>
        <v>0</v>
      </c>
      <c r="FA24" s="31">
        <v>0</v>
      </c>
      <c r="FB24" s="25" t="s">
        <v>46</v>
      </c>
      <c r="FC24" s="36">
        <f>VLOOKUP(EY$4,'Payroll Register'!$A$5:$AS$29,25,FALSE)</f>
        <v>0</v>
      </c>
      <c r="FD24" s="25"/>
      <c r="FE24" s="150"/>
      <c r="FG24" s="23" t="s">
        <v>134</v>
      </c>
      <c r="FH24" s="25"/>
      <c r="FI24" s="27">
        <f>IF(FI23&gt;0,FI25,0)</f>
        <v>0</v>
      </c>
      <c r="FJ24" s="31">
        <v>0</v>
      </c>
      <c r="FK24" s="25" t="s">
        <v>46</v>
      </c>
      <c r="FL24" s="36">
        <f>VLOOKUP(FH$4,'Payroll Register'!$A$5:$AS$29,25,FALSE)</f>
        <v>0</v>
      </c>
      <c r="FM24" s="25"/>
      <c r="FN24" s="150"/>
      <c r="FP24" s="23" t="s">
        <v>134</v>
      </c>
      <c r="FQ24" s="25"/>
      <c r="FR24" s="27">
        <f>IF(FR23&gt;0,FR25,0)</f>
        <v>0</v>
      </c>
      <c r="FS24" s="31">
        <v>0</v>
      </c>
      <c r="FT24" s="25" t="s">
        <v>46</v>
      </c>
      <c r="FU24" s="36">
        <f>VLOOKUP(FQ$4,'Payroll Register'!$A$5:$AS$29,25,FALSE)</f>
        <v>0</v>
      </c>
      <c r="FV24" s="25"/>
      <c r="FW24" s="150"/>
      <c r="FY24" s="303" t="s">
        <v>134</v>
      </c>
      <c r="FZ24" s="306"/>
      <c r="GA24" s="310">
        <f>IF(GA23&gt;0,GA25,0)</f>
        <v>0</v>
      </c>
      <c r="GB24" s="316">
        <v>0</v>
      </c>
      <c r="GC24" s="306" t="s">
        <v>46</v>
      </c>
      <c r="GD24" s="322" t="e">
        <v>#N/A</v>
      </c>
      <c r="GE24" s="306"/>
      <c r="GF24" s="312"/>
      <c r="GH24" s="23" t="s">
        <v>134</v>
      </c>
      <c r="GI24" s="25"/>
      <c r="GJ24" s="27">
        <f>IF(GJ23&gt;0,GJ25,0)</f>
        <v>0</v>
      </c>
      <c r="GK24" s="31">
        <v>0</v>
      </c>
      <c r="GL24" s="25" t="s">
        <v>46</v>
      </c>
      <c r="GM24" s="36">
        <f>VLOOKUP(GI$4,'Payroll Register'!$A$5:$AS$29,25,FALSE)</f>
        <v>0</v>
      </c>
      <c r="GN24" s="25"/>
      <c r="GO24" s="150"/>
      <c r="GQ24" s="23" t="s">
        <v>134</v>
      </c>
      <c r="GR24" s="25"/>
      <c r="GS24" s="27">
        <f>IF(GS23&gt;0,GS25,0)</f>
        <v>0</v>
      </c>
      <c r="GT24" s="31">
        <v>0</v>
      </c>
      <c r="GU24" s="25" t="s">
        <v>46</v>
      </c>
      <c r="GV24" s="36">
        <f>VLOOKUP(GR$4,'Payroll Register'!$A$5:$AS$29,25,FALSE)</f>
        <v>0</v>
      </c>
      <c r="GW24" s="25"/>
      <c r="GX24" s="150"/>
      <c r="GZ24" s="23" t="s">
        <v>134</v>
      </c>
      <c r="HA24" s="25"/>
      <c r="HB24" s="27">
        <f>IF(HB23&gt;0,HB25,0)</f>
        <v>0</v>
      </c>
      <c r="HC24" s="31">
        <v>0</v>
      </c>
      <c r="HD24" s="25" t="s">
        <v>46</v>
      </c>
      <c r="HE24" s="36">
        <f>VLOOKUP(HA$4,'Payroll Register'!$A$5:$AS$29,25,FALSE)</f>
        <v>0</v>
      </c>
      <c r="HF24" s="25"/>
      <c r="HG24" s="150"/>
      <c r="HI24" s="23" t="s">
        <v>134</v>
      </c>
      <c r="HJ24" s="25"/>
      <c r="HK24" s="27">
        <f>IF(HK23&gt;0,HK25,0)</f>
        <v>0</v>
      </c>
      <c r="HL24" s="31">
        <v>0</v>
      </c>
      <c r="HM24" s="25" t="s">
        <v>46</v>
      </c>
      <c r="HN24" s="36">
        <f>VLOOKUP(HJ$4,'Payroll Register'!$A$5:$AS$29,25,FALSE)</f>
        <v>0</v>
      </c>
      <c r="HO24" s="25"/>
      <c r="HP24" s="150"/>
      <c r="HR24" s="23" t="s">
        <v>134</v>
      </c>
      <c r="HS24" s="25"/>
      <c r="HT24" s="27">
        <f>IF(HT23&gt;0,HT25,0)</f>
        <v>0</v>
      </c>
      <c r="HU24" s="31">
        <v>0</v>
      </c>
      <c r="HV24" s="25" t="s">
        <v>46</v>
      </c>
      <c r="HW24" s="36">
        <f>VLOOKUP(HS$4,'Payroll Register'!$A$5:$AS$29,25,FALSE)</f>
        <v>0</v>
      </c>
      <c r="HX24" s="25" t="s">
        <v>135</v>
      </c>
      <c r="HY24" s="31">
        <f>'Payroll Register'!AI21</f>
        <v>697.88</v>
      </c>
      <c r="IA24" s="23" t="s">
        <v>134</v>
      </c>
      <c r="IB24" s="25"/>
      <c r="IC24" s="27">
        <f>IF(IC23&gt;0,IC25,0)</f>
        <v>0</v>
      </c>
      <c r="ID24" s="31">
        <v>0</v>
      </c>
      <c r="IE24" s="25" t="s">
        <v>46</v>
      </c>
      <c r="IF24" s="36">
        <f>VLOOKUP(IB$4,'Payroll Register'!$A$5:$AS$29,25,FALSE)</f>
        <v>0</v>
      </c>
      <c r="IG24" s="25"/>
      <c r="IH24" s="150"/>
      <c r="IJ24" s="23" t="s">
        <v>134</v>
      </c>
      <c r="IK24" s="25"/>
      <c r="IL24" s="27">
        <f>IF(IL23&gt;0,IL25,0)</f>
        <v>0</v>
      </c>
      <c r="IM24" s="31">
        <v>0</v>
      </c>
      <c r="IN24" s="25" t="s">
        <v>46</v>
      </c>
      <c r="IO24" s="36">
        <f>VLOOKUP(IK$4,'Payroll Register'!$A$5:$AS$29,25,FALSE)</f>
        <v>0</v>
      </c>
      <c r="IP24" s="25"/>
      <c r="IQ24" s="150"/>
      <c r="IS24" s="23" t="s">
        <v>134</v>
      </c>
      <c r="IT24" s="25"/>
      <c r="IU24" s="27">
        <f>IF(IU23&gt;0,IU25,0)</f>
        <v>0</v>
      </c>
      <c r="IV24" s="31">
        <v>0</v>
      </c>
      <c r="IW24" s="25" t="s">
        <v>46</v>
      </c>
      <c r="IX24" s="36">
        <f>VLOOKUP(IT$4,'Payroll Register'!$A$5:$AS$29,25,FALSE)</f>
        <v>0</v>
      </c>
      <c r="IY24" s="25"/>
      <c r="IZ24" s="150"/>
      <c r="JB24" s="23" t="s">
        <v>134</v>
      </c>
      <c r="JC24" s="25"/>
      <c r="JD24" s="27">
        <f>IF(JD23&gt;0,JD25,0)</f>
        <v>0</v>
      </c>
      <c r="JE24" s="31">
        <v>0</v>
      </c>
      <c r="JF24" s="25" t="s">
        <v>46</v>
      </c>
      <c r="JG24" s="36">
        <f>VLOOKUP(JC$4,'Payroll Register'!$A$5:$AS$29,25,FALSE)</f>
        <v>0</v>
      </c>
      <c r="JH24" s="25"/>
      <c r="JI24" s="150"/>
      <c r="JK24" s="23" t="s">
        <v>134</v>
      </c>
      <c r="JL24" s="25"/>
      <c r="JM24" s="27">
        <f>IF(JM23&gt;0,JM25,0)</f>
        <v>0</v>
      </c>
      <c r="JN24" s="31">
        <v>0</v>
      </c>
      <c r="JO24" s="25" t="s">
        <v>46</v>
      </c>
      <c r="JP24" s="36">
        <f>VLOOKUP(JL$4,'Payroll Register'!$A$5:$AS$29,25,FALSE)</f>
        <v>0</v>
      </c>
      <c r="JQ24" s="25"/>
      <c r="JR24" s="150"/>
      <c r="JT24" s="23" t="s">
        <v>134</v>
      </c>
      <c r="JU24" s="25"/>
      <c r="JV24" s="27">
        <f>IF(JV23&gt;0,JV25,0)</f>
        <v>0</v>
      </c>
      <c r="JW24" s="31">
        <v>0</v>
      </c>
      <c r="JX24" s="25" t="s">
        <v>46</v>
      </c>
      <c r="JY24" s="36">
        <f>VLOOKUP(JU$4,'Payroll Register'!$A$5:$AS$29,25,FALSE)</f>
        <v>0</v>
      </c>
      <c r="JZ24" s="25"/>
      <c r="KA24" s="150"/>
      <c r="KC24" s="23" t="s">
        <v>134</v>
      </c>
      <c r="KD24" s="25"/>
      <c r="KE24" s="27">
        <f>IF(KE23&gt;0,KE25,0)</f>
        <v>0</v>
      </c>
      <c r="KF24" s="31">
        <v>0</v>
      </c>
      <c r="KG24" s="25" t="s">
        <v>46</v>
      </c>
      <c r="KH24" s="36">
        <f>VLOOKUP(KD$4,'Payroll Register'!$A$5:$AS$29,25,FALSE)</f>
        <v>0</v>
      </c>
      <c r="KI24" s="25"/>
      <c r="KJ24" s="150"/>
    </row>
    <row r="25" spans="1:296" ht="12.75" customHeight="1">
      <c r="A25" s="255" t="s">
        <v>136</v>
      </c>
      <c r="B25" s="258"/>
      <c r="C25" s="262">
        <v>0</v>
      </c>
      <c r="D25" s="272">
        <v>0</v>
      </c>
      <c r="E25" s="258" t="s">
        <v>137</v>
      </c>
      <c r="F25" s="278" t="e">
        <v>#N/A</v>
      </c>
      <c r="G25" s="258"/>
      <c r="H25" s="254"/>
      <c r="J25" s="255" t="s">
        <v>136</v>
      </c>
      <c r="K25" s="258"/>
      <c r="L25" s="262">
        <v>0</v>
      </c>
      <c r="M25" s="272">
        <v>0</v>
      </c>
      <c r="N25" s="258" t="s">
        <v>137</v>
      </c>
      <c r="O25" s="278" t="e">
        <v>#N/A</v>
      </c>
      <c r="P25" s="258"/>
      <c r="Q25" s="254"/>
      <c r="S25" s="255" t="s">
        <v>136</v>
      </c>
      <c r="T25" s="258"/>
      <c r="U25" s="262">
        <v>0</v>
      </c>
      <c r="V25" s="272">
        <v>0</v>
      </c>
      <c r="W25" s="258" t="s">
        <v>137</v>
      </c>
      <c r="X25" s="278" t="e">
        <v>#N/A</v>
      </c>
      <c r="Y25" s="258"/>
      <c r="Z25" s="254"/>
      <c r="AB25" s="255" t="s">
        <v>136</v>
      </c>
      <c r="AC25" s="258"/>
      <c r="AD25" s="262">
        <v>0</v>
      </c>
      <c r="AE25" s="272">
        <v>0</v>
      </c>
      <c r="AF25" s="258" t="s">
        <v>137</v>
      </c>
      <c r="AG25" s="278" t="e">
        <v>#N/A</v>
      </c>
      <c r="AH25" s="258"/>
      <c r="AI25" s="254"/>
      <c r="AK25" s="255" t="s">
        <v>136</v>
      </c>
      <c r="AL25" s="258"/>
      <c r="AM25" s="262">
        <v>0</v>
      </c>
      <c r="AN25" s="272">
        <v>0</v>
      </c>
      <c r="AO25" s="258" t="s">
        <v>137</v>
      </c>
      <c r="AP25" s="278" t="e">
        <v>#N/A</v>
      </c>
      <c r="AQ25" s="258"/>
      <c r="AR25" s="254"/>
      <c r="AT25" s="255" t="s">
        <v>136</v>
      </c>
      <c r="AU25" s="258"/>
      <c r="AV25" s="262">
        <v>0</v>
      </c>
      <c r="AW25" s="272">
        <v>0</v>
      </c>
      <c r="AX25" s="258" t="s">
        <v>137</v>
      </c>
      <c r="AY25" s="278" t="e">
        <v>#N/A</v>
      </c>
      <c r="AZ25" s="258"/>
      <c r="BA25" s="254"/>
      <c r="BC25" s="255" t="s">
        <v>136</v>
      </c>
      <c r="BD25" s="258"/>
      <c r="BE25" s="262">
        <v>0</v>
      </c>
      <c r="BF25" s="272">
        <v>0</v>
      </c>
      <c r="BG25" s="258" t="s">
        <v>137</v>
      </c>
      <c r="BH25" s="278" t="e">
        <v>#N/A</v>
      </c>
      <c r="BI25" s="258"/>
      <c r="BJ25" s="254"/>
      <c r="BL25" s="255" t="s">
        <v>136</v>
      </c>
      <c r="BM25" s="258"/>
      <c r="BN25" s="262">
        <v>0</v>
      </c>
      <c r="BO25" s="272">
        <v>0</v>
      </c>
      <c r="BP25" s="258" t="s">
        <v>137</v>
      </c>
      <c r="BQ25" s="278" t="e">
        <v>#N/A</v>
      </c>
      <c r="BR25" s="258"/>
      <c r="BS25" s="254"/>
      <c r="BU25" s="23" t="s">
        <v>136</v>
      </c>
      <c r="BV25" s="25"/>
      <c r="BW25" s="27">
        <v>0</v>
      </c>
      <c r="BX25" s="31">
        <v>0</v>
      </c>
      <c r="BY25" s="25" t="s">
        <v>137</v>
      </c>
      <c r="BZ25" s="36">
        <f>'Payroll Register'!AF8</f>
        <v>1375.4103448275862</v>
      </c>
      <c r="CA25" s="25"/>
      <c r="CB25" s="22"/>
      <c r="CD25" s="23" t="s">
        <v>136</v>
      </c>
      <c r="CE25" s="25"/>
      <c r="CF25" s="27">
        <v>0</v>
      </c>
      <c r="CG25" s="31">
        <v>0</v>
      </c>
      <c r="CH25" s="25" t="s">
        <v>137</v>
      </c>
      <c r="CI25" s="36" t="e">
        <f>VLOOKUP(CE$4,'Payroll Register'!$A$5:$AS$29,32,FALSE)</f>
        <v>#N/A</v>
      </c>
      <c r="CJ25" s="25"/>
      <c r="CK25" s="22"/>
      <c r="CM25" s="255" t="s">
        <v>136</v>
      </c>
      <c r="CN25" s="258"/>
      <c r="CO25" s="262">
        <v>0</v>
      </c>
      <c r="CP25" s="272">
        <v>0</v>
      </c>
      <c r="CQ25" s="258" t="s">
        <v>137</v>
      </c>
      <c r="CR25" s="278" t="e">
        <v>#N/A</v>
      </c>
      <c r="CS25" s="258"/>
      <c r="CT25" s="254"/>
      <c r="CV25" s="23" t="s">
        <v>136</v>
      </c>
      <c r="CW25" s="25"/>
      <c r="CX25" s="27">
        <v>0</v>
      </c>
      <c r="CY25" s="31">
        <v>0</v>
      </c>
      <c r="CZ25" s="25" t="s">
        <v>137</v>
      </c>
      <c r="DA25" s="36">
        <f>'Payroll Register'!AF9</f>
        <v>3275.6517241379311</v>
      </c>
      <c r="DB25" s="25"/>
      <c r="DC25" s="22"/>
      <c r="DE25" s="303" t="s">
        <v>136</v>
      </c>
      <c r="DF25" s="306"/>
      <c r="DG25" s="310">
        <v>0</v>
      </c>
      <c r="DH25" s="316">
        <v>0</v>
      </c>
      <c r="DI25" s="306" t="s">
        <v>137</v>
      </c>
      <c r="DJ25" s="322" t="e">
        <v>#N/A</v>
      </c>
      <c r="DK25" s="306"/>
      <c r="DL25" s="302"/>
      <c r="DN25" s="23" t="s">
        <v>136</v>
      </c>
      <c r="DO25" s="25"/>
      <c r="DP25" s="27">
        <v>0</v>
      </c>
      <c r="DQ25" s="31">
        <v>0</v>
      </c>
      <c r="DR25" s="25" t="s">
        <v>137</v>
      </c>
      <c r="DS25" s="36">
        <f>'Payroll Register'!AF10</f>
        <v>2528.2379310344827</v>
      </c>
      <c r="DT25" s="25"/>
      <c r="DU25" s="22"/>
      <c r="DW25" s="23" t="s">
        <v>136</v>
      </c>
      <c r="DX25" s="25"/>
      <c r="DY25" s="27">
        <v>0</v>
      </c>
      <c r="DZ25" s="31">
        <v>0</v>
      </c>
      <c r="EA25" s="25" t="s">
        <v>137</v>
      </c>
      <c r="EB25" s="36">
        <f>'Payroll Register'!AF11</f>
        <v>17210.8</v>
      </c>
      <c r="EC25" s="25"/>
      <c r="ED25" s="22"/>
      <c r="EF25" s="23" t="s">
        <v>136</v>
      </c>
      <c r="EG25" s="25"/>
      <c r="EH25" s="27">
        <v>0</v>
      </c>
      <c r="EI25" s="31">
        <v>0</v>
      </c>
      <c r="EJ25" s="25" t="s">
        <v>137</v>
      </c>
      <c r="EK25" s="36">
        <f>'Payroll Register'!AF12</f>
        <v>30110.800000000003</v>
      </c>
      <c r="EL25" s="25"/>
      <c r="EM25" s="22"/>
      <c r="EO25" s="23" t="s">
        <v>136</v>
      </c>
      <c r="EP25" s="25"/>
      <c r="EQ25" s="27">
        <v>0</v>
      </c>
      <c r="ER25" s="31">
        <v>0</v>
      </c>
      <c r="ES25" s="25" t="s">
        <v>137</v>
      </c>
      <c r="ET25" s="36">
        <f>'Payroll Register'!AF13</f>
        <v>674.34655172413784</v>
      </c>
      <c r="EU25" s="25"/>
      <c r="EV25" s="22"/>
      <c r="EX25" s="23" t="s">
        <v>136</v>
      </c>
      <c r="EY25" s="25"/>
      <c r="EZ25" s="27">
        <v>0</v>
      </c>
      <c r="FA25" s="31">
        <v>0</v>
      </c>
      <c r="FB25" s="25" t="s">
        <v>137</v>
      </c>
      <c r="FC25" s="36">
        <f>'Payroll Register'!AF14</f>
        <v>1046.2977011494252</v>
      </c>
      <c r="FD25" s="25"/>
      <c r="FE25" s="22"/>
      <c r="FG25" s="23" t="s">
        <v>136</v>
      </c>
      <c r="FH25" s="25"/>
      <c r="FI25" s="27">
        <v>0</v>
      </c>
      <c r="FJ25" s="31">
        <v>0</v>
      </c>
      <c r="FK25" s="25" t="s">
        <v>137</v>
      </c>
      <c r="FL25" s="36">
        <f>'Payroll Register'!AF15</f>
        <v>7199.95</v>
      </c>
      <c r="FM25" s="25"/>
      <c r="FN25" s="22"/>
      <c r="FP25" s="23" t="s">
        <v>136</v>
      </c>
      <c r="FQ25" s="25"/>
      <c r="FR25" s="27">
        <v>0</v>
      </c>
      <c r="FS25" s="31">
        <v>0</v>
      </c>
      <c r="FT25" s="25" t="s">
        <v>137</v>
      </c>
      <c r="FU25" s="36">
        <f>VLOOKUP(FQ$4,'Payroll Register'!$A$5:$AS$29,32,FALSE)</f>
        <v>13343.161206896551</v>
      </c>
      <c r="FV25" s="25"/>
      <c r="FW25" s="22"/>
      <c r="FY25" s="303" t="s">
        <v>136</v>
      </c>
      <c r="FZ25" s="306"/>
      <c r="GA25" s="310">
        <v>0</v>
      </c>
      <c r="GB25" s="316">
        <v>0</v>
      </c>
      <c r="GC25" s="306" t="s">
        <v>137</v>
      </c>
      <c r="GD25" s="322" t="e">
        <v>#N/A</v>
      </c>
      <c r="GE25" s="306"/>
      <c r="GF25" s="302"/>
      <c r="GH25" s="23" t="s">
        <v>136</v>
      </c>
      <c r="GI25" s="25"/>
      <c r="GJ25" s="27">
        <v>0</v>
      </c>
      <c r="GK25" s="31">
        <v>0</v>
      </c>
      <c r="GL25" s="25" t="s">
        <v>137</v>
      </c>
      <c r="GM25" s="36">
        <f>'Payroll Register'!AF17</f>
        <v>1176.5137931034478</v>
      </c>
      <c r="GN25" s="25"/>
      <c r="GO25" s="22"/>
      <c r="GQ25" s="23" t="s">
        <v>136</v>
      </c>
      <c r="GR25" s="25"/>
      <c r="GS25" s="27">
        <v>0</v>
      </c>
      <c r="GT25" s="31">
        <v>0</v>
      </c>
      <c r="GU25" s="25" t="s">
        <v>137</v>
      </c>
      <c r="GV25" s="36">
        <f>VLOOKUP(GR$4,'Payroll Register'!$A$5:$AS$29,32,FALSE)</f>
        <v>832.84827586206893</v>
      </c>
      <c r="GW25" s="25"/>
      <c r="GX25" s="22"/>
      <c r="GZ25" s="23" t="s">
        <v>136</v>
      </c>
      <c r="HA25" s="25"/>
      <c r="HB25" s="27">
        <v>0</v>
      </c>
      <c r="HC25" s="31">
        <v>0</v>
      </c>
      <c r="HD25" s="25" t="s">
        <v>137</v>
      </c>
      <c r="HE25" s="36">
        <f>VLOOKUP(HA$4,'Payroll Register'!$A$5:$AS$29,32,FALSE)</f>
        <v>20542.35172413793</v>
      </c>
      <c r="HF25" s="25"/>
      <c r="HG25" s="22"/>
      <c r="HI25" s="23" t="s">
        <v>136</v>
      </c>
      <c r="HJ25" s="25"/>
      <c r="HK25" s="27">
        <v>0</v>
      </c>
      <c r="HL25" s="31">
        <v>0</v>
      </c>
      <c r="HM25" s="25" t="s">
        <v>137</v>
      </c>
      <c r="HN25" s="36">
        <f>VLOOKUP(HJ$4,'Payroll Register'!$A$5:$AS$29,32,FALSE)</f>
        <v>5244.0706896551719</v>
      </c>
      <c r="HO25" s="25"/>
      <c r="HP25" s="22"/>
      <c r="HR25" s="23" t="s">
        <v>136</v>
      </c>
      <c r="HS25" s="25"/>
      <c r="HT25" s="27">
        <v>0</v>
      </c>
      <c r="HU25" s="31">
        <v>0</v>
      </c>
      <c r="HV25" s="25" t="s">
        <v>137</v>
      </c>
      <c r="HW25" s="36">
        <f>VLOOKUP(HS$4,'Payroll Register'!$A$5:$AS$29,32,FALSE)</f>
        <v>490.10517241379301</v>
      </c>
      <c r="HX25" s="25"/>
      <c r="HY25" s="22"/>
      <c r="IA25" s="23" t="s">
        <v>136</v>
      </c>
      <c r="IB25" s="25"/>
      <c r="IC25" s="27">
        <v>0</v>
      </c>
      <c r="ID25" s="31">
        <v>0</v>
      </c>
      <c r="IE25" s="25" t="s">
        <v>137</v>
      </c>
      <c r="IF25" s="36">
        <f>VLOOKUP(IB$4,'Payroll Register'!$A$5:$AS$29,32,FALSE)</f>
        <v>9310.2948275862072</v>
      </c>
      <c r="IG25" s="25"/>
      <c r="IH25" s="22"/>
      <c r="IJ25" s="23" t="s">
        <v>136</v>
      </c>
      <c r="IK25" s="25"/>
      <c r="IL25" s="27">
        <v>0</v>
      </c>
      <c r="IM25" s="31">
        <v>0</v>
      </c>
      <c r="IN25" s="25" t="s">
        <v>137</v>
      </c>
      <c r="IO25" s="36">
        <f>VLOOKUP(IK$4,'Payroll Register'!$A$5:$AS$29,32,FALSE)</f>
        <v>14512.881034482758</v>
      </c>
      <c r="IP25" s="25"/>
      <c r="IQ25" s="22"/>
      <c r="IS25" s="23" t="s">
        <v>136</v>
      </c>
      <c r="IT25" s="25"/>
      <c r="IU25" s="27">
        <v>0</v>
      </c>
      <c r="IV25" s="31">
        <v>0</v>
      </c>
      <c r="IW25" s="25" t="s">
        <v>137</v>
      </c>
      <c r="IX25" s="36">
        <f>VLOOKUP(IT$4,'Payroll Register'!$A$5:$AS$29,32,FALSE)</f>
        <v>728.82931034482772</v>
      </c>
      <c r="IY25" s="25"/>
      <c r="IZ25" s="22"/>
      <c r="JB25" s="23" t="s">
        <v>136</v>
      </c>
      <c r="JC25" s="25"/>
      <c r="JD25" s="27">
        <v>0</v>
      </c>
      <c r="JE25" s="31">
        <v>0</v>
      </c>
      <c r="JF25" s="25" t="s">
        <v>137</v>
      </c>
      <c r="JG25" s="36">
        <f>VLOOKUP(JC$4,'Payroll Register'!$A$5:$AS$29,32,FALSE)</f>
        <v>585.7258620689654</v>
      </c>
      <c r="JH25" s="25"/>
      <c r="JI25" s="22"/>
      <c r="JK25" s="23" t="s">
        <v>136</v>
      </c>
      <c r="JL25" s="25"/>
      <c r="JM25" s="27">
        <v>0</v>
      </c>
      <c r="JN25" s="31">
        <v>0</v>
      </c>
      <c r="JO25" s="25" t="s">
        <v>137</v>
      </c>
      <c r="JP25" s="36">
        <f>VLOOKUP(JL$4,'Payroll Register'!$A$5:$AS$29,32,FALSE)</f>
        <v>7887.5218390804594</v>
      </c>
      <c r="JQ25" s="25"/>
      <c r="JR25" s="22"/>
      <c r="JT25" s="23" t="s">
        <v>136</v>
      </c>
      <c r="JU25" s="25"/>
      <c r="JV25" s="27">
        <v>0</v>
      </c>
      <c r="JW25" s="31">
        <v>0</v>
      </c>
      <c r="JX25" s="25" t="s">
        <v>137</v>
      </c>
      <c r="JY25" s="36">
        <f>VLOOKUP(JU$4,'Payroll Register'!$A$5:$AS$29,32,FALSE)</f>
        <v>246.76034482758612</v>
      </c>
      <c r="JZ25" s="25"/>
      <c r="KA25" s="22"/>
      <c r="KC25" s="23" t="s">
        <v>136</v>
      </c>
      <c r="KD25" s="25"/>
      <c r="KE25" s="27">
        <v>0</v>
      </c>
      <c r="KF25" s="31">
        <v>0</v>
      </c>
      <c r="KG25" s="25" t="s">
        <v>137</v>
      </c>
      <c r="KH25" s="36">
        <f>VLOOKUP(KD$4,'Payroll Register'!$A$5:$AS$29,32,FALSE)</f>
        <v>0</v>
      </c>
      <c r="KI25" s="25"/>
      <c r="KJ25" s="22"/>
    </row>
    <row r="26" spans="1:296" ht="12.75" customHeight="1">
      <c r="A26" s="255" t="s">
        <v>138</v>
      </c>
      <c r="B26" s="258"/>
      <c r="C26" s="262">
        <v>0</v>
      </c>
      <c r="D26" s="272">
        <v>0</v>
      </c>
      <c r="E26" s="627" t="s">
        <v>139</v>
      </c>
      <c r="F26" s="628"/>
      <c r="G26" s="258"/>
      <c r="H26" s="254"/>
      <c r="J26" s="255" t="s">
        <v>138</v>
      </c>
      <c r="K26" s="258"/>
      <c r="L26" s="262">
        <v>0</v>
      </c>
      <c r="M26" s="272">
        <v>0</v>
      </c>
      <c r="N26" s="627" t="s">
        <v>139</v>
      </c>
      <c r="O26" s="628"/>
      <c r="P26" s="258"/>
      <c r="Q26" s="254"/>
      <c r="S26" s="255" t="s">
        <v>138</v>
      </c>
      <c r="T26" s="258"/>
      <c r="U26" s="262">
        <v>0</v>
      </c>
      <c r="V26" s="272">
        <v>0</v>
      </c>
      <c r="W26" s="627" t="s">
        <v>139</v>
      </c>
      <c r="X26" s="628"/>
      <c r="Y26" s="258"/>
      <c r="Z26" s="254"/>
      <c r="AB26" s="255" t="s">
        <v>138</v>
      </c>
      <c r="AC26" s="258"/>
      <c r="AD26" s="262">
        <v>0</v>
      </c>
      <c r="AE26" s="272">
        <v>0</v>
      </c>
      <c r="AF26" s="627" t="s">
        <v>139</v>
      </c>
      <c r="AG26" s="628"/>
      <c r="AH26" s="258"/>
      <c r="AI26" s="254"/>
      <c r="AK26" s="255" t="s">
        <v>138</v>
      </c>
      <c r="AL26" s="258"/>
      <c r="AM26" s="262">
        <v>0</v>
      </c>
      <c r="AN26" s="272">
        <v>0</v>
      </c>
      <c r="AO26" s="627" t="s">
        <v>139</v>
      </c>
      <c r="AP26" s="628"/>
      <c r="AQ26" s="258"/>
      <c r="AR26" s="254"/>
      <c r="AT26" s="255" t="s">
        <v>138</v>
      </c>
      <c r="AU26" s="258"/>
      <c r="AV26" s="262">
        <v>0</v>
      </c>
      <c r="AW26" s="272">
        <v>0</v>
      </c>
      <c r="AX26" s="627" t="s">
        <v>139</v>
      </c>
      <c r="AY26" s="628"/>
      <c r="AZ26" s="258"/>
      <c r="BA26" s="254"/>
      <c r="BC26" s="255" t="s">
        <v>138</v>
      </c>
      <c r="BD26" s="258"/>
      <c r="BE26" s="262">
        <v>0</v>
      </c>
      <c r="BF26" s="272">
        <v>0</v>
      </c>
      <c r="BG26" s="627" t="s">
        <v>139</v>
      </c>
      <c r="BH26" s="628"/>
      <c r="BI26" s="258"/>
      <c r="BJ26" s="254"/>
      <c r="BL26" s="255" t="s">
        <v>138</v>
      </c>
      <c r="BM26" s="258"/>
      <c r="BN26" s="262">
        <v>0</v>
      </c>
      <c r="BO26" s="272">
        <v>0</v>
      </c>
      <c r="BP26" s="627" t="s">
        <v>139</v>
      </c>
      <c r="BQ26" s="628"/>
      <c r="BR26" s="258"/>
      <c r="BS26" s="254"/>
      <c r="BU26" s="23" t="s">
        <v>138</v>
      </c>
      <c r="BV26" s="25"/>
      <c r="BW26" s="27">
        <f>VLOOKUP(BV4,'Raw Sheet'!$A$8:$AX$28,49,0)</f>
        <v>0</v>
      </c>
      <c r="BX26" s="31">
        <f>VLOOKUP(BV4,'Raw Sheet'!$A$8:$AX$28,50,0)</f>
        <v>0</v>
      </c>
      <c r="BY26" s="608" t="s">
        <v>139</v>
      </c>
      <c r="BZ26" s="606"/>
      <c r="CA26" s="25"/>
      <c r="CB26" s="22"/>
      <c r="CD26" s="23" t="s">
        <v>138</v>
      </c>
      <c r="CE26" s="25"/>
      <c r="CF26" s="27">
        <v>0</v>
      </c>
      <c r="CG26" s="31">
        <v>0</v>
      </c>
      <c r="CH26" s="608" t="s">
        <v>139</v>
      </c>
      <c r="CI26" s="606"/>
      <c r="CJ26" s="25"/>
      <c r="CK26" s="22"/>
      <c r="CM26" s="255" t="s">
        <v>138</v>
      </c>
      <c r="CN26" s="258"/>
      <c r="CO26" s="262">
        <v>0</v>
      </c>
      <c r="CP26" s="272">
        <v>0</v>
      </c>
      <c r="CQ26" s="627" t="s">
        <v>139</v>
      </c>
      <c r="CR26" s="628"/>
      <c r="CS26" s="258"/>
      <c r="CT26" s="254"/>
      <c r="CV26" s="23" t="s">
        <v>138</v>
      </c>
      <c r="CW26" s="25"/>
      <c r="CX26" s="27">
        <f>'Raw Sheet'!BC9</f>
        <v>8</v>
      </c>
      <c r="CY26" s="31">
        <f>'Payroll Register'!Q9</f>
        <v>2068.9655172413795</v>
      </c>
      <c r="CZ26" s="608" t="s">
        <v>139</v>
      </c>
      <c r="DA26" s="606"/>
      <c r="DB26" s="25"/>
      <c r="DC26" s="22"/>
      <c r="DE26" s="303" t="s">
        <v>138</v>
      </c>
      <c r="DF26" s="306"/>
      <c r="DG26" s="310">
        <v>0</v>
      </c>
      <c r="DH26" s="316">
        <v>0</v>
      </c>
      <c r="DI26" s="621" t="s">
        <v>139</v>
      </c>
      <c r="DJ26" s="622"/>
      <c r="DK26" s="306"/>
      <c r="DL26" s="302"/>
      <c r="DN26" s="23" t="s">
        <v>138</v>
      </c>
      <c r="DO26" s="25"/>
      <c r="DP26" s="27">
        <f>VLOOKUP(DO4,'Raw Sheet'!$A$8:$AX$28,49,0)</f>
        <v>0</v>
      </c>
      <c r="DQ26" s="31">
        <f>VLOOKUP(DO4,'Raw Sheet'!$A$8:$AX$28,50,0)</f>
        <v>0</v>
      </c>
      <c r="DR26" s="608" t="s">
        <v>139</v>
      </c>
      <c r="DS26" s="606"/>
      <c r="DT26" s="25"/>
      <c r="DU26" s="22"/>
      <c r="DW26" s="23" t="s">
        <v>138</v>
      </c>
      <c r="DX26" s="25"/>
      <c r="DY26" s="27">
        <v>0</v>
      </c>
      <c r="DZ26" s="31">
        <v>0</v>
      </c>
      <c r="EA26" s="608" t="s">
        <v>139</v>
      </c>
      <c r="EB26" s="606"/>
      <c r="EC26" s="25"/>
      <c r="ED26" s="22"/>
      <c r="EF26" s="23" t="s">
        <v>138</v>
      </c>
      <c r="EG26" s="25"/>
      <c r="EH26" s="27">
        <v>0</v>
      </c>
      <c r="EI26" s="31">
        <v>0</v>
      </c>
      <c r="EJ26" s="608" t="s">
        <v>139</v>
      </c>
      <c r="EK26" s="606"/>
      <c r="EL26" s="25"/>
      <c r="EM26" s="22"/>
      <c r="EO26" s="23" t="s">
        <v>138</v>
      </c>
      <c r="EP26" s="25"/>
      <c r="EQ26" s="27">
        <f>'Raw Sheet'!BC13</f>
        <v>8</v>
      </c>
      <c r="ER26" s="31">
        <f>'Payroll Register'!Q13</f>
        <v>1912.6436781609195</v>
      </c>
      <c r="ES26" s="608" t="s">
        <v>139</v>
      </c>
      <c r="ET26" s="606"/>
      <c r="EU26" s="25"/>
      <c r="EV26" s="22"/>
      <c r="EX26" s="23" t="s">
        <v>138</v>
      </c>
      <c r="EY26" s="25"/>
      <c r="EZ26" s="27">
        <f>'Raw Sheet'!BC14</f>
        <v>8</v>
      </c>
      <c r="FA26" s="31">
        <f>'Payroll Register'!Q14</f>
        <v>2183.3563218390805</v>
      </c>
      <c r="FB26" s="608" t="s">
        <v>139</v>
      </c>
      <c r="FC26" s="606"/>
      <c r="FD26" s="25"/>
      <c r="FE26" s="22"/>
      <c r="FG26" s="23" t="s">
        <v>138</v>
      </c>
      <c r="FH26" s="25"/>
      <c r="FI26" s="27">
        <v>0</v>
      </c>
      <c r="FJ26" s="31">
        <v>0</v>
      </c>
      <c r="FK26" s="608" t="s">
        <v>139</v>
      </c>
      <c r="FL26" s="606"/>
      <c r="FM26" s="25"/>
      <c r="FN26" s="22"/>
      <c r="FP26" s="23" t="s">
        <v>138</v>
      </c>
      <c r="FQ26" s="25"/>
      <c r="FR26" s="27">
        <v>0</v>
      </c>
      <c r="FS26" s="31">
        <f>VLOOKUP(FQ4,'Raw Sheet'!$A$8:$BL$37,53,FALSE)</f>
        <v>0</v>
      </c>
      <c r="FT26" s="608" t="s">
        <v>139</v>
      </c>
      <c r="FU26" s="606"/>
      <c r="FV26" s="25"/>
      <c r="FW26" s="22"/>
      <c r="FY26" s="303" t="s">
        <v>138</v>
      </c>
      <c r="FZ26" s="306"/>
      <c r="GA26" s="310">
        <v>0</v>
      </c>
      <c r="GB26" s="316">
        <v>0</v>
      </c>
      <c r="GC26" s="621" t="s">
        <v>139</v>
      </c>
      <c r="GD26" s="622"/>
      <c r="GE26" s="306"/>
      <c r="GF26" s="302"/>
      <c r="GH26" s="23" t="s">
        <v>138</v>
      </c>
      <c r="GI26" s="25"/>
      <c r="GJ26" s="27">
        <f>'Raw Sheet'!AW17</f>
        <v>0</v>
      </c>
      <c r="GK26" s="31">
        <f>'Raw Sheet'!AX17</f>
        <v>0</v>
      </c>
      <c r="GL26" s="608" t="s">
        <v>139</v>
      </c>
      <c r="GM26" s="606"/>
      <c r="GN26" s="25"/>
      <c r="GO26" s="22"/>
      <c r="GQ26" s="23" t="s">
        <v>138</v>
      </c>
      <c r="GR26" s="25"/>
      <c r="GS26" s="27">
        <f>'Raw Sheet'!BC18</f>
        <v>2</v>
      </c>
      <c r="GT26" s="31">
        <f>'Payroll Register'!Q18</f>
        <v>329.26436781609198</v>
      </c>
      <c r="GU26" s="608" t="s">
        <v>139</v>
      </c>
      <c r="GV26" s="606"/>
      <c r="GW26" s="25"/>
      <c r="GX26" s="22"/>
      <c r="GZ26" s="23" t="s">
        <v>138</v>
      </c>
      <c r="HA26" s="25"/>
      <c r="HB26" s="27">
        <v>0</v>
      </c>
      <c r="HC26" s="31">
        <v>0</v>
      </c>
      <c r="HD26" s="608" t="s">
        <v>139</v>
      </c>
      <c r="HE26" s="606"/>
      <c r="HF26" s="25"/>
      <c r="HG26" s="22"/>
      <c r="HI26" s="23" t="s">
        <v>138</v>
      </c>
      <c r="HJ26" s="25"/>
      <c r="HK26" s="27">
        <v>0</v>
      </c>
      <c r="HL26" s="31">
        <v>0</v>
      </c>
      <c r="HM26" s="608" t="s">
        <v>139</v>
      </c>
      <c r="HN26" s="606"/>
      <c r="HO26" s="25"/>
      <c r="HP26" s="22"/>
      <c r="HR26" s="23" t="s">
        <v>138</v>
      </c>
      <c r="HS26" s="25"/>
      <c r="HT26" s="27">
        <f>'Raw Sheet'!BC21</f>
        <v>3</v>
      </c>
      <c r="HU26" s="31">
        <f>'Payroll Register'!Q21</f>
        <v>425.86206896551727</v>
      </c>
      <c r="HV26" s="608" t="s">
        <v>139</v>
      </c>
      <c r="HW26" s="606"/>
      <c r="HX26" s="25"/>
      <c r="HY26" s="22"/>
      <c r="IA26" s="23" t="s">
        <v>138</v>
      </c>
      <c r="IB26" s="25"/>
      <c r="IC26" s="27">
        <v>0</v>
      </c>
      <c r="ID26" s="31">
        <f>VLOOKUP(IB4,'Raw Sheet'!$A$8:$BL$29,53,FALSE)</f>
        <v>0</v>
      </c>
      <c r="IE26" s="608" t="s">
        <v>139</v>
      </c>
      <c r="IF26" s="606"/>
      <c r="IG26" s="25"/>
      <c r="IH26" s="22"/>
      <c r="IJ26" s="23" t="s">
        <v>138</v>
      </c>
      <c r="IK26" s="25"/>
      <c r="IL26" s="27">
        <v>0</v>
      </c>
      <c r="IM26" s="31">
        <v>0</v>
      </c>
      <c r="IN26" s="608" t="s">
        <v>139</v>
      </c>
      <c r="IO26" s="606"/>
      <c r="IP26" s="25"/>
      <c r="IQ26" s="22"/>
      <c r="IS26" s="23" t="s">
        <v>138</v>
      </c>
      <c r="IT26" s="25"/>
      <c r="IU26" s="27">
        <v>0</v>
      </c>
      <c r="IV26" s="31">
        <v>0</v>
      </c>
      <c r="IW26" s="608" t="s">
        <v>139</v>
      </c>
      <c r="IX26" s="606"/>
      <c r="IY26" s="25"/>
      <c r="IZ26" s="22"/>
      <c r="JB26" s="23" t="s">
        <v>138</v>
      </c>
      <c r="JC26" s="25"/>
      <c r="JD26" s="27">
        <v>0</v>
      </c>
      <c r="JE26" s="31">
        <v>0</v>
      </c>
      <c r="JF26" s="608" t="s">
        <v>139</v>
      </c>
      <c r="JG26" s="606"/>
      <c r="JH26" s="25"/>
      <c r="JI26" s="22"/>
      <c r="JK26" s="23" t="s">
        <v>138</v>
      </c>
      <c r="JL26" s="25"/>
      <c r="JM26" s="27">
        <v>6</v>
      </c>
      <c r="JN26" s="31">
        <f>VLOOKUP(JL4,'Raw Sheet'!$A$8:$BL$29,53,FALSE)</f>
        <v>0</v>
      </c>
      <c r="JO26" s="608" t="s">
        <v>139</v>
      </c>
      <c r="JP26" s="606"/>
      <c r="JQ26" s="25"/>
      <c r="JR26" s="22"/>
      <c r="JT26" s="23" t="s">
        <v>138</v>
      </c>
      <c r="JU26" s="25"/>
      <c r="JV26" s="27">
        <v>0</v>
      </c>
      <c r="JW26" s="31">
        <f>VLOOKUP(JU4,'Raw Sheet'!$A$8:$BL$29,53,FALSE)</f>
        <v>0</v>
      </c>
      <c r="JX26" s="608" t="s">
        <v>139</v>
      </c>
      <c r="JY26" s="606"/>
      <c r="JZ26" s="25"/>
      <c r="KA26" s="22"/>
      <c r="KC26" s="23" t="s">
        <v>138</v>
      </c>
      <c r="KD26" s="25"/>
      <c r="KE26" s="27">
        <f>'Raw Sheet'!BC28</f>
        <v>8</v>
      </c>
      <c r="KF26" s="31">
        <f>'Payroll Register'!Q28</f>
        <v>827.58620689655174</v>
      </c>
      <c r="KG26" s="608" t="s">
        <v>139</v>
      </c>
      <c r="KH26" s="606"/>
      <c r="KI26" s="25"/>
      <c r="KJ26" s="22"/>
    </row>
    <row r="27" spans="1:296" ht="12.75" customHeight="1">
      <c r="A27" s="255" t="s">
        <v>140</v>
      </c>
      <c r="B27" s="258"/>
      <c r="C27" s="262">
        <v>0</v>
      </c>
      <c r="D27" s="272">
        <v>0</v>
      </c>
      <c r="E27" s="258"/>
      <c r="F27" s="278"/>
      <c r="G27" s="258"/>
      <c r="H27" s="254"/>
      <c r="J27" s="255" t="s">
        <v>140</v>
      </c>
      <c r="K27" s="258"/>
      <c r="L27" s="262">
        <v>0</v>
      </c>
      <c r="M27" s="272">
        <v>0</v>
      </c>
      <c r="N27" s="258"/>
      <c r="O27" s="278"/>
      <c r="P27" s="258"/>
      <c r="Q27" s="254"/>
      <c r="S27" s="255" t="s">
        <v>140</v>
      </c>
      <c r="T27" s="258"/>
      <c r="U27" s="262">
        <v>0</v>
      </c>
      <c r="V27" s="272">
        <v>0</v>
      </c>
      <c r="W27" s="258"/>
      <c r="X27" s="278"/>
      <c r="Y27" s="258"/>
      <c r="Z27" s="254"/>
      <c r="AB27" s="255" t="s">
        <v>140</v>
      </c>
      <c r="AC27" s="258"/>
      <c r="AD27" s="262">
        <v>0</v>
      </c>
      <c r="AE27" s="272">
        <v>0</v>
      </c>
      <c r="AF27" s="258"/>
      <c r="AG27" s="278"/>
      <c r="AH27" s="258"/>
      <c r="AI27" s="254"/>
      <c r="AK27" s="255" t="s">
        <v>140</v>
      </c>
      <c r="AL27" s="258"/>
      <c r="AM27" s="262">
        <v>0</v>
      </c>
      <c r="AN27" s="272">
        <v>0</v>
      </c>
      <c r="AO27" s="258"/>
      <c r="AP27" s="278"/>
      <c r="AQ27" s="258"/>
      <c r="AR27" s="254"/>
      <c r="AT27" s="255" t="s">
        <v>140</v>
      </c>
      <c r="AU27" s="258"/>
      <c r="AV27" s="262">
        <v>0</v>
      </c>
      <c r="AW27" s="272">
        <v>0</v>
      </c>
      <c r="AX27" s="258"/>
      <c r="AY27" s="278"/>
      <c r="AZ27" s="258"/>
      <c r="BA27" s="254"/>
      <c r="BC27" s="255" t="s">
        <v>140</v>
      </c>
      <c r="BD27" s="258"/>
      <c r="BE27" s="262">
        <v>0</v>
      </c>
      <c r="BF27" s="272">
        <v>0</v>
      </c>
      <c r="BG27" s="258"/>
      <c r="BH27" s="278"/>
      <c r="BI27" s="258"/>
      <c r="BJ27" s="254"/>
      <c r="BL27" s="255" t="s">
        <v>140</v>
      </c>
      <c r="BM27" s="258"/>
      <c r="BN27" s="262">
        <v>0</v>
      </c>
      <c r="BO27" s="272">
        <v>0</v>
      </c>
      <c r="BP27" s="258"/>
      <c r="BQ27" s="278"/>
      <c r="BR27" s="258"/>
      <c r="BS27" s="254"/>
      <c r="BU27" s="23" t="s">
        <v>140</v>
      </c>
      <c r="BV27" s="25"/>
      <c r="BW27" s="27">
        <v>0</v>
      </c>
      <c r="BX27" s="31">
        <v>0</v>
      </c>
      <c r="BY27" s="25"/>
      <c r="BZ27" s="36"/>
      <c r="CA27" s="25"/>
      <c r="CB27" s="22"/>
      <c r="CD27" s="23" t="s">
        <v>140</v>
      </c>
      <c r="CE27" s="25"/>
      <c r="CF27" s="27">
        <v>0</v>
      </c>
      <c r="CG27" s="31">
        <v>0</v>
      </c>
      <c r="CH27" s="25"/>
      <c r="CI27" s="36"/>
      <c r="CJ27" s="25"/>
      <c r="CK27" s="22"/>
      <c r="CM27" s="255" t="s">
        <v>140</v>
      </c>
      <c r="CN27" s="258"/>
      <c r="CO27" s="262">
        <v>0</v>
      </c>
      <c r="CP27" s="272">
        <v>0</v>
      </c>
      <c r="CQ27" s="258"/>
      <c r="CR27" s="278"/>
      <c r="CS27" s="258"/>
      <c r="CT27" s="254"/>
      <c r="CV27" s="23" t="s">
        <v>140</v>
      </c>
      <c r="CW27" s="25"/>
      <c r="CX27" s="27">
        <v>0</v>
      </c>
      <c r="CY27" s="31">
        <v>0</v>
      </c>
      <c r="CZ27" s="25"/>
      <c r="DA27" s="36"/>
      <c r="DB27" s="25"/>
      <c r="DC27" s="22"/>
      <c r="DE27" s="303" t="s">
        <v>140</v>
      </c>
      <c r="DF27" s="306"/>
      <c r="DG27" s="310">
        <v>0</v>
      </c>
      <c r="DH27" s="316">
        <v>0</v>
      </c>
      <c r="DI27" s="306"/>
      <c r="DJ27" s="322"/>
      <c r="DK27" s="306"/>
      <c r="DL27" s="302"/>
      <c r="DN27" s="23" t="s">
        <v>140</v>
      </c>
      <c r="DO27" s="25"/>
      <c r="DP27" s="27">
        <v>0</v>
      </c>
      <c r="DQ27" s="31">
        <v>0</v>
      </c>
      <c r="DR27" s="25"/>
      <c r="DS27" s="36"/>
      <c r="DT27" s="25"/>
      <c r="DU27" s="22"/>
      <c r="DW27" s="23" t="s">
        <v>140</v>
      </c>
      <c r="DX27" s="25"/>
      <c r="DY27" s="27">
        <v>0</v>
      </c>
      <c r="DZ27" s="31">
        <v>0</v>
      </c>
      <c r="EA27" s="25"/>
      <c r="EB27" s="36"/>
      <c r="EC27" s="25"/>
      <c r="ED27" s="22"/>
      <c r="EF27" s="23" t="s">
        <v>140</v>
      </c>
      <c r="EG27" s="25"/>
      <c r="EH27" s="27">
        <v>0</v>
      </c>
      <c r="EI27" s="31">
        <v>0</v>
      </c>
      <c r="EJ27" s="25"/>
      <c r="EK27" s="36"/>
      <c r="EL27" s="25"/>
      <c r="EM27" s="22"/>
      <c r="EO27" s="23" t="s">
        <v>140</v>
      </c>
      <c r="EP27" s="25"/>
      <c r="EQ27" s="27">
        <v>0</v>
      </c>
      <c r="ER27" s="31">
        <v>0</v>
      </c>
      <c r="ES27" s="25"/>
      <c r="ET27" s="36"/>
      <c r="EU27" s="25"/>
      <c r="EV27" s="22"/>
      <c r="EX27" s="23" t="s">
        <v>140</v>
      </c>
      <c r="EY27" s="25"/>
      <c r="EZ27" s="27">
        <v>0</v>
      </c>
      <c r="FA27" s="31">
        <v>0</v>
      </c>
      <c r="FB27" s="25"/>
      <c r="FC27" s="36"/>
      <c r="FD27" s="25"/>
      <c r="FE27" s="22"/>
      <c r="FG27" s="23" t="s">
        <v>140</v>
      </c>
      <c r="FH27" s="25"/>
      <c r="FI27" s="27">
        <v>0</v>
      </c>
      <c r="FJ27" s="31">
        <v>0</v>
      </c>
      <c r="FK27" s="25"/>
      <c r="FL27" s="36"/>
      <c r="FM27" s="25"/>
      <c r="FN27" s="22"/>
      <c r="FP27" s="23" t="s">
        <v>140</v>
      </c>
      <c r="FQ27" s="25"/>
      <c r="FR27" s="27">
        <v>0</v>
      </c>
      <c r="FS27" s="31">
        <v>0</v>
      </c>
      <c r="FT27" s="25"/>
      <c r="FU27" s="36"/>
      <c r="FV27" s="25"/>
      <c r="FW27" s="22"/>
      <c r="FY27" s="303" t="s">
        <v>140</v>
      </c>
      <c r="FZ27" s="306"/>
      <c r="GA27" s="310">
        <v>0</v>
      </c>
      <c r="GB27" s="316">
        <v>0</v>
      </c>
      <c r="GC27" s="306"/>
      <c r="GD27" s="322"/>
      <c r="GE27" s="306"/>
      <c r="GF27" s="302"/>
      <c r="GH27" s="23" t="s">
        <v>140</v>
      </c>
      <c r="GI27" s="25"/>
      <c r="GJ27" s="27">
        <v>0</v>
      </c>
      <c r="GK27" s="31">
        <v>0</v>
      </c>
      <c r="GL27" s="25"/>
      <c r="GM27" s="36"/>
      <c r="GN27" s="25"/>
      <c r="GO27" s="22"/>
      <c r="GQ27" s="23" t="s">
        <v>140</v>
      </c>
      <c r="GR27" s="25"/>
      <c r="GS27" s="27">
        <v>0</v>
      </c>
      <c r="GT27" s="31">
        <f>VLOOKUP(GR4,'Raw Sheet'!$A$8:$BL$29,53,FALSE)</f>
        <v>0</v>
      </c>
      <c r="GU27" s="25"/>
      <c r="GV27" s="36"/>
      <c r="GW27" s="25"/>
      <c r="GX27" s="22"/>
      <c r="GZ27" s="23" t="s">
        <v>140</v>
      </c>
      <c r="HA27" s="25"/>
      <c r="HB27" s="27">
        <v>0</v>
      </c>
      <c r="HC27" s="31">
        <v>0</v>
      </c>
      <c r="HD27" s="25"/>
      <c r="HE27" s="36"/>
      <c r="HF27" s="25"/>
      <c r="HG27" s="22"/>
      <c r="HI27" s="23" t="s">
        <v>140</v>
      </c>
      <c r="HJ27" s="25"/>
      <c r="HK27" s="27">
        <v>0</v>
      </c>
      <c r="HL27" s="31">
        <v>0</v>
      </c>
      <c r="HM27" s="25"/>
      <c r="HN27" s="36"/>
      <c r="HO27" s="25"/>
      <c r="HP27" s="22"/>
      <c r="HR27" s="23" t="s">
        <v>140</v>
      </c>
      <c r="HS27" s="25"/>
      <c r="HT27" s="27">
        <v>0</v>
      </c>
      <c r="HU27" s="31">
        <f>VLOOKUP(HS4,'Raw Sheet'!$A$8:$BL$29,53,FALSE)</f>
        <v>0</v>
      </c>
      <c r="HV27" s="25"/>
      <c r="HW27" s="36"/>
      <c r="HX27" s="25"/>
      <c r="HY27" s="22"/>
      <c r="IA27" s="23" t="s">
        <v>140</v>
      </c>
      <c r="IB27" s="25"/>
      <c r="IC27" s="27">
        <v>0</v>
      </c>
      <c r="ID27" s="31">
        <v>0</v>
      </c>
      <c r="IE27" s="25"/>
      <c r="IF27" s="36"/>
      <c r="IG27" s="25"/>
      <c r="IH27" s="22"/>
      <c r="IJ27" s="23" t="s">
        <v>140</v>
      </c>
      <c r="IK27" s="25"/>
      <c r="IL27" s="27">
        <v>0</v>
      </c>
      <c r="IM27" s="31">
        <f>VLOOKUP(IK4,'Raw Sheet'!$A$8:$BL$29,53,FALSE)</f>
        <v>0</v>
      </c>
      <c r="IN27" s="25"/>
      <c r="IO27" s="36"/>
      <c r="IP27" s="25"/>
      <c r="IQ27" s="22"/>
      <c r="IS27" s="23" t="s">
        <v>140</v>
      </c>
      <c r="IT27" s="25"/>
      <c r="IU27" s="27">
        <v>0</v>
      </c>
      <c r="IV27" s="31">
        <f>VLOOKUP(IT4,'Raw Sheet'!$A$8:$BL$29,53,FALSE)</f>
        <v>0</v>
      </c>
      <c r="IW27" s="25"/>
      <c r="IX27" s="36"/>
      <c r="IY27" s="25"/>
      <c r="IZ27" s="22"/>
      <c r="JB27" s="23" t="s">
        <v>140</v>
      </c>
      <c r="JC27" s="25"/>
      <c r="JD27" s="27">
        <v>0</v>
      </c>
      <c r="JE27" s="31">
        <f>VLOOKUP(JC4,'Raw Sheet'!$A$8:$BL$29,53,FALSE)</f>
        <v>0</v>
      </c>
      <c r="JF27" s="25"/>
      <c r="JG27" s="36"/>
      <c r="JH27" s="25"/>
      <c r="JI27" s="22"/>
      <c r="JK27" s="23" t="s">
        <v>140</v>
      </c>
      <c r="JL27" s="25"/>
      <c r="JM27" s="27">
        <v>0</v>
      </c>
      <c r="JN27" s="31">
        <v>0</v>
      </c>
      <c r="JO27" s="25"/>
      <c r="JP27" s="36"/>
      <c r="JQ27" s="25"/>
      <c r="JR27" s="22"/>
      <c r="JT27" s="23" t="s">
        <v>140</v>
      </c>
      <c r="JU27" s="25"/>
      <c r="JV27" s="27">
        <v>0</v>
      </c>
      <c r="JW27" s="31">
        <v>0</v>
      </c>
      <c r="JX27" s="25"/>
      <c r="JY27" s="36"/>
      <c r="JZ27" s="25"/>
      <c r="KA27" s="22"/>
      <c r="KC27" s="23" t="s">
        <v>140</v>
      </c>
      <c r="KD27" s="25"/>
      <c r="KE27" s="27">
        <v>0</v>
      </c>
      <c r="KF27" s="31">
        <v>0</v>
      </c>
      <c r="KG27" s="25"/>
      <c r="KH27" s="36"/>
      <c r="KI27" s="25"/>
      <c r="KJ27" s="22"/>
    </row>
    <row r="28" spans="1:296" ht="12.75" customHeight="1">
      <c r="A28" s="255" t="s">
        <v>141</v>
      </c>
      <c r="C28" s="262">
        <v>0</v>
      </c>
      <c r="D28" s="272">
        <v>0</v>
      </c>
      <c r="E28" s="258"/>
      <c r="F28" s="278"/>
      <c r="G28" s="258"/>
      <c r="H28" s="254"/>
      <c r="J28" s="255" t="s">
        <v>141</v>
      </c>
      <c r="L28" s="262">
        <v>0</v>
      </c>
      <c r="M28" s="272">
        <v>0</v>
      </c>
      <c r="N28" s="258"/>
      <c r="O28" s="278"/>
      <c r="P28" s="258"/>
      <c r="Q28" s="254"/>
      <c r="S28" s="255" t="s">
        <v>141</v>
      </c>
      <c r="U28" s="262">
        <v>0</v>
      </c>
      <c r="V28" s="272">
        <v>0</v>
      </c>
      <c r="W28" s="258"/>
      <c r="X28" s="278"/>
      <c r="Y28" s="258"/>
      <c r="Z28" s="254"/>
      <c r="AB28" s="255" t="s">
        <v>141</v>
      </c>
      <c r="AD28" s="262">
        <v>0</v>
      </c>
      <c r="AE28" s="272">
        <v>0</v>
      </c>
      <c r="AF28" s="258"/>
      <c r="AG28" s="278"/>
      <c r="AH28" s="258"/>
      <c r="AI28" s="254"/>
      <c r="AK28" s="255" t="s">
        <v>141</v>
      </c>
      <c r="AM28" s="262">
        <v>0</v>
      </c>
      <c r="AN28" s="272">
        <v>0</v>
      </c>
      <c r="AO28" s="258"/>
      <c r="AP28" s="278"/>
      <c r="AQ28" s="258"/>
      <c r="AR28" s="254"/>
      <c r="AT28" s="255" t="s">
        <v>141</v>
      </c>
      <c r="AV28" s="262">
        <v>0</v>
      </c>
      <c r="AW28" s="272">
        <v>0</v>
      </c>
      <c r="AX28" s="258"/>
      <c r="AY28" s="278"/>
      <c r="AZ28" s="258"/>
      <c r="BA28" s="254"/>
      <c r="BC28" s="255" t="s">
        <v>141</v>
      </c>
      <c r="BE28" s="262">
        <v>0</v>
      </c>
      <c r="BF28" s="272">
        <v>0</v>
      </c>
      <c r="BG28" s="258"/>
      <c r="BH28" s="278"/>
      <c r="BI28" s="258"/>
      <c r="BJ28" s="254"/>
      <c r="BL28" s="255" t="s">
        <v>141</v>
      </c>
      <c r="BN28" s="262">
        <v>0</v>
      </c>
      <c r="BO28" s="272">
        <v>0</v>
      </c>
      <c r="BP28" s="258"/>
      <c r="BQ28" s="278"/>
      <c r="BR28" s="258"/>
      <c r="BS28" s="254"/>
      <c r="BU28" s="23" t="s">
        <v>141</v>
      </c>
      <c r="BW28" s="27">
        <f>VLOOKUP(BV4,'Raw Sheet'!$A$8:$BA$28,53,0)</f>
        <v>0</v>
      </c>
      <c r="BX28" s="31">
        <f>VLOOKUP(BV4,'Raw Sheet'!$A$8:$BB$28,54,0)</f>
        <v>0</v>
      </c>
      <c r="BY28" s="25"/>
      <c r="BZ28" s="36"/>
      <c r="CA28" s="25"/>
      <c r="CB28" s="22"/>
      <c r="CD28" s="23" t="s">
        <v>141</v>
      </c>
      <c r="CF28" s="27">
        <v>0</v>
      </c>
      <c r="CG28" s="31">
        <v>0</v>
      </c>
      <c r="CH28" s="25"/>
      <c r="CI28" s="36"/>
      <c r="CJ28" s="25"/>
      <c r="CK28" s="22"/>
      <c r="CM28" s="255" t="s">
        <v>141</v>
      </c>
      <c r="CO28" s="262">
        <v>0</v>
      </c>
      <c r="CP28" s="272">
        <v>0</v>
      </c>
      <c r="CQ28" s="258"/>
      <c r="CR28" s="278"/>
      <c r="CS28" s="258"/>
      <c r="CT28" s="254"/>
      <c r="CV28" s="23" t="s">
        <v>141</v>
      </c>
      <c r="CX28" s="27">
        <f>VLOOKUP(CW4,'Raw Sheet'!$A$8:$BA$28,53,0)</f>
        <v>0</v>
      </c>
      <c r="CY28" s="31">
        <f>VLOOKUP(CW4,'Raw Sheet'!$A$8:$BB$28,54,0)</f>
        <v>0</v>
      </c>
      <c r="CZ28" s="25"/>
      <c r="DA28" s="36"/>
      <c r="DB28" s="25"/>
      <c r="DC28" s="22"/>
      <c r="DE28" s="303" t="s">
        <v>141</v>
      </c>
      <c r="DG28" s="310">
        <v>0</v>
      </c>
      <c r="DH28" s="316">
        <v>0</v>
      </c>
      <c r="DI28" s="306"/>
      <c r="DJ28" s="322"/>
      <c r="DK28" s="306"/>
      <c r="DL28" s="302"/>
      <c r="DN28" s="23" t="s">
        <v>141</v>
      </c>
      <c r="DP28" s="27">
        <v>0</v>
      </c>
      <c r="DQ28" s="31">
        <v>0</v>
      </c>
      <c r="DR28" s="25"/>
      <c r="DS28" s="36"/>
      <c r="DT28" s="25"/>
      <c r="DU28" s="22"/>
      <c r="DW28" s="23" t="s">
        <v>141</v>
      </c>
      <c r="DY28" s="27">
        <v>0</v>
      </c>
      <c r="DZ28" s="31">
        <v>0</v>
      </c>
      <c r="EA28" s="25"/>
      <c r="EB28" s="36"/>
      <c r="EC28" s="25"/>
      <c r="ED28" s="22"/>
      <c r="EF28" s="23" t="s">
        <v>141</v>
      </c>
      <c r="EH28" s="27">
        <v>0</v>
      </c>
      <c r="EI28" s="31">
        <v>0</v>
      </c>
      <c r="EJ28" s="25"/>
      <c r="EK28" s="36"/>
      <c r="EL28" s="25"/>
      <c r="EM28" s="22"/>
      <c r="EO28" s="23" t="s">
        <v>141</v>
      </c>
      <c r="EQ28" s="27">
        <v>0</v>
      </c>
      <c r="ER28" s="31">
        <v>0</v>
      </c>
      <c r="ES28" s="25"/>
      <c r="ET28" s="36"/>
      <c r="EU28" s="25"/>
      <c r="EV28" s="22"/>
      <c r="EX28" s="23" t="s">
        <v>141</v>
      </c>
      <c r="EZ28" s="27">
        <f>VLOOKUP(EY4,'Raw Sheet'!$A$8:$BA$28,53,0)</f>
        <v>0</v>
      </c>
      <c r="FA28" s="31">
        <f>VLOOKUP(EY4,'Raw Sheet'!$A$8:$BB$28,54,0)</f>
        <v>0</v>
      </c>
      <c r="FB28" s="25"/>
      <c r="FC28" s="36"/>
      <c r="FD28" s="25"/>
      <c r="FE28" s="22"/>
      <c r="FG28" s="23" t="s">
        <v>141</v>
      </c>
      <c r="FI28" s="27">
        <v>0</v>
      </c>
      <c r="FJ28" s="31">
        <v>0</v>
      </c>
      <c r="FK28" s="25"/>
      <c r="FL28" s="36"/>
      <c r="FM28" s="25"/>
      <c r="FN28" s="22"/>
      <c r="FP28" s="23" t="s">
        <v>141</v>
      </c>
      <c r="FR28" s="27">
        <v>0</v>
      </c>
      <c r="FS28" s="31">
        <v>0</v>
      </c>
      <c r="FT28" s="25"/>
      <c r="FU28" s="36"/>
      <c r="FV28" s="25"/>
      <c r="FW28" s="22"/>
      <c r="FY28" s="303" t="s">
        <v>141</v>
      </c>
      <c r="GA28" s="310">
        <v>0</v>
      </c>
      <c r="GB28" s="316">
        <v>0</v>
      </c>
      <c r="GC28" s="306"/>
      <c r="GD28" s="322"/>
      <c r="GE28" s="306"/>
      <c r="GF28" s="302"/>
      <c r="GH28" s="23" t="s">
        <v>141</v>
      </c>
      <c r="GJ28" s="27">
        <f>'Raw Sheet'!BA17</f>
        <v>0</v>
      </c>
      <c r="GK28" s="31">
        <f>VLOOKUP(GI4,'Raw Sheet'!$A$8:$BL$37,53,FALSE)</f>
        <v>0</v>
      </c>
      <c r="GL28" s="25"/>
      <c r="GM28" s="36"/>
      <c r="GN28" s="25"/>
      <c r="GO28" s="22"/>
      <c r="GQ28" s="23" t="s">
        <v>141</v>
      </c>
      <c r="GS28" s="27">
        <v>0</v>
      </c>
      <c r="GT28" s="31">
        <v>0</v>
      </c>
      <c r="GU28" s="25"/>
      <c r="GV28" s="36"/>
      <c r="GW28" s="25"/>
      <c r="GX28" s="22"/>
      <c r="GZ28" s="23" t="s">
        <v>141</v>
      </c>
      <c r="HB28" s="27">
        <v>0</v>
      </c>
      <c r="HC28" s="31">
        <v>0</v>
      </c>
      <c r="HD28" s="25"/>
      <c r="HE28" s="36"/>
      <c r="HF28" s="25"/>
      <c r="HG28" s="22"/>
      <c r="HI28" s="23" t="s">
        <v>141</v>
      </c>
      <c r="HK28" s="27">
        <v>0</v>
      </c>
      <c r="HL28" s="31">
        <v>0</v>
      </c>
      <c r="HM28" s="25"/>
      <c r="HN28" s="36"/>
      <c r="HO28" s="25"/>
      <c r="HP28" s="22"/>
      <c r="HR28" s="23" t="s">
        <v>141</v>
      </c>
      <c r="HT28" s="27">
        <v>0</v>
      </c>
      <c r="HU28" s="31">
        <v>0</v>
      </c>
      <c r="HV28" s="25"/>
      <c r="HW28" s="36"/>
      <c r="HX28" s="25"/>
      <c r="HY28" s="22"/>
      <c r="IA28" s="23" t="s">
        <v>141</v>
      </c>
      <c r="IC28" s="27">
        <v>0</v>
      </c>
      <c r="ID28" s="31">
        <v>0</v>
      </c>
      <c r="IE28" s="25"/>
      <c r="IF28" s="36"/>
      <c r="IG28" s="25"/>
      <c r="IH28" s="22"/>
      <c r="IJ28" s="23" t="s">
        <v>141</v>
      </c>
      <c r="IL28" s="27">
        <v>0</v>
      </c>
      <c r="IM28" s="31">
        <v>0</v>
      </c>
      <c r="IN28" s="25"/>
      <c r="IO28" s="36"/>
      <c r="IP28" s="25"/>
      <c r="IQ28" s="22"/>
      <c r="IS28" s="23" t="s">
        <v>141</v>
      </c>
      <c r="IU28" s="27">
        <v>0</v>
      </c>
      <c r="IV28" s="31">
        <v>0</v>
      </c>
      <c r="IW28" s="25"/>
      <c r="IX28" s="36"/>
      <c r="IY28" s="25"/>
      <c r="IZ28" s="22"/>
      <c r="JB28" s="23" t="s">
        <v>141</v>
      </c>
      <c r="JD28" s="27">
        <v>0</v>
      </c>
      <c r="JE28" s="31">
        <v>0</v>
      </c>
      <c r="JF28" s="25"/>
      <c r="JG28" s="36"/>
      <c r="JH28" s="25"/>
      <c r="JI28" s="22"/>
      <c r="JK28" s="23" t="s">
        <v>141</v>
      </c>
      <c r="JM28" s="27">
        <v>0</v>
      </c>
      <c r="JN28" s="31">
        <v>0</v>
      </c>
      <c r="JO28" s="25"/>
      <c r="JP28" s="36"/>
      <c r="JQ28" s="25"/>
      <c r="JR28" s="22"/>
      <c r="JT28" s="23" t="s">
        <v>141</v>
      </c>
      <c r="JV28" s="27">
        <v>0</v>
      </c>
      <c r="JW28" s="31">
        <v>0</v>
      </c>
      <c r="JX28" s="25"/>
      <c r="JY28" s="36"/>
      <c r="JZ28" s="25"/>
      <c r="KA28" s="22"/>
      <c r="KC28" s="23" t="s">
        <v>141</v>
      </c>
      <c r="KE28" s="27">
        <v>0</v>
      </c>
      <c r="KF28" s="31">
        <v>0</v>
      </c>
      <c r="KG28" s="25"/>
      <c r="KH28" s="36"/>
      <c r="KI28" s="25"/>
      <c r="KJ28" s="22"/>
    </row>
    <row r="29" spans="1:296" ht="12.75" customHeight="1">
      <c r="A29" s="255"/>
      <c r="C29" s="262"/>
      <c r="D29" s="272"/>
      <c r="E29" s="258"/>
      <c r="F29" s="258"/>
      <c r="G29" s="280" t="s">
        <v>142</v>
      </c>
      <c r="H29" s="268" t="e">
        <f>SUM(F22:F25)+SUM(F27:F28)+SUM(H22:H25)</f>
        <v>#N/A</v>
      </c>
      <c r="J29" s="255"/>
      <c r="L29" s="262"/>
      <c r="M29" s="272"/>
      <c r="N29" s="258"/>
      <c r="O29" s="258"/>
      <c r="P29" s="280" t="s">
        <v>142</v>
      </c>
      <c r="Q29" s="268" t="e">
        <f>SUM(O22:O25)+SUM(O27:O28)+SUM(Q22:Q25)</f>
        <v>#N/A</v>
      </c>
      <c r="S29" s="255"/>
      <c r="U29" s="262"/>
      <c r="V29" s="272"/>
      <c r="W29" s="258"/>
      <c r="X29" s="258"/>
      <c r="Y29" s="280" t="s">
        <v>142</v>
      </c>
      <c r="Z29" s="268" t="e">
        <f>SUM(X22:X25)+SUM(X27:X28)+SUM(Z22:Z25)</f>
        <v>#N/A</v>
      </c>
      <c r="AB29" s="255"/>
      <c r="AD29" s="262"/>
      <c r="AE29" s="272"/>
      <c r="AF29" s="258"/>
      <c r="AG29" s="258"/>
      <c r="AH29" s="280" t="s">
        <v>142</v>
      </c>
      <c r="AI29" s="268" t="e">
        <f>SUM(AG22:AG25)+SUM(AG27:AG28)+SUM(AI22:AI25)</f>
        <v>#N/A</v>
      </c>
      <c r="AK29" s="255"/>
      <c r="AM29" s="262"/>
      <c r="AN29" s="272"/>
      <c r="AO29" s="258"/>
      <c r="AP29" s="258"/>
      <c r="AQ29" s="280" t="s">
        <v>142</v>
      </c>
      <c r="AR29" s="268" t="e">
        <f>SUM(AP22:AP25)+SUM(AP27:AP28)+SUM(AR22:AR25)</f>
        <v>#N/A</v>
      </c>
      <c r="AT29" s="255"/>
      <c r="AV29" s="262"/>
      <c r="AW29" s="272"/>
      <c r="AX29" s="258"/>
      <c r="AY29" s="258"/>
      <c r="AZ29" s="280" t="s">
        <v>142</v>
      </c>
      <c r="BA29" s="268" t="e">
        <f>SUM(AY22:AY25)+SUM(AY27:AY28)+SUM(BA22:BA25)</f>
        <v>#N/A</v>
      </c>
      <c r="BC29" s="255"/>
      <c r="BE29" s="262"/>
      <c r="BF29" s="272"/>
      <c r="BG29" s="258"/>
      <c r="BH29" s="258"/>
      <c r="BI29" s="280" t="s">
        <v>142</v>
      </c>
      <c r="BJ29" s="268" t="e">
        <f>SUM(BH22:BH25)+SUM(BH27:BH28)+SUM(BJ22:BJ25)</f>
        <v>#N/A</v>
      </c>
      <c r="BL29" s="255"/>
      <c r="BN29" s="262"/>
      <c r="BO29" s="272"/>
      <c r="BP29" s="258"/>
      <c r="BQ29" s="258"/>
      <c r="BR29" s="280" t="s">
        <v>142</v>
      </c>
      <c r="BS29" s="268" t="e">
        <f>SUM(BQ22:BQ25)+SUM(BQ27:BQ28)+SUM(BS22:BS25)</f>
        <v>#N/A</v>
      </c>
      <c r="BU29" s="23"/>
      <c r="BW29" s="27"/>
      <c r="BX29" s="31"/>
      <c r="BY29" s="25"/>
      <c r="BZ29" s="25"/>
      <c r="CA29" s="37" t="s">
        <v>142</v>
      </c>
      <c r="CB29" s="29">
        <f>CB22+BZ25</f>
        <v>3221.2103448275861</v>
      </c>
      <c r="CD29" s="23"/>
      <c r="CF29" s="27"/>
      <c r="CG29" s="31"/>
      <c r="CH29" s="25"/>
      <c r="CI29" s="25"/>
      <c r="CJ29" s="37" t="s">
        <v>142</v>
      </c>
      <c r="CK29" s="29" t="e">
        <f>SUM(CI22:CI25)+SUM(CI27:CI28)+SUM(CK22:CK25)</f>
        <v>#N/A</v>
      </c>
      <c r="CM29" s="255"/>
      <c r="CO29" s="262"/>
      <c r="CP29" s="272"/>
      <c r="CQ29" s="258"/>
      <c r="CR29" s="258"/>
      <c r="CS29" s="280" t="s">
        <v>142</v>
      </c>
      <c r="CT29" s="268" t="e">
        <f>SUM(CR22:CR25)+SUM(CR27:CR28)+SUM(CT22:CT25)</f>
        <v>#N/A</v>
      </c>
      <c r="CV29" s="23"/>
      <c r="CX29" s="27"/>
      <c r="CY29" s="31"/>
      <c r="CZ29" s="25"/>
      <c r="DA29" s="25"/>
      <c r="DB29" s="37" t="s">
        <v>142</v>
      </c>
      <c r="DC29" s="29">
        <f>SUM(DA22:DA25)+SUM(DA27:DA28)+SUM(DC22:DC25)</f>
        <v>4198.5517241379312</v>
      </c>
      <c r="DE29" s="303"/>
      <c r="DG29" s="310"/>
      <c r="DH29" s="316"/>
      <c r="DI29" s="306"/>
      <c r="DJ29" s="306"/>
      <c r="DK29" s="323" t="s">
        <v>142</v>
      </c>
      <c r="DL29" s="313" t="e">
        <f>SUM(DJ22:DJ25)+SUM(DJ27:DJ28)+SUM(DL22:DL25)</f>
        <v>#N/A</v>
      </c>
      <c r="DN29" s="23"/>
      <c r="DP29" s="27"/>
      <c r="DQ29" s="31"/>
      <c r="DR29" s="25"/>
      <c r="DS29" s="25"/>
      <c r="DT29" s="37" t="s">
        <v>142</v>
      </c>
      <c r="DU29" s="29">
        <f>SUM(DS22:DS25)+SUM(DS27:DS28)+SUM(DU22:DU25)</f>
        <v>3451.1379310344828</v>
      </c>
      <c r="DW29" s="23"/>
      <c r="DY29" s="27"/>
      <c r="DZ29" s="31"/>
      <c r="EA29" s="25"/>
      <c r="EB29" s="25"/>
      <c r="EC29" s="37" t="s">
        <v>142</v>
      </c>
      <c r="ED29" s="29">
        <f>SUM(EB22:EB25)+SUM(EB27:EB28)+SUM(ED22:ED25)</f>
        <v>17210.8</v>
      </c>
      <c r="EF29" s="23"/>
      <c r="EH29" s="27"/>
      <c r="EI29" s="31"/>
      <c r="EJ29" s="25"/>
      <c r="EK29" s="25"/>
      <c r="EL29" s="37" t="s">
        <v>142</v>
      </c>
      <c r="EM29" s="29">
        <f>SUM(EK22:EK25)+SUM(EK27:EK28)+SUM(EM22:EM25)</f>
        <v>71506.63</v>
      </c>
      <c r="EO29" s="23"/>
      <c r="EQ29" s="27"/>
      <c r="ER29" s="31"/>
      <c r="ES29" s="25"/>
      <c r="ET29" s="25"/>
      <c r="EU29" s="37" t="s">
        <v>142</v>
      </c>
      <c r="EV29" s="29">
        <f>SUM(ET22:ET25)+SUM(ET27:ET28)+SUM(EV22:EV25)</f>
        <v>674.34655172413784</v>
      </c>
      <c r="EX29" s="23"/>
      <c r="EZ29" s="27"/>
      <c r="FA29" s="31"/>
      <c r="FB29" s="25"/>
      <c r="FC29" s="25"/>
      <c r="FD29" s="37" t="s">
        <v>142</v>
      </c>
      <c r="FE29" s="29">
        <f>SUM(FC22:FC25)+SUM(FC27:FC28)+SUM(FE22:FE25)</f>
        <v>1046.2977011494252</v>
      </c>
      <c r="FG29" s="23"/>
      <c r="FI29" s="27"/>
      <c r="FJ29" s="31"/>
      <c r="FK29" s="25"/>
      <c r="FL29" s="25"/>
      <c r="FM29" s="37" t="s">
        <v>142</v>
      </c>
      <c r="FN29" s="29">
        <f>SUM(FL22:FL25)+SUM(FL27:FL28)+SUM(FN22:FN25)</f>
        <v>7199.95</v>
      </c>
      <c r="FP29" s="23"/>
      <c r="FR29" s="27"/>
      <c r="FS29" s="31"/>
      <c r="FT29" s="25"/>
      <c r="FU29" s="25"/>
      <c r="FV29" s="37" t="s">
        <v>142</v>
      </c>
      <c r="FW29" s="29">
        <f>SUM(FU22:FU25)+SUM(FU27:FU28)+SUM(FW22:FW25)</f>
        <v>13343.161206896551</v>
      </c>
      <c r="FY29" s="303"/>
      <c r="GA29" s="310"/>
      <c r="GB29" s="316"/>
      <c r="GC29" s="306"/>
      <c r="GD29" s="306"/>
      <c r="GE29" s="323" t="s">
        <v>142</v>
      </c>
      <c r="GF29" s="313" t="e">
        <f>SUM(GD22:GD25)+SUM(GD27:GD28)+SUM(GF22:GF25)</f>
        <v>#N/A</v>
      </c>
      <c r="GH29" s="23"/>
      <c r="GJ29" s="27"/>
      <c r="GK29" s="31"/>
      <c r="GL29" s="25"/>
      <c r="GM29" s="25"/>
      <c r="GN29" s="37" t="s">
        <v>142</v>
      </c>
      <c r="GO29" s="29">
        <f>SUM(GM22:GM25)+SUM(GM27:GM28)+SUM(GO22:GO25)</f>
        <v>1176.5137931034478</v>
      </c>
      <c r="GQ29" s="23"/>
      <c r="GS29" s="27"/>
      <c r="GT29" s="31"/>
      <c r="GU29" s="25"/>
      <c r="GV29" s="25"/>
      <c r="GW29" s="37" t="s">
        <v>142</v>
      </c>
      <c r="GX29" s="29">
        <f>SUM(GV22:GV25)+SUM(GV27:GV28)+SUM(GX22:GX25)</f>
        <v>832.84827586206893</v>
      </c>
      <c r="GZ29" s="23"/>
      <c r="HB29" s="27"/>
      <c r="HC29" s="31"/>
      <c r="HD29" s="25"/>
      <c r="HE29" s="25"/>
      <c r="HF29" s="37" t="s">
        <v>142</v>
      </c>
      <c r="HG29" s="29">
        <f>SUM(HE22:HE25)+SUM(HE27:HE28)+SUM(HG22:HG25)</f>
        <v>20542.35172413793</v>
      </c>
      <c r="HI29" s="23"/>
      <c r="HK29" s="27"/>
      <c r="HL29" s="31"/>
      <c r="HM29" s="25"/>
      <c r="HN29" s="25"/>
      <c r="HO29" s="37" t="s">
        <v>142</v>
      </c>
      <c r="HP29" s="29">
        <f>SUM(HN22:HN25)+SUM(HN27:HN28)+SUM(HP22:HP25)</f>
        <v>5244.0706896551719</v>
      </c>
      <c r="HR29" s="23"/>
      <c r="HT29" s="27"/>
      <c r="HU29" s="31"/>
      <c r="HV29" s="25"/>
      <c r="HW29" s="25"/>
      <c r="HX29" s="37" t="s">
        <v>142</v>
      </c>
      <c r="HY29" s="29">
        <f>SUM(HW22:HW25)+SUM(HW27:HW28)+SUM(HY22:HY25)</f>
        <v>1885.8651724137931</v>
      </c>
      <c r="IA29" s="23"/>
      <c r="IC29" s="27"/>
      <c r="ID29" s="31"/>
      <c r="IE29" s="25"/>
      <c r="IF29" s="25"/>
      <c r="IG29" s="37" t="s">
        <v>142</v>
      </c>
      <c r="IH29" s="29">
        <f>SUM(IF22:IF25)+SUM(IF27:IF28)+SUM(IH22:IH25)</f>
        <v>9310.2948275862072</v>
      </c>
      <c r="IJ29" s="23"/>
      <c r="IL29" s="27"/>
      <c r="IM29" s="31"/>
      <c r="IN29" s="25"/>
      <c r="IO29" s="25"/>
      <c r="IP29" s="37" t="s">
        <v>142</v>
      </c>
      <c r="IQ29" s="29">
        <f>SUM(IO22:IO25)+SUM(IO27:IO28)+SUM(IQ22:IQ25)</f>
        <v>26109.632222222372</v>
      </c>
      <c r="IS29" s="23"/>
      <c r="IU29" s="27"/>
      <c r="IV29" s="31"/>
      <c r="IW29" s="25"/>
      <c r="IX29" s="25"/>
      <c r="IY29" s="37" t="s">
        <v>142</v>
      </c>
      <c r="IZ29" s="29">
        <f>SUM(IX22:IX25)+SUM(IX27:IX28)+SUM(IZ22:IZ25)</f>
        <v>728.82931034482772</v>
      </c>
      <c r="JB29" s="23"/>
      <c r="JD29" s="27"/>
      <c r="JE29" s="31"/>
      <c r="JF29" s="25"/>
      <c r="JG29" s="25"/>
      <c r="JH29" s="37" t="s">
        <v>142</v>
      </c>
      <c r="JI29" s="29">
        <f>SUM(JG22:JG25)+SUM(JG27:JG28)+SUM(JI22:JI25)</f>
        <v>585.7258620689654</v>
      </c>
      <c r="JK29" s="23"/>
      <c r="JM29" s="27"/>
      <c r="JN29" s="31"/>
      <c r="JO29" s="25"/>
      <c r="JP29" s="25"/>
      <c r="JQ29" s="37" t="s">
        <v>142</v>
      </c>
      <c r="JR29" s="29">
        <f>SUM(JP22:JP25)+SUM(JP27:JP28)+SUM(JR22:JR25)</f>
        <v>9696.6118390804586</v>
      </c>
      <c r="JT29" s="23"/>
      <c r="JV29" s="27"/>
      <c r="JW29" s="31"/>
      <c r="JX29" s="25"/>
      <c r="JY29" s="25"/>
      <c r="JZ29" s="37" t="s">
        <v>142</v>
      </c>
      <c r="KA29" s="29">
        <f>SUM(JY22:JY25)+SUM(JY27:JY28)+SUM(KA22:KA25)</f>
        <v>246.76034482758612</v>
      </c>
      <c r="KC29" s="23"/>
      <c r="KE29" s="27"/>
      <c r="KF29" s="31"/>
      <c r="KG29" s="25"/>
      <c r="KH29" s="25"/>
      <c r="KI29" s="37" t="s">
        <v>142</v>
      </c>
      <c r="KJ29" s="29">
        <f>SUM(KH22:KH25)+SUM(KH27:KH28)+SUM(KJ22:KJ25)</f>
        <v>0</v>
      </c>
    </row>
    <row r="30" spans="1:296" ht="12" customHeight="1">
      <c r="A30" s="281"/>
      <c r="B30" s="282"/>
      <c r="C30" s="282"/>
      <c r="D30" s="273"/>
      <c r="E30" s="281"/>
      <c r="F30" s="282"/>
      <c r="G30" s="282"/>
      <c r="H30" s="283"/>
      <c r="J30" s="281"/>
      <c r="K30" s="282"/>
      <c r="L30" s="282"/>
      <c r="M30" s="273"/>
      <c r="N30" s="281"/>
      <c r="O30" s="282"/>
      <c r="P30" s="282"/>
      <c r="Q30" s="283"/>
      <c r="S30" s="281"/>
      <c r="T30" s="282"/>
      <c r="U30" s="282"/>
      <c r="V30" s="273"/>
      <c r="W30" s="281"/>
      <c r="X30" s="282"/>
      <c r="Y30" s="282"/>
      <c r="Z30" s="283"/>
      <c r="AB30" s="281"/>
      <c r="AC30" s="282"/>
      <c r="AD30" s="282"/>
      <c r="AE30" s="273"/>
      <c r="AF30" s="281"/>
      <c r="AG30" s="282"/>
      <c r="AH30" s="282"/>
      <c r="AI30" s="283"/>
      <c r="AK30" s="281"/>
      <c r="AL30" s="282"/>
      <c r="AM30" s="282"/>
      <c r="AN30" s="273"/>
      <c r="AO30" s="281"/>
      <c r="AP30" s="282"/>
      <c r="AQ30" s="282"/>
      <c r="AR30" s="283"/>
      <c r="AT30" s="281"/>
      <c r="AU30" s="282"/>
      <c r="AV30" s="282"/>
      <c r="AW30" s="273"/>
      <c r="AX30" s="281"/>
      <c r="AY30" s="282"/>
      <c r="AZ30" s="282"/>
      <c r="BA30" s="283"/>
      <c r="BC30" s="281"/>
      <c r="BD30" s="282"/>
      <c r="BE30" s="282"/>
      <c r="BF30" s="273"/>
      <c r="BG30" s="281"/>
      <c r="BH30" s="282"/>
      <c r="BI30" s="282"/>
      <c r="BJ30" s="283"/>
      <c r="BL30" s="281"/>
      <c r="BM30" s="282"/>
      <c r="BN30" s="282"/>
      <c r="BO30" s="273"/>
      <c r="BP30" s="281"/>
      <c r="BQ30" s="282"/>
      <c r="BR30" s="282"/>
      <c r="BS30" s="283"/>
      <c r="BU30" s="33"/>
      <c r="BV30" s="38"/>
      <c r="BW30" s="38"/>
      <c r="BX30" s="32"/>
      <c r="BY30" s="33"/>
      <c r="BZ30" s="38"/>
      <c r="CA30" s="38"/>
      <c r="CB30" s="34"/>
      <c r="CD30" s="33"/>
      <c r="CE30" s="38"/>
      <c r="CF30" s="38"/>
      <c r="CG30" s="32"/>
      <c r="CH30" s="33"/>
      <c r="CI30" s="38"/>
      <c r="CJ30" s="38"/>
      <c r="CK30" s="34"/>
      <c r="CM30" s="281"/>
      <c r="CN30" s="282"/>
      <c r="CO30" s="282"/>
      <c r="CP30" s="273"/>
      <c r="CQ30" s="281"/>
      <c r="CR30" s="282"/>
      <c r="CS30" s="282"/>
      <c r="CT30" s="283"/>
      <c r="CV30" s="33"/>
      <c r="CW30" s="38"/>
      <c r="CX30" s="38"/>
      <c r="CY30" s="32"/>
      <c r="CZ30" s="33"/>
      <c r="DA30" s="38"/>
      <c r="DB30" s="38"/>
      <c r="DC30" s="34"/>
      <c r="DE30" s="318"/>
      <c r="DF30" s="324"/>
      <c r="DG30" s="324"/>
      <c r="DH30" s="317"/>
      <c r="DI30" s="318"/>
      <c r="DJ30" s="324"/>
      <c r="DK30" s="324"/>
      <c r="DL30" s="319"/>
      <c r="DN30" s="33"/>
      <c r="DO30" s="38"/>
      <c r="DP30" s="38"/>
      <c r="DQ30" s="32"/>
      <c r="DR30" s="33"/>
      <c r="DS30" s="38"/>
      <c r="DT30" s="38"/>
      <c r="DU30" s="34"/>
      <c r="DW30" s="33"/>
      <c r="DX30" s="38"/>
      <c r="DY30" s="38"/>
      <c r="DZ30" s="32"/>
      <c r="EA30" s="33"/>
      <c r="EB30" s="38"/>
      <c r="EC30" s="38"/>
      <c r="ED30" s="34"/>
      <c r="EF30" s="33"/>
      <c r="EG30" s="38"/>
      <c r="EH30" s="38"/>
      <c r="EI30" s="32"/>
      <c r="EJ30" s="33"/>
      <c r="EK30" s="38"/>
      <c r="EL30" s="38"/>
      <c r="EM30" s="34"/>
      <c r="EO30" s="33"/>
      <c r="EP30" s="38"/>
      <c r="EQ30" s="38"/>
      <c r="ER30" s="32"/>
      <c r="ES30" s="33"/>
      <c r="ET30" s="38"/>
      <c r="EU30" s="38"/>
      <c r="EV30" s="34"/>
      <c r="EX30" s="33"/>
      <c r="EY30" s="38"/>
      <c r="EZ30" s="38"/>
      <c r="FA30" s="32"/>
      <c r="FB30" s="33"/>
      <c r="FC30" s="38"/>
      <c r="FD30" s="38"/>
      <c r="FE30" s="34"/>
      <c r="FG30" s="33"/>
      <c r="FH30" s="38"/>
      <c r="FI30" s="38"/>
      <c r="FJ30" s="32"/>
      <c r="FK30" s="33"/>
      <c r="FL30" s="38"/>
      <c r="FM30" s="38"/>
      <c r="FN30" s="34"/>
      <c r="FP30" s="33"/>
      <c r="FQ30" s="38"/>
      <c r="FR30" s="38"/>
      <c r="FS30" s="32"/>
      <c r="FT30" s="33"/>
      <c r="FU30" s="38"/>
      <c r="FV30" s="38"/>
      <c r="FW30" s="34"/>
      <c r="FY30" s="318"/>
      <c r="FZ30" s="324"/>
      <c r="GA30" s="324"/>
      <c r="GB30" s="317"/>
      <c r="GC30" s="318"/>
      <c r="GD30" s="324"/>
      <c r="GE30" s="324"/>
      <c r="GF30" s="319"/>
      <c r="GH30" s="33"/>
      <c r="GI30" s="38"/>
      <c r="GJ30" s="38"/>
      <c r="GK30" s="32"/>
      <c r="GL30" s="33"/>
      <c r="GM30" s="38"/>
      <c r="GN30" s="38"/>
      <c r="GO30" s="34"/>
      <c r="GQ30" s="33"/>
      <c r="GR30" s="38"/>
      <c r="GS30" s="38"/>
      <c r="GT30" s="32"/>
      <c r="GU30" s="33"/>
      <c r="GV30" s="38"/>
      <c r="GW30" s="38"/>
      <c r="GX30" s="34"/>
      <c r="GZ30" s="33"/>
      <c r="HA30" s="38"/>
      <c r="HB30" s="38"/>
      <c r="HC30" s="32"/>
      <c r="HD30" s="33"/>
      <c r="HE30" s="38"/>
      <c r="HF30" s="38"/>
      <c r="HG30" s="34"/>
      <c r="HI30" s="33"/>
      <c r="HJ30" s="38"/>
      <c r="HK30" s="38"/>
      <c r="HL30" s="32"/>
      <c r="HM30" s="33"/>
      <c r="HN30" s="38"/>
      <c r="HO30" s="38"/>
      <c r="HP30" s="34"/>
      <c r="HR30" s="33"/>
      <c r="HS30" s="38"/>
      <c r="HT30" s="38"/>
      <c r="HU30" s="32"/>
      <c r="HV30" s="33"/>
      <c r="HW30" s="38"/>
      <c r="HX30" s="38"/>
      <c r="HY30" s="34"/>
      <c r="IA30" s="33"/>
      <c r="IB30" s="38"/>
      <c r="IC30" s="38"/>
      <c r="ID30" s="32"/>
      <c r="IE30" s="33"/>
      <c r="IF30" s="38"/>
      <c r="IG30" s="38"/>
      <c r="IH30" s="34"/>
      <c r="IJ30" s="33"/>
      <c r="IK30" s="38"/>
      <c r="IL30" s="38"/>
      <c r="IM30" s="32"/>
      <c r="IN30" s="33"/>
      <c r="IO30" s="38"/>
      <c r="IP30" s="38"/>
      <c r="IQ30" s="34"/>
      <c r="IS30" s="33"/>
      <c r="IT30" s="38"/>
      <c r="IU30" s="38"/>
      <c r="IV30" s="32"/>
      <c r="IW30" s="33"/>
      <c r="IX30" s="38"/>
      <c r="IY30" s="38"/>
      <c r="IZ30" s="34"/>
      <c r="JB30" s="33"/>
      <c r="JC30" s="38"/>
      <c r="JD30" s="38"/>
      <c r="JE30" s="32"/>
      <c r="JF30" s="33"/>
      <c r="JG30" s="38"/>
      <c r="JH30" s="38"/>
      <c r="JI30" s="34"/>
      <c r="JK30" s="33"/>
      <c r="JL30" s="38"/>
      <c r="JM30" s="38"/>
      <c r="JN30" s="32"/>
      <c r="JO30" s="33"/>
      <c r="JP30" s="38"/>
      <c r="JQ30" s="38"/>
      <c r="JR30" s="34"/>
      <c r="JT30" s="33"/>
      <c r="JU30" s="38"/>
      <c r="JV30" s="38"/>
      <c r="JW30" s="32"/>
      <c r="JX30" s="33"/>
      <c r="JY30" s="38"/>
      <c r="JZ30" s="38"/>
      <c r="KA30" s="34"/>
      <c r="KC30" s="33"/>
      <c r="KD30" s="38"/>
      <c r="KE30" s="38"/>
      <c r="KF30" s="32"/>
      <c r="KG30" s="33"/>
      <c r="KH30" s="38"/>
      <c r="KI30" s="38"/>
      <c r="KJ30" s="34"/>
    </row>
    <row r="31" spans="1:296" ht="9.75" customHeight="1">
      <c r="A31" s="255"/>
      <c r="B31" s="258"/>
      <c r="C31" s="258"/>
      <c r="D31" s="258"/>
      <c r="E31" s="258"/>
      <c r="F31" s="258"/>
      <c r="G31" s="258"/>
      <c r="H31" s="254"/>
      <c r="J31" s="255"/>
      <c r="K31" s="258"/>
      <c r="L31" s="258"/>
      <c r="M31" s="258"/>
      <c r="N31" s="258"/>
      <c r="O31" s="258"/>
      <c r="P31" s="258"/>
      <c r="Q31" s="254"/>
      <c r="S31" s="255"/>
      <c r="T31" s="258"/>
      <c r="U31" s="258"/>
      <c r="V31" s="258"/>
      <c r="W31" s="258"/>
      <c r="X31" s="258"/>
      <c r="Y31" s="258"/>
      <c r="Z31" s="254"/>
      <c r="AB31" s="255"/>
      <c r="AC31" s="258"/>
      <c r="AD31" s="258"/>
      <c r="AE31" s="258"/>
      <c r="AF31" s="258"/>
      <c r="AG31" s="258"/>
      <c r="AH31" s="258"/>
      <c r="AI31" s="254"/>
      <c r="AK31" s="255"/>
      <c r="AL31" s="258"/>
      <c r="AM31" s="258"/>
      <c r="AN31" s="258"/>
      <c r="AO31" s="258"/>
      <c r="AP31" s="258"/>
      <c r="AQ31" s="258"/>
      <c r="AR31" s="254"/>
      <c r="AT31" s="255"/>
      <c r="AU31" s="258"/>
      <c r="AV31" s="258"/>
      <c r="AW31" s="258"/>
      <c r="AX31" s="258"/>
      <c r="AY31" s="258"/>
      <c r="AZ31" s="258"/>
      <c r="BA31" s="254"/>
      <c r="BC31" s="255"/>
      <c r="BD31" s="258"/>
      <c r="BE31" s="258"/>
      <c r="BF31" s="258"/>
      <c r="BG31" s="258"/>
      <c r="BH31" s="258"/>
      <c r="BI31" s="258"/>
      <c r="BJ31" s="254"/>
      <c r="BL31" s="255"/>
      <c r="BM31" s="258"/>
      <c r="BN31" s="258"/>
      <c r="BO31" s="258"/>
      <c r="BP31" s="258"/>
      <c r="BQ31" s="258"/>
      <c r="BR31" s="258"/>
      <c r="BS31" s="254"/>
      <c r="BU31" s="23"/>
      <c r="BV31" s="25"/>
      <c r="BW31" s="25"/>
      <c r="BX31" s="25"/>
      <c r="BY31" s="25"/>
      <c r="BZ31" s="25"/>
      <c r="CA31" s="25"/>
      <c r="CB31" s="22"/>
      <c r="CD31" s="23"/>
      <c r="CE31" s="25"/>
      <c r="CF31" s="25"/>
      <c r="CG31" s="25"/>
      <c r="CH31" s="25"/>
      <c r="CI31" s="25"/>
      <c r="CJ31" s="25"/>
      <c r="CK31" s="22"/>
      <c r="CM31" s="255"/>
      <c r="CN31" s="258"/>
      <c r="CO31" s="258"/>
      <c r="CP31" s="258"/>
      <c r="CQ31" s="258"/>
      <c r="CR31" s="258"/>
      <c r="CS31" s="258"/>
      <c r="CT31" s="254"/>
      <c r="CV31" s="23"/>
      <c r="CW31" s="25"/>
      <c r="CX31" s="25"/>
      <c r="CY31" s="25"/>
      <c r="CZ31" s="25"/>
      <c r="DA31" s="25"/>
      <c r="DB31" s="25"/>
      <c r="DC31" s="22"/>
      <c r="DE31" s="303"/>
      <c r="DF31" s="306"/>
      <c r="DG31" s="306"/>
      <c r="DH31" s="306"/>
      <c r="DI31" s="306"/>
      <c r="DJ31" s="306"/>
      <c r="DK31" s="306"/>
      <c r="DL31" s="302"/>
      <c r="DN31" s="23"/>
      <c r="DO31" s="25"/>
      <c r="DP31" s="25"/>
      <c r="DQ31" s="25"/>
      <c r="DR31" s="25"/>
      <c r="DS31" s="25"/>
      <c r="DT31" s="25"/>
      <c r="DU31" s="22"/>
      <c r="DW31" s="23"/>
      <c r="DX31" s="25"/>
      <c r="DY31" s="25"/>
      <c r="DZ31" s="25"/>
      <c r="EA31" s="25"/>
      <c r="EB31" s="25"/>
      <c r="EC31" s="25"/>
      <c r="ED31" s="22"/>
      <c r="EF31" s="23"/>
      <c r="EG31" s="25"/>
      <c r="EH31" s="25"/>
      <c r="EI31" s="25"/>
      <c r="EJ31" s="25"/>
      <c r="EK31" s="25"/>
      <c r="EL31" s="25"/>
      <c r="EM31" s="22"/>
      <c r="EO31" s="23"/>
      <c r="EP31" s="25"/>
      <c r="EQ31" s="25"/>
      <c r="ER31" s="25"/>
      <c r="ES31" s="25"/>
      <c r="ET31" s="25"/>
      <c r="EU31" s="25"/>
      <c r="EV31" s="22"/>
      <c r="EX31" s="23"/>
      <c r="EY31" s="25"/>
      <c r="EZ31" s="25"/>
      <c r="FA31" s="25"/>
      <c r="FB31" s="25"/>
      <c r="FC31" s="25"/>
      <c r="FD31" s="25"/>
      <c r="FE31" s="22"/>
      <c r="FG31" s="23"/>
      <c r="FH31" s="25"/>
      <c r="FI31" s="25"/>
      <c r="FJ31" s="25"/>
      <c r="FK31" s="25"/>
      <c r="FL31" s="25"/>
      <c r="FM31" s="25"/>
      <c r="FN31" s="22"/>
      <c r="FP31" s="23"/>
      <c r="FQ31" s="25"/>
      <c r="FR31" s="25"/>
      <c r="FS31" s="25"/>
      <c r="FT31" s="25"/>
      <c r="FU31" s="25"/>
      <c r="FV31" s="25"/>
      <c r="FW31" s="22"/>
      <c r="FY31" s="303"/>
      <c r="FZ31" s="306"/>
      <c r="GA31" s="306"/>
      <c r="GB31" s="306"/>
      <c r="GC31" s="306"/>
      <c r="GD31" s="306"/>
      <c r="GE31" s="306"/>
      <c r="GF31" s="302"/>
      <c r="GH31" s="23"/>
      <c r="GI31" s="25"/>
      <c r="GJ31" s="25"/>
      <c r="GK31" s="25"/>
      <c r="GL31" s="25"/>
      <c r="GM31" s="25"/>
      <c r="GN31" s="25"/>
      <c r="GO31" s="22"/>
      <c r="GQ31" s="23"/>
      <c r="GR31" s="25"/>
      <c r="GS31" s="25"/>
      <c r="GT31" s="25"/>
      <c r="GU31" s="25"/>
      <c r="GV31" s="25"/>
      <c r="GW31" s="25"/>
      <c r="GX31" s="22"/>
      <c r="GZ31" s="23"/>
      <c r="HA31" s="25"/>
      <c r="HB31" s="25"/>
      <c r="HC31" s="25"/>
      <c r="HD31" s="25"/>
      <c r="HE31" s="25"/>
      <c r="HF31" s="25"/>
      <c r="HG31" s="22"/>
      <c r="HI31" s="23"/>
      <c r="HJ31" s="25"/>
      <c r="HK31" s="25"/>
      <c r="HL31" s="25"/>
      <c r="HM31" s="25"/>
      <c r="HN31" s="25"/>
      <c r="HO31" s="25"/>
      <c r="HP31" s="22"/>
      <c r="HR31" s="23"/>
      <c r="HS31" s="25"/>
      <c r="HT31" s="25"/>
      <c r="HU31" s="25"/>
      <c r="HV31" s="25"/>
      <c r="HW31" s="25"/>
      <c r="HX31" s="25"/>
      <c r="HY31" s="22"/>
      <c r="IA31" s="23"/>
      <c r="IB31" s="25"/>
      <c r="IC31" s="25"/>
      <c r="ID31" s="25"/>
      <c r="IE31" s="25"/>
      <c r="IF31" s="25"/>
      <c r="IG31" s="25"/>
      <c r="IH31" s="22"/>
      <c r="IJ31" s="23"/>
      <c r="IK31" s="25"/>
      <c r="IL31" s="25"/>
      <c r="IM31" s="25"/>
      <c r="IN31" s="25"/>
      <c r="IO31" s="25"/>
      <c r="IP31" s="25"/>
      <c r="IQ31" s="22"/>
      <c r="IS31" s="23"/>
      <c r="IT31" s="25"/>
      <c r="IU31" s="25"/>
      <c r="IV31" s="25"/>
      <c r="IW31" s="25"/>
      <c r="IX31" s="25"/>
      <c r="IY31" s="25"/>
      <c r="IZ31" s="22"/>
      <c r="JB31" s="23"/>
      <c r="JC31" s="25"/>
      <c r="JD31" s="25"/>
      <c r="JE31" s="25"/>
      <c r="JF31" s="25"/>
      <c r="JG31" s="25"/>
      <c r="JH31" s="25"/>
      <c r="JI31" s="22"/>
      <c r="JK31" s="23"/>
      <c r="JL31" s="25"/>
      <c r="JM31" s="25"/>
      <c r="JN31" s="25"/>
      <c r="JO31" s="25"/>
      <c r="JP31" s="25"/>
      <c r="JQ31" s="25"/>
      <c r="JR31" s="22"/>
      <c r="JT31" s="23"/>
      <c r="JU31" s="25"/>
      <c r="JV31" s="25"/>
      <c r="JW31" s="25"/>
      <c r="JX31" s="25"/>
      <c r="JY31" s="25"/>
      <c r="JZ31" s="25"/>
      <c r="KA31" s="22"/>
      <c r="KC31" s="23"/>
      <c r="KD31" s="25"/>
      <c r="KE31" s="25"/>
      <c r="KF31" s="25"/>
      <c r="KG31" s="25"/>
      <c r="KH31" s="25"/>
      <c r="KI31" s="25"/>
      <c r="KJ31" s="22"/>
    </row>
    <row r="32" spans="1:296" ht="15" customHeight="1">
      <c r="A32" s="255" t="s">
        <v>143</v>
      </c>
      <c r="B32" s="258"/>
      <c r="C32" s="282"/>
      <c r="D32" s="282"/>
      <c r="E32" s="258"/>
      <c r="F32" s="258"/>
      <c r="G32" s="284" t="s">
        <v>144</v>
      </c>
      <c r="H32" s="285" t="e">
        <f>H18-H29</f>
        <v>#N/A</v>
      </c>
      <c r="J32" s="255" t="s">
        <v>143</v>
      </c>
      <c r="K32" s="258"/>
      <c r="L32" s="282"/>
      <c r="M32" s="282"/>
      <c r="N32" s="258"/>
      <c r="O32" s="258"/>
      <c r="P32" s="284" t="s">
        <v>144</v>
      </c>
      <c r="Q32" s="285" t="e">
        <f>Q18-Q29</f>
        <v>#N/A</v>
      </c>
      <c r="S32" s="255" t="s">
        <v>143</v>
      </c>
      <c r="T32" s="258"/>
      <c r="U32" s="282"/>
      <c r="V32" s="282"/>
      <c r="W32" s="258"/>
      <c r="X32" s="258"/>
      <c r="Y32" s="284" t="s">
        <v>144</v>
      </c>
      <c r="Z32" s="285" t="e">
        <f>Z18-Z29</f>
        <v>#N/A</v>
      </c>
      <c r="AB32" s="255" t="s">
        <v>143</v>
      </c>
      <c r="AC32" s="258"/>
      <c r="AD32" s="282"/>
      <c r="AE32" s="282"/>
      <c r="AF32" s="258"/>
      <c r="AG32" s="258"/>
      <c r="AH32" s="284" t="s">
        <v>144</v>
      </c>
      <c r="AI32" s="285" t="e">
        <f>AI18-AI29</f>
        <v>#N/A</v>
      </c>
      <c r="AK32" s="255" t="s">
        <v>143</v>
      </c>
      <c r="AL32" s="258"/>
      <c r="AM32" s="282"/>
      <c r="AN32" s="282"/>
      <c r="AO32" s="258"/>
      <c r="AP32" s="258"/>
      <c r="AQ32" s="284" t="s">
        <v>144</v>
      </c>
      <c r="AR32" s="285" t="e">
        <f>AR18-AR29</f>
        <v>#REF!</v>
      </c>
      <c r="AT32" s="255" t="s">
        <v>143</v>
      </c>
      <c r="AU32" s="258"/>
      <c r="AV32" s="282"/>
      <c r="AW32" s="282"/>
      <c r="AX32" s="258"/>
      <c r="AY32" s="258"/>
      <c r="AZ32" s="284" t="s">
        <v>144</v>
      </c>
      <c r="BA32" s="285" t="e">
        <f>BA18-BA29</f>
        <v>#N/A</v>
      </c>
      <c r="BC32" s="255" t="s">
        <v>143</v>
      </c>
      <c r="BD32" s="258"/>
      <c r="BE32" s="282"/>
      <c r="BF32" s="282"/>
      <c r="BG32" s="258"/>
      <c r="BH32" s="258"/>
      <c r="BI32" s="284" t="s">
        <v>144</v>
      </c>
      <c r="BJ32" s="285" t="e">
        <f>BJ18-BJ29</f>
        <v>#REF!</v>
      </c>
      <c r="BL32" s="255" t="s">
        <v>143</v>
      </c>
      <c r="BM32" s="258"/>
      <c r="BN32" s="282"/>
      <c r="BO32" s="282"/>
      <c r="BP32" s="258"/>
      <c r="BQ32" s="258"/>
      <c r="BR32" s="284" t="s">
        <v>144</v>
      </c>
      <c r="BS32" s="285" t="e">
        <f>BS18-BS29</f>
        <v>#REF!</v>
      </c>
      <c r="BU32" s="23" t="s">
        <v>143</v>
      </c>
      <c r="BV32" s="25"/>
      <c r="BW32" s="38"/>
      <c r="BX32" s="38"/>
      <c r="BY32" s="25"/>
      <c r="BZ32" s="25"/>
      <c r="CA32" s="39" t="s">
        <v>144</v>
      </c>
      <c r="CB32" s="207">
        <f>CB18-CB29</f>
        <v>17035.341379310346</v>
      </c>
      <c r="CD32" s="23" t="s">
        <v>143</v>
      </c>
      <c r="CE32" s="25"/>
      <c r="CF32" s="38"/>
      <c r="CG32" s="38"/>
      <c r="CH32" s="25"/>
      <c r="CI32" s="25"/>
      <c r="CJ32" s="39" t="s">
        <v>144</v>
      </c>
      <c r="CK32" s="207" t="e">
        <f>CK18-CK29</f>
        <v>#N/A</v>
      </c>
      <c r="CM32" s="255" t="s">
        <v>143</v>
      </c>
      <c r="CN32" s="258"/>
      <c r="CO32" s="282"/>
      <c r="CP32" s="282"/>
      <c r="CQ32" s="258"/>
      <c r="CR32" s="258"/>
      <c r="CS32" s="284" t="s">
        <v>144</v>
      </c>
      <c r="CT32" s="285" t="e">
        <f>CT18-CT29</f>
        <v>#REF!</v>
      </c>
      <c r="CV32" s="23" t="s">
        <v>143</v>
      </c>
      <c r="CW32" s="25"/>
      <c r="CX32" s="38"/>
      <c r="CY32" s="38"/>
      <c r="CZ32" s="25"/>
      <c r="DA32" s="25"/>
      <c r="DB32" s="39" t="s">
        <v>144</v>
      </c>
      <c r="DC32" s="207">
        <f>DC18-DC29</f>
        <v>24159.206896551725</v>
      </c>
      <c r="DE32" s="303" t="s">
        <v>143</v>
      </c>
      <c r="DF32" s="306"/>
      <c r="DG32" s="324"/>
      <c r="DH32" s="324"/>
      <c r="DI32" s="306"/>
      <c r="DJ32" s="306"/>
      <c r="DK32" s="325" t="s">
        <v>144</v>
      </c>
      <c r="DL32" s="326" t="e">
        <f>DL18-DL29</f>
        <v>#REF!</v>
      </c>
      <c r="DN32" s="23" t="s">
        <v>143</v>
      </c>
      <c r="DO32" s="25"/>
      <c r="DP32" s="38"/>
      <c r="DQ32" s="38"/>
      <c r="DR32" s="25"/>
      <c r="DS32" s="25"/>
      <c r="DT32" s="39" t="s">
        <v>144</v>
      </c>
      <c r="DU32" s="207">
        <f>DU18-DU29</f>
        <v>22219.551724137931</v>
      </c>
      <c r="DW32" s="23" t="s">
        <v>143</v>
      </c>
      <c r="DX32" s="25"/>
      <c r="DY32" s="38"/>
      <c r="DZ32" s="38"/>
      <c r="EA32" s="25"/>
      <c r="EB32" s="25"/>
      <c r="EC32" s="39" t="s">
        <v>144</v>
      </c>
      <c r="ED32" s="207">
        <f>ED18-ED29</f>
        <v>68989.2</v>
      </c>
      <c r="EF32" s="23" t="s">
        <v>143</v>
      </c>
      <c r="EG32" s="25"/>
      <c r="EH32" s="38"/>
      <c r="EI32" s="38"/>
      <c r="EJ32" s="25"/>
      <c r="EK32" s="25"/>
      <c r="EL32" s="39" t="s">
        <v>144</v>
      </c>
      <c r="EM32" s="207">
        <f>EM18-EM29</f>
        <v>57693.369999999995</v>
      </c>
      <c r="EO32" s="23" t="s">
        <v>143</v>
      </c>
      <c r="EP32" s="25"/>
      <c r="EQ32" s="38"/>
      <c r="ER32" s="38"/>
      <c r="ES32" s="25"/>
      <c r="ET32" s="25"/>
      <c r="EU32" s="39" t="s">
        <v>144</v>
      </c>
      <c r="EV32" s="207">
        <f>EV18-EV29</f>
        <v>19351.63367816091</v>
      </c>
      <c r="EX32" s="23" t="s">
        <v>143</v>
      </c>
      <c r="EY32" s="25"/>
      <c r="EZ32" s="38"/>
      <c r="FA32" s="38"/>
      <c r="FB32" s="25"/>
      <c r="FC32" s="25"/>
      <c r="FD32" s="39" t="s">
        <v>144</v>
      </c>
      <c r="FE32" s="207">
        <f>FE18-FE29</f>
        <v>17564.6908045977</v>
      </c>
      <c r="FG32" s="23" t="s">
        <v>143</v>
      </c>
      <c r="FH32" s="25"/>
      <c r="FI32" s="38"/>
      <c r="FJ32" s="38"/>
      <c r="FK32" s="25"/>
      <c r="FL32" s="25"/>
      <c r="FM32" s="39" t="s">
        <v>144</v>
      </c>
      <c r="FN32" s="207">
        <f>FN18-FN29</f>
        <v>39250.050000000003</v>
      </c>
      <c r="FP32" s="23" t="s">
        <v>143</v>
      </c>
      <c r="FQ32" s="25"/>
      <c r="FR32" s="38"/>
      <c r="FS32" s="38"/>
      <c r="FT32" s="25"/>
      <c r="FU32" s="25"/>
      <c r="FV32" s="39" t="s">
        <v>144</v>
      </c>
      <c r="FW32" s="207">
        <f>FW18-FW29</f>
        <v>57679.683620689655</v>
      </c>
      <c r="FY32" s="303" t="s">
        <v>143</v>
      </c>
      <c r="FZ32" s="306"/>
      <c r="GA32" s="324"/>
      <c r="GB32" s="324"/>
      <c r="GC32" s="306"/>
      <c r="GD32" s="306"/>
      <c r="GE32" s="325" t="s">
        <v>144</v>
      </c>
      <c r="GF32" s="326" t="e">
        <f>GF18-GF29</f>
        <v>#REF!</v>
      </c>
      <c r="GH32" s="23" t="s">
        <v>143</v>
      </c>
      <c r="GI32" s="25"/>
      <c r="GJ32" s="38"/>
      <c r="GK32" s="38"/>
      <c r="GL32" s="25"/>
      <c r="GM32" s="25"/>
      <c r="GN32" s="39" t="s">
        <v>144</v>
      </c>
      <c r="GO32" s="207">
        <f>GO18-GO29</f>
        <v>18085.555172413795</v>
      </c>
      <c r="GQ32" s="23" t="s">
        <v>143</v>
      </c>
      <c r="GR32" s="25"/>
      <c r="GS32" s="38"/>
      <c r="GT32" s="38"/>
      <c r="GU32" s="25"/>
      <c r="GV32" s="25"/>
      <c r="GW32" s="39" t="s">
        <v>144</v>
      </c>
      <c r="GX32" s="207">
        <f>GX18-GX29</f>
        <v>16536.473563218391</v>
      </c>
      <c r="GZ32" s="23" t="s">
        <v>143</v>
      </c>
      <c r="HA32" s="25"/>
      <c r="HB32" s="38"/>
      <c r="HC32" s="38"/>
      <c r="HD32" s="25"/>
      <c r="HE32" s="25"/>
      <c r="HF32" s="39" t="s">
        <v>144</v>
      </c>
      <c r="HG32" s="207">
        <f>HG18-HG29</f>
        <v>76762.820689655171</v>
      </c>
      <c r="HI32" s="23" t="s">
        <v>143</v>
      </c>
      <c r="HJ32" s="25"/>
      <c r="HK32" s="38"/>
      <c r="HL32" s="38"/>
      <c r="HM32" s="25"/>
      <c r="HN32" s="25"/>
      <c r="HO32" s="39" t="s">
        <v>144</v>
      </c>
      <c r="HP32" s="207">
        <f>HP18-HP29</f>
        <v>33382.412068965517</v>
      </c>
      <c r="HR32" s="23" t="s">
        <v>143</v>
      </c>
      <c r="HS32" s="25"/>
      <c r="HT32" s="38"/>
      <c r="HU32" s="38"/>
      <c r="HV32" s="25"/>
      <c r="HW32" s="25"/>
      <c r="HX32" s="39" t="s">
        <v>144</v>
      </c>
      <c r="HY32" s="207">
        <f>HY18-HY29</f>
        <v>13198.502643678163</v>
      </c>
      <c r="IA32" s="23" t="s">
        <v>143</v>
      </c>
      <c r="IB32" s="25"/>
      <c r="IC32" s="38"/>
      <c r="ID32" s="38"/>
      <c r="IE32" s="25"/>
      <c r="IF32" s="25"/>
      <c r="IG32" s="39" t="s">
        <v>144</v>
      </c>
      <c r="IH32" s="207">
        <f>IH18-IH29</f>
        <v>45581.084482758626</v>
      </c>
      <c r="IJ32" s="23" t="s">
        <v>143</v>
      </c>
      <c r="IK32" s="25"/>
      <c r="IL32" s="38"/>
      <c r="IM32" s="38"/>
      <c r="IN32" s="25"/>
      <c r="IO32" s="25"/>
      <c r="IP32" s="39" t="s">
        <v>144</v>
      </c>
      <c r="IQ32" s="207">
        <f>IQ18-IQ29</f>
        <v>49592.091915708661</v>
      </c>
      <c r="IS32" s="23" t="s">
        <v>143</v>
      </c>
      <c r="IT32" s="25"/>
      <c r="IU32" s="38"/>
      <c r="IV32" s="38"/>
      <c r="IW32" s="25"/>
      <c r="IX32" s="25"/>
      <c r="IY32" s="39" t="s">
        <v>144</v>
      </c>
      <c r="IZ32" s="207">
        <f>IZ18-IZ29</f>
        <v>15947.032758620691</v>
      </c>
      <c r="JB32" s="23" t="s">
        <v>143</v>
      </c>
      <c r="JC32" s="25"/>
      <c r="JD32" s="38"/>
      <c r="JE32" s="38"/>
      <c r="JF32" s="25"/>
      <c r="JG32" s="25"/>
      <c r="JH32" s="39" t="s">
        <v>144</v>
      </c>
      <c r="JI32" s="207">
        <f>JI18-JI29</f>
        <v>15136.113218390805</v>
      </c>
      <c r="JK32" s="23" t="s">
        <v>143</v>
      </c>
      <c r="JL32" s="25"/>
      <c r="JM32" s="38"/>
      <c r="JN32" s="38"/>
      <c r="JO32" s="25"/>
      <c r="JP32" s="25"/>
      <c r="JQ32" s="39" t="s">
        <v>144</v>
      </c>
      <c r="JR32" s="207">
        <f>JR18-JR29</f>
        <v>39503.675517241383</v>
      </c>
      <c r="JT32" s="23" t="s">
        <v>143</v>
      </c>
      <c r="JU32" s="25"/>
      <c r="JV32" s="38"/>
      <c r="JW32" s="38"/>
      <c r="JX32" s="25"/>
      <c r="JY32" s="25"/>
      <c r="JZ32" s="39" t="s">
        <v>144</v>
      </c>
      <c r="KA32" s="207">
        <f>KA18-KA29</f>
        <v>13215.308620689655</v>
      </c>
      <c r="KC32" s="23" t="s">
        <v>143</v>
      </c>
      <c r="KD32" s="25"/>
      <c r="KE32" s="38"/>
      <c r="KF32" s="38"/>
      <c r="KG32" s="25"/>
      <c r="KH32" s="25"/>
      <c r="KI32" s="39" t="s">
        <v>144</v>
      </c>
      <c r="KJ32" s="207">
        <f>KJ18-KJ29</f>
        <v>11455.172413793105</v>
      </c>
    </row>
    <row r="33" spans="1:297" ht="9.75" customHeight="1">
      <c r="A33" s="286"/>
      <c r="B33" s="287"/>
      <c r="C33" s="287"/>
      <c r="D33" s="287"/>
      <c r="E33" s="287"/>
      <c r="F33" s="287"/>
      <c r="G33" s="288"/>
      <c r="H33" s="289"/>
      <c r="J33" s="286"/>
      <c r="K33" s="287"/>
      <c r="L33" s="287"/>
      <c r="M33" s="287"/>
      <c r="N33" s="287"/>
      <c r="O33" s="287"/>
      <c r="P33" s="288"/>
      <c r="Q33" s="289"/>
      <c r="S33" s="286"/>
      <c r="T33" s="287"/>
      <c r="U33" s="287"/>
      <c r="V33" s="287"/>
      <c r="W33" s="287"/>
      <c r="X33" s="287"/>
      <c r="Y33" s="288"/>
      <c r="Z33" s="289"/>
      <c r="AB33" s="286"/>
      <c r="AC33" s="287"/>
      <c r="AD33" s="287"/>
      <c r="AE33" s="287"/>
      <c r="AF33" s="287"/>
      <c r="AG33" s="287"/>
      <c r="AH33" s="288"/>
      <c r="AI33" s="289"/>
      <c r="AK33" s="286"/>
      <c r="AL33" s="287"/>
      <c r="AM33" s="287"/>
      <c r="AN33" s="287"/>
      <c r="AO33" s="287"/>
      <c r="AP33" s="287"/>
      <c r="AQ33" s="288"/>
      <c r="AR33" s="289"/>
      <c r="AT33" s="286"/>
      <c r="AU33" s="287"/>
      <c r="AV33" s="287"/>
      <c r="AW33" s="287"/>
      <c r="AX33" s="287"/>
      <c r="AY33" s="287"/>
      <c r="AZ33" s="288"/>
      <c r="BA33" s="289"/>
      <c r="BC33" s="286"/>
      <c r="BD33" s="287"/>
      <c r="BE33" s="287"/>
      <c r="BF33" s="287"/>
      <c r="BG33" s="287"/>
      <c r="BH33" s="287"/>
      <c r="BI33" s="288"/>
      <c r="BJ33" s="289"/>
      <c r="BL33" s="286"/>
      <c r="BM33" s="287"/>
      <c r="BN33" s="287"/>
      <c r="BO33" s="287"/>
      <c r="BP33" s="287"/>
      <c r="BQ33" s="287"/>
      <c r="BR33" s="288"/>
      <c r="BS33" s="289"/>
      <c r="BU33" s="40"/>
      <c r="BV33" s="3"/>
      <c r="BW33" s="3"/>
      <c r="BX33" s="3"/>
      <c r="BY33" s="3"/>
      <c r="BZ33" s="3"/>
      <c r="CA33" s="41"/>
      <c r="CB33" s="42"/>
      <c r="CD33" s="40"/>
      <c r="CE33" s="3"/>
      <c r="CF33" s="3"/>
      <c r="CG33" s="3"/>
      <c r="CH33" s="3"/>
      <c r="CI33" s="3"/>
      <c r="CJ33" s="41"/>
      <c r="CK33" s="42"/>
      <c r="CM33" s="286"/>
      <c r="CN33" s="287"/>
      <c r="CO33" s="287"/>
      <c r="CP33" s="287"/>
      <c r="CQ33" s="287"/>
      <c r="CR33" s="287"/>
      <c r="CS33" s="288"/>
      <c r="CT33" s="289"/>
      <c r="CV33" s="40"/>
      <c r="CW33" s="3"/>
      <c r="CX33" s="3"/>
      <c r="CY33" s="3"/>
      <c r="CZ33" s="3"/>
      <c r="DA33" s="3"/>
      <c r="DB33" s="41"/>
      <c r="DC33" s="42"/>
      <c r="DE33" s="327"/>
      <c r="DF33" s="328"/>
      <c r="DG33" s="328"/>
      <c r="DH33" s="328"/>
      <c r="DI33" s="328"/>
      <c r="DJ33" s="328"/>
      <c r="DK33" s="329"/>
      <c r="DL33" s="330"/>
      <c r="DN33" s="40"/>
      <c r="DO33" s="3"/>
      <c r="DP33" s="3"/>
      <c r="DQ33" s="3"/>
      <c r="DR33" s="3"/>
      <c r="DS33" s="3"/>
      <c r="DT33" s="41"/>
      <c r="DU33" s="42"/>
      <c r="DW33" s="40"/>
      <c r="DX33" s="3"/>
      <c r="DY33" s="3"/>
      <c r="DZ33" s="3"/>
      <c r="EA33" s="3"/>
      <c r="EB33" s="3"/>
      <c r="EC33" s="41"/>
      <c r="ED33" s="42"/>
      <c r="EF33" s="40"/>
      <c r="EG33" s="3"/>
      <c r="EH33" s="3"/>
      <c r="EI33" s="3"/>
      <c r="EJ33" s="3"/>
      <c r="EK33" s="3"/>
      <c r="EL33" s="41"/>
      <c r="EM33" s="42"/>
      <c r="EO33" s="40"/>
      <c r="EP33" s="3"/>
      <c r="EQ33" s="3"/>
      <c r="ER33" s="3"/>
      <c r="ES33" s="3"/>
      <c r="ET33" s="3"/>
      <c r="EU33" s="41"/>
      <c r="EV33" s="42"/>
      <c r="EX33" s="40"/>
      <c r="EY33" s="3"/>
      <c r="EZ33" s="3"/>
      <c r="FA33" s="3"/>
      <c r="FB33" s="3"/>
      <c r="FC33" s="3"/>
      <c r="FD33" s="41"/>
      <c r="FE33" s="42"/>
      <c r="FG33" s="40"/>
      <c r="FH33" s="3"/>
      <c r="FI33" s="3"/>
      <c r="FJ33" s="3"/>
      <c r="FK33" s="3"/>
      <c r="FL33" s="3"/>
      <c r="FM33" s="41"/>
      <c r="FN33" s="42"/>
      <c r="FP33" s="40"/>
      <c r="FQ33" s="3"/>
      <c r="FR33" s="3"/>
      <c r="FS33" s="3"/>
      <c r="FT33" s="3"/>
      <c r="FU33" s="3"/>
      <c r="FV33" s="41"/>
      <c r="FW33" s="42"/>
      <c r="FY33" s="327"/>
      <c r="FZ33" s="328"/>
      <c r="GA33" s="328"/>
      <c r="GB33" s="328"/>
      <c r="GC33" s="328"/>
      <c r="GD33" s="328"/>
      <c r="GE33" s="329"/>
      <c r="GF33" s="330"/>
      <c r="GH33" s="40"/>
      <c r="GI33" s="3"/>
      <c r="GJ33" s="3"/>
      <c r="GK33" s="3"/>
      <c r="GL33" s="3"/>
      <c r="GM33" s="3"/>
      <c r="GN33" s="41"/>
      <c r="GO33" s="42"/>
      <c r="GQ33" s="40"/>
      <c r="GR33" s="3"/>
      <c r="GS33" s="3"/>
      <c r="GT33" s="3"/>
      <c r="GU33" s="3"/>
      <c r="GV33" s="3"/>
      <c r="GW33" s="41"/>
      <c r="GX33" s="42"/>
      <c r="GZ33" s="40"/>
      <c r="HA33" s="3"/>
      <c r="HB33" s="3"/>
      <c r="HC33" s="3"/>
      <c r="HD33" s="3"/>
      <c r="HE33" s="3"/>
      <c r="HF33" s="41"/>
      <c r="HG33" s="42"/>
      <c r="HI33" s="40"/>
      <c r="HJ33" s="3"/>
      <c r="HK33" s="3"/>
      <c r="HL33" s="3"/>
      <c r="HM33" s="3"/>
      <c r="HN33" s="3"/>
      <c r="HO33" s="41"/>
      <c r="HP33" s="42"/>
      <c r="HR33" s="40"/>
      <c r="HS33" s="3"/>
      <c r="HT33" s="3"/>
      <c r="HU33" s="3"/>
      <c r="HV33" s="3"/>
      <c r="HW33" s="3"/>
      <c r="HX33" s="41"/>
      <c r="HY33" s="42"/>
      <c r="IA33" s="40"/>
      <c r="IB33" s="3"/>
      <c r="IC33" s="3"/>
      <c r="ID33" s="3"/>
      <c r="IE33" s="3"/>
      <c r="IF33" s="3"/>
      <c r="IG33" s="41"/>
      <c r="IH33" s="42"/>
      <c r="IJ33" s="40"/>
      <c r="IK33" s="3"/>
      <c r="IL33" s="3"/>
      <c r="IM33" s="3"/>
      <c r="IN33" s="3"/>
      <c r="IO33" s="3"/>
      <c r="IP33" s="41"/>
      <c r="IQ33" s="42"/>
      <c r="IS33" s="40"/>
      <c r="IT33" s="3"/>
      <c r="IU33" s="3"/>
      <c r="IV33" s="3"/>
      <c r="IW33" s="3"/>
      <c r="IX33" s="3"/>
      <c r="IY33" s="41"/>
      <c r="IZ33" s="42"/>
      <c r="JB33" s="40"/>
      <c r="JC33" s="3"/>
      <c r="JD33" s="3"/>
      <c r="JE33" s="3"/>
      <c r="JF33" s="3"/>
      <c r="JG33" s="3"/>
      <c r="JH33" s="41"/>
      <c r="JI33" s="42"/>
      <c r="JK33" s="40"/>
      <c r="JL33" s="3"/>
      <c r="JM33" s="3"/>
      <c r="JN33" s="3"/>
      <c r="JO33" s="3"/>
      <c r="JP33" s="3"/>
      <c r="JQ33" s="41"/>
      <c r="JR33" s="42"/>
      <c r="JT33" s="40"/>
      <c r="JU33" s="3"/>
      <c r="JV33" s="3"/>
      <c r="JW33" s="3"/>
      <c r="JX33" s="3"/>
      <c r="JY33" s="3"/>
      <c r="JZ33" s="41"/>
      <c r="KA33" s="42"/>
      <c r="KC33" s="40"/>
      <c r="KD33" s="3"/>
      <c r="KE33" s="3"/>
      <c r="KF33" s="3"/>
      <c r="KG33" s="3"/>
      <c r="KH33" s="3"/>
      <c r="KI33" s="41"/>
      <c r="KJ33" s="42"/>
    </row>
    <row r="34" spans="1:297" ht="15" customHeight="1">
      <c r="H34" s="348"/>
      <c r="Q34" s="348"/>
      <c r="Z34" s="348"/>
      <c r="AI34" s="348"/>
      <c r="AR34" s="348"/>
      <c r="BA34" s="348"/>
      <c r="BJ34" s="348"/>
      <c r="BS34" s="348"/>
      <c r="CB34" s="52"/>
      <c r="CK34" s="52"/>
      <c r="CT34" s="348"/>
      <c r="DC34" s="52"/>
      <c r="DL34" s="331"/>
      <c r="DU34" s="52"/>
      <c r="ED34" s="52"/>
      <c r="EM34" s="52"/>
      <c r="EV34" s="52"/>
      <c r="FE34" s="52"/>
      <c r="FN34" s="52"/>
      <c r="FW34" s="52"/>
      <c r="GF34" s="331"/>
      <c r="GO34" s="52"/>
      <c r="GX34" s="52"/>
      <c r="HG34" s="52"/>
      <c r="HP34" s="52"/>
      <c r="HY34" s="52"/>
      <c r="IH34" s="52"/>
      <c r="IQ34" s="52"/>
      <c r="IZ34" s="52"/>
      <c r="JI34" s="52"/>
      <c r="JR34" s="52"/>
      <c r="KA34" s="52"/>
      <c r="KJ34" s="52"/>
    </row>
    <row r="35" spans="1:297" s="563" customFormat="1">
      <c r="A35" s="300"/>
      <c r="B35" s="300"/>
      <c r="C35" s="300"/>
      <c r="D35" s="300"/>
      <c r="E35" s="300"/>
      <c r="F35" s="300"/>
      <c r="G35" s="300"/>
      <c r="H35" s="332"/>
      <c r="I35" s="300"/>
      <c r="J35" s="300"/>
      <c r="K35" s="300"/>
      <c r="L35" s="300"/>
      <c r="M35" s="300"/>
      <c r="N35" s="300"/>
      <c r="O35" s="300"/>
      <c r="P35" s="300"/>
      <c r="Q35" s="332"/>
      <c r="R35" s="300"/>
      <c r="S35" s="300"/>
      <c r="T35" s="300"/>
      <c r="U35" s="300"/>
      <c r="V35" s="300"/>
      <c r="W35" s="300"/>
      <c r="X35" s="300"/>
      <c r="Y35" s="300"/>
      <c r="Z35" s="332"/>
      <c r="AA35" s="300"/>
      <c r="AB35" s="300"/>
      <c r="AC35" s="300"/>
      <c r="AD35" s="300"/>
      <c r="AE35" s="300"/>
      <c r="AF35" s="300"/>
      <c r="AG35" s="300"/>
      <c r="AH35" s="300"/>
      <c r="AI35" s="332"/>
      <c r="AJ35" s="300"/>
      <c r="AK35" s="300"/>
      <c r="AL35" s="300"/>
      <c r="AM35" s="300"/>
      <c r="AN35" s="300"/>
      <c r="AO35" s="300"/>
      <c r="AP35" s="300"/>
      <c r="AQ35" s="300"/>
      <c r="AR35" s="332"/>
      <c r="AS35" s="300"/>
      <c r="AT35" s="300"/>
      <c r="AU35" s="300"/>
      <c r="AV35" s="300"/>
      <c r="AW35" s="300"/>
      <c r="AX35" s="300"/>
      <c r="AY35" s="300"/>
      <c r="AZ35" s="300"/>
      <c r="BA35" s="332"/>
      <c r="BB35" s="300"/>
      <c r="BC35" s="300"/>
      <c r="BD35" s="300"/>
      <c r="BE35" s="300"/>
      <c r="BF35" s="300"/>
      <c r="BG35" s="300"/>
      <c r="BH35" s="300"/>
      <c r="BI35" s="300"/>
      <c r="BJ35" s="332"/>
      <c r="BK35" s="300"/>
      <c r="BL35" s="300"/>
      <c r="BM35" s="300"/>
      <c r="BN35" s="300"/>
      <c r="BO35" s="300"/>
      <c r="BP35" s="300"/>
      <c r="BQ35" s="300"/>
      <c r="BR35" s="300"/>
      <c r="BS35" s="332"/>
      <c r="BT35" s="300"/>
      <c r="CB35" s="564">
        <f>CB32-'Payroll Register'!AM8</f>
        <v>6.8965516402386129E-4</v>
      </c>
      <c r="CC35" s="300"/>
      <c r="CK35" s="564" t="e">
        <f>CK32-'Payroll Register'!#REF!</f>
        <v>#N/A</v>
      </c>
      <c r="CL35" s="300"/>
      <c r="CM35" s="300"/>
      <c r="CN35" s="300"/>
      <c r="CO35" s="300"/>
      <c r="CP35" s="300"/>
      <c r="CQ35" s="300"/>
      <c r="CR35" s="300"/>
      <c r="CS35" s="300"/>
      <c r="CT35" s="332"/>
      <c r="CU35" s="300"/>
      <c r="DC35" s="564">
        <f>DC32-'Payroll Register'!AM9</f>
        <v>3.7931034748908132E-3</v>
      </c>
      <c r="DD35" s="300"/>
      <c r="DE35" s="300"/>
      <c r="DF35" s="300"/>
      <c r="DG35" s="300"/>
      <c r="DH35" s="300"/>
      <c r="DI35" s="300"/>
      <c r="DJ35" s="300"/>
      <c r="DK35" s="300"/>
      <c r="DL35" s="332"/>
      <c r="DM35" s="300"/>
      <c r="DU35" s="564">
        <f>DU32-'Payroll Register'!AM10</f>
        <v>-3.7931034530629404E-3</v>
      </c>
      <c r="DV35" s="300"/>
      <c r="ED35" s="564">
        <f>ED32-'Payroll Register'!AM11</f>
        <v>0</v>
      </c>
      <c r="EE35" s="300"/>
      <c r="EM35" s="564">
        <f>EM32-'Payroll Register'!AM12</f>
        <v>0</v>
      </c>
      <c r="EN35" s="300"/>
      <c r="EV35" s="564">
        <f>EV32-'Payroll Register'!AM13</f>
        <v>0</v>
      </c>
      <c r="EW35" s="300"/>
      <c r="FE35" s="564">
        <f>FE32-'Payroll Register'!AM14</f>
        <v>-4.942528743413277E-3</v>
      </c>
      <c r="FF35" s="300"/>
      <c r="FN35" s="564">
        <f>FN32-'Payroll Register'!AM15</f>
        <v>0</v>
      </c>
      <c r="FO35" s="300"/>
      <c r="FW35" s="564">
        <f>FW32-'Payroll Register'!AM16</f>
        <v>-4.2816090863198042E-3</v>
      </c>
      <c r="FX35" s="300"/>
      <c r="FY35" s="300"/>
      <c r="FZ35" s="300"/>
      <c r="GA35" s="300"/>
      <c r="GB35" s="300"/>
      <c r="GC35" s="300"/>
      <c r="GD35" s="300"/>
      <c r="GE35" s="300"/>
      <c r="GF35" s="332"/>
      <c r="GG35" s="300"/>
      <c r="GO35" s="564">
        <f>GO32-'Payroll Register'!AM17</f>
        <v>2.2413793158193585E-3</v>
      </c>
      <c r="GP35" s="300"/>
      <c r="GX35" s="564">
        <f>GX32-'Payroll Register'!AM18</f>
        <v>-1.5517241372435819E-3</v>
      </c>
      <c r="GY35" s="300"/>
      <c r="HG35" s="564">
        <f>HG32-'Payroll Register'!AM19</f>
        <v>0</v>
      </c>
      <c r="HH35" s="300"/>
      <c r="HP35" s="564">
        <f>HP32-'Payroll Register'!AM20</f>
        <v>2.2988506534602493E-3</v>
      </c>
      <c r="HQ35" s="300"/>
      <c r="HY35" s="564">
        <f>HY32-'Payroll Register'!AM21</f>
        <v>6.8965517857577652E-4</v>
      </c>
      <c r="HZ35" s="300"/>
      <c r="IH35" s="564">
        <f>IH32-'Payroll Register'!AM22</f>
        <v>-2.29885037697386E-4</v>
      </c>
      <c r="II35" s="300"/>
      <c r="IQ35" s="564">
        <f>IQ32-'Payroll Register'!AM23</f>
        <v>0</v>
      </c>
      <c r="IR35" s="300"/>
      <c r="IZ35" s="564">
        <f>IZ32-'Payroll Register'!AM24</f>
        <v>3.5862069107679417E-3</v>
      </c>
      <c r="JA35" s="300"/>
      <c r="JI35" s="564">
        <f>JI32-'Payroll Register'!AM25</f>
        <v>2.2988505952525884E-4</v>
      </c>
      <c r="JJ35" s="300"/>
      <c r="JR35" s="564">
        <f>JR32-'Payroll Register'!AM26</f>
        <v>1.7471264873165637E-3</v>
      </c>
      <c r="JS35" s="300"/>
      <c r="KA35" s="564">
        <f>KA32-'Payroll Register'!AM27</f>
        <v>-2.8965517230972182E-3</v>
      </c>
      <c r="KB35" s="300"/>
      <c r="KJ35" s="564">
        <f>KJ32-'Payroll Register'!AM28</f>
        <v>0</v>
      </c>
      <c r="KK35" s="300"/>
    </row>
    <row r="36" spans="1:297">
      <c r="H36" s="290"/>
      <c r="Q36" s="290"/>
      <c r="Z36" s="290"/>
      <c r="AI36" s="290"/>
      <c r="AR36" s="290"/>
      <c r="BA36" s="290"/>
      <c r="BJ36" s="290"/>
      <c r="BS36" s="290"/>
      <c r="CB36" s="99"/>
      <c r="CK36" s="99" t="s">
        <v>145</v>
      </c>
      <c r="CT36" s="290"/>
      <c r="DC36" s="99"/>
      <c r="DL36" s="332"/>
      <c r="DU36" s="99"/>
      <c r="ED36" s="99"/>
      <c r="EM36" s="99"/>
      <c r="EV36" s="99"/>
      <c r="FE36" s="99"/>
      <c r="FN36" s="99"/>
      <c r="FW36" s="99"/>
      <c r="GF36" s="332"/>
      <c r="GO36" s="99"/>
      <c r="GX36" s="99"/>
      <c r="HG36" s="99"/>
      <c r="HP36" s="99"/>
      <c r="HY36" s="99"/>
      <c r="IH36" s="99"/>
      <c r="IQ36" s="99"/>
      <c r="IZ36" s="99"/>
      <c r="JI36" s="99"/>
      <c r="JR36" s="99"/>
      <c r="KA36" s="99"/>
      <c r="KJ36" s="99"/>
    </row>
    <row r="41" spans="1:297">
      <c r="BX41" s="448"/>
    </row>
  </sheetData>
  <autoFilter ref="A3:Q3" xr:uid="{09261E47-DF88-4992-B297-F7A614241C2E}"/>
  <mergeCells count="264">
    <mergeCell ref="BC1:BJ1"/>
    <mergeCell ref="IJ2:IQ2"/>
    <mergeCell ref="IJ1:IQ1"/>
    <mergeCell ref="GZ1:HG1"/>
    <mergeCell ref="HI1:HP1"/>
    <mergeCell ref="HR1:HY1"/>
    <mergeCell ref="IA1:IH1"/>
    <mergeCell ref="GH1:GO1"/>
    <mergeCell ref="GQ1:GX1"/>
    <mergeCell ref="HR2:HY2"/>
    <mergeCell ref="IA2:IH2"/>
    <mergeCell ref="GH2:GO2"/>
    <mergeCell ref="EF2:EM2"/>
    <mergeCell ref="EO2:EV2"/>
    <mergeCell ref="A2:H2"/>
    <mergeCell ref="J2:Q2"/>
    <mergeCell ref="S2:Z2"/>
    <mergeCell ref="AB2:AI2"/>
    <mergeCell ref="AK2:AR2"/>
    <mergeCell ref="EX1:FE1"/>
    <mergeCell ref="FG1:FN1"/>
    <mergeCell ref="FP1:FW1"/>
    <mergeCell ref="FY1:GF1"/>
    <mergeCell ref="CV1:DC1"/>
    <mergeCell ref="DE1:DL1"/>
    <mergeCell ref="DN1:DU1"/>
    <mergeCell ref="DW1:ED1"/>
    <mergeCell ref="EF1:EM1"/>
    <mergeCell ref="EO1:EV1"/>
    <mergeCell ref="A1:H1"/>
    <mergeCell ref="BL1:BS1"/>
    <mergeCell ref="BU1:CB1"/>
    <mergeCell ref="CD1:CK1"/>
    <mergeCell ref="CM1:CT1"/>
    <mergeCell ref="EX2:FE2"/>
    <mergeCell ref="FG2:FN2"/>
    <mergeCell ref="FP2:FW2"/>
    <mergeCell ref="FY2:GF2"/>
    <mergeCell ref="A7:D7"/>
    <mergeCell ref="E7:F7"/>
    <mergeCell ref="G7:H7"/>
    <mergeCell ref="GQ2:GX2"/>
    <mergeCell ref="GZ2:HG2"/>
    <mergeCell ref="HI2:HP2"/>
    <mergeCell ref="CV2:DC2"/>
    <mergeCell ref="DE2:DL2"/>
    <mergeCell ref="DN2:DU2"/>
    <mergeCell ref="DW2:ED2"/>
    <mergeCell ref="AT2:BA2"/>
    <mergeCell ref="BC2:BJ2"/>
    <mergeCell ref="BL2:BS2"/>
    <mergeCell ref="BU2:CB2"/>
    <mergeCell ref="CD2:CK2"/>
    <mergeCell ref="CM2:CT2"/>
    <mergeCell ref="AK7:AN7"/>
    <mergeCell ref="AO7:AP7"/>
    <mergeCell ref="AQ7:AR7"/>
    <mergeCell ref="AT7:AW7"/>
    <mergeCell ref="AX7:AY7"/>
    <mergeCell ref="AZ7:BA7"/>
    <mergeCell ref="S7:V7"/>
    <mergeCell ref="W7:X7"/>
    <mergeCell ref="Y7:Z7"/>
    <mergeCell ref="AB7:AE7"/>
    <mergeCell ref="AF7:AG7"/>
    <mergeCell ref="AH7:AI7"/>
    <mergeCell ref="BU7:BX7"/>
    <mergeCell ref="BY7:BZ7"/>
    <mergeCell ref="CA7:CB7"/>
    <mergeCell ref="CD7:CG7"/>
    <mergeCell ref="CH7:CI7"/>
    <mergeCell ref="CJ7:CK7"/>
    <mergeCell ref="BC7:BF7"/>
    <mergeCell ref="BG7:BH7"/>
    <mergeCell ref="BI7:BJ7"/>
    <mergeCell ref="BL7:BO7"/>
    <mergeCell ref="BP7:BQ7"/>
    <mergeCell ref="BR7:BS7"/>
    <mergeCell ref="DE7:DH7"/>
    <mergeCell ref="DI7:DJ7"/>
    <mergeCell ref="EC7:ED7"/>
    <mergeCell ref="EF7:EI7"/>
    <mergeCell ref="EJ7:EK7"/>
    <mergeCell ref="EL7:EM7"/>
    <mergeCell ref="DK7:DL7"/>
    <mergeCell ref="DN7:DQ7"/>
    <mergeCell ref="DR7:DS7"/>
    <mergeCell ref="DT7:DU7"/>
    <mergeCell ref="CM7:CP7"/>
    <mergeCell ref="CQ7:CR7"/>
    <mergeCell ref="CS7:CT7"/>
    <mergeCell ref="CV7:CY7"/>
    <mergeCell ref="CZ7:DA7"/>
    <mergeCell ref="DB7:DC7"/>
    <mergeCell ref="IJ7:IM7"/>
    <mergeCell ref="E20:F20"/>
    <mergeCell ref="G20:H20"/>
    <mergeCell ref="N20:O20"/>
    <mergeCell ref="P20:Q20"/>
    <mergeCell ref="W20:X20"/>
    <mergeCell ref="Y20:Z20"/>
    <mergeCell ref="HI7:HL7"/>
    <mergeCell ref="HM7:HN7"/>
    <mergeCell ref="HO7:HP7"/>
    <mergeCell ref="HR7:HU7"/>
    <mergeCell ref="HV7:HW7"/>
    <mergeCell ref="HX7:HY7"/>
    <mergeCell ref="GQ7:GT7"/>
    <mergeCell ref="GU7:GV7"/>
    <mergeCell ref="GW7:GX7"/>
    <mergeCell ref="GZ7:HC7"/>
    <mergeCell ref="HD7:HE7"/>
    <mergeCell ref="HF7:HG7"/>
    <mergeCell ref="FY7:GB7"/>
    <mergeCell ref="GC7:GD7"/>
    <mergeCell ref="GE7:GF7"/>
    <mergeCell ref="GH7:GK7"/>
    <mergeCell ref="GL7:GM7"/>
    <mergeCell ref="AF20:AG20"/>
    <mergeCell ref="AH20:AI20"/>
    <mergeCell ref="AO20:AP20"/>
    <mergeCell ref="AQ20:AR20"/>
    <mergeCell ref="AX20:AY20"/>
    <mergeCell ref="AZ20:BA20"/>
    <mergeCell ref="IA7:ID7"/>
    <mergeCell ref="IE7:IF7"/>
    <mergeCell ref="IG7:IH7"/>
    <mergeCell ref="GN7:GO7"/>
    <mergeCell ref="FG7:FJ7"/>
    <mergeCell ref="FK7:FL7"/>
    <mergeCell ref="FM7:FN7"/>
    <mergeCell ref="FP7:FS7"/>
    <mergeCell ref="FT7:FU7"/>
    <mergeCell ref="FV7:FW7"/>
    <mergeCell ref="EO7:ER7"/>
    <mergeCell ref="ES7:ET7"/>
    <mergeCell ref="EU7:EV7"/>
    <mergeCell ref="EX7:FA7"/>
    <mergeCell ref="FB7:FC7"/>
    <mergeCell ref="FD7:FE7"/>
    <mergeCell ref="DW7:DZ7"/>
    <mergeCell ref="EA7:EB7"/>
    <mergeCell ref="CQ20:CR20"/>
    <mergeCell ref="CS20:CT20"/>
    <mergeCell ref="CZ20:DA20"/>
    <mergeCell ref="DB20:DC20"/>
    <mergeCell ref="BG20:BH20"/>
    <mergeCell ref="BI20:BJ20"/>
    <mergeCell ref="BP20:BQ20"/>
    <mergeCell ref="BR20:BS20"/>
    <mergeCell ref="BY20:BZ20"/>
    <mergeCell ref="CA20:CB20"/>
    <mergeCell ref="E26:F26"/>
    <mergeCell ref="N26:O26"/>
    <mergeCell ref="W26:X26"/>
    <mergeCell ref="AF26:AG26"/>
    <mergeCell ref="AO26:AP26"/>
    <mergeCell ref="AX26:AY26"/>
    <mergeCell ref="HM20:HN20"/>
    <mergeCell ref="HO20:HP20"/>
    <mergeCell ref="HV20:HW20"/>
    <mergeCell ref="GL20:GM20"/>
    <mergeCell ref="GN20:GO20"/>
    <mergeCell ref="GU20:GV20"/>
    <mergeCell ref="GW20:GX20"/>
    <mergeCell ref="HD20:HE20"/>
    <mergeCell ref="HF20:HG20"/>
    <mergeCell ref="FK20:FL20"/>
    <mergeCell ref="FM20:FN20"/>
    <mergeCell ref="FT20:FU20"/>
    <mergeCell ref="FV20:FW20"/>
    <mergeCell ref="GC20:GD20"/>
    <mergeCell ref="GE20:GF20"/>
    <mergeCell ref="EJ20:EK20"/>
    <mergeCell ref="EL20:EM20"/>
    <mergeCell ref="ES20:ET20"/>
    <mergeCell ref="AT1:BA1"/>
    <mergeCell ref="AK1:AR1"/>
    <mergeCell ref="AB1:AI1"/>
    <mergeCell ref="S1:Z1"/>
    <mergeCell ref="J1:Q1"/>
    <mergeCell ref="GC26:GD26"/>
    <mergeCell ref="GL26:GM26"/>
    <mergeCell ref="GU26:GV26"/>
    <mergeCell ref="HD26:HE26"/>
    <mergeCell ref="EA26:EB26"/>
    <mergeCell ref="EJ26:EK26"/>
    <mergeCell ref="ES26:ET26"/>
    <mergeCell ref="FB26:FC26"/>
    <mergeCell ref="FK26:FL26"/>
    <mergeCell ref="FT26:FU26"/>
    <mergeCell ref="BG26:BH26"/>
    <mergeCell ref="BP26:BQ26"/>
    <mergeCell ref="BY26:BZ26"/>
    <mergeCell ref="CH26:CI26"/>
    <mergeCell ref="DR26:DS26"/>
    <mergeCell ref="CQ26:CR26"/>
    <mergeCell ref="CZ26:DA26"/>
    <mergeCell ref="DI26:DJ26"/>
    <mergeCell ref="EU20:EV20"/>
    <mergeCell ref="IN26:IO26"/>
    <mergeCell ref="IP20:IQ20"/>
    <mergeCell ref="IN20:IO20"/>
    <mergeCell ref="IP7:IQ7"/>
    <mergeCell ref="IN7:IO7"/>
    <mergeCell ref="IE26:IF26"/>
    <mergeCell ref="P7:Q7"/>
    <mergeCell ref="N7:O7"/>
    <mergeCell ref="J7:M7"/>
    <mergeCell ref="HM26:HN26"/>
    <mergeCell ref="HV26:HW26"/>
    <mergeCell ref="HX20:HY20"/>
    <mergeCell ref="IE20:IF20"/>
    <mergeCell ref="IG20:IH20"/>
    <mergeCell ref="FB20:FC20"/>
    <mergeCell ref="FD20:FE20"/>
    <mergeCell ref="DI20:DJ20"/>
    <mergeCell ref="DK20:DL20"/>
    <mergeCell ref="DR20:DS20"/>
    <mergeCell ref="DT20:DU20"/>
    <mergeCell ref="EA20:EB20"/>
    <mergeCell ref="EC20:ED20"/>
    <mergeCell ref="CH20:CI20"/>
    <mergeCell ref="CJ20:CK20"/>
    <mergeCell ref="IW26:IX26"/>
    <mergeCell ref="IY20:IZ20"/>
    <mergeCell ref="IW20:IX20"/>
    <mergeCell ref="IY7:IZ7"/>
    <mergeCell ref="IW7:IX7"/>
    <mergeCell ref="IS7:IV7"/>
    <mergeCell ref="IS2:IZ2"/>
    <mergeCell ref="IS1:IZ1"/>
    <mergeCell ref="JF26:JG26"/>
    <mergeCell ref="JT7:JW7"/>
    <mergeCell ref="JT2:KA2"/>
    <mergeCell ref="JT1:KA1"/>
    <mergeCell ref="KG26:KH26"/>
    <mergeCell ref="JH20:JI20"/>
    <mergeCell ref="JF20:JG20"/>
    <mergeCell ref="JH7:JI7"/>
    <mergeCell ref="JF7:JG7"/>
    <mergeCell ref="JB7:JE7"/>
    <mergeCell ref="JB2:JI2"/>
    <mergeCell ref="JB1:JI1"/>
    <mergeCell ref="JO26:JP26"/>
    <mergeCell ref="JQ20:JR20"/>
    <mergeCell ref="JO20:JP20"/>
    <mergeCell ref="JQ7:JR7"/>
    <mergeCell ref="JO7:JP7"/>
    <mergeCell ref="JK7:JN7"/>
    <mergeCell ref="JK2:JR2"/>
    <mergeCell ref="JK1:JR1"/>
    <mergeCell ref="KI20:KJ20"/>
    <mergeCell ref="KG20:KH20"/>
    <mergeCell ref="KI7:KJ7"/>
    <mergeCell ref="KG7:KH7"/>
    <mergeCell ref="KC7:KF7"/>
    <mergeCell ref="KC2:KJ2"/>
    <mergeCell ref="KC1:KJ1"/>
    <mergeCell ref="JX26:JY26"/>
    <mergeCell ref="JZ20:KA20"/>
    <mergeCell ref="JX20:JY20"/>
    <mergeCell ref="JZ7:KA7"/>
    <mergeCell ref="JX7:JY7"/>
  </mergeCells>
  <pageMargins left="0.7" right="0.7" top="0.75" bottom="0.75" header="0.3" footer="0.3"/>
  <pageSetup scale="99" orientation="portrait" horizontalDpi="300" verticalDpi="300" r:id="rId1"/>
  <colBreaks count="4" manualBreakCount="4">
    <brk id="8" max="32" man="1"/>
    <brk id="81" max="1048575" man="1"/>
    <brk id="99" max="1048575" man="1"/>
    <brk id="11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64F3-9263-4F00-B6DD-830D718EB333}">
  <dimension ref="A1:DD25"/>
  <sheetViews>
    <sheetView topLeftCell="A6" zoomScale="65" zoomScaleNormal="74" workbookViewId="0">
      <pane xSplit="4" topLeftCell="J2" activePane="topRight" state="frozen"/>
      <selection pane="topRight" activeCell="D3" sqref="D3"/>
    </sheetView>
  </sheetViews>
  <sheetFormatPr defaultColWidth="15.5703125" defaultRowHeight="14.45"/>
  <cols>
    <col min="2" max="2" width="17.42578125" hidden="1" customWidth="1"/>
    <col min="3" max="3" width="15.5703125" hidden="1" customWidth="1"/>
    <col min="4" max="4" width="30.5703125" customWidth="1"/>
    <col min="5" max="6" width="10.42578125" customWidth="1"/>
    <col min="7" max="8" width="14.5703125" customWidth="1"/>
    <col min="9" max="9" width="10.42578125" customWidth="1"/>
    <col min="10" max="11" width="12.42578125" customWidth="1"/>
    <col min="12" max="12" width="15.5703125" customWidth="1"/>
    <col min="13" max="14" width="13.5703125" customWidth="1"/>
    <col min="15" max="15" width="14.5703125" customWidth="1"/>
    <col min="16" max="19" width="13.5703125" customWidth="1"/>
    <col min="20" max="21" width="5.42578125" customWidth="1"/>
    <col min="22" max="22" width="14.5703125" customWidth="1"/>
    <col min="23" max="23" width="10.140625" customWidth="1"/>
    <col min="24" max="25" width="12.42578125" customWidth="1"/>
    <col min="26" max="27" width="5.42578125" customWidth="1"/>
    <col min="28" max="28" width="14.5703125" customWidth="1"/>
    <col min="29" max="29" width="10.140625" customWidth="1"/>
    <col min="30" max="31" width="12.42578125" customWidth="1"/>
    <col min="32" max="33" width="13.5703125" customWidth="1"/>
    <col min="34" max="34" width="14.5703125" customWidth="1"/>
    <col min="35" max="39" width="13.5703125" customWidth="1"/>
    <col min="40" max="40" width="14.5703125" customWidth="1"/>
    <col min="41" max="45" width="13.5703125" customWidth="1"/>
    <col min="46" max="46" width="14.5703125" customWidth="1"/>
    <col min="47" max="51" width="13.5703125" customWidth="1"/>
    <col min="52" max="52" width="14.5703125" customWidth="1"/>
    <col min="53" max="57" width="13.5703125" customWidth="1"/>
    <col min="58" max="58" width="14.5703125" customWidth="1"/>
    <col min="59" max="61" width="13.5703125" customWidth="1"/>
    <col min="62" max="63" width="5.42578125" customWidth="1"/>
    <col min="64" max="64" width="14.5703125" customWidth="1"/>
    <col min="65" max="65" width="10.140625" customWidth="1"/>
    <col min="66" max="67" width="12.42578125" customWidth="1"/>
    <col min="68" max="69" width="5.42578125" customWidth="1"/>
    <col min="70" max="70" width="14.5703125" customWidth="1"/>
    <col min="71" max="71" width="10.140625" customWidth="1"/>
    <col min="72" max="73" width="12.42578125" customWidth="1"/>
    <col min="74" max="75" width="13.5703125" customWidth="1"/>
    <col min="76" max="76" width="14.5703125" customWidth="1"/>
    <col min="77" max="81" width="13.5703125" customWidth="1"/>
    <col min="82" max="82" width="14.5703125" customWidth="1"/>
    <col min="83" max="87" width="13.5703125" customWidth="1"/>
    <col min="88" max="88" width="14.5703125" customWidth="1"/>
    <col min="89" max="93" width="13.5703125" customWidth="1"/>
    <col min="94" max="94" width="14.5703125" customWidth="1"/>
    <col min="95" max="97" width="13.5703125" customWidth="1"/>
    <col min="98" max="98" width="19" customWidth="1"/>
    <col min="99" max="99" width="14.5703125" customWidth="1"/>
    <col min="100" max="100" width="10.140625" bestFit="1" customWidth="1"/>
    <col min="101" max="101" width="11.85546875" customWidth="1"/>
    <col min="102" max="103" width="12.42578125" bestFit="1" customWidth="1"/>
    <col min="104" max="104" width="14.5703125" customWidth="1"/>
    <col min="105" max="105" width="8.42578125" bestFit="1" customWidth="1"/>
    <col min="106" max="106" width="10.5703125" bestFit="1" customWidth="1"/>
    <col min="107" max="107" width="6.85546875" customWidth="1"/>
    <col min="108" max="108" width="22.5703125" bestFit="1" customWidth="1"/>
  </cols>
  <sheetData>
    <row r="1" spans="1:108" ht="18.600000000000001" customHeight="1" thickBot="1">
      <c r="A1" s="652" t="s">
        <v>146</v>
      </c>
      <c r="B1" s="654" t="s">
        <v>147</v>
      </c>
      <c r="C1" s="654" t="s">
        <v>148</v>
      </c>
      <c r="D1" s="656" t="s">
        <v>149</v>
      </c>
      <c r="E1" s="642">
        <v>46023</v>
      </c>
      <c r="F1" s="643"/>
      <c r="G1" s="643"/>
      <c r="H1" s="643"/>
      <c r="I1" s="643"/>
      <c r="J1" s="643"/>
      <c r="K1" s="643"/>
      <c r="L1" s="644"/>
      <c r="M1" s="649">
        <v>46024</v>
      </c>
      <c r="N1" s="650"/>
      <c r="O1" s="650"/>
      <c r="P1" s="650"/>
      <c r="Q1" s="650"/>
      <c r="R1" s="650"/>
      <c r="S1" s="650"/>
      <c r="T1" s="658">
        <v>46025</v>
      </c>
      <c r="U1" s="659"/>
      <c r="V1" s="659"/>
      <c r="W1" s="659"/>
      <c r="X1" s="659"/>
      <c r="Y1" s="660"/>
      <c r="Z1" s="658">
        <v>46026</v>
      </c>
      <c r="AA1" s="659"/>
      <c r="AB1" s="659"/>
      <c r="AC1" s="659"/>
      <c r="AD1" s="659"/>
      <c r="AE1" s="660"/>
      <c r="AF1" s="650">
        <v>46027</v>
      </c>
      <c r="AG1" s="650"/>
      <c r="AH1" s="650"/>
      <c r="AI1" s="650"/>
      <c r="AJ1" s="650"/>
      <c r="AK1" s="651"/>
      <c r="AL1" s="649">
        <v>46028</v>
      </c>
      <c r="AM1" s="650"/>
      <c r="AN1" s="650"/>
      <c r="AO1" s="650"/>
      <c r="AP1" s="650"/>
      <c r="AQ1" s="651"/>
      <c r="AR1" s="642">
        <v>46029</v>
      </c>
      <c r="AS1" s="643"/>
      <c r="AT1" s="643"/>
      <c r="AU1" s="643"/>
      <c r="AV1" s="643"/>
      <c r="AW1" s="644"/>
      <c r="AX1" s="642">
        <v>46030</v>
      </c>
      <c r="AY1" s="643"/>
      <c r="AZ1" s="643"/>
      <c r="BA1" s="643"/>
      <c r="BB1" s="643"/>
      <c r="BC1" s="644"/>
      <c r="BD1" s="642">
        <v>46031</v>
      </c>
      <c r="BE1" s="643"/>
      <c r="BF1" s="643"/>
      <c r="BG1" s="643"/>
      <c r="BH1" s="643"/>
      <c r="BI1" s="644"/>
      <c r="BJ1" s="649">
        <v>46032</v>
      </c>
      <c r="BK1" s="650"/>
      <c r="BL1" s="650"/>
      <c r="BM1" s="650"/>
      <c r="BN1" s="650"/>
      <c r="BO1" s="651"/>
      <c r="BP1" s="649">
        <v>46033</v>
      </c>
      <c r="BQ1" s="650"/>
      <c r="BR1" s="650"/>
      <c r="BS1" s="650"/>
      <c r="BT1" s="650"/>
      <c r="BU1" s="651"/>
      <c r="BV1" s="642">
        <v>46034</v>
      </c>
      <c r="BW1" s="643"/>
      <c r="BX1" s="643"/>
      <c r="BY1" s="643"/>
      <c r="BZ1" s="643"/>
      <c r="CA1" s="644"/>
      <c r="CB1" s="642">
        <v>46035</v>
      </c>
      <c r="CC1" s="643"/>
      <c r="CD1" s="643"/>
      <c r="CE1" s="643"/>
      <c r="CF1" s="643"/>
      <c r="CG1" s="644"/>
      <c r="CH1" s="649">
        <v>46036</v>
      </c>
      <c r="CI1" s="650"/>
      <c r="CJ1" s="650"/>
      <c r="CK1" s="650"/>
      <c r="CL1" s="650"/>
      <c r="CM1" s="651"/>
      <c r="CN1" s="642">
        <v>46037</v>
      </c>
      <c r="CO1" s="643"/>
      <c r="CP1" s="643"/>
      <c r="CQ1" s="643"/>
      <c r="CR1" s="643"/>
      <c r="CS1" s="644"/>
      <c r="CT1" s="645" t="s">
        <v>150</v>
      </c>
      <c r="CU1" s="646"/>
      <c r="CV1" s="647"/>
      <c r="CW1" s="647"/>
      <c r="CX1" s="647"/>
      <c r="CY1" s="647"/>
      <c r="CZ1" s="647"/>
      <c r="DA1" s="647"/>
      <c r="DB1" s="647"/>
      <c r="DC1" s="647"/>
      <c r="DD1" s="648"/>
    </row>
    <row r="2" spans="1:108" ht="89.45" customHeight="1" thickBot="1">
      <c r="A2" s="653"/>
      <c r="B2" s="655"/>
      <c r="C2" s="655"/>
      <c r="D2" s="657"/>
      <c r="E2" s="425" t="s">
        <v>151</v>
      </c>
      <c r="F2" s="426" t="s">
        <v>152</v>
      </c>
      <c r="G2" s="427" t="s">
        <v>153</v>
      </c>
      <c r="H2" s="427" t="s">
        <v>154</v>
      </c>
      <c r="I2" s="427" t="s">
        <v>155</v>
      </c>
      <c r="J2" s="427" t="s">
        <v>156</v>
      </c>
      <c r="K2" s="427" t="s">
        <v>157</v>
      </c>
      <c r="L2" s="452" t="s">
        <v>158</v>
      </c>
      <c r="M2" s="425" t="s">
        <v>151</v>
      </c>
      <c r="N2" s="426" t="s">
        <v>152</v>
      </c>
      <c r="O2" s="427" t="s">
        <v>153</v>
      </c>
      <c r="P2" s="427" t="s">
        <v>155</v>
      </c>
      <c r="Q2" s="427" t="s">
        <v>159</v>
      </c>
      <c r="R2" s="427" t="s">
        <v>156</v>
      </c>
      <c r="S2" s="452" t="s">
        <v>157</v>
      </c>
      <c r="T2" s="425" t="s">
        <v>151</v>
      </c>
      <c r="U2" s="426" t="s">
        <v>152</v>
      </c>
      <c r="V2" s="427" t="s">
        <v>153</v>
      </c>
      <c r="W2" s="427" t="s">
        <v>155</v>
      </c>
      <c r="X2" s="427" t="s">
        <v>156</v>
      </c>
      <c r="Y2" s="429" t="s">
        <v>157</v>
      </c>
      <c r="Z2" s="428" t="s">
        <v>151</v>
      </c>
      <c r="AA2" s="426" t="s">
        <v>152</v>
      </c>
      <c r="AB2" s="427" t="s">
        <v>153</v>
      </c>
      <c r="AC2" s="427" t="s">
        <v>155</v>
      </c>
      <c r="AD2" s="427" t="s">
        <v>156</v>
      </c>
      <c r="AE2" s="429" t="s">
        <v>157</v>
      </c>
      <c r="AF2" s="425" t="s">
        <v>151</v>
      </c>
      <c r="AG2" s="426" t="s">
        <v>152</v>
      </c>
      <c r="AH2" s="427" t="s">
        <v>153</v>
      </c>
      <c r="AI2" s="427" t="s">
        <v>155</v>
      </c>
      <c r="AJ2" s="427" t="s">
        <v>156</v>
      </c>
      <c r="AK2" s="429" t="s">
        <v>157</v>
      </c>
      <c r="AL2" s="425" t="s">
        <v>151</v>
      </c>
      <c r="AM2" s="426" t="s">
        <v>152</v>
      </c>
      <c r="AN2" s="427" t="s">
        <v>153</v>
      </c>
      <c r="AO2" s="427" t="s">
        <v>155</v>
      </c>
      <c r="AP2" s="427" t="s">
        <v>156</v>
      </c>
      <c r="AQ2" s="452" t="s">
        <v>157</v>
      </c>
      <c r="AR2" s="425" t="s">
        <v>151</v>
      </c>
      <c r="AS2" s="426" t="s">
        <v>152</v>
      </c>
      <c r="AT2" s="427" t="s">
        <v>153</v>
      </c>
      <c r="AU2" s="427" t="s">
        <v>155</v>
      </c>
      <c r="AV2" s="427" t="s">
        <v>156</v>
      </c>
      <c r="AW2" s="429" t="s">
        <v>157</v>
      </c>
      <c r="AX2" s="425" t="s">
        <v>151</v>
      </c>
      <c r="AY2" s="426" t="s">
        <v>152</v>
      </c>
      <c r="AZ2" s="427" t="s">
        <v>153</v>
      </c>
      <c r="BA2" s="427" t="s">
        <v>155</v>
      </c>
      <c r="BB2" s="427" t="s">
        <v>156</v>
      </c>
      <c r="BC2" s="429" t="s">
        <v>157</v>
      </c>
      <c r="BD2" s="425" t="s">
        <v>151</v>
      </c>
      <c r="BE2" s="426" t="s">
        <v>152</v>
      </c>
      <c r="BF2" s="427" t="s">
        <v>153</v>
      </c>
      <c r="BG2" s="427" t="s">
        <v>155</v>
      </c>
      <c r="BH2" s="427" t="s">
        <v>156</v>
      </c>
      <c r="BI2" s="452" t="s">
        <v>157</v>
      </c>
      <c r="BJ2" s="425" t="s">
        <v>151</v>
      </c>
      <c r="BK2" s="426" t="s">
        <v>152</v>
      </c>
      <c r="BL2" s="427" t="s">
        <v>153</v>
      </c>
      <c r="BM2" s="427" t="s">
        <v>155</v>
      </c>
      <c r="BN2" s="427" t="s">
        <v>156</v>
      </c>
      <c r="BO2" s="429" t="s">
        <v>157</v>
      </c>
      <c r="BP2" s="428" t="s">
        <v>151</v>
      </c>
      <c r="BQ2" s="426" t="s">
        <v>152</v>
      </c>
      <c r="BR2" s="427" t="s">
        <v>153</v>
      </c>
      <c r="BS2" s="427" t="s">
        <v>155</v>
      </c>
      <c r="BT2" s="427" t="s">
        <v>156</v>
      </c>
      <c r="BU2" s="429" t="s">
        <v>157</v>
      </c>
      <c r="BV2" s="425" t="s">
        <v>151</v>
      </c>
      <c r="BW2" s="426" t="s">
        <v>152</v>
      </c>
      <c r="BX2" s="427" t="s">
        <v>153</v>
      </c>
      <c r="BY2" s="427" t="s">
        <v>155</v>
      </c>
      <c r="BZ2" s="427" t="s">
        <v>156</v>
      </c>
      <c r="CA2" s="429" t="s">
        <v>157</v>
      </c>
      <c r="CB2" s="425" t="s">
        <v>151</v>
      </c>
      <c r="CC2" s="426" t="s">
        <v>152</v>
      </c>
      <c r="CD2" s="427" t="s">
        <v>153</v>
      </c>
      <c r="CE2" s="427" t="s">
        <v>155</v>
      </c>
      <c r="CF2" s="427" t="s">
        <v>156</v>
      </c>
      <c r="CG2" s="429" t="s">
        <v>157</v>
      </c>
      <c r="CH2" s="425" t="s">
        <v>151</v>
      </c>
      <c r="CI2" s="426" t="s">
        <v>152</v>
      </c>
      <c r="CJ2" s="427" t="s">
        <v>153</v>
      </c>
      <c r="CK2" s="427" t="s">
        <v>155</v>
      </c>
      <c r="CL2" s="427" t="s">
        <v>156</v>
      </c>
      <c r="CM2" s="429" t="s">
        <v>157</v>
      </c>
      <c r="CN2" s="425" t="s">
        <v>151</v>
      </c>
      <c r="CO2" s="426" t="s">
        <v>152</v>
      </c>
      <c r="CP2" s="427" t="s">
        <v>153</v>
      </c>
      <c r="CQ2" s="427" t="s">
        <v>155</v>
      </c>
      <c r="CR2" s="427" t="s">
        <v>156</v>
      </c>
      <c r="CS2" s="429" t="s">
        <v>157</v>
      </c>
      <c r="CT2" s="521" t="s">
        <v>153</v>
      </c>
      <c r="CU2" s="522" t="s">
        <v>154</v>
      </c>
      <c r="CV2" s="523" t="s">
        <v>155</v>
      </c>
      <c r="CW2" s="523" t="s">
        <v>159</v>
      </c>
      <c r="CX2" s="523" t="s">
        <v>156</v>
      </c>
      <c r="CY2" s="523" t="s">
        <v>157</v>
      </c>
      <c r="CZ2" s="523" t="s">
        <v>158</v>
      </c>
      <c r="DA2" s="523" t="s">
        <v>160</v>
      </c>
      <c r="DB2" s="523" t="s">
        <v>161</v>
      </c>
      <c r="DC2" s="523" t="s">
        <v>162</v>
      </c>
      <c r="DD2" s="524" t="s">
        <v>163</v>
      </c>
    </row>
    <row r="3" spans="1:108" ht="18.600000000000001" customHeight="1">
      <c r="A3" s="430">
        <v>8001</v>
      </c>
      <c r="B3" s="431" t="s">
        <v>164</v>
      </c>
      <c r="C3" s="431" t="s">
        <v>165</v>
      </c>
      <c r="D3" s="449" t="s">
        <v>51</v>
      </c>
      <c r="E3" s="525" t="s">
        <v>166</v>
      </c>
      <c r="F3" s="526" t="s">
        <v>166</v>
      </c>
      <c r="G3" s="526" t="s">
        <v>166</v>
      </c>
      <c r="H3" s="526" t="s">
        <v>166</v>
      </c>
      <c r="I3" s="526" t="s">
        <v>166</v>
      </c>
      <c r="J3" s="526" t="s">
        <v>166</v>
      </c>
      <c r="K3" s="526" t="s">
        <v>166</v>
      </c>
      <c r="L3" s="527" t="s">
        <v>166</v>
      </c>
      <c r="M3" s="528" t="s">
        <v>167</v>
      </c>
      <c r="N3" s="529" t="s">
        <v>167</v>
      </c>
      <c r="O3" s="529" t="s">
        <v>167</v>
      </c>
      <c r="P3" s="529" t="s">
        <v>167</v>
      </c>
      <c r="Q3" s="529" t="s">
        <v>167</v>
      </c>
      <c r="R3" s="529" t="s">
        <v>167</v>
      </c>
      <c r="S3" s="530" t="s">
        <v>167</v>
      </c>
      <c r="T3" s="468" t="s">
        <v>168</v>
      </c>
      <c r="U3" s="469" t="s">
        <v>168</v>
      </c>
      <c r="V3" s="469" t="s">
        <v>168</v>
      </c>
      <c r="W3" s="469" t="s">
        <v>168</v>
      </c>
      <c r="X3" s="469" t="s">
        <v>168</v>
      </c>
      <c r="Y3" s="531" t="s">
        <v>168</v>
      </c>
      <c r="Z3" s="532" t="s">
        <v>168</v>
      </c>
      <c r="AA3" s="469" t="s">
        <v>168</v>
      </c>
      <c r="AB3" s="469" t="s">
        <v>168</v>
      </c>
      <c r="AC3" s="469" t="s">
        <v>168</v>
      </c>
      <c r="AD3" s="469" t="s">
        <v>168</v>
      </c>
      <c r="AE3" s="533" t="s">
        <v>168</v>
      </c>
      <c r="AF3" s="464">
        <v>0.625</v>
      </c>
      <c r="AG3" s="465">
        <v>0</v>
      </c>
      <c r="AH3" s="466">
        <v>8</v>
      </c>
      <c r="AI3" s="466">
        <v>0</v>
      </c>
      <c r="AJ3" s="465">
        <v>0</v>
      </c>
      <c r="AK3" s="470">
        <v>2</v>
      </c>
      <c r="AL3" s="464">
        <v>0.625</v>
      </c>
      <c r="AM3" s="465">
        <v>0</v>
      </c>
      <c r="AN3" s="466">
        <v>8</v>
      </c>
      <c r="AO3" s="466">
        <v>0</v>
      </c>
      <c r="AP3" s="465">
        <v>0</v>
      </c>
      <c r="AQ3" s="470">
        <v>2</v>
      </c>
      <c r="AR3" s="464">
        <v>0.625</v>
      </c>
      <c r="AS3" s="465">
        <v>0</v>
      </c>
      <c r="AT3" s="466">
        <v>8</v>
      </c>
      <c r="AU3" s="466">
        <v>0</v>
      </c>
      <c r="AV3" s="465">
        <v>0</v>
      </c>
      <c r="AW3" s="470">
        <v>2</v>
      </c>
      <c r="AX3" s="464">
        <v>0.41666666666666669</v>
      </c>
      <c r="AY3" s="465">
        <v>0.79166666666666663</v>
      </c>
      <c r="AZ3" s="466">
        <v>8</v>
      </c>
      <c r="BA3" s="466">
        <v>0</v>
      </c>
      <c r="BB3" s="465">
        <v>0</v>
      </c>
      <c r="BC3" s="470">
        <v>0</v>
      </c>
      <c r="BD3" s="464">
        <v>0.41666666666666669</v>
      </c>
      <c r="BE3" s="465">
        <v>0.79166666666666663</v>
      </c>
      <c r="BF3" s="466">
        <v>8</v>
      </c>
      <c r="BG3" s="466">
        <v>0</v>
      </c>
      <c r="BH3" s="465">
        <v>0</v>
      </c>
      <c r="BI3" s="470">
        <v>0</v>
      </c>
      <c r="BJ3" s="468" t="s">
        <v>168</v>
      </c>
      <c r="BK3" s="469" t="s">
        <v>168</v>
      </c>
      <c r="BL3" s="469" t="s">
        <v>168</v>
      </c>
      <c r="BM3" s="469" t="s">
        <v>168</v>
      </c>
      <c r="BN3" s="469" t="s">
        <v>168</v>
      </c>
      <c r="BO3" s="531" t="s">
        <v>168</v>
      </c>
      <c r="BP3" s="532" t="s">
        <v>168</v>
      </c>
      <c r="BQ3" s="469" t="s">
        <v>168</v>
      </c>
      <c r="BR3" s="469" t="s">
        <v>168</v>
      </c>
      <c r="BS3" s="469" t="s">
        <v>168</v>
      </c>
      <c r="BT3" s="469" t="s">
        <v>168</v>
      </c>
      <c r="BU3" s="533" t="s">
        <v>168</v>
      </c>
      <c r="BV3" s="464">
        <v>0.625</v>
      </c>
      <c r="BW3" s="465">
        <v>0</v>
      </c>
      <c r="BX3" s="466">
        <v>8</v>
      </c>
      <c r="BY3" s="466">
        <v>0</v>
      </c>
      <c r="BZ3" s="465">
        <v>0</v>
      </c>
      <c r="CA3" s="470">
        <v>2</v>
      </c>
      <c r="CB3" s="464">
        <v>0.625</v>
      </c>
      <c r="CC3" s="465">
        <v>0</v>
      </c>
      <c r="CD3" s="466">
        <v>8</v>
      </c>
      <c r="CE3" s="466">
        <v>0</v>
      </c>
      <c r="CF3" s="465">
        <v>0</v>
      </c>
      <c r="CG3" s="470">
        <v>2</v>
      </c>
      <c r="CH3" s="464">
        <v>0.625</v>
      </c>
      <c r="CI3" s="465">
        <v>0</v>
      </c>
      <c r="CJ3" s="466">
        <v>8</v>
      </c>
      <c r="CK3" s="466">
        <v>0</v>
      </c>
      <c r="CL3" s="465">
        <v>0</v>
      </c>
      <c r="CM3" s="470">
        <v>2</v>
      </c>
      <c r="CN3" s="464">
        <v>0.41666666666666669</v>
      </c>
      <c r="CO3" s="465">
        <v>0.79166666666666663</v>
      </c>
      <c r="CP3" s="466">
        <v>8</v>
      </c>
      <c r="CQ3" s="466">
        <v>0</v>
      </c>
      <c r="CR3" s="465">
        <v>0</v>
      </c>
      <c r="CS3" s="534">
        <v>0</v>
      </c>
      <c r="CT3" s="535">
        <f>SUM(G3,O3,V3,AB3,AH3,AN3,AT3,AZ3,BF3,BL3,BR3,BX3,CD3,CJ3,CP3)</f>
        <v>72</v>
      </c>
      <c r="CU3" s="559">
        <f>SUM(H3)</f>
        <v>0</v>
      </c>
      <c r="CV3" s="559">
        <f>SUM(I3,P3,W3,AC3,AI3,AO3,AU3,BA3,BG3,BM3,BS3,BY3,CE3,CK3,CQ3)</f>
        <v>0</v>
      </c>
      <c r="CW3" s="559">
        <f>SUM(Q3)</f>
        <v>0</v>
      </c>
      <c r="CX3" s="559">
        <f>SUM(J3,R3,X3,AD3,AJ3,AP3,AV3,BB3,BH3,BN3,BT3,BZ3,CF3,CL3,CR3)</f>
        <v>0</v>
      </c>
      <c r="CY3" s="559">
        <f>SUM(K3,S3,Y3,AE3,AK3,AQ3,AW3,BC3,BI3,BO3,BU3,CA3,CG3,CM3,CS3)</f>
        <v>12</v>
      </c>
      <c r="CZ3" s="559">
        <f>SUM(L3)</f>
        <v>0</v>
      </c>
      <c r="DA3" s="467">
        <v>1</v>
      </c>
      <c r="DB3" s="467">
        <v>1</v>
      </c>
      <c r="DC3" s="559">
        <v>0</v>
      </c>
      <c r="DD3" s="536"/>
    </row>
    <row r="4" spans="1:108" ht="18.600000000000001" customHeight="1">
      <c r="A4" s="432">
        <v>8008</v>
      </c>
      <c r="B4" s="433" t="s">
        <v>164</v>
      </c>
      <c r="C4" s="433" t="s">
        <v>165</v>
      </c>
      <c r="D4" s="450" t="s">
        <v>52</v>
      </c>
      <c r="E4" s="471">
        <v>0.625</v>
      </c>
      <c r="F4" s="472">
        <v>0</v>
      </c>
      <c r="G4" s="473">
        <v>0</v>
      </c>
      <c r="H4" s="473">
        <v>8</v>
      </c>
      <c r="I4" s="473">
        <v>0</v>
      </c>
      <c r="J4" s="472">
        <v>0</v>
      </c>
      <c r="K4" s="473">
        <v>0</v>
      </c>
      <c r="L4" s="476">
        <v>2</v>
      </c>
      <c r="M4" s="471">
        <v>0.625</v>
      </c>
      <c r="N4" s="472">
        <v>4.1666666666666664E-2</v>
      </c>
      <c r="O4" s="473">
        <v>8</v>
      </c>
      <c r="P4" s="473">
        <v>1</v>
      </c>
      <c r="Q4" s="473">
        <v>0</v>
      </c>
      <c r="R4" s="472">
        <v>0</v>
      </c>
      <c r="S4" s="476">
        <v>3</v>
      </c>
      <c r="T4" s="474" t="s">
        <v>168</v>
      </c>
      <c r="U4" s="475" t="s">
        <v>168</v>
      </c>
      <c r="V4" s="475" t="s">
        <v>168</v>
      </c>
      <c r="W4" s="475" t="s">
        <v>168</v>
      </c>
      <c r="X4" s="475" t="s">
        <v>168</v>
      </c>
      <c r="Y4" s="537" t="s">
        <v>168</v>
      </c>
      <c r="Z4" s="538" t="s">
        <v>168</v>
      </c>
      <c r="AA4" s="475" t="s">
        <v>168</v>
      </c>
      <c r="AB4" s="475" t="s">
        <v>168</v>
      </c>
      <c r="AC4" s="475" t="s">
        <v>168</v>
      </c>
      <c r="AD4" s="475" t="s">
        <v>168</v>
      </c>
      <c r="AE4" s="481" t="s">
        <v>168</v>
      </c>
      <c r="AF4" s="471">
        <v>0.625</v>
      </c>
      <c r="AG4" s="472">
        <v>4.1666666666666664E-2</v>
      </c>
      <c r="AH4" s="473">
        <v>8</v>
      </c>
      <c r="AI4" s="473">
        <v>0</v>
      </c>
      <c r="AJ4" s="472">
        <v>0</v>
      </c>
      <c r="AK4" s="476">
        <v>3</v>
      </c>
      <c r="AL4" s="471">
        <v>0.625</v>
      </c>
      <c r="AM4" s="472">
        <v>4.1666666666666664E-2</v>
      </c>
      <c r="AN4" s="473">
        <v>8</v>
      </c>
      <c r="AO4" s="473">
        <v>1</v>
      </c>
      <c r="AP4" s="472">
        <v>0</v>
      </c>
      <c r="AQ4" s="476">
        <v>3</v>
      </c>
      <c r="AR4" s="471">
        <v>0.625</v>
      </c>
      <c r="AS4" s="472">
        <v>4.1666666666666664E-2</v>
      </c>
      <c r="AT4" s="473">
        <v>8</v>
      </c>
      <c r="AU4" s="473">
        <v>1</v>
      </c>
      <c r="AV4" s="472">
        <v>0</v>
      </c>
      <c r="AW4" s="476">
        <v>3</v>
      </c>
      <c r="AX4" s="471">
        <v>0.625</v>
      </c>
      <c r="AY4" s="472">
        <v>4.1666666666666664E-2</v>
      </c>
      <c r="AZ4" s="473">
        <v>8</v>
      </c>
      <c r="BA4" s="473">
        <v>1</v>
      </c>
      <c r="BB4" s="472">
        <v>0</v>
      </c>
      <c r="BC4" s="476">
        <v>3</v>
      </c>
      <c r="BD4" s="471">
        <v>0.625</v>
      </c>
      <c r="BE4" s="472">
        <v>4.1666666666666664E-2</v>
      </c>
      <c r="BF4" s="473">
        <v>8</v>
      </c>
      <c r="BG4" s="473">
        <v>1</v>
      </c>
      <c r="BH4" s="472">
        <v>0</v>
      </c>
      <c r="BI4" s="476">
        <v>3</v>
      </c>
      <c r="BJ4" s="474" t="s">
        <v>168</v>
      </c>
      <c r="BK4" s="475" t="s">
        <v>168</v>
      </c>
      <c r="BL4" s="475" t="s">
        <v>168</v>
      </c>
      <c r="BM4" s="475" t="s">
        <v>168</v>
      </c>
      <c r="BN4" s="475" t="s">
        <v>168</v>
      </c>
      <c r="BO4" s="537" t="s">
        <v>168</v>
      </c>
      <c r="BP4" s="538" t="s">
        <v>168</v>
      </c>
      <c r="BQ4" s="475" t="s">
        <v>168</v>
      </c>
      <c r="BR4" s="475" t="s">
        <v>168</v>
      </c>
      <c r="BS4" s="475" t="s">
        <v>168</v>
      </c>
      <c r="BT4" s="475" t="s">
        <v>168</v>
      </c>
      <c r="BU4" s="481" t="s">
        <v>168</v>
      </c>
      <c r="BV4" s="471">
        <v>0.625</v>
      </c>
      <c r="BW4" s="472">
        <v>4.1666666666666664E-2</v>
      </c>
      <c r="BX4" s="473">
        <v>8</v>
      </c>
      <c r="BY4" s="473">
        <v>1</v>
      </c>
      <c r="BZ4" s="472">
        <v>0</v>
      </c>
      <c r="CA4" s="476">
        <v>3</v>
      </c>
      <c r="CB4" s="471">
        <v>0.625</v>
      </c>
      <c r="CC4" s="472">
        <v>4.1666666666666664E-2</v>
      </c>
      <c r="CD4" s="473">
        <v>8</v>
      </c>
      <c r="CE4" s="473">
        <v>1</v>
      </c>
      <c r="CF4" s="472">
        <v>0</v>
      </c>
      <c r="CG4" s="476">
        <v>3</v>
      </c>
      <c r="CH4" s="471">
        <v>0.625</v>
      </c>
      <c r="CI4" s="472">
        <v>4.1666666666666664E-2</v>
      </c>
      <c r="CJ4" s="473">
        <v>8</v>
      </c>
      <c r="CK4" s="473">
        <v>1</v>
      </c>
      <c r="CL4" s="472">
        <v>0</v>
      </c>
      <c r="CM4" s="476">
        <v>3</v>
      </c>
      <c r="CN4" s="471">
        <v>0.625</v>
      </c>
      <c r="CO4" s="472">
        <v>4.1666666666666664E-2</v>
      </c>
      <c r="CP4" s="473">
        <v>8</v>
      </c>
      <c r="CQ4" s="473">
        <v>1</v>
      </c>
      <c r="CR4" s="472">
        <v>0</v>
      </c>
      <c r="CS4" s="477">
        <v>3</v>
      </c>
      <c r="CT4" s="539">
        <f t="shared" ref="CT4:CT23" si="0">SUM(G4,O4,V4,AB4,AH4,AN4,AT4,AZ4,BF4,BL4,BR4,BX4,CD4,CJ4,CP4)</f>
        <v>80</v>
      </c>
      <c r="CU4" s="480">
        <f t="shared" ref="CU4:CU23" si="1">SUM(H4)</f>
        <v>8</v>
      </c>
      <c r="CV4" s="480">
        <f t="shared" ref="CV4:CV23" si="2">SUM(I4,P4,W4,AC4,AI4,AO4,AU4,BA4,BG4,BM4,BS4,BY4,CE4,CK4,CQ4)</f>
        <v>9</v>
      </c>
      <c r="CW4" s="480">
        <f t="shared" ref="CW4:CW23" si="3">SUM(Q4)</f>
        <v>0</v>
      </c>
      <c r="CX4" s="480">
        <f t="shared" ref="CX4:CY23" si="4">SUM(J4,R4,X4,AD4,AJ4,AP4,AV4,BB4,BH4,BN4,BT4,BZ4,CF4,CL4,CR4)</f>
        <v>0</v>
      </c>
      <c r="CY4" s="480">
        <f t="shared" si="4"/>
        <v>30</v>
      </c>
      <c r="CZ4" s="480">
        <f t="shared" ref="CZ4:CZ23" si="5">SUM(L4)</f>
        <v>2</v>
      </c>
      <c r="DA4" s="540">
        <v>0</v>
      </c>
      <c r="DB4" s="540">
        <v>0</v>
      </c>
      <c r="DC4" s="480">
        <v>0</v>
      </c>
      <c r="DD4" s="541"/>
    </row>
    <row r="5" spans="1:108" ht="18.600000000000001" customHeight="1">
      <c r="A5" s="432">
        <v>8010</v>
      </c>
      <c r="B5" s="433" t="s">
        <v>164</v>
      </c>
      <c r="C5" s="433" t="s">
        <v>165</v>
      </c>
      <c r="D5" s="450" t="s">
        <v>53</v>
      </c>
      <c r="E5" s="474" t="s">
        <v>168</v>
      </c>
      <c r="F5" s="475" t="s">
        <v>168</v>
      </c>
      <c r="G5" s="475" t="s">
        <v>168</v>
      </c>
      <c r="H5" s="475" t="s">
        <v>168</v>
      </c>
      <c r="I5" s="475" t="s">
        <v>168</v>
      </c>
      <c r="J5" s="475" t="s">
        <v>168</v>
      </c>
      <c r="K5" s="475" t="s">
        <v>168</v>
      </c>
      <c r="L5" s="481" t="s">
        <v>168</v>
      </c>
      <c r="M5" s="474" t="s">
        <v>168</v>
      </c>
      <c r="N5" s="475" t="s">
        <v>168</v>
      </c>
      <c r="O5" s="475" t="s">
        <v>168</v>
      </c>
      <c r="P5" s="475" t="s">
        <v>168</v>
      </c>
      <c r="Q5" s="475" t="s">
        <v>168</v>
      </c>
      <c r="R5" s="475" t="s">
        <v>168</v>
      </c>
      <c r="S5" s="481" t="s">
        <v>168</v>
      </c>
      <c r="T5" s="471">
        <v>0.25</v>
      </c>
      <c r="U5" s="472">
        <v>0.75</v>
      </c>
      <c r="V5" s="473">
        <v>8</v>
      </c>
      <c r="W5" s="473">
        <v>3</v>
      </c>
      <c r="X5" s="472">
        <v>0</v>
      </c>
      <c r="Y5" s="477">
        <v>0</v>
      </c>
      <c r="Z5" s="542">
        <v>0.25</v>
      </c>
      <c r="AA5" s="472">
        <v>0.75</v>
      </c>
      <c r="AB5" s="473">
        <v>8</v>
      </c>
      <c r="AC5" s="473">
        <v>3</v>
      </c>
      <c r="AD5" s="472">
        <v>0</v>
      </c>
      <c r="AE5" s="476">
        <v>0</v>
      </c>
      <c r="AF5" s="471">
        <v>0.41666666666666669</v>
      </c>
      <c r="AG5" s="472">
        <v>0.79166666666666663</v>
      </c>
      <c r="AH5" s="473">
        <v>8</v>
      </c>
      <c r="AI5" s="473">
        <v>0</v>
      </c>
      <c r="AJ5" s="472">
        <v>0</v>
      </c>
      <c r="AK5" s="476">
        <v>0</v>
      </c>
      <c r="AL5" s="471">
        <v>0.41666666666666669</v>
      </c>
      <c r="AM5" s="472">
        <v>0.79166666666666663</v>
      </c>
      <c r="AN5" s="473">
        <v>8</v>
      </c>
      <c r="AO5" s="473">
        <v>0</v>
      </c>
      <c r="AP5" s="472">
        <v>0</v>
      </c>
      <c r="AQ5" s="476">
        <v>0</v>
      </c>
      <c r="AR5" s="471">
        <v>0.41666666666666669</v>
      </c>
      <c r="AS5" s="472">
        <v>0.79166666666666663</v>
      </c>
      <c r="AT5" s="473">
        <v>8</v>
      </c>
      <c r="AU5" s="473">
        <v>0</v>
      </c>
      <c r="AV5" s="472">
        <v>0</v>
      </c>
      <c r="AW5" s="476">
        <v>0</v>
      </c>
      <c r="AX5" s="474" t="s">
        <v>168</v>
      </c>
      <c r="AY5" s="475" t="s">
        <v>168</v>
      </c>
      <c r="AZ5" s="475" t="s">
        <v>168</v>
      </c>
      <c r="BA5" s="475" t="s">
        <v>168</v>
      </c>
      <c r="BB5" s="475" t="s">
        <v>168</v>
      </c>
      <c r="BC5" s="481" t="s">
        <v>168</v>
      </c>
      <c r="BD5" s="474" t="s">
        <v>168</v>
      </c>
      <c r="BE5" s="475" t="s">
        <v>168</v>
      </c>
      <c r="BF5" s="475" t="s">
        <v>168</v>
      </c>
      <c r="BG5" s="475" t="s">
        <v>168</v>
      </c>
      <c r="BH5" s="475" t="s">
        <v>168</v>
      </c>
      <c r="BI5" s="481" t="s">
        <v>168</v>
      </c>
      <c r="BJ5" s="471">
        <v>0.25</v>
      </c>
      <c r="BK5" s="472">
        <v>0.75</v>
      </c>
      <c r="BL5" s="473">
        <v>8</v>
      </c>
      <c r="BM5" s="473">
        <v>3</v>
      </c>
      <c r="BN5" s="472">
        <v>0</v>
      </c>
      <c r="BO5" s="477">
        <v>0</v>
      </c>
      <c r="BP5" s="542">
        <v>0.25</v>
      </c>
      <c r="BQ5" s="472">
        <v>0.75</v>
      </c>
      <c r="BR5" s="473">
        <v>8</v>
      </c>
      <c r="BS5" s="473">
        <v>3</v>
      </c>
      <c r="BT5" s="472">
        <v>0</v>
      </c>
      <c r="BU5" s="476">
        <v>0</v>
      </c>
      <c r="BV5" s="471">
        <v>0.41666666666666669</v>
      </c>
      <c r="BW5" s="472">
        <v>0.79166666666666663</v>
      </c>
      <c r="BX5" s="473">
        <v>8</v>
      </c>
      <c r="BY5" s="473">
        <v>0</v>
      </c>
      <c r="BZ5" s="472">
        <v>0</v>
      </c>
      <c r="CA5" s="476">
        <v>0</v>
      </c>
      <c r="CB5" s="471">
        <v>0.41666666666666669</v>
      </c>
      <c r="CC5" s="472">
        <v>0.79166666666666663</v>
      </c>
      <c r="CD5" s="473">
        <v>8</v>
      </c>
      <c r="CE5" s="473">
        <v>0</v>
      </c>
      <c r="CF5" s="472">
        <v>0</v>
      </c>
      <c r="CG5" s="476">
        <v>0</v>
      </c>
      <c r="CH5" s="471">
        <v>0.41666666666666669</v>
      </c>
      <c r="CI5" s="472">
        <v>0.79166666666666663</v>
      </c>
      <c r="CJ5" s="473">
        <v>8</v>
      </c>
      <c r="CK5" s="473">
        <v>0</v>
      </c>
      <c r="CL5" s="472">
        <v>0</v>
      </c>
      <c r="CM5" s="476">
        <v>0</v>
      </c>
      <c r="CN5" s="474" t="s">
        <v>168</v>
      </c>
      <c r="CO5" s="475" t="s">
        <v>168</v>
      </c>
      <c r="CP5" s="475" t="s">
        <v>168</v>
      </c>
      <c r="CQ5" s="475" t="s">
        <v>168</v>
      </c>
      <c r="CR5" s="475" t="s">
        <v>168</v>
      </c>
      <c r="CS5" s="537" t="s">
        <v>168</v>
      </c>
      <c r="CT5" s="539">
        <f t="shared" si="0"/>
        <v>80</v>
      </c>
      <c r="CU5" s="480">
        <f t="shared" si="1"/>
        <v>0</v>
      </c>
      <c r="CV5" s="480">
        <f t="shared" si="2"/>
        <v>12</v>
      </c>
      <c r="CW5" s="480">
        <f t="shared" si="3"/>
        <v>0</v>
      </c>
      <c r="CX5" s="480">
        <f t="shared" si="4"/>
        <v>0</v>
      </c>
      <c r="CY5" s="480">
        <f t="shared" si="4"/>
        <v>0</v>
      </c>
      <c r="CZ5" s="480">
        <f t="shared" si="5"/>
        <v>0</v>
      </c>
      <c r="DA5" s="540">
        <v>0</v>
      </c>
      <c r="DB5" s="540">
        <v>0</v>
      </c>
      <c r="DC5" s="480">
        <v>0</v>
      </c>
      <c r="DD5" s="541"/>
    </row>
    <row r="6" spans="1:108" ht="18.600000000000001" customHeight="1">
      <c r="A6" s="432">
        <v>8011</v>
      </c>
      <c r="B6" s="433" t="s">
        <v>169</v>
      </c>
      <c r="C6" s="433" t="s">
        <v>169</v>
      </c>
      <c r="D6" s="450" t="s">
        <v>54</v>
      </c>
      <c r="E6" s="478" t="s">
        <v>166</v>
      </c>
      <c r="F6" s="479" t="s">
        <v>166</v>
      </c>
      <c r="G6" s="479" t="s">
        <v>166</v>
      </c>
      <c r="H6" s="479" t="s">
        <v>166</v>
      </c>
      <c r="I6" s="479" t="s">
        <v>166</v>
      </c>
      <c r="J6" s="479" t="s">
        <v>166</v>
      </c>
      <c r="K6" s="479" t="s">
        <v>166</v>
      </c>
      <c r="L6" s="543" t="s">
        <v>166</v>
      </c>
      <c r="M6" s="471">
        <v>0.375</v>
      </c>
      <c r="N6" s="472">
        <v>0.75</v>
      </c>
      <c r="O6" s="473">
        <v>8</v>
      </c>
      <c r="P6" s="473">
        <v>0</v>
      </c>
      <c r="Q6" s="473">
        <v>0</v>
      </c>
      <c r="R6" s="472">
        <v>0</v>
      </c>
      <c r="S6" s="476">
        <v>0</v>
      </c>
      <c r="T6" s="474" t="s">
        <v>168</v>
      </c>
      <c r="U6" s="475" t="s">
        <v>168</v>
      </c>
      <c r="V6" s="475" t="s">
        <v>168</v>
      </c>
      <c r="W6" s="475" t="s">
        <v>168</v>
      </c>
      <c r="X6" s="475" t="s">
        <v>168</v>
      </c>
      <c r="Y6" s="537" t="s">
        <v>168</v>
      </c>
      <c r="Z6" s="538" t="s">
        <v>168</v>
      </c>
      <c r="AA6" s="475" t="s">
        <v>168</v>
      </c>
      <c r="AB6" s="475" t="s">
        <v>168</v>
      </c>
      <c r="AC6" s="475" t="s">
        <v>168</v>
      </c>
      <c r="AD6" s="475" t="s">
        <v>168</v>
      </c>
      <c r="AE6" s="481" t="s">
        <v>168</v>
      </c>
      <c r="AF6" s="471">
        <v>0.375</v>
      </c>
      <c r="AG6" s="472">
        <v>0.75</v>
      </c>
      <c r="AH6" s="473">
        <v>8</v>
      </c>
      <c r="AI6" s="473">
        <v>0</v>
      </c>
      <c r="AJ6" s="472">
        <v>0</v>
      </c>
      <c r="AK6" s="476">
        <v>0</v>
      </c>
      <c r="AL6" s="471">
        <v>0.375</v>
      </c>
      <c r="AM6" s="472">
        <v>0.75</v>
      </c>
      <c r="AN6" s="473">
        <v>8</v>
      </c>
      <c r="AO6" s="473">
        <v>0</v>
      </c>
      <c r="AP6" s="472">
        <v>0</v>
      </c>
      <c r="AQ6" s="476">
        <v>0</v>
      </c>
      <c r="AR6" s="471">
        <v>0.375</v>
      </c>
      <c r="AS6" s="472">
        <v>0.75</v>
      </c>
      <c r="AT6" s="473">
        <v>8</v>
      </c>
      <c r="AU6" s="473">
        <v>0</v>
      </c>
      <c r="AV6" s="472">
        <v>0</v>
      </c>
      <c r="AW6" s="476">
        <v>0</v>
      </c>
      <c r="AX6" s="471">
        <v>0.375</v>
      </c>
      <c r="AY6" s="472">
        <v>0.75</v>
      </c>
      <c r="AZ6" s="473">
        <v>8</v>
      </c>
      <c r="BA6" s="473">
        <v>0</v>
      </c>
      <c r="BB6" s="472">
        <v>0</v>
      </c>
      <c r="BC6" s="476">
        <v>0</v>
      </c>
      <c r="BD6" s="471">
        <v>0.375</v>
      </c>
      <c r="BE6" s="472">
        <v>0.75</v>
      </c>
      <c r="BF6" s="473">
        <v>8</v>
      </c>
      <c r="BG6" s="473">
        <v>0</v>
      </c>
      <c r="BH6" s="472">
        <v>0</v>
      </c>
      <c r="BI6" s="476">
        <v>0</v>
      </c>
      <c r="BJ6" s="474" t="s">
        <v>168</v>
      </c>
      <c r="BK6" s="475" t="s">
        <v>168</v>
      </c>
      <c r="BL6" s="475" t="s">
        <v>168</v>
      </c>
      <c r="BM6" s="475" t="s">
        <v>168</v>
      </c>
      <c r="BN6" s="475" t="s">
        <v>168</v>
      </c>
      <c r="BO6" s="537" t="s">
        <v>168</v>
      </c>
      <c r="BP6" s="538" t="s">
        <v>168</v>
      </c>
      <c r="BQ6" s="475" t="s">
        <v>168</v>
      </c>
      <c r="BR6" s="475" t="s">
        <v>168</v>
      </c>
      <c r="BS6" s="475" t="s">
        <v>168</v>
      </c>
      <c r="BT6" s="475" t="s">
        <v>168</v>
      </c>
      <c r="BU6" s="481" t="s">
        <v>168</v>
      </c>
      <c r="BV6" s="471">
        <v>0.375</v>
      </c>
      <c r="BW6" s="472">
        <v>0.75</v>
      </c>
      <c r="BX6" s="473">
        <v>8</v>
      </c>
      <c r="BY6" s="473">
        <v>0</v>
      </c>
      <c r="BZ6" s="472">
        <v>0</v>
      </c>
      <c r="CA6" s="476">
        <v>0</v>
      </c>
      <c r="CB6" s="471">
        <v>0.375</v>
      </c>
      <c r="CC6" s="472">
        <v>0.75</v>
      </c>
      <c r="CD6" s="473">
        <v>8</v>
      </c>
      <c r="CE6" s="473">
        <v>0</v>
      </c>
      <c r="CF6" s="472">
        <v>0</v>
      </c>
      <c r="CG6" s="476">
        <v>0</v>
      </c>
      <c r="CH6" s="471">
        <v>0.375</v>
      </c>
      <c r="CI6" s="472">
        <v>0.75</v>
      </c>
      <c r="CJ6" s="473">
        <v>8</v>
      </c>
      <c r="CK6" s="473">
        <v>0</v>
      </c>
      <c r="CL6" s="472">
        <v>0</v>
      </c>
      <c r="CM6" s="476">
        <v>0</v>
      </c>
      <c r="CN6" s="471">
        <v>0.375</v>
      </c>
      <c r="CO6" s="472">
        <v>0.75</v>
      </c>
      <c r="CP6" s="473">
        <v>8</v>
      </c>
      <c r="CQ6" s="473">
        <v>0</v>
      </c>
      <c r="CR6" s="472">
        <v>0</v>
      </c>
      <c r="CS6" s="477">
        <v>0</v>
      </c>
      <c r="CT6" s="539">
        <f t="shared" si="0"/>
        <v>80</v>
      </c>
      <c r="CU6" s="480">
        <f t="shared" si="1"/>
        <v>0</v>
      </c>
      <c r="CV6" s="480">
        <f t="shared" si="2"/>
        <v>0</v>
      </c>
      <c r="CW6" s="480">
        <f t="shared" si="3"/>
        <v>0</v>
      </c>
      <c r="CX6" s="480">
        <f t="shared" si="4"/>
        <v>0</v>
      </c>
      <c r="CY6" s="480">
        <f t="shared" si="4"/>
        <v>0</v>
      </c>
      <c r="CZ6" s="480">
        <f t="shared" si="5"/>
        <v>0</v>
      </c>
      <c r="DA6" s="540">
        <v>1</v>
      </c>
      <c r="DB6" s="540">
        <v>0</v>
      </c>
      <c r="DC6" s="480">
        <v>0</v>
      </c>
      <c r="DD6" s="541"/>
    </row>
    <row r="7" spans="1:108" ht="18.600000000000001" customHeight="1">
      <c r="A7" s="432">
        <v>8012</v>
      </c>
      <c r="B7" s="433" t="s">
        <v>170</v>
      </c>
      <c r="C7" s="433" t="s">
        <v>170</v>
      </c>
      <c r="D7" s="450" t="s">
        <v>55</v>
      </c>
      <c r="E7" s="478" t="s">
        <v>166</v>
      </c>
      <c r="F7" s="479" t="s">
        <v>166</v>
      </c>
      <c r="G7" s="479" t="s">
        <v>166</v>
      </c>
      <c r="H7" s="479" t="s">
        <v>166</v>
      </c>
      <c r="I7" s="479" t="s">
        <v>166</v>
      </c>
      <c r="J7" s="479" t="s">
        <v>166</v>
      </c>
      <c r="K7" s="479" t="s">
        <v>166</v>
      </c>
      <c r="L7" s="543" t="s">
        <v>166</v>
      </c>
      <c r="M7" s="471">
        <v>0.54166666666666663</v>
      </c>
      <c r="N7" s="472">
        <v>0.91666666666666663</v>
      </c>
      <c r="O7" s="473">
        <v>8</v>
      </c>
      <c r="P7" s="473">
        <v>0</v>
      </c>
      <c r="Q7" s="473">
        <v>0</v>
      </c>
      <c r="R7" s="472">
        <v>0</v>
      </c>
      <c r="S7" s="476">
        <v>0</v>
      </c>
      <c r="T7" s="474" t="s">
        <v>168</v>
      </c>
      <c r="U7" s="475" t="s">
        <v>168</v>
      </c>
      <c r="V7" s="475" t="s">
        <v>168</v>
      </c>
      <c r="W7" s="475" t="s">
        <v>168</v>
      </c>
      <c r="X7" s="475" t="s">
        <v>168</v>
      </c>
      <c r="Y7" s="537" t="s">
        <v>168</v>
      </c>
      <c r="Z7" s="538" t="s">
        <v>168</v>
      </c>
      <c r="AA7" s="475" t="s">
        <v>168</v>
      </c>
      <c r="AB7" s="475" t="s">
        <v>168</v>
      </c>
      <c r="AC7" s="475" t="s">
        <v>168</v>
      </c>
      <c r="AD7" s="475" t="s">
        <v>168</v>
      </c>
      <c r="AE7" s="481" t="s">
        <v>168</v>
      </c>
      <c r="AF7" s="471">
        <v>0.54166666666666663</v>
      </c>
      <c r="AG7" s="472">
        <v>0.91666666666666663</v>
      </c>
      <c r="AH7" s="473">
        <v>8</v>
      </c>
      <c r="AI7" s="473">
        <v>0</v>
      </c>
      <c r="AJ7" s="472">
        <v>0</v>
      </c>
      <c r="AK7" s="476">
        <v>0</v>
      </c>
      <c r="AL7" s="471">
        <v>0.54166666666666663</v>
      </c>
      <c r="AM7" s="472">
        <v>0.91666666666666663</v>
      </c>
      <c r="AN7" s="473">
        <v>8</v>
      </c>
      <c r="AO7" s="473">
        <v>0</v>
      </c>
      <c r="AP7" s="472">
        <v>0</v>
      </c>
      <c r="AQ7" s="476">
        <v>0</v>
      </c>
      <c r="AR7" s="471">
        <v>0.54166666666666663</v>
      </c>
      <c r="AS7" s="472">
        <v>0.91666666666666663</v>
      </c>
      <c r="AT7" s="473">
        <v>8</v>
      </c>
      <c r="AU7" s="473">
        <v>0</v>
      </c>
      <c r="AV7" s="472">
        <v>0</v>
      </c>
      <c r="AW7" s="476">
        <v>0</v>
      </c>
      <c r="AX7" s="471">
        <v>0.54166666666666663</v>
      </c>
      <c r="AY7" s="472">
        <v>0.91666666666666663</v>
      </c>
      <c r="AZ7" s="473">
        <v>8</v>
      </c>
      <c r="BA7" s="473">
        <v>0</v>
      </c>
      <c r="BB7" s="472">
        <v>0</v>
      </c>
      <c r="BC7" s="476">
        <v>0</v>
      </c>
      <c r="BD7" s="471">
        <v>0.54166666666666663</v>
      </c>
      <c r="BE7" s="472">
        <v>0.91666666666666663</v>
      </c>
      <c r="BF7" s="473">
        <v>8</v>
      </c>
      <c r="BG7" s="473">
        <v>0</v>
      </c>
      <c r="BH7" s="472">
        <v>0</v>
      </c>
      <c r="BI7" s="476">
        <v>0</v>
      </c>
      <c r="BJ7" s="474" t="s">
        <v>168</v>
      </c>
      <c r="BK7" s="475" t="s">
        <v>168</v>
      </c>
      <c r="BL7" s="475" t="s">
        <v>168</v>
      </c>
      <c r="BM7" s="475" t="s">
        <v>168</v>
      </c>
      <c r="BN7" s="475" t="s">
        <v>168</v>
      </c>
      <c r="BO7" s="537" t="s">
        <v>168</v>
      </c>
      <c r="BP7" s="538" t="s">
        <v>168</v>
      </c>
      <c r="BQ7" s="475" t="s">
        <v>168</v>
      </c>
      <c r="BR7" s="475" t="s">
        <v>168</v>
      </c>
      <c r="BS7" s="475" t="s">
        <v>168</v>
      </c>
      <c r="BT7" s="475" t="s">
        <v>168</v>
      </c>
      <c r="BU7" s="481" t="s">
        <v>168</v>
      </c>
      <c r="BV7" s="471">
        <v>0.54166666666666663</v>
      </c>
      <c r="BW7" s="472">
        <v>0.91666666666666663</v>
      </c>
      <c r="BX7" s="473">
        <v>8</v>
      </c>
      <c r="BY7" s="473">
        <v>0</v>
      </c>
      <c r="BZ7" s="472">
        <v>0</v>
      </c>
      <c r="CA7" s="476">
        <v>0</v>
      </c>
      <c r="CB7" s="471">
        <v>0.54166666666666663</v>
      </c>
      <c r="CC7" s="472">
        <v>0.91666666666666663</v>
      </c>
      <c r="CD7" s="473">
        <v>8</v>
      </c>
      <c r="CE7" s="473">
        <v>0</v>
      </c>
      <c r="CF7" s="472">
        <v>0</v>
      </c>
      <c r="CG7" s="476">
        <v>0</v>
      </c>
      <c r="CH7" s="471">
        <v>0.54166666666666663</v>
      </c>
      <c r="CI7" s="472">
        <v>0.91666666666666663</v>
      </c>
      <c r="CJ7" s="473">
        <v>8</v>
      </c>
      <c r="CK7" s="473">
        <v>0</v>
      </c>
      <c r="CL7" s="472">
        <v>0</v>
      </c>
      <c r="CM7" s="476">
        <v>0</v>
      </c>
      <c r="CN7" s="544" t="s">
        <v>167</v>
      </c>
      <c r="CO7" s="545" t="s">
        <v>167</v>
      </c>
      <c r="CP7" s="545" t="s">
        <v>167</v>
      </c>
      <c r="CQ7" s="545" t="s">
        <v>167</v>
      </c>
      <c r="CR7" s="545" t="s">
        <v>167</v>
      </c>
      <c r="CS7" s="546" t="s">
        <v>167</v>
      </c>
      <c r="CT7" s="539">
        <f t="shared" si="0"/>
        <v>72</v>
      </c>
      <c r="CU7" s="480">
        <f t="shared" si="1"/>
        <v>0</v>
      </c>
      <c r="CV7" s="480">
        <f t="shared" si="2"/>
        <v>0</v>
      </c>
      <c r="CW7" s="480">
        <f t="shared" si="3"/>
        <v>0</v>
      </c>
      <c r="CX7" s="480">
        <f t="shared" si="4"/>
        <v>0</v>
      </c>
      <c r="CY7" s="480">
        <f t="shared" si="4"/>
        <v>0</v>
      </c>
      <c r="CZ7" s="480">
        <f t="shared" si="5"/>
        <v>0</v>
      </c>
      <c r="DA7" s="540">
        <v>1</v>
      </c>
      <c r="DB7" s="540">
        <v>1</v>
      </c>
      <c r="DC7" s="480">
        <v>0</v>
      </c>
      <c r="DD7" s="541"/>
    </row>
    <row r="8" spans="1:108" ht="18.600000000000001" customHeight="1">
      <c r="A8" s="432">
        <v>8015</v>
      </c>
      <c r="B8" s="433" t="s">
        <v>164</v>
      </c>
      <c r="C8" s="433" t="s">
        <v>165</v>
      </c>
      <c r="D8" s="450" t="s">
        <v>56</v>
      </c>
      <c r="E8" s="471">
        <v>0.25</v>
      </c>
      <c r="F8" s="472">
        <v>0.625</v>
      </c>
      <c r="G8" s="473">
        <v>0</v>
      </c>
      <c r="H8" s="473">
        <v>8</v>
      </c>
      <c r="I8" s="473">
        <v>0</v>
      </c>
      <c r="J8" s="472">
        <v>0</v>
      </c>
      <c r="K8" s="473">
        <v>0</v>
      </c>
      <c r="L8" s="476">
        <v>0</v>
      </c>
      <c r="M8" s="471">
        <v>0.25</v>
      </c>
      <c r="N8" s="472">
        <v>0.625</v>
      </c>
      <c r="O8" s="473">
        <v>8</v>
      </c>
      <c r="P8" s="473">
        <v>0</v>
      </c>
      <c r="Q8" s="473">
        <v>0</v>
      </c>
      <c r="R8" s="472">
        <v>0</v>
      </c>
      <c r="S8" s="476">
        <v>0</v>
      </c>
      <c r="T8" s="474" t="s">
        <v>168</v>
      </c>
      <c r="U8" s="475" t="s">
        <v>168</v>
      </c>
      <c r="V8" s="475" t="s">
        <v>168</v>
      </c>
      <c r="W8" s="475" t="s">
        <v>168</v>
      </c>
      <c r="X8" s="475" t="s">
        <v>168</v>
      </c>
      <c r="Y8" s="537" t="s">
        <v>168</v>
      </c>
      <c r="Z8" s="538" t="s">
        <v>168</v>
      </c>
      <c r="AA8" s="475" t="s">
        <v>168</v>
      </c>
      <c r="AB8" s="475" t="s">
        <v>168</v>
      </c>
      <c r="AC8" s="475" t="s">
        <v>168</v>
      </c>
      <c r="AD8" s="475" t="s">
        <v>168</v>
      </c>
      <c r="AE8" s="481" t="s">
        <v>168</v>
      </c>
      <c r="AF8" s="471">
        <v>0.25</v>
      </c>
      <c r="AG8" s="472">
        <v>0.625</v>
      </c>
      <c r="AH8" s="473">
        <v>8</v>
      </c>
      <c r="AI8" s="473">
        <v>0</v>
      </c>
      <c r="AJ8" s="472">
        <v>0</v>
      </c>
      <c r="AK8" s="476">
        <v>0</v>
      </c>
      <c r="AL8" s="471">
        <v>0.25</v>
      </c>
      <c r="AM8" s="472">
        <v>0.625</v>
      </c>
      <c r="AN8" s="473">
        <v>8</v>
      </c>
      <c r="AO8" s="473">
        <v>0</v>
      </c>
      <c r="AP8" s="472">
        <v>0</v>
      </c>
      <c r="AQ8" s="476">
        <v>0</v>
      </c>
      <c r="AR8" s="471">
        <v>0.25</v>
      </c>
      <c r="AS8" s="472">
        <v>0.625</v>
      </c>
      <c r="AT8" s="473">
        <v>8</v>
      </c>
      <c r="AU8" s="473">
        <v>0</v>
      </c>
      <c r="AV8" s="472">
        <v>0</v>
      </c>
      <c r="AW8" s="476">
        <v>0</v>
      </c>
      <c r="AX8" s="471">
        <v>0.25</v>
      </c>
      <c r="AY8" s="472">
        <v>0.625</v>
      </c>
      <c r="AZ8" s="473">
        <v>8</v>
      </c>
      <c r="BA8" s="473">
        <v>0</v>
      </c>
      <c r="BB8" s="472">
        <v>0</v>
      </c>
      <c r="BC8" s="476">
        <v>0</v>
      </c>
      <c r="BD8" s="471">
        <v>0.25</v>
      </c>
      <c r="BE8" s="472">
        <v>0.625</v>
      </c>
      <c r="BF8" s="473">
        <v>8</v>
      </c>
      <c r="BG8" s="473">
        <v>0</v>
      </c>
      <c r="BH8" s="472">
        <v>0</v>
      </c>
      <c r="BI8" s="476">
        <v>0</v>
      </c>
      <c r="BJ8" s="474" t="s">
        <v>168</v>
      </c>
      <c r="BK8" s="475" t="s">
        <v>168</v>
      </c>
      <c r="BL8" s="475" t="s">
        <v>168</v>
      </c>
      <c r="BM8" s="475" t="s">
        <v>168</v>
      </c>
      <c r="BN8" s="475" t="s">
        <v>168</v>
      </c>
      <c r="BO8" s="537" t="s">
        <v>168</v>
      </c>
      <c r="BP8" s="538" t="s">
        <v>168</v>
      </c>
      <c r="BQ8" s="475" t="s">
        <v>168</v>
      </c>
      <c r="BR8" s="475" t="s">
        <v>168</v>
      </c>
      <c r="BS8" s="475" t="s">
        <v>168</v>
      </c>
      <c r="BT8" s="475" t="s">
        <v>168</v>
      </c>
      <c r="BU8" s="481" t="s">
        <v>168</v>
      </c>
      <c r="BV8" s="471">
        <v>0.25</v>
      </c>
      <c r="BW8" s="472">
        <v>0.625</v>
      </c>
      <c r="BX8" s="473">
        <v>8</v>
      </c>
      <c r="BY8" s="473">
        <v>0</v>
      </c>
      <c r="BZ8" s="472">
        <v>0</v>
      </c>
      <c r="CA8" s="476">
        <v>0</v>
      </c>
      <c r="CB8" s="471">
        <v>0.25</v>
      </c>
      <c r="CC8" s="472">
        <v>0.625</v>
      </c>
      <c r="CD8" s="473">
        <v>8</v>
      </c>
      <c r="CE8" s="473">
        <v>0</v>
      </c>
      <c r="CF8" s="472">
        <v>0</v>
      </c>
      <c r="CG8" s="476">
        <v>0</v>
      </c>
      <c r="CH8" s="471">
        <v>0.25</v>
      </c>
      <c r="CI8" s="472">
        <v>0.625</v>
      </c>
      <c r="CJ8" s="473">
        <v>8</v>
      </c>
      <c r="CK8" s="473">
        <v>0</v>
      </c>
      <c r="CL8" s="472">
        <v>0</v>
      </c>
      <c r="CM8" s="476">
        <v>0</v>
      </c>
      <c r="CN8" s="471">
        <v>0.25</v>
      </c>
      <c r="CO8" s="472">
        <v>0.625</v>
      </c>
      <c r="CP8" s="473">
        <v>8</v>
      </c>
      <c r="CQ8" s="473">
        <v>0</v>
      </c>
      <c r="CR8" s="472">
        <v>0</v>
      </c>
      <c r="CS8" s="477">
        <v>0</v>
      </c>
      <c r="CT8" s="539">
        <f t="shared" si="0"/>
        <v>80</v>
      </c>
      <c r="CU8" s="480">
        <f t="shared" si="1"/>
        <v>8</v>
      </c>
      <c r="CV8" s="480">
        <f t="shared" si="2"/>
        <v>0</v>
      </c>
      <c r="CW8" s="480">
        <f t="shared" si="3"/>
        <v>0</v>
      </c>
      <c r="CX8" s="480">
        <f t="shared" si="4"/>
        <v>0</v>
      </c>
      <c r="CY8" s="480">
        <f t="shared" si="4"/>
        <v>0</v>
      </c>
      <c r="CZ8" s="480">
        <f t="shared" si="5"/>
        <v>0</v>
      </c>
      <c r="DA8" s="540">
        <v>0</v>
      </c>
      <c r="DB8" s="540">
        <v>0</v>
      </c>
      <c r="DC8" s="480">
        <v>0</v>
      </c>
      <c r="DD8" s="541"/>
    </row>
    <row r="9" spans="1:108" ht="18.600000000000001">
      <c r="A9" s="432">
        <v>8019</v>
      </c>
      <c r="B9" s="433" t="s">
        <v>164</v>
      </c>
      <c r="C9" s="433" t="s">
        <v>165</v>
      </c>
      <c r="D9" s="450" t="s">
        <v>57</v>
      </c>
      <c r="E9" s="471">
        <v>0.58333333333333337</v>
      </c>
      <c r="F9" s="472">
        <v>0.95833333333333337</v>
      </c>
      <c r="G9" s="473">
        <v>0</v>
      </c>
      <c r="H9" s="473">
        <v>8</v>
      </c>
      <c r="I9" s="473">
        <v>0</v>
      </c>
      <c r="J9" s="472">
        <v>0</v>
      </c>
      <c r="K9" s="473">
        <v>0</v>
      </c>
      <c r="L9" s="476">
        <v>1</v>
      </c>
      <c r="M9" s="471">
        <v>0.58333333333333337</v>
      </c>
      <c r="N9" s="472">
        <v>0.95833333333333337</v>
      </c>
      <c r="O9" s="473">
        <v>8</v>
      </c>
      <c r="P9" s="473">
        <v>0</v>
      </c>
      <c r="Q9" s="473">
        <v>0</v>
      </c>
      <c r="R9" s="472">
        <v>0</v>
      </c>
      <c r="S9" s="476">
        <v>1</v>
      </c>
      <c r="T9" s="474" t="s">
        <v>168</v>
      </c>
      <c r="U9" s="475" t="s">
        <v>168</v>
      </c>
      <c r="V9" s="475" t="s">
        <v>168</v>
      </c>
      <c r="W9" s="475" t="s">
        <v>168</v>
      </c>
      <c r="X9" s="475" t="s">
        <v>168</v>
      </c>
      <c r="Y9" s="537" t="s">
        <v>168</v>
      </c>
      <c r="Z9" s="538" t="s">
        <v>168</v>
      </c>
      <c r="AA9" s="475" t="s">
        <v>168</v>
      </c>
      <c r="AB9" s="475" t="s">
        <v>168</v>
      </c>
      <c r="AC9" s="475" t="s">
        <v>168</v>
      </c>
      <c r="AD9" s="475" t="s">
        <v>168</v>
      </c>
      <c r="AE9" s="481" t="s">
        <v>168</v>
      </c>
      <c r="AF9" s="471">
        <v>0.58333333333333337</v>
      </c>
      <c r="AG9" s="472">
        <v>0.95833333333333337</v>
      </c>
      <c r="AH9" s="473">
        <v>8</v>
      </c>
      <c r="AI9" s="473">
        <v>0</v>
      </c>
      <c r="AJ9" s="472">
        <v>0</v>
      </c>
      <c r="AK9" s="476">
        <v>1</v>
      </c>
      <c r="AL9" s="471">
        <v>0.58333333333333337</v>
      </c>
      <c r="AM9" s="472">
        <v>0.95833333333333337</v>
      </c>
      <c r="AN9" s="473">
        <v>8</v>
      </c>
      <c r="AO9" s="473">
        <v>0</v>
      </c>
      <c r="AP9" s="472">
        <v>0</v>
      </c>
      <c r="AQ9" s="476">
        <v>1</v>
      </c>
      <c r="AR9" s="471">
        <v>0.58333333333333337</v>
      </c>
      <c r="AS9" s="472">
        <v>0.95833333333333337</v>
      </c>
      <c r="AT9" s="473">
        <v>8</v>
      </c>
      <c r="AU9" s="473">
        <v>0</v>
      </c>
      <c r="AV9" s="472">
        <v>0</v>
      </c>
      <c r="AW9" s="476">
        <v>1</v>
      </c>
      <c r="AX9" s="471">
        <v>0.58333333333333337</v>
      </c>
      <c r="AY9" s="472">
        <v>0.95833333333333337</v>
      </c>
      <c r="AZ9" s="473">
        <v>8</v>
      </c>
      <c r="BA9" s="473">
        <v>0</v>
      </c>
      <c r="BB9" s="472">
        <v>0</v>
      </c>
      <c r="BC9" s="476">
        <v>1</v>
      </c>
      <c r="BD9" s="471">
        <v>0.58333333333333337</v>
      </c>
      <c r="BE9" s="472">
        <v>0.95833333333333337</v>
      </c>
      <c r="BF9" s="473">
        <v>8</v>
      </c>
      <c r="BG9" s="473">
        <v>0</v>
      </c>
      <c r="BH9" s="472">
        <v>0</v>
      </c>
      <c r="BI9" s="476">
        <v>1</v>
      </c>
      <c r="BJ9" s="474" t="s">
        <v>168</v>
      </c>
      <c r="BK9" s="475" t="s">
        <v>168</v>
      </c>
      <c r="BL9" s="475" t="s">
        <v>168</v>
      </c>
      <c r="BM9" s="475" t="s">
        <v>168</v>
      </c>
      <c r="BN9" s="475" t="s">
        <v>168</v>
      </c>
      <c r="BO9" s="537" t="s">
        <v>168</v>
      </c>
      <c r="BP9" s="538" t="s">
        <v>168</v>
      </c>
      <c r="BQ9" s="475" t="s">
        <v>168</v>
      </c>
      <c r="BR9" s="475" t="s">
        <v>168</v>
      </c>
      <c r="BS9" s="475" t="s">
        <v>168</v>
      </c>
      <c r="BT9" s="475" t="s">
        <v>168</v>
      </c>
      <c r="BU9" s="481" t="s">
        <v>168</v>
      </c>
      <c r="BV9" s="471">
        <v>0.58333333333333337</v>
      </c>
      <c r="BW9" s="472">
        <v>0.95833333333333337</v>
      </c>
      <c r="BX9" s="473">
        <v>8</v>
      </c>
      <c r="BY9" s="473">
        <v>0</v>
      </c>
      <c r="BZ9" s="472">
        <v>0</v>
      </c>
      <c r="CA9" s="476">
        <v>1</v>
      </c>
      <c r="CB9" s="471">
        <v>0.58333333333333337</v>
      </c>
      <c r="CC9" s="472">
        <v>0.75</v>
      </c>
      <c r="CD9" s="473">
        <v>4</v>
      </c>
      <c r="CE9" s="473">
        <v>0</v>
      </c>
      <c r="CF9" s="472">
        <v>0</v>
      </c>
      <c r="CG9" s="476">
        <v>0</v>
      </c>
      <c r="CH9" s="471">
        <v>0.58333333333333337</v>
      </c>
      <c r="CI9" s="472">
        <v>0.95833333333333337</v>
      </c>
      <c r="CJ9" s="473">
        <v>8</v>
      </c>
      <c r="CK9" s="473">
        <v>0</v>
      </c>
      <c r="CL9" s="472">
        <v>0</v>
      </c>
      <c r="CM9" s="476">
        <v>1</v>
      </c>
      <c r="CN9" s="471">
        <v>0.58333333333333337</v>
      </c>
      <c r="CO9" s="472">
        <v>0.95833333333333337</v>
      </c>
      <c r="CP9" s="473">
        <v>8</v>
      </c>
      <c r="CQ9" s="473">
        <v>0</v>
      </c>
      <c r="CR9" s="472">
        <v>0</v>
      </c>
      <c r="CS9" s="477">
        <v>1</v>
      </c>
      <c r="CT9" s="539">
        <f t="shared" si="0"/>
        <v>76</v>
      </c>
      <c r="CU9" s="480">
        <f t="shared" si="1"/>
        <v>8</v>
      </c>
      <c r="CV9" s="480">
        <f t="shared" si="2"/>
        <v>0</v>
      </c>
      <c r="CW9" s="480">
        <f t="shared" si="3"/>
        <v>0</v>
      </c>
      <c r="CX9" s="480">
        <f t="shared" si="4"/>
        <v>0</v>
      </c>
      <c r="CY9" s="480">
        <f t="shared" si="4"/>
        <v>9</v>
      </c>
      <c r="CZ9" s="480">
        <f t="shared" si="5"/>
        <v>1</v>
      </c>
      <c r="DA9" s="540">
        <v>0</v>
      </c>
      <c r="DB9" s="540">
        <v>0.5</v>
      </c>
      <c r="DC9" s="480">
        <v>0</v>
      </c>
      <c r="DD9" s="541"/>
    </row>
    <row r="10" spans="1:108" ht="18.600000000000001">
      <c r="A10" s="434">
        <v>8036</v>
      </c>
      <c r="B10" s="433" t="s">
        <v>171</v>
      </c>
      <c r="C10" s="433" t="s">
        <v>171</v>
      </c>
      <c r="D10" s="450" t="s">
        <v>58</v>
      </c>
      <c r="E10" s="478" t="s">
        <v>166</v>
      </c>
      <c r="F10" s="479" t="s">
        <v>166</v>
      </c>
      <c r="G10" s="479" t="s">
        <v>166</v>
      </c>
      <c r="H10" s="479" t="s">
        <v>166</v>
      </c>
      <c r="I10" s="479" t="s">
        <v>166</v>
      </c>
      <c r="J10" s="479" t="s">
        <v>166</v>
      </c>
      <c r="K10" s="479" t="s">
        <v>166</v>
      </c>
      <c r="L10" s="543" t="s">
        <v>166</v>
      </c>
      <c r="M10" s="471">
        <v>0.33333333333333331</v>
      </c>
      <c r="N10" s="472">
        <v>0.70833333333333337</v>
      </c>
      <c r="O10" s="473">
        <v>8</v>
      </c>
      <c r="P10" s="473">
        <v>0</v>
      </c>
      <c r="Q10" s="473">
        <v>0</v>
      </c>
      <c r="R10" s="472">
        <v>0</v>
      </c>
      <c r="S10" s="476">
        <v>0</v>
      </c>
      <c r="T10" s="474" t="s">
        <v>168</v>
      </c>
      <c r="U10" s="475" t="s">
        <v>168</v>
      </c>
      <c r="V10" s="475" t="s">
        <v>168</v>
      </c>
      <c r="W10" s="475" t="s">
        <v>168</v>
      </c>
      <c r="X10" s="475" t="s">
        <v>168</v>
      </c>
      <c r="Y10" s="537" t="s">
        <v>168</v>
      </c>
      <c r="Z10" s="538" t="s">
        <v>168</v>
      </c>
      <c r="AA10" s="475" t="s">
        <v>168</v>
      </c>
      <c r="AB10" s="475" t="s">
        <v>168</v>
      </c>
      <c r="AC10" s="475" t="s">
        <v>168</v>
      </c>
      <c r="AD10" s="475" t="s">
        <v>168</v>
      </c>
      <c r="AE10" s="481" t="s">
        <v>168</v>
      </c>
      <c r="AF10" s="471">
        <v>0.27083333333333331</v>
      </c>
      <c r="AG10" s="472">
        <v>0.64583333333333337</v>
      </c>
      <c r="AH10" s="473">
        <v>8</v>
      </c>
      <c r="AI10" s="473">
        <v>0</v>
      </c>
      <c r="AJ10" s="472">
        <v>0</v>
      </c>
      <c r="AK10" s="476">
        <v>0</v>
      </c>
      <c r="AL10" s="471">
        <v>0.27083333333333331</v>
      </c>
      <c r="AM10" s="472">
        <v>0.64583333333333337</v>
      </c>
      <c r="AN10" s="473">
        <v>8</v>
      </c>
      <c r="AO10" s="473">
        <v>0</v>
      </c>
      <c r="AP10" s="472">
        <v>0</v>
      </c>
      <c r="AQ10" s="476">
        <v>0</v>
      </c>
      <c r="AR10" s="471">
        <v>0.27083333333333331</v>
      </c>
      <c r="AS10" s="472">
        <v>0.64583333333333337</v>
      </c>
      <c r="AT10" s="473">
        <v>8</v>
      </c>
      <c r="AU10" s="473">
        <v>0</v>
      </c>
      <c r="AV10" s="472">
        <v>0</v>
      </c>
      <c r="AW10" s="476">
        <v>0</v>
      </c>
      <c r="AX10" s="471">
        <v>0.27083333333333331</v>
      </c>
      <c r="AY10" s="472">
        <v>0.64583333333333337</v>
      </c>
      <c r="AZ10" s="473">
        <v>8</v>
      </c>
      <c r="BA10" s="473">
        <v>0</v>
      </c>
      <c r="BB10" s="472">
        <v>0</v>
      </c>
      <c r="BC10" s="476">
        <v>0</v>
      </c>
      <c r="BD10" s="471">
        <v>0.27083333333333331</v>
      </c>
      <c r="BE10" s="472">
        <v>0.64583333333333337</v>
      </c>
      <c r="BF10" s="473">
        <v>8</v>
      </c>
      <c r="BG10" s="473">
        <v>0</v>
      </c>
      <c r="BH10" s="472">
        <v>0</v>
      </c>
      <c r="BI10" s="476">
        <v>0</v>
      </c>
      <c r="BJ10" s="474" t="s">
        <v>168</v>
      </c>
      <c r="BK10" s="475" t="s">
        <v>168</v>
      </c>
      <c r="BL10" s="475" t="s">
        <v>168</v>
      </c>
      <c r="BM10" s="475" t="s">
        <v>168</v>
      </c>
      <c r="BN10" s="475" t="s">
        <v>168</v>
      </c>
      <c r="BO10" s="537" t="s">
        <v>168</v>
      </c>
      <c r="BP10" s="538" t="s">
        <v>168</v>
      </c>
      <c r="BQ10" s="475" t="s">
        <v>168</v>
      </c>
      <c r="BR10" s="475" t="s">
        <v>168</v>
      </c>
      <c r="BS10" s="475" t="s">
        <v>168</v>
      </c>
      <c r="BT10" s="475" t="s">
        <v>168</v>
      </c>
      <c r="BU10" s="481" t="s">
        <v>168</v>
      </c>
      <c r="BV10" s="471">
        <v>0.27083333333333331</v>
      </c>
      <c r="BW10" s="472">
        <v>0.64583333333333337</v>
      </c>
      <c r="BX10" s="473">
        <v>8</v>
      </c>
      <c r="BY10" s="473">
        <v>0</v>
      </c>
      <c r="BZ10" s="472">
        <v>0</v>
      </c>
      <c r="CA10" s="476">
        <v>0</v>
      </c>
      <c r="CB10" s="471">
        <v>0.27083333333333331</v>
      </c>
      <c r="CC10" s="472">
        <v>0.64583333333333337</v>
      </c>
      <c r="CD10" s="473">
        <v>8</v>
      </c>
      <c r="CE10" s="473">
        <v>0</v>
      </c>
      <c r="CF10" s="472">
        <v>0</v>
      </c>
      <c r="CG10" s="476">
        <v>0</v>
      </c>
      <c r="CH10" s="471">
        <v>0.27083333333333331</v>
      </c>
      <c r="CI10" s="472">
        <v>0.64583333333333337</v>
      </c>
      <c r="CJ10" s="473">
        <v>8</v>
      </c>
      <c r="CK10" s="473">
        <v>0</v>
      </c>
      <c r="CL10" s="472">
        <v>0</v>
      </c>
      <c r="CM10" s="476">
        <v>0</v>
      </c>
      <c r="CN10" s="471">
        <v>0.27083333333333331</v>
      </c>
      <c r="CO10" s="472">
        <v>0.64583333333333337</v>
      </c>
      <c r="CP10" s="473">
        <v>8</v>
      </c>
      <c r="CQ10" s="473">
        <v>0</v>
      </c>
      <c r="CR10" s="472">
        <v>0</v>
      </c>
      <c r="CS10" s="477">
        <v>0</v>
      </c>
      <c r="CT10" s="539">
        <f t="shared" si="0"/>
        <v>80</v>
      </c>
      <c r="CU10" s="480">
        <f t="shared" si="1"/>
        <v>0</v>
      </c>
      <c r="CV10" s="480">
        <f t="shared" si="2"/>
        <v>0</v>
      </c>
      <c r="CW10" s="480">
        <f t="shared" si="3"/>
        <v>0</v>
      </c>
      <c r="CX10" s="480">
        <f t="shared" si="4"/>
        <v>0</v>
      </c>
      <c r="CY10" s="480">
        <f t="shared" si="4"/>
        <v>0</v>
      </c>
      <c r="CZ10" s="480">
        <f t="shared" si="5"/>
        <v>0</v>
      </c>
      <c r="DA10" s="540">
        <v>1</v>
      </c>
      <c r="DB10" s="540">
        <v>0</v>
      </c>
      <c r="DC10" s="480">
        <v>0</v>
      </c>
      <c r="DD10" s="541"/>
    </row>
    <row r="11" spans="1:108" ht="18.600000000000001">
      <c r="A11" s="434">
        <v>8037</v>
      </c>
      <c r="B11" s="433" t="s">
        <v>171</v>
      </c>
      <c r="C11" s="433" t="s">
        <v>171</v>
      </c>
      <c r="D11" s="450" t="s">
        <v>59</v>
      </c>
      <c r="E11" s="478" t="s">
        <v>166</v>
      </c>
      <c r="F11" s="479" t="s">
        <v>166</v>
      </c>
      <c r="G11" s="479" t="s">
        <v>166</v>
      </c>
      <c r="H11" s="479" t="s">
        <v>166</v>
      </c>
      <c r="I11" s="479" t="s">
        <v>166</v>
      </c>
      <c r="J11" s="479" t="s">
        <v>166</v>
      </c>
      <c r="K11" s="479" t="s">
        <v>166</v>
      </c>
      <c r="L11" s="543" t="s">
        <v>166</v>
      </c>
      <c r="M11" s="471">
        <v>0.70833333333333337</v>
      </c>
      <c r="N11" s="472">
        <v>8.3333333333333329E-2</v>
      </c>
      <c r="O11" s="473">
        <v>8</v>
      </c>
      <c r="P11" s="473">
        <v>0</v>
      </c>
      <c r="Q11" s="473">
        <v>0</v>
      </c>
      <c r="R11" s="472">
        <v>0</v>
      </c>
      <c r="S11" s="476">
        <v>4</v>
      </c>
      <c r="T11" s="474" t="s">
        <v>168</v>
      </c>
      <c r="U11" s="475" t="s">
        <v>168</v>
      </c>
      <c r="V11" s="475" t="s">
        <v>168</v>
      </c>
      <c r="W11" s="475" t="s">
        <v>168</v>
      </c>
      <c r="X11" s="475" t="s">
        <v>168</v>
      </c>
      <c r="Y11" s="537" t="s">
        <v>168</v>
      </c>
      <c r="Z11" s="538" t="s">
        <v>168</v>
      </c>
      <c r="AA11" s="475" t="s">
        <v>168</v>
      </c>
      <c r="AB11" s="475" t="s">
        <v>168</v>
      </c>
      <c r="AC11" s="475" t="s">
        <v>168</v>
      </c>
      <c r="AD11" s="475" t="s">
        <v>168</v>
      </c>
      <c r="AE11" s="481" t="s">
        <v>168</v>
      </c>
      <c r="AF11" s="471">
        <v>0.70833333333333337</v>
      </c>
      <c r="AG11" s="472">
        <v>8.3333333333333329E-2</v>
      </c>
      <c r="AH11" s="473">
        <v>8</v>
      </c>
      <c r="AI11" s="473">
        <v>0</v>
      </c>
      <c r="AJ11" s="472">
        <v>0</v>
      </c>
      <c r="AK11" s="476">
        <v>4</v>
      </c>
      <c r="AL11" s="471">
        <v>0.70833333333333337</v>
      </c>
      <c r="AM11" s="472">
        <v>8.3333333333333329E-2</v>
      </c>
      <c r="AN11" s="473">
        <v>8</v>
      </c>
      <c r="AO11" s="473">
        <v>0</v>
      </c>
      <c r="AP11" s="472">
        <v>0</v>
      </c>
      <c r="AQ11" s="476">
        <v>4</v>
      </c>
      <c r="AR11" s="471">
        <v>0.70833333333333337</v>
      </c>
      <c r="AS11" s="472">
        <v>8.3333333333333329E-2</v>
      </c>
      <c r="AT11" s="473">
        <v>8</v>
      </c>
      <c r="AU11" s="473">
        <v>0</v>
      </c>
      <c r="AV11" s="472">
        <v>0</v>
      </c>
      <c r="AW11" s="476">
        <v>4</v>
      </c>
      <c r="AX11" s="471">
        <v>0.70833333333333337</v>
      </c>
      <c r="AY11" s="472">
        <v>8.3333333333333329E-2</v>
      </c>
      <c r="AZ11" s="473">
        <v>8</v>
      </c>
      <c r="BA11" s="473">
        <v>0</v>
      </c>
      <c r="BB11" s="472">
        <v>0</v>
      </c>
      <c r="BC11" s="476">
        <v>4</v>
      </c>
      <c r="BD11" s="471">
        <v>0.70833333333333337</v>
      </c>
      <c r="BE11" s="472">
        <v>8.3333333333333329E-2</v>
      </c>
      <c r="BF11" s="473">
        <v>8</v>
      </c>
      <c r="BG11" s="473">
        <v>0</v>
      </c>
      <c r="BH11" s="472">
        <v>0</v>
      </c>
      <c r="BI11" s="476">
        <v>4</v>
      </c>
      <c r="BJ11" s="474" t="s">
        <v>168</v>
      </c>
      <c r="BK11" s="475" t="s">
        <v>168</v>
      </c>
      <c r="BL11" s="475" t="s">
        <v>168</v>
      </c>
      <c r="BM11" s="475" t="s">
        <v>168</v>
      </c>
      <c r="BN11" s="475" t="s">
        <v>168</v>
      </c>
      <c r="BO11" s="537" t="s">
        <v>168</v>
      </c>
      <c r="BP11" s="538" t="s">
        <v>168</v>
      </c>
      <c r="BQ11" s="475" t="s">
        <v>168</v>
      </c>
      <c r="BR11" s="475" t="s">
        <v>168</v>
      </c>
      <c r="BS11" s="475" t="s">
        <v>168</v>
      </c>
      <c r="BT11" s="475" t="s">
        <v>168</v>
      </c>
      <c r="BU11" s="481" t="s">
        <v>168</v>
      </c>
      <c r="BV11" s="471">
        <v>0.70833333333333337</v>
      </c>
      <c r="BW11" s="472">
        <v>8.3333333333333329E-2</v>
      </c>
      <c r="BX11" s="473">
        <v>8</v>
      </c>
      <c r="BY11" s="473">
        <v>0</v>
      </c>
      <c r="BZ11" s="472">
        <v>0</v>
      </c>
      <c r="CA11" s="476">
        <v>4</v>
      </c>
      <c r="CB11" s="471">
        <v>0.70833333333333337</v>
      </c>
      <c r="CC11" s="472">
        <v>8.3333333333333329E-2</v>
      </c>
      <c r="CD11" s="473">
        <v>8</v>
      </c>
      <c r="CE11" s="473">
        <v>0</v>
      </c>
      <c r="CF11" s="472">
        <v>0</v>
      </c>
      <c r="CG11" s="476">
        <v>4</v>
      </c>
      <c r="CH11" s="471">
        <v>0.70833333333333337</v>
      </c>
      <c r="CI11" s="472">
        <v>8.3333333333333329E-2</v>
      </c>
      <c r="CJ11" s="473">
        <v>8</v>
      </c>
      <c r="CK11" s="473">
        <v>0</v>
      </c>
      <c r="CL11" s="472">
        <v>0</v>
      </c>
      <c r="CM11" s="476">
        <v>4</v>
      </c>
      <c r="CN11" s="471">
        <v>0.70833333333333337</v>
      </c>
      <c r="CO11" s="472">
        <v>8.3333333333333329E-2</v>
      </c>
      <c r="CP11" s="473">
        <v>8</v>
      </c>
      <c r="CQ11" s="473">
        <v>0</v>
      </c>
      <c r="CR11" s="472">
        <v>0</v>
      </c>
      <c r="CS11" s="477">
        <v>4</v>
      </c>
      <c r="CT11" s="539">
        <f t="shared" si="0"/>
        <v>80</v>
      </c>
      <c r="CU11" s="480">
        <f t="shared" si="1"/>
        <v>0</v>
      </c>
      <c r="CV11" s="480">
        <f t="shared" si="2"/>
        <v>0</v>
      </c>
      <c r="CW11" s="480">
        <f t="shared" si="3"/>
        <v>0</v>
      </c>
      <c r="CX11" s="480">
        <f t="shared" si="4"/>
        <v>0</v>
      </c>
      <c r="CY11" s="480">
        <f t="shared" si="4"/>
        <v>40</v>
      </c>
      <c r="CZ11" s="480">
        <f t="shared" si="5"/>
        <v>0</v>
      </c>
      <c r="DA11" s="540">
        <v>1</v>
      </c>
      <c r="DB11" s="540">
        <v>0</v>
      </c>
      <c r="DC11" s="480">
        <v>0</v>
      </c>
      <c r="DD11" s="541"/>
    </row>
    <row r="12" spans="1:108" ht="18.600000000000001">
      <c r="A12" s="434">
        <v>8038</v>
      </c>
      <c r="B12" s="433" t="s">
        <v>164</v>
      </c>
      <c r="C12" s="433" t="s">
        <v>165</v>
      </c>
      <c r="D12" s="450" t="s">
        <v>60</v>
      </c>
      <c r="E12" s="474" t="s">
        <v>168</v>
      </c>
      <c r="F12" s="475" t="s">
        <v>168</v>
      </c>
      <c r="G12" s="475" t="s">
        <v>168</v>
      </c>
      <c r="H12" s="475" t="s">
        <v>168</v>
      </c>
      <c r="I12" s="475" t="s">
        <v>168</v>
      </c>
      <c r="J12" s="475" t="s">
        <v>168</v>
      </c>
      <c r="K12" s="475" t="s">
        <v>168</v>
      </c>
      <c r="L12" s="481" t="s">
        <v>168</v>
      </c>
      <c r="M12" s="471">
        <v>0</v>
      </c>
      <c r="N12" s="472">
        <v>0.25</v>
      </c>
      <c r="O12" s="473">
        <v>0</v>
      </c>
      <c r="P12" s="473">
        <v>0</v>
      </c>
      <c r="Q12" s="473">
        <v>6</v>
      </c>
      <c r="R12" s="472">
        <v>0</v>
      </c>
      <c r="S12" s="476">
        <v>6</v>
      </c>
      <c r="T12" s="471">
        <v>0.75</v>
      </c>
      <c r="U12" s="472">
        <v>0.25</v>
      </c>
      <c r="V12" s="473">
        <v>8</v>
      </c>
      <c r="W12" s="473">
        <v>3</v>
      </c>
      <c r="X12" s="472">
        <v>0</v>
      </c>
      <c r="Y12" s="477">
        <v>8</v>
      </c>
      <c r="Z12" s="542">
        <v>0.75</v>
      </c>
      <c r="AA12" s="472">
        <v>0.25</v>
      </c>
      <c r="AB12" s="473">
        <v>8</v>
      </c>
      <c r="AC12" s="473">
        <v>3</v>
      </c>
      <c r="AD12" s="472">
        <v>0</v>
      </c>
      <c r="AE12" s="476">
        <v>8</v>
      </c>
      <c r="AF12" s="471">
        <v>0.91666666666666663</v>
      </c>
      <c r="AG12" s="472">
        <v>0.29166666666666669</v>
      </c>
      <c r="AH12" s="473">
        <v>8</v>
      </c>
      <c r="AI12" s="473">
        <v>0</v>
      </c>
      <c r="AJ12" s="472">
        <v>0</v>
      </c>
      <c r="AK12" s="476">
        <v>8</v>
      </c>
      <c r="AL12" s="471">
        <v>0.91666666666666663</v>
      </c>
      <c r="AM12" s="472">
        <v>0.29166666666666669</v>
      </c>
      <c r="AN12" s="473">
        <v>8</v>
      </c>
      <c r="AO12" s="473">
        <v>0</v>
      </c>
      <c r="AP12" s="472">
        <v>0</v>
      </c>
      <c r="AQ12" s="476">
        <v>8</v>
      </c>
      <c r="AR12" s="471">
        <v>0.91666666666666663</v>
      </c>
      <c r="AS12" s="472">
        <v>0.29166666666666669</v>
      </c>
      <c r="AT12" s="473">
        <v>8</v>
      </c>
      <c r="AU12" s="473">
        <v>0</v>
      </c>
      <c r="AV12" s="472">
        <v>0</v>
      </c>
      <c r="AW12" s="476">
        <v>8</v>
      </c>
      <c r="AX12" s="474" t="s">
        <v>168</v>
      </c>
      <c r="AY12" s="475" t="s">
        <v>168</v>
      </c>
      <c r="AZ12" s="475" t="s">
        <v>168</v>
      </c>
      <c r="BA12" s="475" t="s">
        <v>168</v>
      </c>
      <c r="BB12" s="475" t="s">
        <v>168</v>
      </c>
      <c r="BC12" s="481" t="s">
        <v>168</v>
      </c>
      <c r="BD12" s="474" t="s">
        <v>168</v>
      </c>
      <c r="BE12" s="475" t="s">
        <v>168</v>
      </c>
      <c r="BF12" s="475" t="s">
        <v>168</v>
      </c>
      <c r="BG12" s="475" t="s">
        <v>168</v>
      </c>
      <c r="BH12" s="475" t="s">
        <v>168</v>
      </c>
      <c r="BI12" s="481" t="s">
        <v>168</v>
      </c>
      <c r="BJ12" s="471">
        <v>0.75</v>
      </c>
      <c r="BK12" s="472">
        <v>0.25</v>
      </c>
      <c r="BL12" s="473">
        <v>8</v>
      </c>
      <c r="BM12" s="473">
        <v>3</v>
      </c>
      <c r="BN12" s="472">
        <v>0</v>
      </c>
      <c r="BO12" s="477">
        <v>8</v>
      </c>
      <c r="BP12" s="542">
        <v>0.75</v>
      </c>
      <c r="BQ12" s="472">
        <v>0.25</v>
      </c>
      <c r="BR12" s="473">
        <v>8</v>
      </c>
      <c r="BS12" s="473">
        <v>3</v>
      </c>
      <c r="BT12" s="472">
        <v>0</v>
      </c>
      <c r="BU12" s="476">
        <v>8</v>
      </c>
      <c r="BV12" s="471">
        <v>0.91666666666666663</v>
      </c>
      <c r="BW12" s="472">
        <v>0.29166666666666669</v>
      </c>
      <c r="BX12" s="473">
        <v>8</v>
      </c>
      <c r="BY12" s="473">
        <v>0</v>
      </c>
      <c r="BZ12" s="472">
        <v>0</v>
      </c>
      <c r="CA12" s="476">
        <v>8</v>
      </c>
      <c r="CB12" s="471">
        <v>0.91666666666666663</v>
      </c>
      <c r="CC12" s="472">
        <v>0.29166666666666669</v>
      </c>
      <c r="CD12" s="473">
        <v>8</v>
      </c>
      <c r="CE12" s="473">
        <v>0</v>
      </c>
      <c r="CF12" s="472">
        <v>0</v>
      </c>
      <c r="CG12" s="476">
        <v>8</v>
      </c>
      <c r="CH12" s="471">
        <v>0.91666666666666663</v>
      </c>
      <c r="CI12" s="472">
        <v>0.29166666666666669</v>
      </c>
      <c r="CJ12" s="473">
        <v>8</v>
      </c>
      <c r="CK12" s="473">
        <v>0</v>
      </c>
      <c r="CL12" s="472">
        <v>0</v>
      </c>
      <c r="CM12" s="476">
        <v>8</v>
      </c>
      <c r="CN12" s="474" t="s">
        <v>168</v>
      </c>
      <c r="CO12" s="475" t="s">
        <v>168</v>
      </c>
      <c r="CP12" s="475" t="s">
        <v>168</v>
      </c>
      <c r="CQ12" s="475" t="s">
        <v>168</v>
      </c>
      <c r="CR12" s="475" t="s">
        <v>168</v>
      </c>
      <c r="CS12" s="537" t="s">
        <v>168</v>
      </c>
      <c r="CT12" s="539">
        <f t="shared" si="0"/>
        <v>80</v>
      </c>
      <c r="CU12" s="480">
        <f t="shared" si="1"/>
        <v>0</v>
      </c>
      <c r="CV12" s="480">
        <f t="shared" si="2"/>
        <v>12</v>
      </c>
      <c r="CW12" s="480">
        <f t="shared" si="3"/>
        <v>6</v>
      </c>
      <c r="CX12" s="480">
        <f t="shared" si="4"/>
        <v>0</v>
      </c>
      <c r="CY12" s="480">
        <f t="shared" si="4"/>
        <v>86</v>
      </c>
      <c r="CZ12" s="480">
        <f t="shared" si="5"/>
        <v>0</v>
      </c>
      <c r="DA12" s="540">
        <v>0</v>
      </c>
      <c r="DB12" s="540">
        <v>0</v>
      </c>
      <c r="DC12" s="480">
        <v>0</v>
      </c>
      <c r="DD12" s="541"/>
    </row>
    <row r="13" spans="1:108" ht="18.600000000000001">
      <c r="A13" s="434">
        <v>8042</v>
      </c>
      <c r="B13" s="433" t="s">
        <v>164</v>
      </c>
      <c r="C13" s="433" t="s">
        <v>165</v>
      </c>
      <c r="D13" s="450" t="s">
        <v>61</v>
      </c>
      <c r="E13" s="471">
        <v>0.91666666666666663</v>
      </c>
      <c r="F13" s="472">
        <v>0.29166666666666669</v>
      </c>
      <c r="G13" s="473">
        <v>6</v>
      </c>
      <c r="H13" s="473">
        <v>2</v>
      </c>
      <c r="I13" s="473">
        <v>0</v>
      </c>
      <c r="J13" s="472">
        <v>0</v>
      </c>
      <c r="K13" s="473">
        <v>6</v>
      </c>
      <c r="L13" s="476">
        <v>2</v>
      </c>
      <c r="M13" s="544" t="s">
        <v>167</v>
      </c>
      <c r="N13" s="545" t="s">
        <v>167</v>
      </c>
      <c r="O13" s="545" t="s">
        <v>167</v>
      </c>
      <c r="P13" s="545" t="s">
        <v>167</v>
      </c>
      <c r="Q13" s="545" t="s">
        <v>167</v>
      </c>
      <c r="R13" s="545" t="s">
        <v>167</v>
      </c>
      <c r="S13" s="547" t="s">
        <v>167</v>
      </c>
      <c r="T13" s="474" t="s">
        <v>168</v>
      </c>
      <c r="U13" s="475" t="s">
        <v>168</v>
      </c>
      <c r="V13" s="475" t="s">
        <v>168</v>
      </c>
      <c r="W13" s="475" t="s">
        <v>168</v>
      </c>
      <c r="X13" s="475" t="s">
        <v>168</v>
      </c>
      <c r="Y13" s="537" t="s">
        <v>168</v>
      </c>
      <c r="Z13" s="538" t="s">
        <v>168</v>
      </c>
      <c r="AA13" s="475" t="s">
        <v>168</v>
      </c>
      <c r="AB13" s="475" t="s">
        <v>168</v>
      </c>
      <c r="AC13" s="475" t="s">
        <v>168</v>
      </c>
      <c r="AD13" s="475" t="s">
        <v>168</v>
      </c>
      <c r="AE13" s="481" t="s">
        <v>168</v>
      </c>
      <c r="AF13" s="471">
        <v>0.91666666666666663</v>
      </c>
      <c r="AG13" s="472">
        <v>0.29166666666666669</v>
      </c>
      <c r="AH13" s="473">
        <v>8</v>
      </c>
      <c r="AI13" s="473">
        <v>0</v>
      </c>
      <c r="AJ13" s="472">
        <v>0</v>
      </c>
      <c r="AK13" s="476">
        <v>8</v>
      </c>
      <c r="AL13" s="471">
        <v>0.91666666666666663</v>
      </c>
      <c r="AM13" s="472">
        <v>0.29166666666666669</v>
      </c>
      <c r="AN13" s="473">
        <v>8</v>
      </c>
      <c r="AO13" s="473">
        <v>0</v>
      </c>
      <c r="AP13" s="472">
        <v>0</v>
      </c>
      <c r="AQ13" s="476">
        <v>8</v>
      </c>
      <c r="AR13" s="471">
        <v>0.91666666666666663</v>
      </c>
      <c r="AS13" s="472">
        <v>0.29166666666666669</v>
      </c>
      <c r="AT13" s="473">
        <v>8</v>
      </c>
      <c r="AU13" s="473">
        <v>0</v>
      </c>
      <c r="AV13" s="472">
        <v>0</v>
      </c>
      <c r="AW13" s="476">
        <v>8</v>
      </c>
      <c r="AX13" s="471">
        <v>0.91666666666666663</v>
      </c>
      <c r="AY13" s="472">
        <v>0.29166666666666669</v>
      </c>
      <c r="AZ13" s="473">
        <v>8</v>
      </c>
      <c r="BA13" s="473">
        <v>0</v>
      </c>
      <c r="BB13" s="472">
        <v>0</v>
      </c>
      <c r="BC13" s="476">
        <v>8</v>
      </c>
      <c r="BD13" s="471">
        <v>0.91666666666666663</v>
      </c>
      <c r="BE13" s="472">
        <v>0.29166666666666669</v>
      </c>
      <c r="BF13" s="473">
        <v>8</v>
      </c>
      <c r="BG13" s="473">
        <v>0</v>
      </c>
      <c r="BH13" s="472">
        <v>0</v>
      </c>
      <c r="BI13" s="476">
        <v>8</v>
      </c>
      <c r="BJ13" s="474" t="s">
        <v>168</v>
      </c>
      <c r="BK13" s="475" t="s">
        <v>168</v>
      </c>
      <c r="BL13" s="475" t="s">
        <v>168</v>
      </c>
      <c r="BM13" s="475" t="s">
        <v>168</v>
      </c>
      <c r="BN13" s="475" t="s">
        <v>168</v>
      </c>
      <c r="BO13" s="537" t="s">
        <v>168</v>
      </c>
      <c r="BP13" s="538" t="s">
        <v>168</v>
      </c>
      <c r="BQ13" s="475" t="s">
        <v>168</v>
      </c>
      <c r="BR13" s="475" t="s">
        <v>168</v>
      </c>
      <c r="BS13" s="475" t="s">
        <v>168</v>
      </c>
      <c r="BT13" s="475" t="s">
        <v>168</v>
      </c>
      <c r="BU13" s="481" t="s">
        <v>168</v>
      </c>
      <c r="BV13" s="471">
        <v>0.91666666666666663</v>
      </c>
      <c r="BW13" s="472">
        <v>0.29166666666666669</v>
      </c>
      <c r="BX13" s="473">
        <v>8</v>
      </c>
      <c r="BY13" s="473">
        <v>0</v>
      </c>
      <c r="BZ13" s="472">
        <v>0</v>
      </c>
      <c r="CA13" s="476">
        <v>8</v>
      </c>
      <c r="CB13" s="471">
        <v>0.91666666666666663</v>
      </c>
      <c r="CC13" s="472">
        <v>0.29166666666666669</v>
      </c>
      <c r="CD13" s="473">
        <v>8</v>
      </c>
      <c r="CE13" s="473">
        <v>0</v>
      </c>
      <c r="CF13" s="472">
        <v>0</v>
      </c>
      <c r="CG13" s="476">
        <v>8</v>
      </c>
      <c r="CH13" s="471">
        <v>0.91666666666666663</v>
      </c>
      <c r="CI13" s="472">
        <v>0.29166666666666669</v>
      </c>
      <c r="CJ13" s="473">
        <v>8</v>
      </c>
      <c r="CK13" s="473">
        <v>0</v>
      </c>
      <c r="CL13" s="472">
        <v>0</v>
      </c>
      <c r="CM13" s="476">
        <v>8</v>
      </c>
      <c r="CN13" s="471">
        <v>0.91666666666666663</v>
      </c>
      <c r="CO13" s="472">
        <v>0.29166666666666669</v>
      </c>
      <c r="CP13" s="473">
        <v>8</v>
      </c>
      <c r="CQ13" s="473">
        <v>0</v>
      </c>
      <c r="CR13" s="472">
        <v>0</v>
      </c>
      <c r="CS13" s="477">
        <v>8</v>
      </c>
      <c r="CT13" s="539">
        <f t="shared" si="0"/>
        <v>78</v>
      </c>
      <c r="CU13" s="480">
        <f t="shared" si="1"/>
        <v>2</v>
      </c>
      <c r="CV13" s="480">
        <f t="shared" si="2"/>
        <v>0</v>
      </c>
      <c r="CW13" s="480">
        <f t="shared" si="3"/>
        <v>0</v>
      </c>
      <c r="CX13" s="480">
        <f t="shared" si="4"/>
        <v>0</v>
      </c>
      <c r="CY13" s="480">
        <f t="shared" si="4"/>
        <v>78</v>
      </c>
      <c r="CZ13" s="480">
        <f t="shared" si="5"/>
        <v>2</v>
      </c>
      <c r="DA13" s="540">
        <v>0</v>
      </c>
      <c r="DB13" s="540">
        <v>1</v>
      </c>
      <c r="DC13" s="480">
        <v>0</v>
      </c>
      <c r="DD13" s="541"/>
    </row>
    <row r="14" spans="1:108" ht="18.600000000000001">
      <c r="A14" s="434">
        <v>8043</v>
      </c>
      <c r="B14" s="433" t="s">
        <v>171</v>
      </c>
      <c r="C14" s="433" t="s">
        <v>171</v>
      </c>
      <c r="D14" s="450" t="s">
        <v>62</v>
      </c>
      <c r="E14" s="478" t="s">
        <v>166</v>
      </c>
      <c r="F14" s="479" t="s">
        <v>166</v>
      </c>
      <c r="G14" s="479" t="s">
        <v>166</v>
      </c>
      <c r="H14" s="479" t="s">
        <v>166</v>
      </c>
      <c r="I14" s="479" t="s">
        <v>166</v>
      </c>
      <c r="J14" s="479" t="s">
        <v>166</v>
      </c>
      <c r="K14" s="479" t="s">
        <v>166</v>
      </c>
      <c r="L14" s="543" t="s">
        <v>166</v>
      </c>
      <c r="M14" s="471">
        <v>0.625</v>
      </c>
      <c r="N14" s="472">
        <v>0</v>
      </c>
      <c r="O14" s="473">
        <v>8</v>
      </c>
      <c r="P14" s="473">
        <v>0</v>
      </c>
      <c r="Q14" s="473">
        <v>0</v>
      </c>
      <c r="R14" s="472">
        <v>0</v>
      </c>
      <c r="S14" s="476">
        <v>2</v>
      </c>
      <c r="T14" s="474" t="s">
        <v>168</v>
      </c>
      <c r="U14" s="475" t="s">
        <v>168</v>
      </c>
      <c r="V14" s="475" t="s">
        <v>168</v>
      </c>
      <c r="W14" s="475" t="s">
        <v>168</v>
      </c>
      <c r="X14" s="475" t="s">
        <v>168</v>
      </c>
      <c r="Y14" s="537" t="s">
        <v>168</v>
      </c>
      <c r="Z14" s="538" t="s">
        <v>168</v>
      </c>
      <c r="AA14" s="475" t="s">
        <v>168</v>
      </c>
      <c r="AB14" s="475" t="s">
        <v>168</v>
      </c>
      <c r="AC14" s="475" t="s">
        <v>168</v>
      </c>
      <c r="AD14" s="475" t="s">
        <v>168</v>
      </c>
      <c r="AE14" s="481" t="s">
        <v>168</v>
      </c>
      <c r="AF14" s="471">
        <v>0.625</v>
      </c>
      <c r="AG14" s="472">
        <v>0</v>
      </c>
      <c r="AH14" s="473">
        <v>8</v>
      </c>
      <c r="AI14" s="473">
        <v>0</v>
      </c>
      <c r="AJ14" s="472">
        <v>0</v>
      </c>
      <c r="AK14" s="476">
        <v>2</v>
      </c>
      <c r="AL14" s="471">
        <v>0.625</v>
      </c>
      <c r="AM14" s="472">
        <v>0</v>
      </c>
      <c r="AN14" s="473">
        <v>8</v>
      </c>
      <c r="AO14" s="473">
        <v>0</v>
      </c>
      <c r="AP14" s="472">
        <v>0</v>
      </c>
      <c r="AQ14" s="476">
        <v>2</v>
      </c>
      <c r="AR14" s="471">
        <v>0.625</v>
      </c>
      <c r="AS14" s="472">
        <v>0</v>
      </c>
      <c r="AT14" s="473">
        <v>8</v>
      </c>
      <c r="AU14" s="473">
        <v>0</v>
      </c>
      <c r="AV14" s="472">
        <v>0</v>
      </c>
      <c r="AW14" s="476">
        <v>2</v>
      </c>
      <c r="AX14" s="471">
        <v>0.625</v>
      </c>
      <c r="AY14" s="472">
        <v>0</v>
      </c>
      <c r="AZ14" s="473">
        <v>8</v>
      </c>
      <c r="BA14" s="473">
        <v>0</v>
      </c>
      <c r="BB14" s="472">
        <v>0</v>
      </c>
      <c r="BC14" s="476">
        <v>2</v>
      </c>
      <c r="BD14" s="471">
        <v>0.625</v>
      </c>
      <c r="BE14" s="472">
        <v>0</v>
      </c>
      <c r="BF14" s="473">
        <v>8</v>
      </c>
      <c r="BG14" s="473">
        <v>0</v>
      </c>
      <c r="BH14" s="472">
        <v>0</v>
      </c>
      <c r="BI14" s="476">
        <v>2</v>
      </c>
      <c r="BJ14" s="474" t="s">
        <v>168</v>
      </c>
      <c r="BK14" s="475" t="s">
        <v>168</v>
      </c>
      <c r="BL14" s="475" t="s">
        <v>168</v>
      </c>
      <c r="BM14" s="475" t="s">
        <v>168</v>
      </c>
      <c r="BN14" s="475" t="s">
        <v>168</v>
      </c>
      <c r="BO14" s="537" t="s">
        <v>168</v>
      </c>
      <c r="BP14" s="538" t="s">
        <v>168</v>
      </c>
      <c r="BQ14" s="475" t="s">
        <v>168</v>
      </c>
      <c r="BR14" s="475" t="s">
        <v>168</v>
      </c>
      <c r="BS14" s="475" t="s">
        <v>168</v>
      </c>
      <c r="BT14" s="475" t="s">
        <v>168</v>
      </c>
      <c r="BU14" s="481" t="s">
        <v>168</v>
      </c>
      <c r="BV14" s="471">
        <v>0.625</v>
      </c>
      <c r="BW14" s="472">
        <v>0</v>
      </c>
      <c r="BX14" s="473">
        <v>8</v>
      </c>
      <c r="BY14" s="473">
        <v>0</v>
      </c>
      <c r="BZ14" s="472">
        <v>0</v>
      </c>
      <c r="CA14" s="476">
        <v>2</v>
      </c>
      <c r="CB14" s="471">
        <v>0.625</v>
      </c>
      <c r="CC14" s="472">
        <v>0</v>
      </c>
      <c r="CD14" s="473">
        <v>8</v>
      </c>
      <c r="CE14" s="473">
        <v>0</v>
      </c>
      <c r="CF14" s="472">
        <v>0</v>
      </c>
      <c r="CG14" s="476">
        <v>2</v>
      </c>
      <c r="CH14" s="471">
        <v>0.625</v>
      </c>
      <c r="CI14" s="472">
        <v>0</v>
      </c>
      <c r="CJ14" s="473">
        <v>8</v>
      </c>
      <c r="CK14" s="473">
        <v>0</v>
      </c>
      <c r="CL14" s="472">
        <v>0</v>
      </c>
      <c r="CM14" s="476">
        <v>2</v>
      </c>
      <c r="CN14" s="471">
        <v>0.625</v>
      </c>
      <c r="CO14" s="472">
        <v>0</v>
      </c>
      <c r="CP14" s="473">
        <v>8</v>
      </c>
      <c r="CQ14" s="473">
        <v>0</v>
      </c>
      <c r="CR14" s="472">
        <v>0</v>
      </c>
      <c r="CS14" s="477">
        <v>2</v>
      </c>
      <c r="CT14" s="539">
        <f t="shared" si="0"/>
        <v>80</v>
      </c>
      <c r="CU14" s="480">
        <f t="shared" si="1"/>
        <v>0</v>
      </c>
      <c r="CV14" s="480">
        <f t="shared" si="2"/>
        <v>0</v>
      </c>
      <c r="CW14" s="480">
        <f t="shared" si="3"/>
        <v>0</v>
      </c>
      <c r="CX14" s="480">
        <f t="shared" si="4"/>
        <v>0</v>
      </c>
      <c r="CY14" s="480">
        <f t="shared" si="4"/>
        <v>20</v>
      </c>
      <c r="CZ14" s="480">
        <f t="shared" si="5"/>
        <v>0</v>
      </c>
      <c r="DA14" s="540">
        <v>1</v>
      </c>
      <c r="DB14" s="540">
        <v>0</v>
      </c>
      <c r="DC14" s="480">
        <v>0</v>
      </c>
      <c r="DD14" s="541"/>
    </row>
    <row r="15" spans="1:108" ht="18.600000000000001">
      <c r="A15" s="434">
        <v>8044</v>
      </c>
      <c r="B15" s="433" t="s">
        <v>171</v>
      </c>
      <c r="C15" s="433" t="s">
        <v>171</v>
      </c>
      <c r="D15" s="450" t="s">
        <v>63</v>
      </c>
      <c r="E15" s="478" t="s">
        <v>166</v>
      </c>
      <c r="F15" s="479" t="s">
        <v>166</v>
      </c>
      <c r="G15" s="479" t="s">
        <v>166</v>
      </c>
      <c r="H15" s="479" t="s">
        <v>166</v>
      </c>
      <c r="I15" s="479" t="s">
        <v>166</v>
      </c>
      <c r="J15" s="479" t="s">
        <v>166</v>
      </c>
      <c r="K15" s="479" t="s">
        <v>166</v>
      </c>
      <c r="L15" s="543" t="s">
        <v>166</v>
      </c>
      <c r="M15" s="544" t="s">
        <v>167</v>
      </c>
      <c r="N15" s="545" t="s">
        <v>167</v>
      </c>
      <c r="O15" s="545" t="s">
        <v>167</v>
      </c>
      <c r="P15" s="545" t="s">
        <v>167</v>
      </c>
      <c r="Q15" s="545" t="s">
        <v>167</v>
      </c>
      <c r="R15" s="545" t="s">
        <v>167</v>
      </c>
      <c r="S15" s="547" t="s">
        <v>167</v>
      </c>
      <c r="T15" s="474" t="s">
        <v>168</v>
      </c>
      <c r="U15" s="475" t="s">
        <v>168</v>
      </c>
      <c r="V15" s="475" t="s">
        <v>168</v>
      </c>
      <c r="W15" s="475" t="s">
        <v>168</v>
      </c>
      <c r="X15" s="475" t="s">
        <v>168</v>
      </c>
      <c r="Y15" s="537" t="s">
        <v>168</v>
      </c>
      <c r="Z15" s="538" t="s">
        <v>168</v>
      </c>
      <c r="AA15" s="475" t="s">
        <v>168</v>
      </c>
      <c r="AB15" s="475" t="s">
        <v>168</v>
      </c>
      <c r="AC15" s="475" t="s">
        <v>168</v>
      </c>
      <c r="AD15" s="475" t="s">
        <v>168</v>
      </c>
      <c r="AE15" s="481" t="s">
        <v>168</v>
      </c>
      <c r="AF15" s="544" t="s">
        <v>167</v>
      </c>
      <c r="AG15" s="545" t="s">
        <v>167</v>
      </c>
      <c r="AH15" s="545" t="s">
        <v>167</v>
      </c>
      <c r="AI15" s="545" t="s">
        <v>167</v>
      </c>
      <c r="AJ15" s="545" t="s">
        <v>167</v>
      </c>
      <c r="AK15" s="547" t="s">
        <v>167</v>
      </c>
      <c r="AL15" s="544" t="s">
        <v>167</v>
      </c>
      <c r="AM15" s="545" t="s">
        <v>167</v>
      </c>
      <c r="AN15" s="545" t="s">
        <v>167</v>
      </c>
      <c r="AO15" s="545" t="s">
        <v>167</v>
      </c>
      <c r="AP15" s="545" t="s">
        <v>167</v>
      </c>
      <c r="AQ15" s="547" t="s">
        <v>167</v>
      </c>
      <c r="AR15" s="544" t="s">
        <v>167</v>
      </c>
      <c r="AS15" s="545" t="s">
        <v>167</v>
      </c>
      <c r="AT15" s="545" t="s">
        <v>167</v>
      </c>
      <c r="AU15" s="545" t="s">
        <v>167</v>
      </c>
      <c r="AV15" s="545" t="s">
        <v>167</v>
      </c>
      <c r="AW15" s="547" t="s">
        <v>167</v>
      </c>
      <c r="AX15" s="544" t="s">
        <v>167</v>
      </c>
      <c r="AY15" s="545" t="s">
        <v>167</v>
      </c>
      <c r="AZ15" s="545" t="s">
        <v>167</v>
      </c>
      <c r="BA15" s="545" t="s">
        <v>167</v>
      </c>
      <c r="BB15" s="545" t="s">
        <v>167</v>
      </c>
      <c r="BC15" s="547" t="s">
        <v>167</v>
      </c>
      <c r="BD15" s="544" t="s">
        <v>167</v>
      </c>
      <c r="BE15" s="545" t="s">
        <v>167</v>
      </c>
      <c r="BF15" s="545" t="s">
        <v>167</v>
      </c>
      <c r="BG15" s="545" t="s">
        <v>167</v>
      </c>
      <c r="BH15" s="545" t="s">
        <v>167</v>
      </c>
      <c r="BI15" s="547" t="s">
        <v>167</v>
      </c>
      <c r="BJ15" s="474" t="s">
        <v>168</v>
      </c>
      <c r="BK15" s="475" t="s">
        <v>168</v>
      </c>
      <c r="BL15" s="475" t="s">
        <v>168</v>
      </c>
      <c r="BM15" s="475" t="s">
        <v>168</v>
      </c>
      <c r="BN15" s="475" t="s">
        <v>168</v>
      </c>
      <c r="BO15" s="537" t="s">
        <v>168</v>
      </c>
      <c r="BP15" s="538" t="s">
        <v>168</v>
      </c>
      <c r="BQ15" s="475" t="s">
        <v>168</v>
      </c>
      <c r="BR15" s="475" t="s">
        <v>168</v>
      </c>
      <c r="BS15" s="475" t="s">
        <v>168</v>
      </c>
      <c r="BT15" s="475" t="s">
        <v>168</v>
      </c>
      <c r="BU15" s="481" t="s">
        <v>168</v>
      </c>
      <c r="BV15" s="544" t="s">
        <v>167</v>
      </c>
      <c r="BW15" s="545" t="s">
        <v>167</v>
      </c>
      <c r="BX15" s="545" t="s">
        <v>167</v>
      </c>
      <c r="BY15" s="545" t="s">
        <v>167</v>
      </c>
      <c r="BZ15" s="545" t="s">
        <v>167</v>
      </c>
      <c r="CA15" s="547" t="s">
        <v>167</v>
      </c>
      <c r="CB15" s="548" t="s">
        <v>172</v>
      </c>
      <c r="CC15" s="549" t="s">
        <v>172</v>
      </c>
      <c r="CD15" s="549" t="s">
        <v>172</v>
      </c>
      <c r="CE15" s="549" t="s">
        <v>172</v>
      </c>
      <c r="CF15" s="549" t="s">
        <v>172</v>
      </c>
      <c r="CG15" s="550" t="s">
        <v>172</v>
      </c>
      <c r="CH15" s="548" t="s">
        <v>172</v>
      </c>
      <c r="CI15" s="549" t="s">
        <v>172</v>
      </c>
      <c r="CJ15" s="549" t="s">
        <v>172</v>
      </c>
      <c r="CK15" s="549" t="s">
        <v>172</v>
      </c>
      <c r="CL15" s="549" t="s">
        <v>172</v>
      </c>
      <c r="CM15" s="550" t="s">
        <v>172</v>
      </c>
      <c r="CN15" s="548" t="s">
        <v>172</v>
      </c>
      <c r="CO15" s="549" t="s">
        <v>172</v>
      </c>
      <c r="CP15" s="549" t="s">
        <v>172</v>
      </c>
      <c r="CQ15" s="549" t="s">
        <v>172</v>
      </c>
      <c r="CR15" s="549" t="s">
        <v>172</v>
      </c>
      <c r="CS15" s="551" t="s">
        <v>172</v>
      </c>
      <c r="CT15" s="539">
        <f t="shared" si="0"/>
        <v>0</v>
      </c>
      <c r="CU15" s="480">
        <f t="shared" si="1"/>
        <v>0</v>
      </c>
      <c r="CV15" s="480">
        <f t="shared" si="2"/>
        <v>0</v>
      </c>
      <c r="CW15" s="480">
        <f t="shared" si="3"/>
        <v>0</v>
      </c>
      <c r="CX15" s="480">
        <f t="shared" si="4"/>
        <v>0</v>
      </c>
      <c r="CY15" s="480">
        <f t="shared" si="4"/>
        <v>0</v>
      </c>
      <c r="CZ15" s="480">
        <f t="shared" si="5"/>
        <v>0</v>
      </c>
      <c r="DA15" s="540">
        <v>1</v>
      </c>
      <c r="DB15" s="540">
        <v>7</v>
      </c>
      <c r="DC15" s="480">
        <v>3</v>
      </c>
      <c r="DD15" s="541"/>
    </row>
    <row r="16" spans="1:108" ht="18.600000000000001">
      <c r="A16" s="434">
        <v>8045</v>
      </c>
      <c r="B16" s="433" t="s">
        <v>164</v>
      </c>
      <c r="C16" s="433" t="s">
        <v>165</v>
      </c>
      <c r="D16" s="450" t="s">
        <v>64</v>
      </c>
      <c r="E16" s="471">
        <v>0.875</v>
      </c>
      <c r="F16" s="472">
        <v>0.25</v>
      </c>
      <c r="G16" s="473">
        <v>5</v>
      </c>
      <c r="H16" s="473">
        <v>3</v>
      </c>
      <c r="I16" s="473">
        <v>0</v>
      </c>
      <c r="J16" s="472">
        <v>0</v>
      </c>
      <c r="K16" s="473">
        <v>6</v>
      </c>
      <c r="L16" s="476">
        <v>2</v>
      </c>
      <c r="M16" s="471">
        <v>0.625</v>
      </c>
      <c r="N16" s="472">
        <v>0</v>
      </c>
      <c r="O16" s="473">
        <v>8</v>
      </c>
      <c r="P16" s="473">
        <v>0</v>
      </c>
      <c r="Q16" s="473">
        <v>0</v>
      </c>
      <c r="R16" s="472">
        <v>0</v>
      </c>
      <c r="S16" s="476">
        <v>2</v>
      </c>
      <c r="T16" s="474" t="s">
        <v>168</v>
      </c>
      <c r="U16" s="475" t="s">
        <v>168</v>
      </c>
      <c r="V16" s="475" t="s">
        <v>168</v>
      </c>
      <c r="W16" s="475" t="s">
        <v>168</v>
      </c>
      <c r="X16" s="475" t="s">
        <v>168</v>
      </c>
      <c r="Y16" s="537" t="s">
        <v>168</v>
      </c>
      <c r="Z16" s="538" t="s">
        <v>168</v>
      </c>
      <c r="AA16" s="475" t="s">
        <v>168</v>
      </c>
      <c r="AB16" s="475" t="s">
        <v>168</v>
      </c>
      <c r="AC16" s="475" t="s">
        <v>168</v>
      </c>
      <c r="AD16" s="475" t="s">
        <v>168</v>
      </c>
      <c r="AE16" s="481" t="s">
        <v>168</v>
      </c>
      <c r="AF16" s="471">
        <v>0.75</v>
      </c>
      <c r="AG16" s="472">
        <v>0.125</v>
      </c>
      <c r="AH16" s="473">
        <v>8</v>
      </c>
      <c r="AI16" s="473">
        <v>0</v>
      </c>
      <c r="AJ16" s="472">
        <v>0</v>
      </c>
      <c r="AK16" s="476">
        <v>5</v>
      </c>
      <c r="AL16" s="471">
        <v>0.75</v>
      </c>
      <c r="AM16" s="472">
        <v>0.125</v>
      </c>
      <c r="AN16" s="473">
        <v>8</v>
      </c>
      <c r="AO16" s="473">
        <v>0</v>
      </c>
      <c r="AP16" s="472">
        <v>0</v>
      </c>
      <c r="AQ16" s="476">
        <v>5</v>
      </c>
      <c r="AR16" s="471">
        <v>0.75</v>
      </c>
      <c r="AS16" s="472">
        <v>0.125</v>
      </c>
      <c r="AT16" s="473">
        <v>8</v>
      </c>
      <c r="AU16" s="473">
        <v>0</v>
      </c>
      <c r="AV16" s="472">
        <v>0</v>
      </c>
      <c r="AW16" s="476">
        <v>5</v>
      </c>
      <c r="AX16" s="471">
        <v>0.875</v>
      </c>
      <c r="AY16" s="472">
        <v>0.25</v>
      </c>
      <c r="AZ16" s="473">
        <v>8</v>
      </c>
      <c r="BA16" s="473">
        <v>0</v>
      </c>
      <c r="BB16" s="472">
        <v>0</v>
      </c>
      <c r="BC16" s="476">
        <v>8</v>
      </c>
      <c r="BD16" s="471">
        <v>0.875</v>
      </c>
      <c r="BE16" s="472">
        <v>0.25</v>
      </c>
      <c r="BF16" s="473">
        <v>8</v>
      </c>
      <c r="BG16" s="473">
        <v>0</v>
      </c>
      <c r="BH16" s="472">
        <v>0</v>
      </c>
      <c r="BI16" s="476">
        <v>8</v>
      </c>
      <c r="BJ16" s="474" t="s">
        <v>168</v>
      </c>
      <c r="BK16" s="475" t="s">
        <v>168</v>
      </c>
      <c r="BL16" s="475" t="s">
        <v>168</v>
      </c>
      <c r="BM16" s="475" t="s">
        <v>168</v>
      </c>
      <c r="BN16" s="475" t="s">
        <v>168</v>
      </c>
      <c r="BO16" s="537" t="s">
        <v>168</v>
      </c>
      <c r="BP16" s="538" t="s">
        <v>168</v>
      </c>
      <c r="BQ16" s="475" t="s">
        <v>168</v>
      </c>
      <c r="BR16" s="475" t="s">
        <v>168</v>
      </c>
      <c r="BS16" s="475" t="s">
        <v>168</v>
      </c>
      <c r="BT16" s="475" t="s">
        <v>168</v>
      </c>
      <c r="BU16" s="481" t="s">
        <v>168</v>
      </c>
      <c r="BV16" s="471">
        <v>0.75</v>
      </c>
      <c r="BW16" s="472">
        <v>0.125</v>
      </c>
      <c r="BX16" s="473">
        <v>8</v>
      </c>
      <c r="BY16" s="473">
        <v>0</v>
      </c>
      <c r="BZ16" s="472">
        <v>0</v>
      </c>
      <c r="CA16" s="476">
        <v>5</v>
      </c>
      <c r="CB16" s="471">
        <v>0.75</v>
      </c>
      <c r="CC16" s="472">
        <v>0.125</v>
      </c>
      <c r="CD16" s="473">
        <v>8</v>
      </c>
      <c r="CE16" s="473">
        <v>0</v>
      </c>
      <c r="CF16" s="472">
        <v>0</v>
      </c>
      <c r="CG16" s="476">
        <v>5</v>
      </c>
      <c r="CH16" s="471">
        <v>0.75</v>
      </c>
      <c r="CI16" s="472">
        <v>0.125</v>
      </c>
      <c r="CJ16" s="473">
        <v>8</v>
      </c>
      <c r="CK16" s="473">
        <v>0</v>
      </c>
      <c r="CL16" s="472">
        <v>0</v>
      </c>
      <c r="CM16" s="476">
        <v>5</v>
      </c>
      <c r="CN16" s="471">
        <v>0.875</v>
      </c>
      <c r="CO16" s="472">
        <v>0.25</v>
      </c>
      <c r="CP16" s="473">
        <v>8</v>
      </c>
      <c r="CQ16" s="473">
        <v>0</v>
      </c>
      <c r="CR16" s="472">
        <v>0</v>
      </c>
      <c r="CS16" s="477">
        <v>8</v>
      </c>
      <c r="CT16" s="539">
        <f t="shared" si="0"/>
        <v>85</v>
      </c>
      <c r="CU16" s="480">
        <f t="shared" si="1"/>
        <v>3</v>
      </c>
      <c r="CV16" s="480">
        <f t="shared" si="2"/>
        <v>0</v>
      </c>
      <c r="CW16" s="480">
        <f t="shared" si="3"/>
        <v>0</v>
      </c>
      <c r="CX16" s="480">
        <f t="shared" si="4"/>
        <v>0</v>
      </c>
      <c r="CY16" s="480">
        <f t="shared" si="4"/>
        <v>62</v>
      </c>
      <c r="CZ16" s="480">
        <f t="shared" si="5"/>
        <v>2</v>
      </c>
      <c r="DA16" s="540">
        <v>0</v>
      </c>
      <c r="DB16" s="540">
        <v>0</v>
      </c>
      <c r="DC16" s="480">
        <v>0</v>
      </c>
      <c r="DD16" s="541"/>
    </row>
    <row r="17" spans="1:108" ht="18.600000000000001">
      <c r="A17" s="434">
        <v>8046</v>
      </c>
      <c r="B17" s="433" t="s">
        <v>171</v>
      </c>
      <c r="C17" s="433" t="s">
        <v>171</v>
      </c>
      <c r="D17" s="450" t="s">
        <v>65</v>
      </c>
      <c r="E17" s="478" t="s">
        <v>166</v>
      </c>
      <c r="F17" s="479" t="s">
        <v>166</v>
      </c>
      <c r="G17" s="479" t="s">
        <v>166</v>
      </c>
      <c r="H17" s="479" t="s">
        <v>166</v>
      </c>
      <c r="I17" s="479" t="s">
        <v>166</v>
      </c>
      <c r="J17" s="479" t="s">
        <v>166</v>
      </c>
      <c r="K17" s="479" t="s">
        <v>166</v>
      </c>
      <c r="L17" s="543" t="s">
        <v>166</v>
      </c>
      <c r="M17" s="474" t="s">
        <v>168</v>
      </c>
      <c r="N17" s="475" t="s">
        <v>168</v>
      </c>
      <c r="O17" s="475" t="s">
        <v>168</v>
      </c>
      <c r="P17" s="475" t="s">
        <v>168</v>
      </c>
      <c r="Q17" s="475" t="s">
        <v>168</v>
      </c>
      <c r="R17" s="475" t="s">
        <v>168</v>
      </c>
      <c r="S17" s="481" t="s">
        <v>168</v>
      </c>
      <c r="T17" s="471">
        <v>0.79166666666666663</v>
      </c>
      <c r="U17" s="472">
        <v>0.29166666666666669</v>
      </c>
      <c r="V17" s="473">
        <v>8</v>
      </c>
      <c r="W17" s="473">
        <v>3</v>
      </c>
      <c r="X17" s="472">
        <v>0</v>
      </c>
      <c r="Y17" s="477">
        <v>8</v>
      </c>
      <c r="Z17" s="542">
        <v>0.79166666666666663</v>
      </c>
      <c r="AA17" s="472">
        <v>0.29166666666666669</v>
      </c>
      <c r="AB17" s="473">
        <v>8</v>
      </c>
      <c r="AC17" s="473">
        <v>3</v>
      </c>
      <c r="AD17" s="472">
        <v>0</v>
      </c>
      <c r="AE17" s="476">
        <v>8</v>
      </c>
      <c r="AF17" s="474" t="s">
        <v>168</v>
      </c>
      <c r="AG17" s="475" t="s">
        <v>168</v>
      </c>
      <c r="AH17" s="475" t="s">
        <v>168</v>
      </c>
      <c r="AI17" s="475" t="s">
        <v>168</v>
      </c>
      <c r="AJ17" s="475" t="s">
        <v>168</v>
      </c>
      <c r="AK17" s="481" t="s">
        <v>168</v>
      </c>
      <c r="AL17" s="474" t="s">
        <v>168</v>
      </c>
      <c r="AM17" s="475" t="s">
        <v>168</v>
      </c>
      <c r="AN17" s="475" t="s">
        <v>168</v>
      </c>
      <c r="AO17" s="475" t="s">
        <v>168</v>
      </c>
      <c r="AP17" s="475" t="s">
        <v>168</v>
      </c>
      <c r="AQ17" s="481" t="s">
        <v>168</v>
      </c>
      <c r="AR17" s="471">
        <v>0.91666666666666663</v>
      </c>
      <c r="AS17" s="472">
        <v>0.29166666666666669</v>
      </c>
      <c r="AT17" s="473">
        <v>8</v>
      </c>
      <c r="AU17" s="473">
        <v>0</v>
      </c>
      <c r="AV17" s="472">
        <v>0</v>
      </c>
      <c r="AW17" s="476">
        <v>8</v>
      </c>
      <c r="AX17" s="471">
        <v>0.91666666666666663</v>
      </c>
      <c r="AY17" s="472">
        <v>0.29166666666666669</v>
      </c>
      <c r="AZ17" s="473">
        <v>8</v>
      </c>
      <c r="BA17" s="473">
        <v>0</v>
      </c>
      <c r="BB17" s="472">
        <v>0</v>
      </c>
      <c r="BC17" s="476">
        <v>8</v>
      </c>
      <c r="BD17" s="471">
        <v>0.91666666666666663</v>
      </c>
      <c r="BE17" s="472">
        <v>0.29166666666666669</v>
      </c>
      <c r="BF17" s="473">
        <v>8</v>
      </c>
      <c r="BG17" s="473">
        <v>0</v>
      </c>
      <c r="BH17" s="472">
        <v>0</v>
      </c>
      <c r="BI17" s="476">
        <v>8</v>
      </c>
      <c r="BJ17" s="471">
        <v>0.79166666666666663</v>
      </c>
      <c r="BK17" s="472">
        <v>0.29166666666666669</v>
      </c>
      <c r="BL17" s="473">
        <v>8</v>
      </c>
      <c r="BM17" s="473">
        <v>3</v>
      </c>
      <c r="BN17" s="472">
        <v>0</v>
      </c>
      <c r="BO17" s="477">
        <v>8</v>
      </c>
      <c r="BP17" s="542">
        <v>0.79166666666666663</v>
      </c>
      <c r="BQ17" s="472">
        <v>0.29166666666666669</v>
      </c>
      <c r="BR17" s="473">
        <v>8</v>
      </c>
      <c r="BS17" s="473">
        <v>3</v>
      </c>
      <c r="BT17" s="472">
        <v>0</v>
      </c>
      <c r="BU17" s="476">
        <v>8</v>
      </c>
      <c r="BV17" s="474" t="s">
        <v>168</v>
      </c>
      <c r="BW17" s="475" t="s">
        <v>168</v>
      </c>
      <c r="BX17" s="475" t="s">
        <v>168</v>
      </c>
      <c r="BY17" s="475" t="s">
        <v>168</v>
      </c>
      <c r="BZ17" s="475" t="s">
        <v>168</v>
      </c>
      <c r="CA17" s="481" t="s">
        <v>168</v>
      </c>
      <c r="CB17" s="474" t="s">
        <v>168</v>
      </c>
      <c r="CC17" s="475" t="s">
        <v>168</v>
      </c>
      <c r="CD17" s="475" t="s">
        <v>168</v>
      </c>
      <c r="CE17" s="475" t="s">
        <v>168</v>
      </c>
      <c r="CF17" s="475" t="s">
        <v>168</v>
      </c>
      <c r="CG17" s="481" t="s">
        <v>168</v>
      </c>
      <c r="CH17" s="471">
        <v>0.91666666666666663</v>
      </c>
      <c r="CI17" s="472">
        <v>0.29166666666666669</v>
      </c>
      <c r="CJ17" s="473">
        <v>8</v>
      </c>
      <c r="CK17" s="473">
        <v>0</v>
      </c>
      <c r="CL17" s="472">
        <v>0</v>
      </c>
      <c r="CM17" s="476">
        <v>8</v>
      </c>
      <c r="CN17" s="471">
        <v>0.91666666666666663</v>
      </c>
      <c r="CO17" s="472">
        <v>0.29166666666666669</v>
      </c>
      <c r="CP17" s="473">
        <v>8</v>
      </c>
      <c r="CQ17" s="473">
        <v>0</v>
      </c>
      <c r="CR17" s="472">
        <v>0</v>
      </c>
      <c r="CS17" s="477">
        <v>8</v>
      </c>
      <c r="CT17" s="539">
        <f t="shared" si="0"/>
        <v>72</v>
      </c>
      <c r="CU17" s="480">
        <f t="shared" si="1"/>
        <v>0</v>
      </c>
      <c r="CV17" s="480">
        <f t="shared" si="2"/>
        <v>12</v>
      </c>
      <c r="CW17" s="480">
        <f t="shared" si="3"/>
        <v>0</v>
      </c>
      <c r="CX17" s="480">
        <f t="shared" si="4"/>
        <v>0</v>
      </c>
      <c r="CY17" s="480">
        <f t="shared" si="4"/>
        <v>72</v>
      </c>
      <c r="CZ17" s="480">
        <f t="shared" si="5"/>
        <v>0</v>
      </c>
      <c r="DA17" s="540">
        <v>1</v>
      </c>
      <c r="DB17" s="540">
        <v>0</v>
      </c>
      <c r="DC17" s="480">
        <v>0</v>
      </c>
      <c r="DD17" s="541"/>
    </row>
    <row r="18" spans="1:108" ht="18.600000000000001">
      <c r="A18" s="434">
        <v>8047</v>
      </c>
      <c r="B18" s="433" t="s">
        <v>171</v>
      </c>
      <c r="C18" s="433" t="s">
        <v>171</v>
      </c>
      <c r="D18" s="450" t="s">
        <v>66</v>
      </c>
      <c r="E18" s="478" t="s">
        <v>166</v>
      </c>
      <c r="F18" s="479" t="s">
        <v>166</v>
      </c>
      <c r="G18" s="479" t="s">
        <v>166</v>
      </c>
      <c r="H18" s="479" t="s">
        <v>166</v>
      </c>
      <c r="I18" s="479" t="s">
        <v>166</v>
      </c>
      <c r="J18" s="479" t="s">
        <v>166</v>
      </c>
      <c r="K18" s="479" t="s">
        <v>166</v>
      </c>
      <c r="L18" s="543" t="s">
        <v>166</v>
      </c>
      <c r="M18" s="474" t="s">
        <v>168</v>
      </c>
      <c r="N18" s="475" t="s">
        <v>168</v>
      </c>
      <c r="O18" s="475" t="s">
        <v>168</v>
      </c>
      <c r="P18" s="475" t="s">
        <v>168</v>
      </c>
      <c r="Q18" s="475" t="s">
        <v>168</v>
      </c>
      <c r="R18" s="475" t="s">
        <v>168</v>
      </c>
      <c r="S18" s="481" t="s">
        <v>168</v>
      </c>
      <c r="T18" s="471">
        <v>0.29166666666666669</v>
      </c>
      <c r="U18" s="472">
        <v>0.79166666666666663</v>
      </c>
      <c r="V18" s="473">
        <v>8</v>
      </c>
      <c r="W18" s="473">
        <v>3</v>
      </c>
      <c r="X18" s="472">
        <v>0</v>
      </c>
      <c r="Y18" s="477">
        <v>0</v>
      </c>
      <c r="Z18" s="542">
        <v>0.29166666666666669</v>
      </c>
      <c r="AA18" s="472">
        <v>0.79166666666666663</v>
      </c>
      <c r="AB18" s="473">
        <v>8</v>
      </c>
      <c r="AC18" s="473">
        <v>3</v>
      </c>
      <c r="AD18" s="472">
        <v>0</v>
      </c>
      <c r="AE18" s="476">
        <v>0</v>
      </c>
      <c r="AF18" s="471">
        <v>0.91666666666666663</v>
      </c>
      <c r="AG18" s="472">
        <v>0.29166666666666669</v>
      </c>
      <c r="AH18" s="473">
        <v>8</v>
      </c>
      <c r="AI18" s="473">
        <v>0</v>
      </c>
      <c r="AJ18" s="472">
        <v>0</v>
      </c>
      <c r="AK18" s="476">
        <v>8</v>
      </c>
      <c r="AL18" s="471">
        <v>0.91666666666666663</v>
      </c>
      <c r="AM18" s="472">
        <v>0.29166666666666669</v>
      </c>
      <c r="AN18" s="473">
        <v>8</v>
      </c>
      <c r="AO18" s="473">
        <v>0</v>
      </c>
      <c r="AP18" s="472">
        <v>0</v>
      </c>
      <c r="AQ18" s="476">
        <v>8</v>
      </c>
      <c r="AR18" s="471">
        <v>0.70833333333333337</v>
      </c>
      <c r="AS18" s="472">
        <v>8.3333333333333329E-2</v>
      </c>
      <c r="AT18" s="473">
        <v>8</v>
      </c>
      <c r="AU18" s="473">
        <v>0</v>
      </c>
      <c r="AV18" s="472">
        <v>0</v>
      </c>
      <c r="AW18" s="476">
        <v>4</v>
      </c>
      <c r="AX18" s="471">
        <v>0.70833333333333337</v>
      </c>
      <c r="AY18" s="472">
        <v>8.3333333333333329E-2</v>
      </c>
      <c r="AZ18" s="473">
        <v>8</v>
      </c>
      <c r="BA18" s="473">
        <v>0</v>
      </c>
      <c r="BB18" s="472">
        <v>0</v>
      </c>
      <c r="BC18" s="476">
        <v>4</v>
      </c>
      <c r="BD18" s="474" t="s">
        <v>168</v>
      </c>
      <c r="BE18" s="475" t="s">
        <v>168</v>
      </c>
      <c r="BF18" s="475" t="s">
        <v>168</v>
      </c>
      <c r="BG18" s="475" t="s">
        <v>168</v>
      </c>
      <c r="BH18" s="475" t="s">
        <v>168</v>
      </c>
      <c r="BI18" s="481" t="s">
        <v>168</v>
      </c>
      <c r="BJ18" s="474" t="s">
        <v>168</v>
      </c>
      <c r="BK18" s="475" t="s">
        <v>168</v>
      </c>
      <c r="BL18" s="475" t="s">
        <v>168</v>
      </c>
      <c r="BM18" s="475" t="s">
        <v>168</v>
      </c>
      <c r="BN18" s="475" t="s">
        <v>168</v>
      </c>
      <c r="BO18" s="537" t="s">
        <v>168</v>
      </c>
      <c r="BP18" s="538" t="s">
        <v>168</v>
      </c>
      <c r="BQ18" s="475" t="s">
        <v>168</v>
      </c>
      <c r="BR18" s="475" t="s">
        <v>168</v>
      </c>
      <c r="BS18" s="475" t="s">
        <v>168</v>
      </c>
      <c r="BT18" s="475" t="s">
        <v>168</v>
      </c>
      <c r="BU18" s="481" t="s">
        <v>168</v>
      </c>
      <c r="BV18" s="471">
        <v>0.91666666666666663</v>
      </c>
      <c r="BW18" s="472">
        <v>0.29166666666666669</v>
      </c>
      <c r="BX18" s="473">
        <v>8</v>
      </c>
      <c r="BY18" s="473">
        <v>0</v>
      </c>
      <c r="BZ18" s="472">
        <v>0</v>
      </c>
      <c r="CA18" s="476">
        <v>8</v>
      </c>
      <c r="CB18" s="471">
        <v>0.91666666666666663</v>
      </c>
      <c r="CC18" s="472">
        <v>0.29166666666666669</v>
      </c>
      <c r="CD18" s="473">
        <v>8</v>
      </c>
      <c r="CE18" s="473">
        <v>0</v>
      </c>
      <c r="CF18" s="472">
        <v>0</v>
      </c>
      <c r="CG18" s="476">
        <v>8</v>
      </c>
      <c r="CH18" s="471">
        <v>0.70833333333333337</v>
      </c>
      <c r="CI18" s="472">
        <v>8.3333333333333329E-2</v>
      </c>
      <c r="CJ18" s="473">
        <v>8</v>
      </c>
      <c r="CK18" s="473">
        <v>0</v>
      </c>
      <c r="CL18" s="472">
        <v>0</v>
      </c>
      <c r="CM18" s="476">
        <v>4</v>
      </c>
      <c r="CN18" s="471">
        <v>0.70833333333333337</v>
      </c>
      <c r="CO18" s="472">
        <v>8.3333333333333329E-2</v>
      </c>
      <c r="CP18" s="473">
        <v>8</v>
      </c>
      <c r="CQ18" s="473">
        <v>0</v>
      </c>
      <c r="CR18" s="472">
        <v>0</v>
      </c>
      <c r="CS18" s="477">
        <v>4</v>
      </c>
      <c r="CT18" s="539">
        <f t="shared" si="0"/>
        <v>80</v>
      </c>
      <c r="CU18" s="480">
        <f t="shared" si="1"/>
        <v>0</v>
      </c>
      <c r="CV18" s="480">
        <f t="shared" si="2"/>
        <v>6</v>
      </c>
      <c r="CW18" s="480">
        <f t="shared" si="3"/>
        <v>0</v>
      </c>
      <c r="CX18" s="480">
        <f t="shared" si="4"/>
        <v>0</v>
      </c>
      <c r="CY18" s="480">
        <f t="shared" si="4"/>
        <v>48</v>
      </c>
      <c r="CZ18" s="480">
        <f t="shared" si="5"/>
        <v>0</v>
      </c>
      <c r="DA18" s="540">
        <v>1</v>
      </c>
      <c r="DB18" s="540">
        <v>0</v>
      </c>
      <c r="DC18" s="480">
        <v>0</v>
      </c>
      <c r="DD18" s="541"/>
    </row>
    <row r="19" spans="1:108" ht="18.600000000000001">
      <c r="A19" s="434">
        <v>8048</v>
      </c>
      <c r="B19" s="433" t="s">
        <v>164</v>
      </c>
      <c r="C19" s="433" t="s">
        <v>165</v>
      </c>
      <c r="D19" s="450" t="s">
        <v>67</v>
      </c>
      <c r="E19" s="471">
        <v>0.625</v>
      </c>
      <c r="F19" s="472">
        <v>0</v>
      </c>
      <c r="G19" s="473">
        <v>0</v>
      </c>
      <c r="H19" s="473">
        <v>8</v>
      </c>
      <c r="I19" s="473">
        <v>0</v>
      </c>
      <c r="J19" s="472">
        <v>0</v>
      </c>
      <c r="K19" s="473">
        <v>0</v>
      </c>
      <c r="L19" s="476">
        <v>2</v>
      </c>
      <c r="M19" s="471">
        <v>0.625</v>
      </c>
      <c r="N19" s="472">
        <v>0</v>
      </c>
      <c r="O19" s="473">
        <v>8</v>
      </c>
      <c r="P19" s="473">
        <v>0</v>
      </c>
      <c r="Q19" s="473">
        <v>0</v>
      </c>
      <c r="R19" s="472">
        <v>0</v>
      </c>
      <c r="S19" s="476">
        <v>2</v>
      </c>
      <c r="T19" s="474" t="s">
        <v>168</v>
      </c>
      <c r="U19" s="475" t="s">
        <v>168</v>
      </c>
      <c r="V19" s="475" t="s">
        <v>168</v>
      </c>
      <c r="W19" s="475" t="s">
        <v>168</v>
      </c>
      <c r="X19" s="475" t="s">
        <v>168</v>
      </c>
      <c r="Y19" s="537" t="s">
        <v>168</v>
      </c>
      <c r="Z19" s="538" t="s">
        <v>168</v>
      </c>
      <c r="AA19" s="475" t="s">
        <v>168</v>
      </c>
      <c r="AB19" s="475" t="s">
        <v>168</v>
      </c>
      <c r="AC19" s="475" t="s">
        <v>168</v>
      </c>
      <c r="AD19" s="475" t="s">
        <v>168</v>
      </c>
      <c r="AE19" s="481" t="s">
        <v>168</v>
      </c>
      <c r="AF19" s="471">
        <v>0.625</v>
      </c>
      <c r="AG19" s="472">
        <v>0</v>
      </c>
      <c r="AH19" s="473">
        <v>8</v>
      </c>
      <c r="AI19" s="473">
        <v>0</v>
      </c>
      <c r="AJ19" s="472">
        <v>0</v>
      </c>
      <c r="AK19" s="476">
        <v>2</v>
      </c>
      <c r="AL19" s="471">
        <v>0.625</v>
      </c>
      <c r="AM19" s="472">
        <v>0</v>
      </c>
      <c r="AN19" s="473">
        <v>8</v>
      </c>
      <c r="AO19" s="473">
        <v>0</v>
      </c>
      <c r="AP19" s="472">
        <v>0</v>
      </c>
      <c r="AQ19" s="476">
        <v>2</v>
      </c>
      <c r="AR19" s="471">
        <v>0.625</v>
      </c>
      <c r="AS19" s="472">
        <v>0</v>
      </c>
      <c r="AT19" s="473">
        <v>8</v>
      </c>
      <c r="AU19" s="473">
        <v>0</v>
      </c>
      <c r="AV19" s="472">
        <v>0</v>
      </c>
      <c r="AW19" s="476">
        <v>2</v>
      </c>
      <c r="AX19" s="471">
        <v>0.625</v>
      </c>
      <c r="AY19" s="472">
        <v>0</v>
      </c>
      <c r="AZ19" s="473">
        <v>8</v>
      </c>
      <c r="BA19" s="473">
        <v>0</v>
      </c>
      <c r="BB19" s="472">
        <v>0</v>
      </c>
      <c r="BC19" s="476">
        <v>2</v>
      </c>
      <c r="BD19" s="471">
        <v>0.625</v>
      </c>
      <c r="BE19" s="472">
        <v>0</v>
      </c>
      <c r="BF19" s="473">
        <v>8</v>
      </c>
      <c r="BG19" s="473">
        <v>0</v>
      </c>
      <c r="BH19" s="472">
        <v>0</v>
      </c>
      <c r="BI19" s="476">
        <v>2</v>
      </c>
      <c r="BJ19" s="474" t="s">
        <v>168</v>
      </c>
      <c r="BK19" s="475" t="s">
        <v>168</v>
      </c>
      <c r="BL19" s="475" t="s">
        <v>168</v>
      </c>
      <c r="BM19" s="475" t="s">
        <v>168</v>
      </c>
      <c r="BN19" s="475" t="s">
        <v>168</v>
      </c>
      <c r="BO19" s="537" t="s">
        <v>168</v>
      </c>
      <c r="BP19" s="538" t="s">
        <v>168</v>
      </c>
      <c r="BQ19" s="475" t="s">
        <v>168</v>
      </c>
      <c r="BR19" s="475" t="s">
        <v>168</v>
      </c>
      <c r="BS19" s="475" t="s">
        <v>168</v>
      </c>
      <c r="BT19" s="475" t="s">
        <v>168</v>
      </c>
      <c r="BU19" s="481" t="s">
        <v>168</v>
      </c>
      <c r="BV19" s="471">
        <v>0.625</v>
      </c>
      <c r="BW19" s="472">
        <v>0</v>
      </c>
      <c r="BX19" s="473">
        <v>8</v>
      </c>
      <c r="BY19" s="473">
        <v>0</v>
      </c>
      <c r="BZ19" s="472">
        <v>0</v>
      </c>
      <c r="CA19" s="476">
        <v>2</v>
      </c>
      <c r="CB19" s="544" t="s">
        <v>167</v>
      </c>
      <c r="CC19" s="545" t="s">
        <v>167</v>
      </c>
      <c r="CD19" s="545" t="s">
        <v>167</v>
      </c>
      <c r="CE19" s="545" t="s">
        <v>167</v>
      </c>
      <c r="CF19" s="545" t="s">
        <v>167</v>
      </c>
      <c r="CG19" s="547" t="s">
        <v>167</v>
      </c>
      <c r="CH19" s="544" t="s">
        <v>167</v>
      </c>
      <c r="CI19" s="545" t="s">
        <v>167</v>
      </c>
      <c r="CJ19" s="545" t="s">
        <v>167</v>
      </c>
      <c r="CK19" s="545" t="s">
        <v>167</v>
      </c>
      <c r="CL19" s="545" t="s">
        <v>167</v>
      </c>
      <c r="CM19" s="547" t="s">
        <v>167</v>
      </c>
      <c r="CN19" s="548" t="s">
        <v>172</v>
      </c>
      <c r="CO19" s="549" t="s">
        <v>172</v>
      </c>
      <c r="CP19" s="549" t="s">
        <v>172</v>
      </c>
      <c r="CQ19" s="549" t="s">
        <v>172</v>
      </c>
      <c r="CR19" s="549" t="s">
        <v>172</v>
      </c>
      <c r="CS19" s="551" t="s">
        <v>172</v>
      </c>
      <c r="CT19" s="539">
        <f t="shared" si="0"/>
        <v>56</v>
      </c>
      <c r="CU19" s="480">
        <f t="shared" si="1"/>
        <v>8</v>
      </c>
      <c r="CV19" s="480">
        <f t="shared" si="2"/>
        <v>0</v>
      </c>
      <c r="CW19" s="480">
        <f t="shared" si="3"/>
        <v>0</v>
      </c>
      <c r="CX19" s="480">
        <f t="shared" si="4"/>
        <v>0</v>
      </c>
      <c r="CY19" s="480">
        <f t="shared" si="4"/>
        <v>14</v>
      </c>
      <c r="CZ19" s="480">
        <f t="shared" si="5"/>
        <v>2</v>
      </c>
      <c r="DA19" s="540">
        <v>0</v>
      </c>
      <c r="DB19" s="540">
        <v>2</v>
      </c>
      <c r="DC19" s="480">
        <v>1</v>
      </c>
      <c r="DD19" s="552"/>
    </row>
    <row r="20" spans="1:108" ht="18.600000000000001">
      <c r="A20" s="434">
        <v>8050</v>
      </c>
      <c r="B20" s="433" t="s">
        <v>164</v>
      </c>
      <c r="C20" s="433" t="s">
        <v>165</v>
      </c>
      <c r="D20" s="450" t="s">
        <v>68</v>
      </c>
      <c r="E20" s="478" t="s">
        <v>166</v>
      </c>
      <c r="F20" s="479" t="s">
        <v>166</v>
      </c>
      <c r="G20" s="479" t="s">
        <v>166</v>
      </c>
      <c r="H20" s="479" t="s">
        <v>166</v>
      </c>
      <c r="I20" s="479" t="s">
        <v>166</v>
      </c>
      <c r="J20" s="479" t="s">
        <v>166</v>
      </c>
      <c r="K20" s="479" t="s">
        <v>166</v>
      </c>
      <c r="L20" s="543" t="s">
        <v>166</v>
      </c>
      <c r="M20" s="471">
        <v>0.625</v>
      </c>
      <c r="N20" s="472">
        <v>0</v>
      </c>
      <c r="O20" s="473">
        <v>8</v>
      </c>
      <c r="P20" s="473">
        <v>0</v>
      </c>
      <c r="Q20" s="473">
        <v>0</v>
      </c>
      <c r="R20" s="472">
        <v>0</v>
      </c>
      <c r="S20" s="476">
        <v>2</v>
      </c>
      <c r="T20" s="474" t="s">
        <v>168</v>
      </c>
      <c r="U20" s="475" t="s">
        <v>168</v>
      </c>
      <c r="V20" s="475" t="s">
        <v>168</v>
      </c>
      <c r="W20" s="475" t="s">
        <v>168</v>
      </c>
      <c r="X20" s="475" t="s">
        <v>168</v>
      </c>
      <c r="Y20" s="537" t="s">
        <v>168</v>
      </c>
      <c r="Z20" s="538" t="s">
        <v>168</v>
      </c>
      <c r="AA20" s="475" t="s">
        <v>168</v>
      </c>
      <c r="AB20" s="475" t="s">
        <v>168</v>
      </c>
      <c r="AC20" s="475" t="s">
        <v>168</v>
      </c>
      <c r="AD20" s="475" t="s">
        <v>168</v>
      </c>
      <c r="AE20" s="481" t="s">
        <v>168</v>
      </c>
      <c r="AF20" s="471">
        <v>0.625</v>
      </c>
      <c r="AG20" s="472">
        <v>0</v>
      </c>
      <c r="AH20" s="473">
        <v>8</v>
      </c>
      <c r="AI20" s="473">
        <v>0</v>
      </c>
      <c r="AJ20" s="472">
        <v>0</v>
      </c>
      <c r="AK20" s="476">
        <v>2</v>
      </c>
      <c r="AL20" s="471">
        <v>0.625</v>
      </c>
      <c r="AM20" s="472">
        <v>0</v>
      </c>
      <c r="AN20" s="473">
        <v>8</v>
      </c>
      <c r="AO20" s="473">
        <v>0</v>
      </c>
      <c r="AP20" s="472">
        <v>0</v>
      </c>
      <c r="AQ20" s="476">
        <v>2</v>
      </c>
      <c r="AR20" s="471">
        <v>0.625</v>
      </c>
      <c r="AS20" s="472">
        <v>0</v>
      </c>
      <c r="AT20" s="473">
        <v>8</v>
      </c>
      <c r="AU20" s="473">
        <v>0</v>
      </c>
      <c r="AV20" s="472">
        <v>0</v>
      </c>
      <c r="AW20" s="476">
        <v>2</v>
      </c>
      <c r="AX20" s="471">
        <v>0.625</v>
      </c>
      <c r="AY20" s="472">
        <v>0</v>
      </c>
      <c r="AZ20" s="473">
        <v>8</v>
      </c>
      <c r="BA20" s="473">
        <v>0</v>
      </c>
      <c r="BB20" s="472">
        <v>0</v>
      </c>
      <c r="BC20" s="476">
        <v>2</v>
      </c>
      <c r="BD20" s="471">
        <v>0.625</v>
      </c>
      <c r="BE20" s="472">
        <v>0</v>
      </c>
      <c r="BF20" s="473">
        <v>8</v>
      </c>
      <c r="BG20" s="473">
        <v>0</v>
      </c>
      <c r="BH20" s="472">
        <v>0</v>
      </c>
      <c r="BI20" s="476">
        <v>2</v>
      </c>
      <c r="BJ20" s="474" t="s">
        <v>168</v>
      </c>
      <c r="BK20" s="475" t="s">
        <v>168</v>
      </c>
      <c r="BL20" s="475" t="s">
        <v>168</v>
      </c>
      <c r="BM20" s="475" t="s">
        <v>168</v>
      </c>
      <c r="BN20" s="475" t="s">
        <v>168</v>
      </c>
      <c r="BO20" s="537" t="s">
        <v>168</v>
      </c>
      <c r="BP20" s="538" t="s">
        <v>168</v>
      </c>
      <c r="BQ20" s="475" t="s">
        <v>168</v>
      </c>
      <c r="BR20" s="475" t="s">
        <v>168</v>
      </c>
      <c r="BS20" s="475" t="s">
        <v>168</v>
      </c>
      <c r="BT20" s="475" t="s">
        <v>168</v>
      </c>
      <c r="BU20" s="481" t="s">
        <v>168</v>
      </c>
      <c r="BV20" s="471">
        <v>0.625</v>
      </c>
      <c r="BW20" s="472">
        <v>0</v>
      </c>
      <c r="BX20" s="473">
        <v>8</v>
      </c>
      <c r="BY20" s="473">
        <v>0</v>
      </c>
      <c r="BZ20" s="472">
        <v>0</v>
      </c>
      <c r="CA20" s="476">
        <v>2</v>
      </c>
      <c r="CB20" s="471">
        <v>0.625</v>
      </c>
      <c r="CC20" s="472">
        <v>0</v>
      </c>
      <c r="CD20" s="473">
        <v>8</v>
      </c>
      <c r="CE20" s="473">
        <v>0</v>
      </c>
      <c r="CF20" s="472">
        <v>0</v>
      </c>
      <c r="CG20" s="476">
        <v>2</v>
      </c>
      <c r="CH20" s="471">
        <v>0.625</v>
      </c>
      <c r="CI20" s="472">
        <v>0</v>
      </c>
      <c r="CJ20" s="473">
        <v>8</v>
      </c>
      <c r="CK20" s="473">
        <v>0</v>
      </c>
      <c r="CL20" s="472">
        <v>0</v>
      </c>
      <c r="CM20" s="476">
        <v>2</v>
      </c>
      <c r="CN20" s="471">
        <v>0.625</v>
      </c>
      <c r="CO20" s="472">
        <v>0</v>
      </c>
      <c r="CP20" s="473">
        <v>8</v>
      </c>
      <c r="CQ20" s="473">
        <v>0</v>
      </c>
      <c r="CR20" s="472">
        <v>0</v>
      </c>
      <c r="CS20" s="477">
        <v>2</v>
      </c>
      <c r="CT20" s="539">
        <f t="shared" si="0"/>
        <v>80</v>
      </c>
      <c r="CU20" s="480">
        <f t="shared" si="1"/>
        <v>0</v>
      </c>
      <c r="CV20" s="480">
        <f t="shared" si="2"/>
        <v>0</v>
      </c>
      <c r="CW20" s="480">
        <f t="shared" si="3"/>
        <v>0</v>
      </c>
      <c r="CX20" s="480">
        <f t="shared" si="4"/>
        <v>0</v>
      </c>
      <c r="CY20" s="480">
        <f t="shared" si="4"/>
        <v>20</v>
      </c>
      <c r="CZ20" s="480">
        <f t="shared" si="5"/>
        <v>0</v>
      </c>
      <c r="DA20" s="540">
        <v>1</v>
      </c>
      <c r="DB20" s="540">
        <v>0</v>
      </c>
      <c r="DC20" s="480">
        <v>0</v>
      </c>
      <c r="DD20" s="552"/>
    </row>
    <row r="21" spans="1:108" ht="18.600000000000001">
      <c r="A21" s="434">
        <v>8051</v>
      </c>
      <c r="B21" s="433" t="s">
        <v>171</v>
      </c>
      <c r="C21" s="433" t="s">
        <v>171</v>
      </c>
      <c r="D21" s="450" t="s">
        <v>69</v>
      </c>
      <c r="E21" s="478" t="s">
        <v>166</v>
      </c>
      <c r="F21" s="479" t="s">
        <v>166</v>
      </c>
      <c r="G21" s="479" t="s">
        <v>166</v>
      </c>
      <c r="H21" s="479" t="s">
        <v>166</v>
      </c>
      <c r="I21" s="479" t="s">
        <v>166</v>
      </c>
      <c r="J21" s="479" t="s">
        <v>166</v>
      </c>
      <c r="K21" s="479" t="s">
        <v>166</v>
      </c>
      <c r="L21" s="543" t="s">
        <v>166</v>
      </c>
      <c r="M21" s="471">
        <v>0.91666666666666663</v>
      </c>
      <c r="N21" s="472">
        <v>0.29166666666666669</v>
      </c>
      <c r="O21" s="473">
        <v>8</v>
      </c>
      <c r="P21" s="473">
        <v>0</v>
      </c>
      <c r="Q21" s="473">
        <v>0</v>
      </c>
      <c r="R21" s="472">
        <v>0</v>
      </c>
      <c r="S21" s="476">
        <v>8</v>
      </c>
      <c r="T21" s="474" t="s">
        <v>168</v>
      </c>
      <c r="U21" s="475" t="s">
        <v>168</v>
      </c>
      <c r="V21" s="475" t="s">
        <v>168</v>
      </c>
      <c r="W21" s="475" t="s">
        <v>168</v>
      </c>
      <c r="X21" s="475" t="s">
        <v>168</v>
      </c>
      <c r="Y21" s="537" t="s">
        <v>168</v>
      </c>
      <c r="Z21" s="538" t="s">
        <v>168</v>
      </c>
      <c r="AA21" s="475" t="s">
        <v>168</v>
      </c>
      <c r="AB21" s="475" t="s">
        <v>168</v>
      </c>
      <c r="AC21" s="475" t="s">
        <v>168</v>
      </c>
      <c r="AD21" s="475" t="s">
        <v>168</v>
      </c>
      <c r="AE21" s="481" t="s">
        <v>168</v>
      </c>
      <c r="AF21" s="471">
        <v>0.70833333333333337</v>
      </c>
      <c r="AG21" s="472">
        <v>8.3333333333333329E-2</v>
      </c>
      <c r="AH21" s="473">
        <v>8</v>
      </c>
      <c r="AI21" s="473">
        <v>0</v>
      </c>
      <c r="AJ21" s="472">
        <v>0</v>
      </c>
      <c r="AK21" s="476">
        <v>4</v>
      </c>
      <c r="AL21" s="471">
        <v>0.70833333333333337</v>
      </c>
      <c r="AM21" s="472">
        <v>8.3333333333333329E-2</v>
      </c>
      <c r="AN21" s="473">
        <v>8</v>
      </c>
      <c r="AO21" s="473">
        <v>0</v>
      </c>
      <c r="AP21" s="472">
        <v>0</v>
      </c>
      <c r="AQ21" s="476">
        <v>4</v>
      </c>
      <c r="AR21" s="471">
        <v>0.70833333333333337</v>
      </c>
      <c r="AS21" s="472">
        <v>8.3333333333333329E-2</v>
      </c>
      <c r="AT21" s="473">
        <v>8</v>
      </c>
      <c r="AU21" s="473">
        <v>0</v>
      </c>
      <c r="AV21" s="472">
        <v>0</v>
      </c>
      <c r="AW21" s="476">
        <v>4</v>
      </c>
      <c r="AX21" s="474" t="s">
        <v>168</v>
      </c>
      <c r="AY21" s="475" t="s">
        <v>168</v>
      </c>
      <c r="AZ21" s="475" t="s">
        <v>168</v>
      </c>
      <c r="BA21" s="475" t="s">
        <v>168</v>
      </c>
      <c r="BB21" s="475" t="s">
        <v>168</v>
      </c>
      <c r="BC21" s="481" t="s">
        <v>168</v>
      </c>
      <c r="BD21" s="474" t="s">
        <v>168</v>
      </c>
      <c r="BE21" s="475" t="s">
        <v>168</v>
      </c>
      <c r="BF21" s="475" t="s">
        <v>168</v>
      </c>
      <c r="BG21" s="475" t="s">
        <v>168</v>
      </c>
      <c r="BH21" s="475" t="s">
        <v>168</v>
      </c>
      <c r="BI21" s="481" t="s">
        <v>168</v>
      </c>
      <c r="BJ21" s="471">
        <v>0.29166666666666669</v>
      </c>
      <c r="BK21" s="472">
        <v>0.79166666666666663</v>
      </c>
      <c r="BL21" s="473">
        <v>8</v>
      </c>
      <c r="BM21" s="473">
        <v>3</v>
      </c>
      <c r="BN21" s="472">
        <v>0</v>
      </c>
      <c r="BO21" s="477">
        <v>0</v>
      </c>
      <c r="BP21" s="542">
        <v>0.29166666666666669</v>
      </c>
      <c r="BQ21" s="472">
        <v>0.79166666666666663</v>
      </c>
      <c r="BR21" s="473">
        <v>8</v>
      </c>
      <c r="BS21" s="473">
        <v>3</v>
      </c>
      <c r="BT21" s="472">
        <v>0</v>
      </c>
      <c r="BU21" s="476">
        <v>0</v>
      </c>
      <c r="BV21" s="471">
        <v>0.70833333333333337</v>
      </c>
      <c r="BW21" s="472">
        <v>8.3333333333333329E-2</v>
      </c>
      <c r="BX21" s="473">
        <v>8</v>
      </c>
      <c r="BY21" s="473">
        <v>0</v>
      </c>
      <c r="BZ21" s="472">
        <v>0</v>
      </c>
      <c r="CA21" s="476">
        <v>4</v>
      </c>
      <c r="CB21" s="471">
        <v>0.70833333333333337</v>
      </c>
      <c r="CC21" s="472">
        <v>8.3333333333333329E-2</v>
      </c>
      <c r="CD21" s="473">
        <v>8</v>
      </c>
      <c r="CE21" s="473">
        <v>0</v>
      </c>
      <c r="CF21" s="472">
        <v>0</v>
      </c>
      <c r="CG21" s="476">
        <v>4</v>
      </c>
      <c r="CH21" s="544" t="s">
        <v>167</v>
      </c>
      <c r="CI21" s="545" t="s">
        <v>167</v>
      </c>
      <c r="CJ21" s="545" t="s">
        <v>167</v>
      </c>
      <c r="CK21" s="545" t="s">
        <v>167</v>
      </c>
      <c r="CL21" s="545" t="s">
        <v>167</v>
      </c>
      <c r="CM21" s="547" t="s">
        <v>167</v>
      </c>
      <c r="CN21" s="471">
        <v>0.70833333333333337</v>
      </c>
      <c r="CO21" s="472">
        <v>8.3333333333333329E-2</v>
      </c>
      <c r="CP21" s="473">
        <v>8</v>
      </c>
      <c r="CQ21" s="473">
        <v>0</v>
      </c>
      <c r="CR21" s="472">
        <v>0</v>
      </c>
      <c r="CS21" s="477">
        <v>4</v>
      </c>
      <c r="CT21" s="539">
        <f t="shared" si="0"/>
        <v>72</v>
      </c>
      <c r="CU21" s="480">
        <f t="shared" si="1"/>
        <v>0</v>
      </c>
      <c r="CV21" s="480">
        <f t="shared" si="2"/>
        <v>6</v>
      </c>
      <c r="CW21" s="480">
        <f t="shared" si="3"/>
        <v>0</v>
      </c>
      <c r="CX21" s="480">
        <f t="shared" si="4"/>
        <v>0</v>
      </c>
      <c r="CY21" s="480">
        <f t="shared" si="4"/>
        <v>32</v>
      </c>
      <c r="CZ21" s="480">
        <f t="shared" si="5"/>
        <v>0</v>
      </c>
      <c r="DA21" s="540">
        <v>1</v>
      </c>
      <c r="DB21" s="540">
        <v>1</v>
      </c>
      <c r="DC21" s="480">
        <v>0</v>
      </c>
      <c r="DD21" s="552"/>
    </row>
    <row r="22" spans="1:108" ht="18.600000000000001">
      <c r="A22" s="434">
        <v>8052</v>
      </c>
      <c r="B22" s="433" t="s">
        <v>164</v>
      </c>
      <c r="C22" s="433" t="s">
        <v>165</v>
      </c>
      <c r="D22" s="450" t="s">
        <v>70</v>
      </c>
      <c r="E22" s="471">
        <v>0.625</v>
      </c>
      <c r="F22" s="472">
        <v>0</v>
      </c>
      <c r="G22" s="473">
        <v>0</v>
      </c>
      <c r="H22" s="473">
        <v>8</v>
      </c>
      <c r="I22" s="473">
        <v>0</v>
      </c>
      <c r="J22" s="472">
        <v>0</v>
      </c>
      <c r="K22" s="473">
        <v>0</v>
      </c>
      <c r="L22" s="476">
        <v>2</v>
      </c>
      <c r="M22" s="471">
        <v>0.875</v>
      </c>
      <c r="N22" s="472">
        <v>0.25</v>
      </c>
      <c r="O22" s="473">
        <v>8</v>
      </c>
      <c r="P22" s="473">
        <v>0</v>
      </c>
      <c r="Q22" s="473">
        <v>0</v>
      </c>
      <c r="R22" s="472">
        <v>0</v>
      </c>
      <c r="S22" s="476">
        <v>8</v>
      </c>
      <c r="T22" s="474" t="s">
        <v>168</v>
      </c>
      <c r="U22" s="475" t="s">
        <v>168</v>
      </c>
      <c r="V22" s="475" t="s">
        <v>168</v>
      </c>
      <c r="W22" s="475" t="s">
        <v>168</v>
      </c>
      <c r="X22" s="475" t="s">
        <v>168</v>
      </c>
      <c r="Y22" s="537" t="s">
        <v>168</v>
      </c>
      <c r="Z22" s="538" t="s">
        <v>168</v>
      </c>
      <c r="AA22" s="475" t="s">
        <v>168</v>
      </c>
      <c r="AB22" s="475" t="s">
        <v>168</v>
      </c>
      <c r="AC22" s="475" t="s">
        <v>168</v>
      </c>
      <c r="AD22" s="475" t="s">
        <v>168</v>
      </c>
      <c r="AE22" s="481" t="s">
        <v>168</v>
      </c>
      <c r="AF22" s="471">
        <v>0.625</v>
      </c>
      <c r="AG22" s="472">
        <v>0</v>
      </c>
      <c r="AH22" s="473">
        <v>8</v>
      </c>
      <c r="AI22" s="473">
        <v>0</v>
      </c>
      <c r="AJ22" s="472">
        <v>0</v>
      </c>
      <c r="AK22" s="476">
        <v>2</v>
      </c>
      <c r="AL22" s="544" t="s">
        <v>167</v>
      </c>
      <c r="AM22" s="545" t="s">
        <v>167</v>
      </c>
      <c r="AN22" s="545" t="s">
        <v>167</v>
      </c>
      <c r="AO22" s="545" t="s">
        <v>167</v>
      </c>
      <c r="AP22" s="545" t="s">
        <v>167</v>
      </c>
      <c r="AQ22" s="547" t="s">
        <v>167</v>
      </c>
      <c r="AR22" s="471">
        <v>0.625</v>
      </c>
      <c r="AS22" s="472">
        <v>0</v>
      </c>
      <c r="AT22" s="473">
        <v>8</v>
      </c>
      <c r="AU22" s="473">
        <v>0</v>
      </c>
      <c r="AV22" s="472">
        <v>0</v>
      </c>
      <c r="AW22" s="476">
        <v>2</v>
      </c>
      <c r="AX22" s="471">
        <v>0.625</v>
      </c>
      <c r="AY22" s="472">
        <v>0</v>
      </c>
      <c r="AZ22" s="473">
        <v>8</v>
      </c>
      <c r="BA22" s="473">
        <v>0</v>
      </c>
      <c r="BB22" s="473">
        <v>120</v>
      </c>
      <c r="BC22" s="476">
        <v>2</v>
      </c>
      <c r="BD22" s="471">
        <v>0.625</v>
      </c>
      <c r="BE22" s="472">
        <v>0</v>
      </c>
      <c r="BF22" s="473">
        <v>8</v>
      </c>
      <c r="BG22" s="473">
        <v>0</v>
      </c>
      <c r="BH22" s="472">
        <v>0</v>
      </c>
      <c r="BI22" s="476">
        <v>2</v>
      </c>
      <c r="BJ22" s="474" t="s">
        <v>168</v>
      </c>
      <c r="BK22" s="475" t="s">
        <v>168</v>
      </c>
      <c r="BL22" s="475" t="s">
        <v>168</v>
      </c>
      <c r="BM22" s="475" t="s">
        <v>168</v>
      </c>
      <c r="BN22" s="475" t="s">
        <v>168</v>
      </c>
      <c r="BO22" s="537" t="s">
        <v>168</v>
      </c>
      <c r="BP22" s="538" t="s">
        <v>168</v>
      </c>
      <c r="BQ22" s="475" t="s">
        <v>168</v>
      </c>
      <c r="BR22" s="475" t="s">
        <v>168</v>
      </c>
      <c r="BS22" s="475" t="s">
        <v>168</v>
      </c>
      <c r="BT22" s="475" t="s">
        <v>168</v>
      </c>
      <c r="BU22" s="481" t="s">
        <v>168</v>
      </c>
      <c r="BV22" s="471">
        <v>0.625</v>
      </c>
      <c r="BW22" s="472">
        <v>0</v>
      </c>
      <c r="BX22" s="473">
        <v>8</v>
      </c>
      <c r="BY22" s="473">
        <v>0</v>
      </c>
      <c r="BZ22" s="472">
        <v>0</v>
      </c>
      <c r="CA22" s="476">
        <v>2</v>
      </c>
      <c r="CB22" s="471">
        <v>0.625</v>
      </c>
      <c r="CC22" s="472">
        <v>0</v>
      </c>
      <c r="CD22" s="473">
        <v>8</v>
      </c>
      <c r="CE22" s="473">
        <v>0</v>
      </c>
      <c r="CF22" s="472">
        <v>0</v>
      </c>
      <c r="CG22" s="476">
        <v>2</v>
      </c>
      <c r="CH22" s="471">
        <v>0.625</v>
      </c>
      <c r="CI22" s="472">
        <v>0.79166666666666663</v>
      </c>
      <c r="CJ22" s="473">
        <v>4</v>
      </c>
      <c r="CK22" s="473">
        <v>0</v>
      </c>
      <c r="CL22" s="472">
        <v>0</v>
      </c>
      <c r="CM22" s="476">
        <v>0</v>
      </c>
      <c r="CN22" s="471">
        <v>0.625</v>
      </c>
      <c r="CO22" s="472">
        <v>0</v>
      </c>
      <c r="CP22" s="473">
        <v>8</v>
      </c>
      <c r="CQ22" s="473">
        <v>0</v>
      </c>
      <c r="CR22" s="472">
        <v>0</v>
      </c>
      <c r="CS22" s="477">
        <v>2</v>
      </c>
      <c r="CT22" s="539">
        <f t="shared" si="0"/>
        <v>68</v>
      </c>
      <c r="CU22" s="480">
        <f t="shared" si="1"/>
        <v>8</v>
      </c>
      <c r="CV22" s="480">
        <f t="shared" si="2"/>
        <v>0</v>
      </c>
      <c r="CW22" s="480">
        <f t="shared" si="3"/>
        <v>0</v>
      </c>
      <c r="CX22" s="480">
        <f t="shared" si="4"/>
        <v>120</v>
      </c>
      <c r="CY22" s="480">
        <f t="shared" si="4"/>
        <v>22</v>
      </c>
      <c r="CZ22" s="480">
        <f t="shared" si="5"/>
        <v>2</v>
      </c>
      <c r="DA22" s="540">
        <v>0</v>
      </c>
      <c r="DB22" s="540">
        <v>1.5</v>
      </c>
      <c r="DC22" s="480">
        <v>0</v>
      </c>
      <c r="DD22" s="552"/>
    </row>
    <row r="23" spans="1:108" ht="18.95" thickBot="1">
      <c r="A23" s="444">
        <v>8053</v>
      </c>
      <c r="B23" s="445" t="s">
        <v>164</v>
      </c>
      <c r="C23" s="445" t="s">
        <v>165</v>
      </c>
      <c r="D23" s="451" t="s">
        <v>71</v>
      </c>
      <c r="E23" s="484">
        <v>0.625</v>
      </c>
      <c r="F23" s="485">
        <v>0</v>
      </c>
      <c r="G23" s="486">
        <v>0</v>
      </c>
      <c r="H23" s="486">
        <v>8</v>
      </c>
      <c r="I23" s="486">
        <v>0</v>
      </c>
      <c r="J23" s="485">
        <v>0</v>
      </c>
      <c r="K23" s="486">
        <v>0</v>
      </c>
      <c r="L23" s="488">
        <v>2</v>
      </c>
      <c r="M23" s="484">
        <v>0.625</v>
      </c>
      <c r="N23" s="485">
        <v>0</v>
      </c>
      <c r="O23" s="486">
        <v>8</v>
      </c>
      <c r="P23" s="486">
        <v>0</v>
      </c>
      <c r="Q23" s="486">
        <v>0</v>
      </c>
      <c r="R23" s="485">
        <v>0</v>
      </c>
      <c r="S23" s="488">
        <v>2</v>
      </c>
      <c r="T23" s="482" t="s">
        <v>168</v>
      </c>
      <c r="U23" s="483" t="s">
        <v>168</v>
      </c>
      <c r="V23" s="483" t="s">
        <v>168</v>
      </c>
      <c r="W23" s="483" t="s">
        <v>168</v>
      </c>
      <c r="X23" s="483" t="s">
        <v>168</v>
      </c>
      <c r="Y23" s="553" t="s">
        <v>168</v>
      </c>
      <c r="Z23" s="554" t="s">
        <v>168</v>
      </c>
      <c r="AA23" s="483" t="s">
        <v>168</v>
      </c>
      <c r="AB23" s="483" t="s">
        <v>168</v>
      </c>
      <c r="AC23" s="483" t="s">
        <v>168</v>
      </c>
      <c r="AD23" s="483" t="s">
        <v>168</v>
      </c>
      <c r="AE23" s="555" t="s">
        <v>168</v>
      </c>
      <c r="AF23" s="484">
        <v>0.625</v>
      </c>
      <c r="AG23" s="485">
        <v>0</v>
      </c>
      <c r="AH23" s="486">
        <v>8</v>
      </c>
      <c r="AI23" s="486">
        <v>0</v>
      </c>
      <c r="AJ23" s="485">
        <v>0</v>
      </c>
      <c r="AK23" s="488">
        <v>2</v>
      </c>
      <c r="AL23" s="484">
        <v>0.625</v>
      </c>
      <c r="AM23" s="485">
        <v>0</v>
      </c>
      <c r="AN23" s="486">
        <v>8</v>
      </c>
      <c r="AO23" s="486">
        <v>0</v>
      </c>
      <c r="AP23" s="485">
        <v>0</v>
      </c>
      <c r="AQ23" s="488">
        <v>2</v>
      </c>
      <c r="AR23" s="484">
        <v>0.625</v>
      </c>
      <c r="AS23" s="485">
        <v>0</v>
      </c>
      <c r="AT23" s="486">
        <v>8</v>
      </c>
      <c r="AU23" s="486">
        <v>0</v>
      </c>
      <c r="AV23" s="485">
        <v>0</v>
      </c>
      <c r="AW23" s="488">
        <v>2</v>
      </c>
      <c r="AX23" s="484">
        <v>0.625</v>
      </c>
      <c r="AY23" s="485">
        <v>0</v>
      </c>
      <c r="AZ23" s="486">
        <v>8</v>
      </c>
      <c r="BA23" s="486">
        <v>0</v>
      </c>
      <c r="BB23" s="485">
        <v>0</v>
      </c>
      <c r="BC23" s="488">
        <v>2</v>
      </c>
      <c r="BD23" s="484">
        <v>0.625</v>
      </c>
      <c r="BE23" s="485">
        <v>0</v>
      </c>
      <c r="BF23" s="486">
        <v>8</v>
      </c>
      <c r="BG23" s="486">
        <v>0</v>
      </c>
      <c r="BH23" s="485">
        <v>0</v>
      </c>
      <c r="BI23" s="488">
        <v>2</v>
      </c>
      <c r="BJ23" s="482" t="s">
        <v>168</v>
      </c>
      <c r="BK23" s="483" t="s">
        <v>168</v>
      </c>
      <c r="BL23" s="483" t="s">
        <v>168</v>
      </c>
      <c r="BM23" s="483" t="s">
        <v>168</v>
      </c>
      <c r="BN23" s="483" t="s">
        <v>168</v>
      </c>
      <c r="BO23" s="553" t="s">
        <v>168</v>
      </c>
      <c r="BP23" s="554" t="s">
        <v>168</v>
      </c>
      <c r="BQ23" s="483" t="s">
        <v>168</v>
      </c>
      <c r="BR23" s="483" t="s">
        <v>168</v>
      </c>
      <c r="BS23" s="483" t="s">
        <v>168</v>
      </c>
      <c r="BT23" s="483" t="s">
        <v>168</v>
      </c>
      <c r="BU23" s="555" t="s">
        <v>168</v>
      </c>
      <c r="BV23" s="484">
        <v>0.625</v>
      </c>
      <c r="BW23" s="485">
        <v>0</v>
      </c>
      <c r="BX23" s="486">
        <v>8</v>
      </c>
      <c r="BY23" s="486">
        <v>0</v>
      </c>
      <c r="BZ23" s="485">
        <v>0</v>
      </c>
      <c r="CA23" s="488">
        <v>2</v>
      </c>
      <c r="CB23" s="484">
        <v>0.625</v>
      </c>
      <c r="CC23" s="485">
        <v>0</v>
      </c>
      <c r="CD23" s="486">
        <v>8</v>
      </c>
      <c r="CE23" s="486">
        <v>0</v>
      </c>
      <c r="CF23" s="485">
        <v>0</v>
      </c>
      <c r="CG23" s="488">
        <v>2</v>
      </c>
      <c r="CH23" s="484">
        <v>0.625</v>
      </c>
      <c r="CI23" s="485">
        <v>0</v>
      </c>
      <c r="CJ23" s="486">
        <v>8</v>
      </c>
      <c r="CK23" s="486">
        <v>0</v>
      </c>
      <c r="CL23" s="485">
        <v>0</v>
      </c>
      <c r="CM23" s="488">
        <v>2</v>
      </c>
      <c r="CN23" s="484">
        <v>0.625</v>
      </c>
      <c r="CO23" s="485">
        <v>0</v>
      </c>
      <c r="CP23" s="486">
        <v>8</v>
      </c>
      <c r="CQ23" s="486">
        <v>0</v>
      </c>
      <c r="CR23" s="485">
        <v>0</v>
      </c>
      <c r="CS23" s="487">
        <v>2</v>
      </c>
      <c r="CT23" s="556">
        <f t="shared" si="0"/>
        <v>80</v>
      </c>
      <c r="CU23" s="560">
        <f t="shared" si="1"/>
        <v>8</v>
      </c>
      <c r="CV23" s="560">
        <f t="shared" si="2"/>
        <v>0</v>
      </c>
      <c r="CW23" s="560">
        <f t="shared" si="3"/>
        <v>0</v>
      </c>
      <c r="CX23" s="560">
        <f t="shared" si="4"/>
        <v>0</v>
      </c>
      <c r="CY23" s="560">
        <f t="shared" si="4"/>
        <v>20</v>
      </c>
      <c r="CZ23" s="560">
        <f t="shared" si="5"/>
        <v>2</v>
      </c>
      <c r="DA23" s="557">
        <v>0</v>
      </c>
      <c r="DB23" s="557">
        <v>0</v>
      </c>
      <c r="DC23" s="560">
        <v>0</v>
      </c>
      <c r="DD23" s="558"/>
    </row>
    <row r="24" spans="1:108">
      <c r="CU24" s="561"/>
      <c r="CV24" s="561"/>
      <c r="CW24" s="561"/>
      <c r="CX24" s="561"/>
      <c r="CY24" s="561"/>
      <c r="CZ24" s="561"/>
      <c r="DC24" s="561"/>
    </row>
    <row r="25" spans="1:108">
      <c r="CT25" s="188">
        <f>SUM(CT3:CT23)</f>
        <v>1531</v>
      </c>
      <c r="CU25" s="562">
        <f t="shared" ref="CU25:DC25" si="6">SUM(CU3:CU23)</f>
        <v>53</v>
      </c>
      <c r="CV25" s="562">
        <f t="shared" si="6"/>
        <v>57</v>
      </c>
      <c r="CW25" s="562">
        <f t="shared" si="6"/>
        <v>6</v>
      </c>
      <c r="CX25" s="562">
        <f t="shared" si="6"/>
        <v>120</v>
      </c>
      <c r="CY25" s="562">
        <f t="shared" si="6"/>
        <v>565</v>
      </c>
      <c r="CZ25" s="562">
        <f t="shared" si="6"/>
        <v>13</v>
      </c>
      <c r="DA25" s="188">
        <f t="shared" si="6"/>
        <v>11</v>
      </c>
      <c r="DB25" s="188">
        <f t="shared" si="6"/>
        <v>15</v>
      </c>
      <c r="DC25" s="562">
        <f t="shared" si="6"/>
        <v>4</v>
      </c>
    </row>
  </sheetData>
  <mergeCells count="20">
    <mergeCell ref="AX1:BC1"/>
    <mergeCell ref="A1:A2"/>
    <mergeCell ref="B1:B2"/>
    <mergeCell ref="C1:C2"/>
    <mergeCell ref="D1:D2"/>
    <mergeCell ref="E1:L1"/>
    <mergeCell ref="M1:S1"/>
    <mergeCell ref="T1:Y1"/>
    <mergeCell ref="Z1:AE1"/>
    <mergeCell ref="AF1:AK1"/>
    <mergeCell ref="AL1:AQ1"/>
    <mergeCell ref="AR1:AW1"/>
    <mergeCell ref="CN1:CS1"/>
    <mergeCell ref="CT1:DD1"/>
    <mergeCell ref="BD1:BI1"/>
    <mergeCell ref="BJ1:BO1"/>
    <mergeCell ref="BP1:BU1"/>
    <mergeCell ref="BV1:CA1"/>
    <mergeCell ref="CB1:CG1"/>
    <mergeCell ref="CH1:C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2068-E6FC-401F-B901-8124ABA2EA35}">
  <sheetPr codeName="Sheet1">
    <tabColor theme="5" tint="0.59999389629810485"/>
    <pageSetUpPr fitToPage="1"/>
  </sheetPr>
  <dimension ref="A1:CQ65505"/>
  <sheetViews>
    <sheetView showOutlineSymbols="0" topLeftCell="A2" zoomScale="88" zoomScaleNormal="70" zoomScaleSheetLayoutView="80" workbookViewId="0">
      <pane xSplit="5" topLeftCell="F2" activePane="topRight" state="frozen"/>
      <selection pane="topRight" activeCell="Q5" sqref="Q5"/>
      <selection activeCell="CZ26" sqref="CZ26:DA26"/>
    </sheetView>
  </sheetViews>
  <sheetFormatPr defaultColWidth="9.42578125" defaultRowHeight="14.45" outlineLevelRow="1" outlineLevelCol="1"/>
  <cols>
    <col min="1" max="1" width="4.5703125" style="55" customWidth="1"/>
    <col min="2" max="2" width="2.5703125" style="53" customWidth="1"/>
    <col min="3" max="3" width="27.5703125" style="53" bestFit="1" customWidth="1"/>
    <col min="4" max="4" width="12.5703125" bestFit="1" customWidth="1"/>
    <col min="5" max="5" width="17.42578125" style="53" bestFit="1" customWidth="1"/>
    <col min="6" max="6" width="31.5703125" style="57" bestFit="1" customWidth="1"/>
    <col min="7" max="7" width="15.42578125" style="53" customWidth="1"/>
    <col min="8" max="8" width="16.5703125" style="53" bestFit="1" customWidth="1" outlineLevel="1"/>
    <col min="9" max="9" width="14.42578125" style="53" customWidth="1" outlineLevel="1"/>
    <col min="10" max="10" width="14.5703125" style="53" customWidth="1" outlineLevel="1"/>
    <col min="11" max="11" width="13.5703125" hidden="1" customWidth="1"/>
    <col min="12" max="12" width="14.42578125" customWidth="1"/>
    <col min="13" max="14" width="17.42578125" customWidth="1"/>
    <col min="15" max="15" width="14.5703125" hidden="1" customWidth="1"/>
    <col min="16" max="16" width="17.42578125" hidden="1" customWidth="1"/>
    <col min="17" max="17" width="17.5703125" hidden="1" customWidth="1"/>
    <col min="18" max="18" width="17.42578125" style="4" hidden="1" customWidth="1"/>
    <col min="19" max="19" width="13.5703125" hidden="1" customWidth="1"/>
    <col min="20" max="20" width="17.5703125" hidden="1" customWidth="1"/>
    <col min="21" max="21" width="21.5703125" hidden="1" customWidth="1"/>
    <col min="22" max="22" width="11.42578125" customWidth="1"/>
    <col min="23" max="23" width="13" bestFit="1" customWidth="1"/>
    <col min="24" max="24" width="13" customWidth="1"/>
    <col min="25" max="25" width="19.5703125" style="4" customWidth="1"/>
    <col min="26" max="26" width="13.42578125" customWidth="1"/>
    <col min="27" max="27" width="10" style="53" customWidth="1" outlineLevel="1"/>
    <col min="28" max="28" width="14.42578125" style="53" customWidth="1" outlineLevel="1"/>
    <col min="29" max="29" width="10.5703125" style="53" customWidth="1" outlineLevel="1"/>
    <col min="30" max="30" width="14.42578125" style="53" customWidth="1" outlineLevel="1"/>
    <col min="31" max="31" width="11.5703125" style="53" hidden="1" customWidth="1" outlineLevel="1"/>
    <col min="32" max="32" width="13.42578125" style="53" hidden="1" customWidth="1" outlineLevel="1"/>
    <col min="33" max="33" width="10" style="53" customWidth="1" outlineLevel="1"/>
    <col min="34" max="34" width="14.42578125" style="53" bestFit="1" customWidth="1" outlineLevel="1"/>
    <col min="35" max="35" width="10" style="53" customWidth="1" outlineLevel="1"/>
    <col min="36" max="36" width="13.42578125" style="53" customWidth="1" outlineLevel="1"/>
    <col min="37" max="37" width="10.5703125" style="53" customWidth="1" outlineLevel="1"/>
    <col min="38" max="38" width="13.42578125" style="53" bestFit="1" customWidth="1" outlineLevel="1"/>
    <col min="39" max="39" width="12" style="53" customWidth="1" outlineLevel="1"/>
    <col min="40" max="40" width="10" style="53" customWidth="1" outlineLevel="1"/>
    <col min="41" max="41" width="12.42578125" style="53" customWidth="1" outlineLevel="1"/>
    <col min="42" max="42" width="12.5703125" style="53" customWidth="1" outlineLevel="1"/>
    <col min="43" max="43" width="9.42578125" style="53" hidden="1" customWidth="1" outlineLevel="1"/>
    <col min="44" max="44" width="11.42578125" style="53" hidden="1" customWidth="1" outlineLevel="1"/>
    <col min="45" max="45" width="12.5703125" style="53" hidden="1" customWidth="1" outlineLevel="1"/>
    <col min="46" max="46" width="14.42578125" style="53" hidden="1" customWidth="1" outlineLevel="1"/>
    <col min="47" max="47" width="12.42578125" style="53" hidden="1" customWidth="1" outlineLevel="1"/>
    <col min="48" max="48" width="16.42578125" style="53" hidden="1" customWidth="1" outlineLevel="1"/>
    <col min="49" max="50" width="12.42578125" style="53" customWidth="1" outlineLevel="1"/>
    <col min="51" max="51" width="12.5703125" style="53" customWidth="1" outlineLevel="1"/>
    <col min="52" max="52" width="9.5703125" style="53" customWidth="1" outlineLevel="1"/>
    <col min="53" max="53" width="13" style="53" customWidth="1" outlineLevel="1"/>
    <col min="54" max="54" width="16.42578125" style="53" customWidth="1" outlineLevel="1"/>
    <col min="55" max="55" width="12.42578125" style="53" customWidth="1" outlineLevel="1"/>
    <col min="56" max="56" width="14.5703125" style="53" customWidth="1" outlineLevel="1"/>
    <col min="57" max="57" width="11.5703125" style="53" customWidth="1" outlineLevel="1"/>
    <col min="58" max="58" width="15.42578125" style="53" customWidth="1" outlineLevel="1"/>
    <col min="59" max="59" width="12.5703125" style="53" customWidth="1" outlineLevel="1"/>
    <col min="60" max="60" width="14.42578125" style="53" customWidth="1" outlineLevel="1"/>
    <col min="61" max="61" width="15.5703125" style="53" customWidth="1" outlineLevel="1"/>
    <col min="62" max="62" width="21.5703125" style="53" customWidth="1" outlineLevel="1"/>
    <col min="63" max="63" width="11" style="53" customWidth="1" outlineLevel="1"/>
    <col min="64" max="64" width="7.5703125" style="171" bestFit="1" customWidth="1"/>
    <col min="65" max="65" width="11" style="179" bestFit="1" customWidth="1"/>
    <col min="66" max="66" width="16.5703125" style="53" customWidth="1"/>
    <col min="67" max="67" width="32.42578125" style="53" bestFit="1" customWidth="1"/>
    <col min="68" max="68" width="9.42578125" style="53"/>
    <col min="69" max="69" width="13" style="53" customWidth="1"/>
    <col min="70" max="70" width="28" style="53" customWidth="1"/>
    <col min="71" max="82" width="11.5703125" style="53" customWidth="1"/>
    <col min="83" max="83" width="13.42578125" style="53" customWidth="1"/>
    <col min="84" max="85" width="12.42578125" style="53" bestFit="1" customWidth="1"/>
    <col min="86" max="86" width="10.5703125" style="53" customWidth="1"/>
    <col min="87" max="95" width="11.5703125" style="53" bestFit="1" customWidth="1"/>
    <col min="96" max="99" width="9.42578125" style="53"/>
    <col min="100" max="100" width="9.5703125" style="53" bestFit="1" customWidth="1"/>
    <col min="101" max="16384" width="9.42578125" style="53"/>
  </cols>
  <sheetData>
    <row r="1" spans="1:95" s="69" customFormat="1" ht="15.75" hidden="1" customHeight="1">
      <c r="A1" s="58" t="s">
        <v>173</v>
      </c>
      <c r="B1" s="59"/>
      <c r="C1" s="60"/>
      <c r="D1" s="662"/>
      <c r="E1" s="662"/>
      <c r="F1" s="61"/>
      <c r="G1" s="62"/>
      <c r="H1" s="62"/>
      <c r="I1" s="62"/>
      <c r="J1" s="62"/>
      <c r="K1" s="63"/>
      <c r="L1" s="63"/>
      <c r="M1" s="63"/>
      <c r="N1" s="63"/>
      <c r="O1" s="64"/>
      <c r="P1" s="65"/>
      <c r="Q1" s="63"/>
      <c r="R1" s="66"/>
      <c r="S1" s="63"/>
      <c r="T1" s="63"/>
      <c r="U1" s="63"/>
      <c r="V1" s="63"/>
      <c r="W1" s="63"/>
      <c r="X1" s="68"/>
      <c r="Y1" s="67"/>
      <c r="Z1" s="68"/>
      <c r="BL1" s="170"/>
      <c r="BM1" s="178"/>
    </row>
    <row r="2" spans="1:95" s="69" customFormat="1" ht="15.6">
      <c r="A2" s="70" t="s">
        <v>1</v>
      </c>
      <c r="B2" s="59"/>
      <c r="C2" s="70"/>
      <c r="D2" s="79">
        <v>46023</v>
      </c>
      <c r="E2" s="79">
        <v>46037</v>
      </c>
      <c r="F2" s="71">
        <f>NETWORKDAYS(D2,E2)</f>
        <v>11</v>
      </c>
      <c r="G2" s="72" t="s">
        <v>174</v>
      </c>
      <c r="H2" s="73">
        <f>F2*8</f>
        <v>88</v>
      </c>
      <c r="I2" s="72"/>
      <c r="J2" s="72" t="s">
        <v>175</v>
      </c>
      <c r="K2" s="163" t="s">
        <v>176</v>
      </c>
      <c r="L2" s="74"/>
      <c r="M2" s="74"/>
      <c r="N2" s="68"/>
      <c r="O2" s="65"/>
      <c r="P2" s="65"/>
      <c r="Q2" s="68"/>
      <c r="R2" s="67"/>
      <c r="S2" s="68"/>
      <c r="T2" s="74"/>
      <c r="U2" s="68"/>
      <c r="V2" s="68"/>
      <c r="W2" s="68"/>
      <c r="X2" s="68"/>
      <c r="Y2" s="67"/>
      <c r="Z2" s="68"/>
      <c r="BL2" s="170"/>
      <c r="BM2" s="178"/>
    </row>
    <row r="3" spans="1:95" ht="21">
      <c r="A3" s="45"/>
      <c r="B3" s="46"/>
      <c r="C3" s="44"/>
      <c r="D3" s="20"/>
      <c r="E3" s="20"/>
      <c r="F3" s="19"/>
      <c r="G3" s="1"/>
      <c r="H3" s="1"/>
      <c r="I3" s="1"/>
      <c r="J3" s="1"/>
      <c r="K3" s="52"/>
      <c r="O3" s="52"/>
      <c r="P3" s="52"/>
      <c r="R3" s="43"/>
      <c r="U3" s="54"/>
      <c r="V3" s="54"/>
      <c r="W3" s="54"/>
      <c r="X3" s="54"/>
      <c r="Y3" s="43"/>
      <c r="AW3" s="424"/>
      <c r="AX3" s="424"/>
      <c r="AY3" s="424"/>
      <c r="AZ3" s="424"/>
      <c r="BA3" s="424"/>
      <c r="BB3" s="424"/>
    </row>
    <row r="4" spans="1:95" s="78" customFormat="1" ht="15" customHeight="1">
      <c r="A4" s="75">
        <v>1</v>
      </c>
      <c r="B4" s="76">
        <f>A4+1</f>
        <v>2</v>
      </c>
      <c r="C4" s="76">
        <f t="shared" ref="C4:X4" si="0">B4+1</f>
        <v>3</v>
      </c>
      <c r="D4" s="76">
        <f t="shared" si="0"/>
        <v>4</v>
      </c>
      <c r="E4" s="76">
        <f t="shared" si="0"/>
        <v>5</v>
      </c>
      <c r="F4" s="76">
        <f t="shared" si="0"/>
        <v>6</v>
      </c>
      <c r="G4" s="76">
        <f t="shared" si="0"/>
        <v>7</v>
      </c>
      <c r="H4" s="76">
        <f t="shared" si="0"/>
        <v>8</v>
      </c>
      <c r="I4" s="76">
        <f t="shared" si="0"/>
        <v>9</v>
      </c>
      <c r="J4" s="76">
        <f t="shared" si="0"/>
        <v>10</v>
      </c>
      <c r="K4" s="76">
        <f t="shared" si="0"/>
        <v>11</v>
      </c>
      <c r="L4" s="76">
        <f t="shared" si="0"/>
        <v>12</v>
      </c>
      <c r="M4" s="76">
        <f t="shared" si="0"/>
        <v>13</v>
      </c>
      <c r="N4" s="76">
        <f t="shared" si="0"/>
        <v>14</v>
      </c>
      <c r="O4" s="76">
        <f t="shared" si="0"/>
        <v>15</v>
      </c>
      <c r="P4" s="76">
        <f t="shared" si="0"/>
        <v>16</v>
      </c>
      <c r="Q4" s="76">
        <f t="shared" si="0"/>
        <v>17</v>
      </c>
      <c r="R4" s="76">
        <f t="shared" si="0"/>
        <v>18</v>
      </c>
      <c r="S4" s="76">
        <f t="shared" si="0"/>
        <v>19</v>
      </c>
      <c r="T4" s="76">
        <f t="shared" si="0"/>
        <v>20</v>
      </c>
      <c r="U4" s="76">
        <f t="shared" si="0"/>
        <v>21</v>
      </c>
      <c r="V4" s="76">
        <f t="shared" si="0"/>
        <v>22</v>
      </c>
      <c r="W4" s="76">
        <f t="shared" si="0"/>
        <v>23</v>
      </c>
      <c r="X4" s="76">
        <f t="shared" si="0"/>
        <v>24</v>
      </c>
      <c r="Y4" s="77">
        <f t="shared" ref="Y4" si="1">X4+1</f>
        <v>25</v>
      </c>
      <c r="Z4" s="76">
        <f t="shared" ref="Z4" si="2">Y4+1</f>
        <v>26</v>
      </c>
      <c r="AA4" s="76">
        <f t="shared" ref="AA4" si="3">Z4+1</f>
        <v>27</v>
      </c>
      <c r="AB4" s="76">
        <f t="shared" ref="AB4" si="4">AA4+1</f>
        <v>28</v>
      </c>
      <c r="AC4" s="76">
        <f t="shared" ref="AC4" si="5">AB4+1</f>
        <v>29</v>
      </c>
      <c r="AD4" s="76">
        <f t="shared" ref="AD4" si="6">AC4+1</f>
        <v>30</v>
      </c>
      <c r="AE4" s="76">
        <f t="shared" ref="AE4" si="7">AD4+1</f>
        <v>31</v>
      </c>
      <c r="AF4" s="76">
        <f t="shared" ref="AF4" si="8">AE4+1</f>
        <v>32</v>
      </c>
      <c r="AG4" s="76">
        <f t="shared" ref="AG4" si="9">AF4+1</f>
        <v>33</v>
      </c>
      <c r="AH4" s="76">
        <f t="shared" ref="AH4" si="10">AG4+1</f>
        <v>34</v>
      </c>
      <c r="AI4" s="76">
        <f t="shared" ref="AI4" si="11">AH4+1</f>
        <v>35</v>
      </c>
      <c r="AJ4" s="76">
        <f t="shared" ref="AJ4" si="12">AI4+1</f>
        <v>36</v>
      </c>
      <c r="AK4" s="76">
        <f t="shared" ref="AK4" si="13">AJ4+1</f>
        <v>37</v>
      </c>
      <c r="AL4" s="76">
        <f t="shared" ref="AL4" si="14">AK4+1</f>
        <v>38</v>
      </c>
      <c r="AM4" s="76">
        <f t="shared" ref="AM4" si="15">AL4+1</f>
        <v>39</v>
      </c>
      <c r="AN4" s="76">
        <f t="shared" ref="AN4" si="16">AM4+1</f>
        <v>40</v>
      </c>
      <c r="AO4" s="76">
        <f t="shared" ref="AO4" si="17">AN4+1</f>
        <v>41</v>
      </c>
      <c r="AP4" s="76">
        <f t="shared" ref="AP4" si="18">AO4+1</f>
        <v>42</v>
      </c>
      <c r="AQ4" s="76">
        <f t="shared" ref="AQ4" si="19">AP4+1</f>
        <v>43</v>
      </c>
      <c r="AR4" s="76">
        <f t="shared" ref="AR4" si="20">AQ4+1</f>
        <v>44</v>
      </c>
      <c r="AS4" s="76">
        <f t="shared" ref="AS4" si="21">AR4+1</f>
        <v>45</v>
      </c>
      <c r="AT4" s="76">
        <f t="shared" ref="AT4" si="22">AS4+1</f>
        <v>46</v>
      </c>
      <c r="AU4" s="76">
        <f t="shared" ref="AU4" si="23">AT4+1</f>
        <v>47</v>
      </c>
      <c r="AV4" s="76">
        <f t="shared" ref="AV4" si="24">AU4+1</f>
        <v>48</v>
      </c>
      <c r="AW4" s="76">
        <f t="shared" ref="AW4" si="25">AV4+1</f>
        <v>49</v>
      </c>
      <c r="AX4" s="76">
        <f t="shared" ref="AX4" si="26">AW4+1</f>
        <v>50</v>
      </c>
      <c r="AY4" s="76">
        <f t="shared" ref="AY4" si="27">AX4+1</f>
        <v>51</v>
      </c>
      <c r="AZ4" s="76">
        <f t="shared" ref="AZ4" si="28">AY4+1</f>
        <v>52</v>
      </c>
      <c r="BA4" s="76">
        <f t="shared" ref="BA4" si="29">AZ4+1</f>
        <v>53</v>
      </c>
      <c r="BB4" s="76">
        <f t="shared" ref="BB4" si="30">BA4+1</f>
        <v>54</v>
      </c>
      <c r="BC4" s="76">
        <f t="shared" ref="BC4" si="31">BB4+1</f>
        <v>55</v>
      </c>
      <c r="BD4" s="76">
        <f t="shared" ref="BD4" si="32">BC4+1</f>
        <v>56</v>
      </c>
      <c r="BE4" s="76">
        <f t="shared" ref="BE4" si="33">BD4+1</f>
        <v>57</v>
      </c>
      <c r="BF4" s="76">
        <f t="shared" ref="BF4" si="34">BE4+1</f>
        <v>58</v>
      </c>
      <c r="BG4" s="76">
        <f t="shared" ref="BG4" si="35">BF4+1</f>
        <v>59</v>
      </c>
      <c r="BH4" s="76">
        <f t="shared" ref="BH4" si="36">BG4+1</f>
        <v>60</v>
      </c>
      <c r="BI4" s="76">
        <f t="shared" ref="BI4" si="37">BH4+1</f>
        <v>61</v>
      </c>
      <c r="BJ4" s="76">
        <f t="shared" ref="BJ4" si="38">BI4+1</f>
        <v>62</v>
      </c>
      <c r="BK4" s="76">
        <f t="shared" ref="BK4" si="39">BJ4+1</f>
        <v>63</v>
      </c>
      <c r="BM4" s="180"/>
    </row>
    <row r="5" spans="1:95" s="85" customFormat="1" ht="15" customHeight="1">
      <c r="A5" s="80"/>
      <c r="B5" s="81"/>
      <c r="C5" s="81"/>
      <c r="D5" s="81"/>
      <c r="E5" s="81"/>
      <c r="F5" s="81"/>
      <c r="G5" s="81"/>
      <c r="H5" s="81"/>
      <c r="I5" s="81"/>
      <c r="J5" s="81"/>
      <c r="K5" s="680" t="s">
        <v>6</v>
      </c>
      <c r="L5" s="681"/>
      <c r="M5" s="681"/>
      <c r="N5" s="681"/>
      <c r="O5" s="681"/>
      <c r="P5" s="681"/>
      <c r="Q5" s="672" t="s">
        <v>177</v>
      </c>
      <c r="R5" s="672" t="s">
        <v>8</v>
      </c>
      <c r="S5" s="682" t="s">
        <v>178</v>
      </c>
      <c r="T5" s="672" t="s">
        <v>179</v>
      </c>
      <c r="U5" s="672" t="s">
        <v>180</v>
      </c>
      <c r="V5" s="82"/>
      <c r="W5" s="82"/>
      <c r="X5" s="82"/>
      <c r="Y5" s="83"/>
      <c r="Z5" s="82"/>
      <c r="AA5" s="84"/>
      <c r="AB5" s="84"/>
      <c r="AC5" s="84"/>
      <c r="AD5" s="84"/>
      <c r="AE5" s="84"/>
      <c r="AF5" s="84"/>
      <c r="AG5" s="685" t="s">
        <v>181</v>
      </c>
      <c r="AH5" s="685"/>
      <c r="AI5" s="685"/>
      <c r="AJ5" s="685"/>
      <c r="AK5" s="697" t="s">
        <v>182</v>
      </c>
      <c r="AL5" s="697"/>
      <c r="AM5" s="697"/>
      <c r="AN5" s="697"/>
      <c r="AO5" s="697"/>
      <c r="AP5" s="697"/>
      <c r="AQ5" s="685" t="s">
        <v>183</v>
      </c>
      <c r="AR5" s="685"/>
      <c r="AS5" s="685"/>
      <c r="AT5" s="685"/>
      <c r="AU5" s="685"/>
      <c r="AV5" s="685"/>
      <c r="AW5" s="700" t="s">
        <v>184</v>
      </c>
      <c r="AX5" s="701"/>
      <c r="AY5" s="701"/>
      <c r="AZ5" s="701"/>
      <c r="BA5" s="701"/>
      <c r="BB5" s="702"/>
      <c r="BC5" s="698" t="s">
        <v>185</v>
      </c>
      <c r="BD5" s="698"/>
      <c r="BE5" s="698"/>
      <c r="BF5" s="698"/>
      <c r="BG5" s="698"/>
      <c r="BH5" s="698"/>
      <c r="BI5" s="84"/>
      <c r="BJ5" s="84"/>
      <c r="BK5" s="84"/>
      <c r="BL5" s="172"/>
      <c r="BM5" s="181"/>
    </row>
    <row r="6" spans="1:95" s="85" customFormat="1" ht="13.5" customHeight="1">
      <c r="A6" s="687" t="s">
        <v>2</v>
      </c>
      <c r="B6" s="688"/>
      <c r="C6" s="692" t="s">
        <v>3</v>
      </c>
      <c r="D6" s="686" t="s">
        <v>186</v>
      </c>
      <c r="E6" s="693" t="s">
        <v>187</v>
      </c>
      <c r="F6" s="693" t="s">
        <v>188</v>
      </c>
      <c r="G6" s="695" t="s">
        <v>189</v>
      </c>
      <c r="H6" s="696"/>
      <c r="I6" s="696"/>
      <c r="J6" s="696"/>
      <c r="K6" s="691" t="s">
        <v>190</v>
      </c>
      <c r="L6" s="691" t="s">
        <v>191</v>
      </c>
      <c r="M6" s="672" t="s">
        <v>30</v>
      </c>
      <c r="N6" s="672" t="s">
        <v>31</v>
      </c>
      <c r="O6" s="672" t="s">
        <v>32</v>
      </c>
      <c r="P6" s="672" t="s">
        <v>33</v>
      </c>
      <c r="Q6" s="673"/>
      <c r="R6" s="673"/>
      <c r="S6" s="683"/>
      <c r="T6" s="673"/>
      <c r="U6" s="673"/>
      <c r="V6" s="604" t="s">
        <v>20</v>
      </c>
      <c r="W6" s="677"/>
      <c r="X6" s="686" t="s">
        <v>40</v>
      </c>
      <c r="Y6" s="176" t="s">
        <v>21</v>
      </c>
      <c r="Z6" s="672" t="s">
        <v>192</v>
      </c>
      <c r="AA6" s="674" t="s">
        <v>193</v>
      </c>
      <c r="AB6" s="675"/>
      <c r="AC6" s="674" t="s">
        <v>194</v>
      </c>
      <c r="AD6" s="675"/>
      <c r="AE6" s="674" t="s">
        <v>195</v>
      </c>
      <c r="AF6" s="675"/>
      <c r="AG6" s="674" t="s">
        <v>196</v>
      </c>
      <c r="AH6" s="675"/>
      <c r="AI6" s="674" t="s">
        <v>197</v>
      </c>
      <c r="AJ6" s="675"/>
      <c r="AK6" s="664" t="s">
        <v>196</v>
      </c>
      <c r="AL6" s="671"/>
      <c r="AM6" s="671"/>
      <c r="AN6" s="665"/>
      <c r="AO6" s="664" t="s">
        <v>197</v>
      </c>
      <c r="AP6" s="665"/>
      <c r="AQ6" s="666" t="s">
        <v>196</v>
      </c>
      <c r="AR6" s="670"/>
      <c r="AS6" s="670"/>
      <c r="AT6" s="667"/>
      <c r="AU6" s="666" t="s">
        <v>197</v>
      </c>
      <c r="AV6" s="667"/>
      <c r="AW6" s="668" t="s">
        <v>196</v>
      </c>
      <c r="AX6" s="678"/>
      <c r="AY6" s="678"/>
      <c r="AZ6" s="669"/>
      <c r="BA6" s="668" t="s">
        <v>197</v>
      </c>
      <c r="BB6" s="669"/>
      <c r="BC6" s="668" t="s">
        <v>196</v>
      </c>
      <c r="BD6" s="678"/>
      <c r="BE6" s="678"/>
      <c r="BF6" s="669"/>
      <c r="BG6" s="668" t="s">
        <v>197</v>
      </c>
      <c r="BH6" s="669"/>
      <c r="BI6" s="86" t="s">
        <v>198</v>
      </c>
      <c r="BJ6" s="87" t="s">
        <v>199</v>
      </c>
      <c r="BK6" s="663" t="s">
        <v>200</v>
      </c>
      <c r="BL6" s="172"/>
      <c r="BM6" s="181"/>
      <c r="BR6" s="699"/>
      <c r="BS6" s="699"/>
      <c r="BT6" s="661"/>
      <c r="BU6" s="699"/>
      <c r="BV6" s="661"/>
      <c r="BW6" s="661"/>
      <c r="BX6" s="661"/>
      <c r="BY6" s="699"/>
      <c r="BZ6" s="661"/>
      <c r="CA6" s="699"/>
      <c r="CB6" s="661"/>
      <c r="CC6" s="699"/>
      <c r="CD6" s="661"/>
      <c r="CE6" s="699"/>
      <c r="CF6" s="661"/>
      <c r="CG6" s="699"/>
      <c r="CH6" s="661"/>
      <c r="CI6" s="661"/>
      <c r="CJ6" s="661"/>
      <c r="CK6" s="661"/>
      <c r="CL6" s="661"/>
      <c r="CM6" s="661"/>
      <c r="CN6" s="661"/>
      <c r="CO6" s="661"/>
      <c r="CP6" s="661"/>
      <c r="CQ6" s="661"/>
    </row>
    <row r="7" spans="1:95" s="85" customFormat="1" ht="16.5" customHeight="1">
      <c r="A7" s="689"/>
      <c r="B7" s="690"/>
      <c r="C7" s="692"/>
      <c r="D7" s="684"/>
      <c r="E7" s="694"/>
      <c r="F7" s="694"/>
      <c r="G7" s="137" t="s">
        <v>201</v>
      </c>
      <c r="H7" s="137" t="s">
        <v>202</v>
      </c>
      <c r="I7" s="137" t="s">
        <v>203</v>
      </c>
      <c r="J7" s="137" t="s">
        <v>204</v>
      </c>
      <c r="K7" s="679"/>
      <c r="L7" s="679"/>
      <c r="M7" s="679"/>
      <c r="N7" s="679"/>
      <c r="O7" s="679"/>
      <c r="P7" s="679"/>
      <c r="Q7" s="673"/>
      <c r="R7" s="673"/>
      <c r="S7" s="684"/>
      <c r="T7" s="676"/>
      <c r="U7" s="676"/>
      <c r="V7" s="88" t="s">
        <v>38</v>
      </c>
      <c r="W7" s="88" t="s">
        <v>39</v>
      </c>
      <c r="X7" s="684"/>
      <c r="Y7" s="177" t="s">
        <v>205</v>
      </c>
      <c r="Z7" s="679"/>
      <c r="AA7" s="89" t="s">
        <v>206</v>
      </c>
      <c r="AB7" s="90" t="s">
        <v>207</v>
      </c>
      <c r="AC7" s="136" t="s">
        <v>208</v>
      </c>
      <c r="AD7" s="90" t="s">
        <v>207</v>
      </c>
      <c r="AE7" s="89" t="s">
        <v>206</v>
      </c>
      <c r="AF7" s="90" t="s">
        <v>207</v>
      </c>
      <c r="AG7" s="89" t="s">
        <v>206</v>
      </c>
      <c r="AH7" s="90" t="s">
        <v>207</v>
      </c>
      <c r="AI7" s="89" t="s">
        <v>206</v>
      </c>
      <c r="AJ7" s="90" t="s">
        <v>207</v>
      </c>
      <c r="AK7" s="89" t="s">
        <v>209</v>
      </c>
      <c r="AL7" s="90" t="s">
        <v>207</v>
      </c>
      <c r="AM7" s="89" t="s">
        <v>210</v>
      </c>
      <c r="AN7" s="90" t="s">
        <v>207</v>
      </c>
      <c r="AO7" s="89" t="s">
        <v>206</v>
      </c>
      <c r="AP7" s="90" t="s">
        <v>211</v>
      </c>
      <c r="AQ7" s="89" t="s">
        <v>206</v>
      </c>
      <c r="AR7" s="90" t="s">
        <v>207</v>
      </c>
      <c r="AS7" s="89" t="s">
        <v>210</v>
      </c>
      <c r="AT7" s="90" t="s">
        <v>207</v>
      </c>
      <c r="AU7" s="89" t="s">
        <v>206</v>
      </c>
      <c r="AV7" s="90" t="s">
        <v>211</v>
      </c>
      <c r="AW7" s="89" t="s">
        <v>209</v>
      </c>
      <c r="AX7" s="90" t="s">
        <v>207</v>
      </c>
      <c r="AY7" s="89" t="s">
        <v>210</v>
      </c>
      <c r="AZ7" s="90" t="s">
        <v>207</v>
      </c>
      <c r="BA7" s="89" t="s">
        <v>206</v>
      </c>
      <c r="BB7" s="90" t="s">
        <v>211</v>
      </c>
      <c r="BC7" s="89" t="s">
        <v>209</v>
      </c>
      <c r="BD7" s="90" t="s">
        <v>211</v>
      </c>
      <c r="BE7" s="89" t="s">
        <v>210</v>
      </c>
      <c r="BF7" s="90" t="s">
        <v>211</v>
      </c>
      <c r="BG7" s="89" t="s">
        <v>206</v>
      </c>
      <c r="BH7" s="90" t="s">
        <v>211</v>
      </c>
      <c r="BI7" s="91" t="s">
        <v>211</v>
      </c>
      <c r="BJ7" s="91" t="s">
        <v>211</v>
      </c>
      <c r="BK7" s="663"/>
      <c r="BL7" s="172"/>
      <c r="BM7" s="181"/>
      <c r="BN7" s="166" t="s">
        <v>212</v>
      </c>
      <c r="BO7" s="165" t="s">
        <v>213</v>
      </c>
      <c r="BQ7" s="202"/>
      <c r="BR7" s="699"/>
      <c r="BS7" s="699"/>
      <c r="BT7" s="661"/>
      <c r="BU7" s="699"/>
      <c r="BV7" s="661"/>
      <c r="BW7" s="661"/>
      <c r="BX7" s="661"/>
      <c r="BY7" s="699"/>
      <c r="BZ7" s="661"/>
      <c r="CA7" s="699"/>
      <c r="CB7" s="661"/>
      <c r="CC7" s="699"/>
      <c r="CD7" s="661"/>
      <c r="CE7" s="699"/>
      <c r="CF7" s="661"/>
      <c r="CG7" s="699"/>
      <c r="CH7" s="661"/>
      <c r="CI7" s="661"/>
      <c r="CJ7" s="661"/>
      <c r="CK7" s="661"/>
      <c r="CL7" s="661"/>
      <c r="CM7" s="661"/>
      <c r="CN7" s="661"/>
      <c r="CO7" s="661"/>
      <c r="CP7" s="661"/>
      <c r="CQ7" s="661"/>
    </row>
    <row r="8" spans="1:95" s="245" customFormat="1">
      <c r="A8" s="227">
        <v>1</v>
      </c>
      <c r="B8" s="228">
        <v>3</v>
      </c>
      <c r="C8" s="489" t="s">
        <v>51</v>
      </c>
      <c r="D8" s="494" t="s">
        <v>214</v>
      </c>
      <c r="E8" s="495">
        <v>44886</v>
      </c>
      <c r="F8" s="208" t="s">
        <v>215</v>
      </c>
      <c r="G8" s="167">
        <v>37200</v>
      </c>
      <c r="H8" s="209">
        <f>G8/2</f>
        <v>18600</v>
      </c>
      <c r="I8" s="209">
        <f>G8*12/261</f>
        <v>1710.344827586207</v>
      </c>
      <c r="J8" s="209">
        <f>I8/8</f>
        <v>213.79310344827587</v>
      </c>
      <c r="K8" s="230"/>
      <c r="L8" s="230">
        <v>2000</v>
      </c>
      <c r="M8" s="230">
        <v>500</v>
      </c>
      <c r="N8" s="230">
        <v>300</v>
      </c>
      <c r="O8" s="230"/>
      <c r="P8" s="230"/>
      <c r="Q8" s="230"/>
      <c r="R8" s="230"/>
      <c r="S8" s="230"/>
      <c r="T8" s="230"/>
      <c r="U8" s="230"/>
      <c r="V8" s="230">
        <v>1845.8</v>
      </c>
      <c r="W8" s="230"/>
      <c r="X8" s="230"/>
      <c r="Y8" s="239"/>
      <c r="Z8" s="230"/>
      <c r="AA8" s="231">
        <f>VLOOKUP(C8,Timesheet!D:DD,99,0)/60</f>
        <v>0</v>
      </c>
      <c r="AB8" s="174">
        <f t="shared" ref="AB8:AB21" si="40">AA8*J8</f>
        <v>0</v>
      </c>
      <c r="AC8" s="173">
        <f>VLOOKUP(C8,Timesheet!D:DD,104,0)</f>
        <v>0</v>
      </c>
      <c r="AD8" s="174">
        <f t="shared" ref="AD8:AD21" si="41">I8*AC8</f>
        <v>0</v>
      </c>
      <c r="AE8" s="496"/>
      <c r="AF8" s="497">
        <f>J8*AE8</f>
        <v>0</v>
      </c>
      <c r="AG8" s="241">
        <f>VLOOKUP(C8,Timesheet!D:DD,97,0)</f>
        <v>0</v>
      </c>
      <c r="AH8" s="232">
        <f>(J8*AG8*125%)</f>
        <v>0</v>
      </c>
      <c r="AI8" s="241">
        <f>VLOOKUP(C8,Timesheet!D:DD,100,0)</f>
        <v>12</v>
      </c>
      <c r="AJ8" s="437">
        <f>J8*0.1*AI8</f>
        <v>256.55172413793105</v>
      </c>
      <c r="AK8" s="231">
        <f>VLOOKUP(C8,Timesheet!D:DD,98,0)</f>
        <v>0</v>
      </c>
      <c r="AL8" s="232">
        <f>J8*1.3*AK8</f>
        <v>0</v>
      </c>
      <c r="AM8" s="231"/>
      <c r="AN8" s="232">
        <f>(J8*1.3*1.3)*AM8</f>
        <v>0</v>
      </c>
      <c r="AO8" s="173"/>
      <c r="AP8" s="174">
        <f t="shared" ref="AP8:AP21" si="42">(J8*130%*10%)*AO8</f>
        <v>0</v>
      </c>
      <c r="AQ8" s="496"/>
      <c r="AR8" s="497">
        <f>J8*1.3*AQ8</f>
        <v>0</v>
      </c>
      <c r="AS8" s="496"/>
      <c r="AT8" s="497">
        <f>(J8*1.3*1.3)*AS8</f>
        <v>0</v>
      </c>
      <c r="AU8" s="496"/>
      <c r="AV8" s="497">
        <f>(J8*0.3*0.1)*AU8</f>
        <v>0</v>
      </c>
      <c r="AW8" s="231">
        <v>0</v>
      </c>
      <c r="AX8" s="232">
        <f>(J8*0.3)*AW8</f>
        <v>0</v>
      </c>
      <c r="AY8" s="231">
        <v>0</v>
      </c>
      <c r="AZ8" s="232">
        <f>((J8*1.3)*1.3)*AY8</f>
        <v>0</v>
      </c>
      <c r="BA8" s="231">
        <v>0</v>
      </c>
      <c r="BB8" s="232">
        <f>((J8*0.3)*0.1)*BA8</f>
        <v>0</v>
      </c>
      <c r="BC8" s="231">
        <f>VLOOKUP(C8,Timesheet!D:DD,96,0)</f>
        <v>0</v>
      </c>
      <c r="BD8" s="232">
        <f>J8*1*BC8</f>
        <v>0</v>
      </c>
      <c r="BE8" s="231"/>
      <c r="BF8" s="174">
        <f>(J8*2*1.3)*BE8</f>
        <v>0</v>
      </c>
      <c r="BG8" s="173">
        <f>VLOOKUP(C8,Timesheet!D:DD,101,0)</f>
        <v>0</v>
      </c>
      <c r="BH8" s="174">
        <f>(J8*10%*2)*BG8</f>
        <v>0</v>
      </c>
      <c r="BI8" s="175">
        <f>AH8+AJ8+AL8+AN8+AP8+AR8+AT8+AV8+AX8+AZ8+BB8+BD8+BF8+BH8</f>
        <v>256.55172413793105</v>
      </c>
      <c r="BJ8" s="175">
        <f>-(AB8+AD8)</f>
        <v>0</v>
      </c>
      <c r="BK8" s="233">
        <f>Timesheet!CT3</f>
        <v>72</v>
      </c>
      <c r="BL8" s="92">
        <f t="shared" ref="BL8:BL9" si="43">BI8-SUM(AH8,AJ8,AL8,AN8,AP8,AR8,AV8,AX8,AZ8,BB8,BD8,BF8,BH8)</f>
        <v>0</v>
      </c>
      <c r="BM8" s="234"/>
      <c r="BN8" s="498" t="s">
        <v>216</v>
      </c>
      <c r="BO8" s="337" t="s">
        <v>217</v>
      </c>
      <c r="BQ8" s="237"/>
      <c r="BR8" s="499"/>
      <c r="BS8" s="235"/>
      <c r="BT8" s="235"/>
      <c r="BU8" s="235"/>
      <c r="BV8" s="235"/>
      <c r="BW8" s="235"/>
      <c r="BX8" s="235"/>
      <c r="BY8" s="235"/>
      <c r="BZ8" s="235"/>
      <c r="CA8" s="235"/>
      <c r="CB8" s="235"/>
      <c r="CC8" s="235"/>
      <c r="CD8" s="235"/>
      <c r="CE8" s="235"/>
      <c r="CF8" s="500"/>
      <c r="CG8" s="501"/>
      <c r="CI8" s="502"/>
      <c r="CK8" s="502"/>
      <c r="CM8" s="502"/>
      <c r="CQ8" s="503"/>
    </row>
    <row r="9" spans="1:95" s="402" customFormat="1" ht="17.100000000000001" customHeight="1">
      <c r="A9" s="395">
        <v>8</v>
      </c>
      <c r="B9" s="396">
        <v>17</v>
      </c>
      <c r="C9" s="489" t="s">
        <v>52</v>
      </c>
      <c r="D9" s="397" t="s">
        <v>218</v>
      </c>
      <c r="E9" s="351">
        <v>44910</v>
      </c>
      <c r="F9" s="208" t="s">
        <v>215</v>
      </c>
      <c r="G9" s="398">
        <v>45000</v>
      </c>
      <c r="H9" s="399">
        <f t="shared" ref="H9:H28" si="44">G9/2</f>
        <v>22500</v>
      </c>
      <c r="I9" s="399">
        <f t="shared" ref="I9:I28" si="45">G9*12/261</f>
        <v>2068.9655172413795</v>
      </c>
      <c r="J9" s="399">
        <f t="shared" ref="J9:J28" si="46">I9/8</f>
        <v>258.62068965517244</v>
      </c>
      <c r="K9" s="400"/>
      <c r="L9" s="400"/>
      <c r="M9" s="400"/>
      <c r="N9" s="400"/>
      <c r="O9" s="400"/>
      <c r="P9" s="400"/>
      <c r="Q9" s="400"/>
      <c r="R9" s="401"/>
      <c r="S9" s="400"/>
      <c r="T9" s="400"/>
      <c r="U9" s="400"/>
      <c r="V9" s="400">
        <v>922.9</v>
      </c>
      <c r="W9" s="400"/>
      <c r="X9" s="400"/>
      <c r="Y9" s="400"/>
      <c r="Z9" s="400"/>
      <c r="AA9" s="231">
        <f>VLOOKUP(C9,Timesheet!D:DD,99,0)/60</f>
        <v>0</v>
      </c>
      <c r="AB9" s="174">
        <f t="shared" si="40"/>
        <v>0</v>
      </c>
      <c r="AC9" s="173">
        <f>VLOOKUP(C9,Timesheet!D:DD,104,0)</f>
        <v>0</v>
      </c>
      <c r="AD9" s="174">
        <f t="shared" si="41"/>
        <v>0</v>
      </c>
      <c r="AE9" s="496"/>
      <c r="AF9" s="497">
        <f t="shared" ref="AF9:AF10" si="47">J9*AE9</f>
        <v>0</v>
      </c>
      <c r="AG9" s="241">
        <f>VLOOKUP(C9,Timesheet!D:DD,97,0)</f>
        <v>9</v>
      </c>
      <c r="AH9" s="232">
        <f t="shared" ref="AH9:AH17" si="48">(J9*AG9*125%)</f>
        <v>2909.4827586206902</v>
      </c>
      <c r="AI9" s="241">
        <f>VLOOKUP(C9,Timesheet!D:DD,100,0)</f>
        <v>30</v>
      </c>
      <c r="AJ9" s="437">
        <f>J9*0.1*AI9</f>
        <v>775.86206896551732</v>
      </c>
      <c r="AK9" s="231">
        <f>VLOOKUP(C9,Timesheet!D:DD,98,0)</f>
        <v>0</v>
      </c>
      <c r="AL9" s="232">
        <f>J9*1.3*AK9</f>
        <v>0</v>
      </c>
      <c r="AM9" s="231"/>
      <c r="AN9" s="232">
        <f t="shared" ref="AN9:AN28" si="49">(J9*1.3*1.3)*AM9</f>
        <v>0</v>
      </c>
      <c r="AO9" s="173"/>
      <c r="AP9" s="174">
        <f t="shared" si="42"/>
        <v>0</v>
      </c>
      <c r="AQ9" s="496"/>
      <c r="AR9" s="497">
        <f t="shared" ref="AR9:AR24" si="50">J9*1.3*AQ9</f>
        <v>0</v>
      </c>
      <c r="AS9" s="496"/>
      <c r="AT9" s="497">
        <f t="shared" ref="AT9:AT10" si="51">(J9*1.3*1.3)*AS9</f>
        <v>0</v>
      </c>
      <c r="AU9" s="496"/>
      <c r="AV9" s="497">
        <f t="shared" ref="AV9:AV24" si="52">(J9*0.3*0.1)*AU9</f>
        <v>0</v>
      </c>
      <c r="AW9" s="231">
        <v>0</v>
      </c>
      <c r="AX9" s="232">
        <f t="shared" ref="AX9:AX14" si="53">(J9*0.3)*AW9</f>
        <v>0</v>
      </c>
      <c r="AY9" s="231">
        <v>0</v>
      </c>
      <c r="AZ9" s="232">
        <f t="shared" ref="AZ9:AZ10" si="54">((J9*1.3)*1.3)*AY9</f>
        <v>0</v>
      </c>
      <c r="BA9" s="231">
        <v>0</v>
      </c>
      <c r="BB9" s="232">
        <f t="shared" ref="BB9:BB15" si="55">((J9*0.3)*0.1)*BA9</f>
        <v>0</v>
      </c>
      <c r="BC9" s="231">
        <f>VLOOKUP(C9,Timesheet!D:DD,96,0)</f>
        <v>8</v>
      </c>
      <c r="BD9" s="232">
        <f t="shared" ref="BD9:BD10" si="56">J9*1*BC9</f>
        <v>2068.9655172413795</v>
      </c>
      <c r="BE9" s="231"/>
      <c r="BF9" s="174">
        <f t="shared" ref="BF9:BF10" si="57">(J9*2*1.3)*BE9</f>
        <v>0</v>
      </c>
      <c r="BG9" s="173">
        <f>VLOOKUP(C9,Timesheet!D:DD,101,0)</f>
        <v>2</v>
      </c>
      <c r="BH9" s="174">
        <f t="shared" ref="BH9:BH17" si="58">(J9*10%*2)*BG9</f>
        <v>103.44827586206898</v>
      </c>
      <c r="BI9" s="175">
        <f t="shared" ref="BI9:BI14" si="59">AH9+AJ9+AL9+AN9+AP9+AR9+AT9+AV9+AX9+AZ9+BB9+BD9+BF9+BH9</f>
        <v>5857.7586206896558</v>
      </c>
      <c r="BJ9" s="175">
        <f t="shared" ref="BJ9:BJ10" si="60">-(AB9+AD9)</f>
        <v>0</v>
      </c>
      <c r="BK9" s="233">
        <f>Timesheet!CT4</f>
        <v>80</v>
      </c>
      <c r="BL9" s="402">
        <f t="shared" si="43"/>
        <v>0</v>
      </c>
      <c r="BM9" s="234"/>
      <c r="BN9" s="336" t="s">
        <v>219</v>
      </c>
      <c r="BO9" s="337" t="s">
        <v>220</v>
      </c>
      <c r="BQ9" s="403"/>
      <c r="BR9" s="404"/>
      <c r="BS9" s="405"/>
      <c r="BT9" s="405"/>
      <c r="BU9" s="405"/>
      <c r="BV9" s="405"/>
      <c r="BW9" s="405"/>
      <c r="BX9" s="405"/>
      <c r="BY9" s="405"/>
      <c r="BZ9" s="405"/>
      <c r="CA9" s="405"/>
      <c r="CB9" s="405"/>
      <c r="CC9" s="405"/>
      <c r="CD9" s="405"/>
      <c r="CE9" s="406"/>
      <c r="CF9" s="407"/>
      <c r="CG9" s="408"/>
      <c r="CI9" s="409"/>
      <c r="CK9" s="409"/>
      <c r="CM9" s="409"/>
      <c r="CQ9" s="85"/>
    </row>
    <row r="10" spans="1:95" s="245" customFormat="1" ht="15" customHeight="1">
      <c r="A10" s="227">
        <v>10</v>
      </c>
      <c r="B10" s="228">
        <v>21</v>
      </c>
      <c r="C10" s="489" t="s">
        <v>53</v>
      </c>
      <c r="D10" s="494" t="s">
        <v>218</v>
      </c>
      <c r="E10" s="495">
        <v>44910</v>
      </c>
      <c r="F10" s="208" t="s">
        <v>215</v>
      </c>
      <c r="G10" s="167">
        <v>42000</v>
      </c>
      <c r="H10" s="209">
        <f t="shared" si="44"/>
        <v>21000</v>
      </c>
      <c r="I10" s="209">
        <f t="shared" si="45"/>
        <v>1931.0344827586207</v>
      </c>
      <c r="J10" s="209">
        <f t="shared" si="46"/>
        <v>241.37931034482759</v>
      </c>
      <c r="K10" s="230"/>
      <c r="L10" s="230">
        <v>2000</v>
      </c>
      <c r="M10" s="230">
        <v>100</v>
      </c>
      <c r="N10" s="230"/>
      <c r="O10" s="230"/>
      <c r="P10" s="230"/>
      <c r="Q10" s="230"/>
      <c r="R10" s="230"/>
      <c r="S10" s="230"/>
      <c r="T10" s="230"/>
      <c r="U10" s="230"/>
      <c r="V10" s="230">
        <v>922.9</v>
      </c>
      <c r="W10" s="230"/>
      <c r="X10" s="230"/>
      <c r="Y10" s="239"/>
      <c r="Z10" s="230"/>
      <c r="AA10" s="231">
        <f>VLOOKUP(C10,Timesheet!D:DD,99,0)/60</f>
        <v>0</v>
      </c>
      <c r="AB10" s="174">
        <f t="shared" si="40"/>
        <v>0</v>
      </c>
      <c r="AC10" s="173">
        <f>VLOOKUP(C10,Timesheet!D:DD,104,0)</f>
        <v>0</v>
      </c>
      <c r="AD10" s="174">
        <f t="shared" si="41"/>
        <v>0</v>
      </c>
      <c r="AE10" s="496"/>
      <c r="AF10" s="497">
        <f t="shared" si="47"/>
        <v>0</v>
      </c>
      <c r="AG10" s="241">
        <f>VLOOKUP(C10,Timesheet!D:DD,97,0)</f>
        <v>12</v>
      </c>
      <c r="AH10" s="232">
        <f t="shared" si="48"/>
        <v>3620.6896551724139</v>
      </c>
      <c r="AI10" s="241">
        <f>VLOOKUP(C10,Timesheet!D:DD,100,0)</f>
        <v>0</v>
      </c>
      <c r="AJ10" s="437">
        <f t="shared" ref="AJ10:AJ11" si="61">J10*0.1*AI10</f>
        <v>0</v>
      </c>
      <c r="AK10" s="231">
        <f>VLOOKUP(C10,Timesheet!D:DD,98,0)</f>
        <v>0</v>
      </c>
      <c r="AL10" s="232">
        <f t="shared" ref="AL10" si="62">J10*1.3*AK10</f>
        <v>0</v>
      </c>
      <c r="AM10" s="231"/>
      <c r="AN10" s="232">
        <f t="shared" si="49"/>
        <v>0</v>
      </c>
      <c r="AO10" s="173"/>
      <c r="AP10" s="174">
        <f t="shared" si="42"/>
        <v>0</v>
      </c>
      <c r="AQ10" s="496"/>
      <c r="AR10" s="497">
        <f t="shared" si="50"/>
        <v>0</v>
      </c>
      <c r="AS10" s="496"/>
      <c r="AT10" s="497">
        <f t="shared" si="51"/>
        <v>0</v>
      </c>
      <c r="AU10" s="496"/>
      <c r="AV10" s="497">
        <f t="shared" si="52"/>
        <v>0</v>
      </c>
      <c r="AW10" s="231">
        <v>0</v>
      </c>
      <c r="AX10" s="232">
        <f t="shared" si="53"/>
        <v>0</v>
      </c>
      <c r="AY10" s="231">
        <v>0</v>
      </c>
      <c r="AZ10" s="232">
        <f t="shared" si="54"/>
        <v>0</v>
      </c>
      <c r="BA10" s="231">
        <v>0</v>
      </c>
      <c r="BB10" s="232">
        <f t="shared" si="55"/>
        <v>0</v>
      </c>
      <c r="BC10" s="231">
        <f>VLOOKUP(C10,Timesheet!D:DD,96,0)</f>
        <v>0</v>
      </c>
      <c r="BD10" s="232">
        <f t="shared" si="56"/>
        <v>0</v>
      </c>
      <c r="BE10" s="231"/>
      <c r="BF10" s="174">
        <f t="shared" si="57"/>
        <v>0</v>
      </c>
      <c r="BG10" s="173">
        <f>VLOOKUP(C10,Timesheet!D:DD,101,0)</f>
        <v>0</v>
      </c>
      <c r="BH10" s="174">
        <f t="shared" si="58"/>
        <v>0</v>
      </c>
      <c r="BI10" s="175">
        <f t="shared" si="59"/>
        <v>3620.6896551724139</v>
      </c>
      <c r="BJ10" s="175">
        <f t="shared" si="60"/>
        <v>0</v>
      </c>
      <c r="BK10" s="233">
        <f>Timesheet!CT5</f>
        <v>80</v>
      </c>
      <c r="BL10" s="92">
        <f t="shared" ref="BL10:BL29" si="63">BI10-SUM(AH10,AJ10,AL10,AN10,AP10,AR10,AV10,AX10,AZ10,BB10,BD10,BF10,BH10)</f>
        <v>0</v>
      </c>
      <c r="BM10" s="234"/>
      <c r="BN10" s="498" t="s">
        <v>221</v>
      </c>
      <c r="BO10" s="337" t="s">
        <v>222</v>
      </c>
      <c r="BQ10" s="237"/>
      <c r="BR10" s="499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500"/>
      <c r="CG10" s="501"/>
      <c r="CI10" s="502"/>
      <c r="CK10" s="502"/>
      <c r="CM10" s="502"/>
      <c r="CQ10" s="503"/>
    </row>
    <row r="11" spans="1:95" s="240" customFormat="1" ht="15" customHeight="1">
      <c r="A11" s="238">
        <v>11</v>
      </c>
      <c r="B11" s="228">
        <v>23</v>
      </c>
      <c r="C11" s="489" t="s">
        <v>54</v>
      </c>
      <c r="D11" s="511" t="s">
        <v>214</v>
      </c>
      <c r="E11" s="504">
        <v>44922</v>
      </c>
      <c r="F11" s="512" t="s">
        <v>223</v>
      </c>
      <c r="G11" s="167">
        <v>169600</v>
      </c>
      <c r="H11" s="209">
        <f t="shared" si="44"/>
        <v>84800</v>
      </c>
      <c r="I11" s="209">
        <f t="shared" si="45"/>
        <v>7797.7011494252874</v>
      </c>
      <c r="J11" s="209">
        <f t="shared" si="46"/>
        <v>974.71264367816093</v>
      </c>
      <c r="K11" s="230"/>
      <c r="L11" s="230">
        <v>2000</v>
      </c>
      <c r="M11" s="230">
        <v>500</v>
      </c>
      <c r="N11" s="230">
        <v>300</v>
      </c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9"/>
      <c r="Z11" s="230"/>
      <c r="AA11" s="231">
        <f>VLOOKUP(C11,Timesheet!D:DD,99,0)/60</f>
        <v>0</v>
      </c>
      <c r="AB11" s="174">
        <f t="shared" si="40"/>
        <v>0</v>
      </c>
      <c r="AC11" s="173">
        <f>VLOOKUP(C11,Timesheet!D:DD,104,0)</f>
        <v>0</v>
      </c>
      <c r="AD11" s="174">
        <f t="shared" si="41"/>
        <v>0</v>
      </c>
      <c r="AE11" s="496"/>
      <c r="AF11" s="497">
        <f t="shared" ref="AF11:AF14" si="64">J11*AE11</f>
        <v>0</v>
      </c>
      <c r="AG11" s="241">
        <f>VLOOKUP(C11,Timesheet!D:DD,97,0)</f>
        <v>0</v>
      </c>
      <c r="AH11" s="232">
        <f t="shared" si="48"/>
        <v>0</v>
      </c>
      <c r="AI11" s="241">
        <f>VLOOKUP(C11,Timesheet!D:DD,100,0)</f>
        <v>0</v>
      </c>
      <c r="AJ11" s="437">
        <f t="shared" si="61"/>
        <v>0</v>
      </c>
      <c r="AK11" s="231">
        <f>VLOOKUP(C11,Timesheet!D:DD,98,0)</f>
        <v>0</v>
      </c>
      <c r="AL11" s="232">
        <f t="shared" ref="AL11:AL14" si="65">J11*1.3*AK11</f>
        <v>0</v>
      </c>
      <c r="AM11" s="231"/>
      <c r="AN11" s="232">
        <f t="shared" si="49"/>
        <v>0</v>
      </c>
      <c r="AO11" s="173"/>
      <c r="AP11" s="174">
        <f t="shared" si="42"/>
        <v>0</v>
      </c>
      <c r="AQ11" s="496"/>
      <c r="AR11" s="497">
        <f t="shared" si="50"/>
        <v>0</v>
      </c>
      <c r="AS11" s="496"/>
      <c r="AT11" s="497">
        <f t="shared" ref="AT11:AT14" si="66">(J11*1.3*1.3)*AS11</f>
        <v>0</v>
      </c>
      <c r="AU11" s="496"/>
      <c r="AV11" s="497">
        <f t="shared" si="52"/>
        <v>0</v>
      </c>
      <c r="AW11" s="231">
        <v>0</v>
      </c>
      <c r="AX11" s="232">
        <f t="shared" si="53"/>
        <v>0</v>
      </c>
      <c r="AY11" s="231">
        <v>0</v>
      </c>
      <c r="AZ11" s="232">
        <f t="shared" ref="AZ11:AZ14" si="67">((J11*1.3)*1.3)*AY11</f>
        <v>0</v>
      </c>
      <c r="BA11" s="231">
        <v>0</v>
      </c>
      <c r="BB11" s="232">
        <f t="shared" si="55"/>
        <v>0</v>
      </c>
      <c r="BC11" s="231">
        <f>VLOOKUP(C11,Timesheet!D:DD,96,0)</f>
        <v>0</v>
      </c>
      <c r="BD11" s="232">
        <f>J11*1.6*BC11</f>
        <v>0</v>
      </c>
      <c r="BE11" s="231"/>
      <c r="BF11" s="174">
        <f t="shared" ref="BF11:BF14" si="68">(J11*2*1.3)*BE11</f>
        <v>0</v>
      </c>
      <c r="BG11" s="173">
        <f>VLOOKUP(C11,Timesheet!D:DD,101,0)</f>
        <v>0</v>
      </c>
      <c r="BH11" s="174">
        <f t="shared" si="58"/>
        <v>0</v>
      </c>
      <c r="BI11" s="175">
        <f t="shared" si="59"/>
        <v>0</v>
      </c>
      <c r="BJ11" s="175">
        <f t="shared" ref="BJ11:BJ14" si="69">-(AB11+AD11)</f>
        <v>0</v>
      </c>
      <c r="BK11" s="233">
        <f>Timesheet!CT6</f>
        <v>80</v>
      </c>
      <c r="BL11" s="92">
        <f t="shared" si="63"/>
        <v>0</v>
      </c>
      <c r="BM11" s="234"/>
      <c r="BN11" s="338" t="s">
        <v>224</v>
      </c>
      <c r="BO11" s="337" t="s">
        <v>225</v>
      </c>
      <c r="BQ11" s="237"/>
      <c r="BR11" s="499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500"/>
      <c r="CG11" s="501"/>
      <c r="CH11" s="245"/>
      <c r="CI11" s="502"/>
      <c r="CJ11" s="245"/>
      <c r="CK11" s="502"/>
      <c r="CL11" s="245"/>
      <c r="CM11" s="502"/>
      <c r="CN11" s="245"/>
      <c r="CO11" s="245"/>
      <c r="CP11" s="245"/>
      <c r="CQ11" s="503"/>
    </row>
    <row r="12" spans="1:95" s="240" customFormat="1">
      <c r="A12" s="238">
        <v>12</v>
      </c>
      <c r="B12" s="228">
        <v>25</v>
      </c>
      <c r="C12" s="489" t="s">
        <v>55</v>
      </c>
      <c r="D12" s="511" t="s">
        <v>214</v>
      </c>
      <c r="E12" s="504">
        <v>44929</v>
      </c>
      <c r="F12" s="512" t="s">
        <v>226</v>
      </c>
      <c r="G12" s="167">
        <v>255600</v>
      </c>
      <c r="H12" s="209">
        <f t="shared" si="44"/>
        <v>127800</v>
      </c>
      <c r="I12" s="209">
        <f t="shared" si="45"/>
        <v>11751.724137931034</v>
      </c>
      <c r="J12" s="209">
        <f t="shared" si="46"/>
        <v>1468.9655172413793</v>
      </c>
      <c r="K12" s="230"/>
      <c r="L12" s="230">
        <v>2000</v>
      </c>
      <c r="M12" s="230">
        <v>500</v>
      </c>
      <c r="N12" s="230">
        <v>300</v>
      </c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>
        <v>41395.83</v>
      </c>
      <c r="Z12" s="230"/>
      <c r="AA12" s="231">
        <f>VLOOKUP(C12,Timesheet!D:DD,99,0)/60</f>
        <v>0</v>
      </c>
      <c r="AB12" s="174">
        <f t="shared" si="40"/>
        <v>0</v>
      </c>
      <c r="AC12" s="173">
        <f>VLOOKUP(C12,Timesheet!D:DD,104,0)</f>
        <v>0</v>
      </c>
      <c r="AD12" s="174">
        <f t="shared" si="41"/>
        <v>0</v>
      </c>
      <c r="AE12" s="496"/>
      <c r="AF12" s="497">
        <f t="shared" si="64"/>
        <v>0</v>
      </c>
      <c r="AG12" s="241">
        <f>VLOOKUP(C12,Timesheet!D:DD,97,0)</f>
        <v>0</v>
      </c>
      <c r="AH12" s="232">
        <f t="shared" si="48"/>
        <v>0</v>
      </c>
      <c r="AI12" s="241">
        <f>VLOOKUP(C12,Timesheet!D:DD,100,0)</f>
        <v>0</v>
      </c>
      <c r="AJ12" s="437">
        <f>J12*0.1*AI12</f>
        <v>0</v>
      </c>
      <c r="AK12" s="231">
        <f>VLOOKUP(C12,Timesheet!D:DD,98,0)</f>
        <v>0</v>
      </c>
      <c r="AL12" s="232">
        <f t="shared" si="65"/>
        <v>0</v>
      </c>
      <c r="AM12" s="231"/>
      <c r="AN12" s="232">
        <f t="shared" si="49"/>
        <v>0</v>
      </c>
      <c r="AO12" s="173"/>
      <c r="AP12" s="174">
        <f t="shared" si="42"/>
        <v>0</v>
      </c>
      <c r="AQ12" s="496"/>
      <c r="AR12" s="497">
        <f t="shared" si="50"/>
        <v>0</v>
      </c>
      <c r="AS12" s="496"/>
      <c r="AT12" s="497">
        <f t="shared" si="66"/>
        <v>0</v>
      </c>
      <c r="AU12" s="496"/>
      <c r="AV12" s="497">
        <f t="shared" si="52"/>
        <v>0</v>
      </c>
      <c r="AW12" s="231">
        <v>0</v>
      </c>
      <c r="AX12" s="232">
        <f t="shared" si="53"/>
        <v>0</v>
      </c>
      <c r="AY12" s="231">
        <v>0</v>
      </c>
      <c r="AZ12" s="232">
        <f t="shared" si="67"/>
        <v>0</v>
      </c>
      <c r="BA12" s="231">
        <v>0</v>
      </c>
      <c r="BB12" s="232">
        <f t="shared" si="55"/>
        <v>0</v>
      </c>
      <c r="BC12" s="231">
        <f>VLOOKUP(C12,Timesheet!D:DD,96,0)</f>
        <v>0</v>
      </c>
      <c r="BD12" s="232">
        <f>J12*1.6*BC12</f>
        <v>0</v>
      </c>
      <c r="BE12" s="231"/>
      <c r="BF12" s="174">
        <f t="shared" si="68"/>
        <v>0</v>
      </c>
      <c r="BG12" s="173">
        <f>VLOOKUP(C12,Timesheet!D:DD,101,0)</f>
        <v>0</v>
      </c>
      <c r="BH12" s="174">
        <f t="shared" si="58"/>
        <v>0</v>
      </c>
      <c r="BI12" s="175">
        <f t="shared" si="59"/>
        <v>0</v>
      </c>
      <c r="BJ12" s="175">
        <f t="shared" si="69"/>
        <v>0</v>
      </c>
      <c r="BK12" s="233">
        <f>Timesheet!CT7</f>
        <v>72</v>
      </c>
      <c r="BL12" s="92">
        <f t="shared" si="63"/>
        <v>0</v>
      </c>
      <c r="BM12" s="234"/>
      <c r="BN12" s="339" t="s">
        <v>227</v>
      </c>
      <c r="BO12" s="513" t="s">
        <v>228</v>
      </c>
      <c r="BQ12" s="237"/>
      <c r="BR12" s="499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500"/>
      <c r="CG12" s="501"/>
      <c r="CH12" s="245"/>
      <c r="CI12" s="502"/>
      <c r="CJ12" s="245"/>
      <c r="CK12" s="502"/>
      <c r="CL12" s="245"/>
      <c r="CM12" s="502"/>
      <c r="CN12" s="245"/>
      <c r="CO12" s="245"/>
      <c r="CP12" s="245"/>
      <c r="CQ12" s="503"/>
    </row>
    <row r="13" spans="1:95" s="240" customFormat="1" ht="15" customHeight="1">
      <c r="A13" s="238">
        <v>15</v>
      </c>
      <c r="B13" s="228">
        <v>31</v>
      </c>
      <c r="C13" s="489" t="s">
        <v>56</v>
      </c>
      <c r="D13" s="494" t="s">
        <v>218</v>
      </c>
      <c r="E13" s="504">
        <v>44991</v>
      </c>
      <c r="F13" s="208" t="s">
        <v>215</v>
      </c>
      <c r="G13" s="167">
        <v>26000</v>
      </c>
      <c r="H13" s="209">
        <f t="shared" si="44"/>
        <v>13000</v>
      </c>
      <c r="I13" s="209">
        <f t="shared" si="45"/>
        <v>1195.4022988505747</v>
      </c>
      <c r="J13" s="209">
        <f t="shared" si="46"/>
        <v>149.42528735632183</v>
      </c>
      <c r="K13" s="230"/>
      <c r="L13" s="230">
        <v>1560</v>
      </c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9"/>
      <c r="Z13" s="230"/>
      <c r="AA13" s="231">
        <f>VLOOKUP(C13,Timesheet!D:DD,99,0)/60</f>
        <v>0</v>
      </c>
      <c r="AB13" s="174">
        <f t="shared" si="40"/>
        <v>0</v>
      </c>
      <c r="AC13" s="173">
        <f>VLOOKUP(C13,Timesheet!D:DD,104,0)</f>
        <v>0</v>
      </c>
      <c r="AD13" s="174">
        <f t="shared" si="41"/>
        <v>0</v>
      </c>
      <c r="AE13" s="496"/>
      <c r="AF13" s="497">
        <f t="shared" si="64"/>
        <v>0</v>
      </c>
      <c r="AG13" s="241">
        <f>VLOOKUP(C13,Timesheet!D:DD,97,0)</f>
        <v>0</v>
      </c>
      <c r="AH13" s="232">
        <f t="shared" si="48"/>
        <v>0</v>
      </c>
      <c r="AI13" s="241">
        <f>VLOOKUP(C13,Timesheet!D:DD,100,0)</f>
        <v>0</v>
      </c>
      <c r="AJ13" s="437">
        <f t="shared" ref="AJ13:AJ14" si="70">J13*0.1*AI13</f>
        <v>0</v>
      </c>
      <c r="AK13" s="231">
        <f>VLOOKUP(C13,Timesheet!D:DD,98,0)</f>
        <v>0</v>
      </c>
      <c r="AL13" s="232">
        <f t="shared" si="65"/>
        <v>0</v>
      </c>
      <c r="AM13" s="231"/>
      <c r="AN13" s="232">
        <f t="shared" si="49"/>
        <v>0</v>
      </c>
      <c r="AO13" s="173"/>
      <c r="AP13" s="174">
        <f t="shared" si="42"/>
        <v>0</v>
      </c>
      <c r="AQ13" s="496"/>
      <c r="AR13" s="497">
        <f t="shared" si="50"/>
        <v>0</v>
      </c>
      <c r="AS13" s="496"/>
      <c r="AT13" s="497">
        <f t="shared" si="66"/>
        <v>0</v>
      </c>
      <c r="AU13" s="496"/>
      <c r="AV13" s="497">
        <f t="shared" si="52"/>
        <v>0</v>
      </c>
      <c r="AW13" s="231">
        <v>0</v>
      </c>
      <c r="AX13" s="232">
        <f t="shared" si="53"/>
        <v>0</v>
      </c>
      <c r="AY13" s="231">
        <v>0</v>
      </c>
      <c r="AZ13" s="232">
        <f t="shared" si="67"/>
        <v>0</v>
      </c>
      <c r="BA13" s="231">
        <v>0</v>
      </c>
      <c r="BB13" s="232">
        <f t="shared" si="55"/>
        <v>0</v>
      </c>
      <c r="BC13" s="231">
        <f>VLOOKUP(C13,Timesheet!D:DD,96,0)</f>
        <v>8</v>
      </c>
      <c r="BD13" s="232">
        <f>J13*1.6*BC13</f>
        <v>1912.6436781609195</v>
      </c>
      <c r="BE13" s="242"/>
      <c r="BF13" s="174">
        <f t="shared" si="68"/>
        <v>0</v>
      </c>
      <c r="BG13" s="173">
        <f>VLOOKUP(C13,Timesheet!D:DD,101,0)</f>
        <v>0</v>
      </c>
      <c r="BH13" s="174">
        <f t="shared" si="58"/>
        <v>0</v>
      </c>
      <c r="BI13" s="175">
        <f t="shared" si="59"/>
        <v>1912.6436781609195</v>
      </c>
      <c r="BJ13" s="175">
        <f t="shared" si="69"/>
        <v>0</v>
      </c>
      <c r="BK13" s="233">
        <f>Timesheet!CT8</f>
        <v>80</v>
      </c>
      <c r="BL13" s="92">
        <f t="shared" si="63"/>
        <v>0</v>
      </c>
      <c r="BM13" s="234"/>
      <c r="BN13" s="338">
        <v>622972173</v>
      </c>
      <c r="BO13" s="520" t="s">
        <v>229</v>
      </c>
      <c r="BQ13" s="237"/>
      <c r="BR13" s="499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500"/>
      <c r="CG13" s="501"/>
      <c r="CH13" s="245"/>
      <c r="CI13" s="502"/>
      <c r="CJ13" s="245"/>
      <c r="CK13" s="502"/>
      <c r="CL13" s="245"/>
      <c r="CM13" s="502"/>
      <c r="CN13" s="245"/>
      <c r="CO13" s="245"/>
      <c r="CP13" s="245"/>
      <c r="CQ13" s="503"/>
    </row>
    <row r="14" spans="1:95" s="245" customFormat="1">
      <c r="A14" s="243">
        <v>19</v>
      </c>
      <c r="B14" s="228">
        <v>39</v>
      </c>
      <c r="C14" s="490" t="s">
        <v>57</v>
      </c>
      <c r="D14" s="494" t="s">
        <v>218</v>
      </c>
      <c r="E14" s="495">
        <v>45051</v>
      </c>
      <c r="F14" s="208" t="s">
        <v>215</v>
      </c>
      <c r="G14" s="246">
        <v>29680</v>
      </c>
      <c r="H14" s="210">
        <f t="shared" si="44"/>
        <v>14840</v>
      </c>
      <c r="I14" s="210">
        <f t="shared" si="45"/>
        <v>1364.5977011494253</v>
      </c>
      <c r="J14" s="210">
        <f t="shared" si="46"/>
        <v>170.57471264367817</v>
      </c>
      <c r="K14" s="243"/>
      <c r="L14" s="246">
        <v>2000</v>
      </c>
      <c r="M14" s="246">
        <v>500</v>
      </c>
      <c r="N14" s="246">
        <v>300</v>
      </c>
      <c r="O14" s="243"/>
      <c r="P14" s="243"/>
      <c r="Q14" s="230"/>
      <c r="R14" s="230"/>
      <c r="S14" s="230"/>
      <c r="T14" s="243"/>
      <c r="U14" s="243"/>
      <c r="V14" s="235"/>
      <c r="W14" s="246"/>
      <c r="X14" s="246"/>
      <c r="Y14" s="246"/>
      <c r="Z14" s="243"/>
      <c r="AA14" s="231">
        <f>VLOOKUP(C14,Timesheet!D:DD,99,0)/60</f>
        <v>0</v>
      </c>
      <c r="AB14" s="174">
        <f t="shared" si="40"/>
        <v>0</v>
      </c>
      <c r="AC14" s="173">
        <f>VLOOKUP(C14,Timesheet!D:DD,104,0)</f>
        <v>0</v>
      </c>
      <c r="AD14" s="174">
        <f t="shared" si="41"/>
        <v>0</v>
      </c>
      <c r="AE14" s="518"/>
      <c r="AF14" s="510">
        <f t="shared" si="64"/>
        <v>0</v>
      </c>
      <c r="AG14" s="241">
        <f>VLOOKUP(C14,Timesheet!D:DD,97,0)</f>
        <v>0</v>
      </c>
      <c r="AH14" s="232">
        <f t="shared" si="48"/>
        <v>0</v>
      </c>
      <c r="AI14" s="241">
        <f>VLOOKUP(C14,Timesheet!D:DD,100,0)</f>
        <v>9</v>
      </c>
      <c r="AJ14" s="438">
        <f t="shared" si="70"/>
        <v>153.51724137931035</v>
      </c>
      <c r="AK14" s="236">
        <f>VLOOKUP(C14,Timesheet!D:DD,98,0)</f>
        <v>0</v>
      </c>
      <c r="AL14" s="244">
        <f t="shared" si="65"/>
        <v>0</v>
      </c>
      <c r="AM14" s="236"/>
      <c r="AN14" s="232">
        <f t="shared" si="49"/>
        <v>0</v>
      </c>
      <c r="AO14" s="173"/>
      <c r="AP14" s="174">
        <f t="shared" si="42"/>
        <v>0</v>
      </c>
      <c r="AQ14" s="518"/>
      <c r="AR14" s="497">
        <f t="shared" si="50"/>
        <v>0</v>
      </c>
      <c r="AS14" s="518"/>
      <c r="AT14" s="510">
        <f t="shared" si="66"/>
        <v>0</v>
      </c>
      <c r="AU14" s="518"/>
      <c r="AV14" s="497">
        <f t="shared" si="52"/>
        <v>0</v>
      </c>
      <c r="AW14" s="231">
        <v>0</v>
      </c>
      <c r="AX14" s="232">
        <f t="shared" si="53"/>
        <v>0</v>
      </c>
      <c r="AY14" s="236">
        <v>0</v>
      </c>
      <c r="AZ14" s="244">
        <f t="shared" si="67"/>
        <v>0</v>
      </c>
      <c r="BA14" s="231">
        <v>0</v>
      </c>
      <c r="BB14" s="232">
        <f t="shared" si="55"/>
        <v>0</v>
      </c>
      <c r="BC14" s="231">
        <f>VLOOKUP(C14,Timesheet!D:DD,96,0)</f>
        <v>8</v>
      </c>
      <c r="BD14" s="232">
        <f t="shared" ref="BD14:BD16" si="71">J14*1.6*BC14</f>
        <v>2183.3563218390805</v>
      </c>
      <c r="BE14" s="236"/>
      <c r="BF14" s="174">
        <f t="shared" si="68"/>
        <v>0</v>
      </c>
      <c r="BG14" s="173">
        <f>VLOOKUP(C14,Timesheet!D:DD,101,0)</f>
        <v>1</v>
      </c>
      <c r="BH14" s="174">
        <f t="shared" si="58"/>
        <v>34.114942528735632</v>
      </c>
      <c r="BI14" s="175">
        <f t="shared" si="59"/>
        <v>2370.9885057471265</v>
      </c>
      <c r="BJ14" s="175">
        <f t="shared" si="69"/>
        <v>0</v>
      </c>
      <c r="BK14" s="233">
        <f>Timesheet!CT9</f>
        <v>76</v>
      </c>
      <c r="BL14" s="92">
        <f t="shared" si="63"/>
        <v>0</v>
      </c>
      <c r="BM14" s="234"/>
      <c r="BN14" s="334">
        <v>353612804</v>
      </c>
      <c r="BO14" s="335" t="s">
        <v>230</v>
      </c>
      <c r="BQ14" s="237"/>
      <c r="BR14" s="499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500"/>
      <c r="CG14" s="501"/>
      <c r="CI14" s="502"/>
      <c r="CK14" s="502"/>
      <c r="CM14" s="502"/>
      <c r="CQ14" s="503"/>
    </row>
    <row r="15" spans="1:95" s="248" customFormat="1">
      <c r="A15" s="243">
        <v>36</v>
      </c>
      <c r="B15" s="228">
        <v>73</v>
      </c>
      <c r="C15" s="491" t="s">
        <v>58</v>
      </c>
      <c r="D15" s="199" t="s">
        <v>214</v>
      </c>
      <c r="E15" s="504">
        <v>45293</v>
      </c>
      <c r="F15" s="505" t="s">
        <v>108</v>
      </c>
      <c r="G15" s="245">
        <v>90100</v>
      </c>
      <c r="H15" s="210">
        <f t="shared" si="44"/>
        <v>45050</v>
      </c>
      <c r="I15" s="210">
        <f t="shared" si="45"/>
        <v>4142.5287356321842</v>
      </c>
      <c r="J15" s="210">
        <f t="shared" si="46"/>
        <v>517.81609195402302</v>
      </c>
      <c r="K15"/>
      <c r="L15" s="235">
        <v>2000</v>
      </c>
      <c r="M15" s="235">
        <v>500</v>
      </c>
      <c r="N15" s="235">
        <v>300</v>
      </c>
      <c r="O15"/>
      <c r="P15"/>
      <c r="Q15" s="230"/>
      <c r="R15" s="506"/>
      <c r="S15"/>
      <c r="T15"/>
      <c r="U15"/>
      <c r="V15" s="507"/>
      <c r="W15" s="507"/>
      <c r="X15" s="507"/>
      <c r="Y15" s="506"/>
      <c r="Z15"/>
      <c r="AA15" s="231">
        <f>VLOOKUP(C15,Timesheet!D:DD,99,0)/60</f>
        <v>0</v>
      </c>
      <c r="AB15" s="174">
        <f t="shared" si="40"/>
        <v>0</v>
      </c>
      <c r="AC15" s="173">
        <f>VLOOKUP(C15,Timesheet!D:DD,104,0)</f>
        <v>0</v>
      </c>
      <c r="AD15" s="174">
        <f t="shared" si="41"/>
        <v>0</v>
      </c>
      <c r="AE15" s="508"/>
      <c r="AF15" s="509">
        <f t="shared" ref="AF15:AF20" si="72">J15*AE15</f>
        <v>0</v>
      </c>
      <c r="AG15" s="241">
        <f>VLOOKUP(C15,Timesheet!D:DD,97,0)</f>
        <v>0</v>
      </c>
      <c r="AH15" s="232">
        <f t="shared" si="48"/>
        <v>0</v>
      </c>
      <c r="AI15" s="241">
        <f>VLOOKUP(C15,Timesheet!D:DD,100,0)</f>
        <v>0</v>
      </c>
      <c r="AJ15" s="439">
        <f t="shared" ref="AJ15:AJ24" si="73">J15*0.1*AI15</f>
        <v>0</v>
      </c>
      <c r="AK15" s="251">
        <f>VLOOKUP(C15,Timesheet!D:DD,98,0)</f>
        <v>0</v>
      </c>
      <c r="AL15" s="252">
        <f t="shared" ref="AL15:AL24" si="74">J15*1.3*AK15</f>
        <v>0</v>
      </c>
      <c r="AM15" s="251"/>
      <c r="AN15" s="232">
        <f t="shared" si="49"/>
        <v>0</v>
      </c>
      <c r="AO15" s="173"/>
      <c r="AP15" s="174">
        <f t="shared" si="42"/>
        <v>0</v>
      </c>
      <c r="AQ15" s="508"/>
      <c r="AR15" s="497">
        <f t="shared" si="50"/>
        <v>0</v>
      </c>
      <c r="AS15" s="508"/>
      <c r="AT15" s="509">
        <f>(J15*1.3*1.3)*AS15</f>
        <v>0</v>
      </c>
      <c r="AU15" s="508"/>
      <c r="AV15" s="497">
        <f t="shared" si="52"/>
        <v>0</v>
      </c>
      <c r="AW15" s="231">
        <v>0</v>
      </c>
      <c r="AX15" s="252">
        <f t="shared" ref="AX15:AX24" si="75">(J15*0.3)*AW15</f>
        <v>0</v>
      </c>
      <c r="AY15" s="251">
        <v>0</v>
      </c>
      <c r="AZ15" s="244">
        <f t="shared" ref="AZ15:AZ29" si="76">((J15*1.3)*1.3)*AY15</f>
        <v>0</v>
      </c>
      <c r="BA15" s="231">
        <v>0</v>
      </c>
      <c r="BB15" s="252">
        <f t="shared" si="55"/>
        <v>0</v>
      </c>
      <c r="BC15" s="231">
        <f>VLOOKUP(C15,Timesheet!D:DD,96,0)</f>
        <v>0</v>
      </c>
      <c r="BD15" s="232">
        <f t="shared" si="71"/>
        <v>0</v>
      </c>
      <c r="BE15" s="251"/>
      <c r="BF15" s="174">
        <f t="shared" ref="BF15:BF20" si="77">(J15*2*1.3)*BE15</f>
        <v>0</v>
      </c>
      <c r="BG15" s="173">
        <f>VLOOKUP(C15,Timesheet!D:DD,101,0)</f>
        <v>0</v>
      </c>
      <c r="BH15" s="174">
        <f t="shared" si="58"/>
        <v>0</v>
      </c>
      <c r="BI15" s="175">
        <f t="shared" ref="BI15:BI24" si="78">AH15+AJ15+AL15+AN15+AP15+AR15+AT15+AV15+AX15+AZ15+BB15+BD15+BF15+BH15</f>
        <v>0</v>
      </c>
      <c r="BJ15" s="175">
        <f t="shared" ref="BJ15:BJ18" si="79">-(AB15+AD15)</f>
        <v>0</v>
      </c>
      <c r="BK15" s="233">
        <f>Timesheet!CT10</f>
        <v>80</v>
      </c>
      <c r="BL15" s="92">
        <f t="shared" si="63"/>
        <v>0</v>
      </c>
      <c r="BM15" s="234"/>
      <c r="BN15" s="334">
        <v>310744008</v>
      </c>
      <c r="BO15" s="335" t="s">
        <v>231</v>
      </c>
      <c r="BR15" s="499"/>
      <c r="BS15" s="235"/>
      <c r="BT15" s="235"/>
      <c r="BU15" s="235"/>
      <c r="BV15" s="235"/>
      <c r="BW15" s="235"/>
      <c r="BX15" s="235"/>
      <c r="BY15" s="235"/>
      <c r="BZ15" s="235"/>
      <c r="CA15" s="235"/>
      <c r="CB15" s="235"/>
      <c r="CC15" s="235"/>
      <c r="CD15" s="235"/>
      <c r="CE15" s="235"/>
      <c r="CF15" s="500"/>
      <c r="CG15" s="501"/>
      <c r="CH15" s="235"/>
      <c r="CI15" s="235"/>
    </row>
    <row r="16" spans="1:95" s="250" customFormat="1" ht="15" customHeight="1">
      <c r="A16" s="243">
        <v>37</v>
      </c>
      <c r="B16" s="228">
        <v>75</v>
      </c>
      <c r="C16" s="491" t="s">
        <v>59</v>
      </c>
      <c r="D16" s="199" t="s">
        <v>214</v>
      </c>
      <c r="E16" s="504">
        <v>45306</v>
      </c>
      <c r="F16" s="505" t="s">
        <v>232</v>
      </c>
      <c r="G16" s="245">
        <v>133125</v>
      </c>
      <c r="H16" s="210">
        <f t="shared" si="44"/>
        <v>66562.5</v>
      </c>
      <c r="I16" s="210">
        <f t="shared" si="45"/>
        <v>6120.6896551724139</v>
      </c>
      <c r="J16" s="210">
        <f t="shared" si="46"/>
        <v>765.08620689655174</v>
      </c>
      <c r="K16"/>
      <c r="L16" s="235">
        <v>2000</v>
      </c>
      <c r="M16" s="235">
        <v>500</v>
      </c>
      <c r="N16" s="235">
        <v>300</v>
      </c>
      <c r="O16"/>
      <c r="P16"/>
      <c r="Q16" s="230"/>
      <c r="R16" s="249"/>
      <c r="S16"/>
      <c r="T16"/>
      <c r="U16"/>
      <c r="V16" s="507"/>
      <c r="W16" s="507"/>
      <c r="X16" s="507"/>
      <c r="Y16" s="249"/>
      <c r="Z16" s="201"/>
      <c r="AA16" s="231">
        <f>VLOOKUP(C16,Timesheet!D:DD,99,0)/60</f>
        <v>0</v>
      </c>
      <c r="AB16" s="174">
        <f t="shared" si="40"/>
        <v>0</v>
      </c>
      <c r="AC16" s="173">
        <f>VLOOKUP(C16,Timesheet!D:DD,104,0)</f>
        <v>0</v>
      </c>
      <c r="AD16" s="174">
        <f t="shared" si="41"/>
        <v>0</v>
      </c>
      <c r="AE16" s="518"/>
      <c r="AF16" s="510">
        <f t="shared" si="72"/>
        <v>0</v>
      </c>
      <c r="AG16" s="241">
        <f>VLOOKUP(C16,Timesheet!D:DD,97,0)</f>
        <v>0</v>
      </c>
      <c r="AH16" s="232">
        <f>(J16*AG16*125%)</f>
        <v>0</v>
      </c>
      <c r="AI16" s="241">
        <f>VLOOKUP(C16,Timesheet!D:DD,100,0)</f>
        <v>40</v>
      </c>
      <c r="AJ16" s="438">
        <f t="shared" si="73"/>
        <v>3060.344827586207</v>
      </c>
      <c r="AK16" s="236">
        <f>VLOOKUP(C16,Timesheet!D:DD,98,0)</f>
        <v>0</v>
      </c>
      <c r="AL16" s="244">
        <f t="shared" si="74"/>
        <v>0</v>
      </c>
      <c r="AM16" s="236"/>
      <c r="AN16" s="232">
        <f t="shared" si="49"/>
        <v>0</v>
      </c>
      <c r="AO16" s="173"/>
      <c r="AP16" s="174">
        <f t="shared" si="42"/>
        <v>0</v>
      </c>
      <c r="AQ16" s="518"/>
      <c r="AR16" s="497">
        <f t="shared" si="50"/>
        <v>0</v>
      </c>
      <c r="AS16" s="518"/>
      <c r="AT16" s="510"/>
      <c r="AU16" s="518"/>
      <c r="AV16" s="497">
        <f t="shared" si="52"/>
        <v>0</v>
      </c>
      <c r="AW16" s="231">
        <v>0</v>
      </c>
      <c r="AX16" s="244">
        <f t="shared" si="75"/>
        <v>0</v>
      </c>
      <c r="AY16" s="236">
        <v>0</v>
      </c>
      <c r="AZ16" s="244">
        <f t="shared" si="76"/>
        <v>0</v>
      </c>
      <c r="BA16" s="231">
        <v>0</v>
      </c>
      <c r="BB16" s="244">
        <f t="shared" ref="BB16:BB24" si="80">((J16*0.3)*0.1)*BA16</f>
        <v>0</v>
      </c>
      <c r="BC16" s="231">
        <f>VLOOKUP(C16,Timesheet!D:DD,96,0)</f>
        <v>0</v>
      </c>
      <c r="BD16" s="232">
        <f t="shared" si="71"/>
        <v>0</v>
      </c>
      <c r="BE16" s="236"/>
      <c r="BF16" s="174">
        <f t="shared" si="77"/>
        <v>0</v>
      </c>
      <c r="BG16" s="173">
        <f>VLOOKUP(C16,Timesheet!D:DD,101,0)</f>
        <v>0</v>
      </c>
      <c r="BH16" s="174">
        <f t="shared" si="58"/>
        <v>0</v>
      </c>
      <c r="BI16" s="175">
        <f t="shared" si="78"/>
        <v>3060.344827586207</v>
      </c>
      <c r="BJ16" s="175">
        <f t="shared" si="79"/>
        <v>0</v>
      </c>
      <c r="BK16" s="233">
        <f>Timesheet!CT11</f>
        <v>80</v>
      </c>
      <c r="BL16" s="92">
        <f t="shared" si="63"/>
        <v>0</v>
      </c>
      <c r="BM16" s="234"/>
      <c r="BN16" s="334">
        <v>255082259</v>
      </c>
      <c r="BO16" s="519" t="s">
        <v>233</v>
      </c>
      <c r="BR16" s="499"/>
      <c r="BS16" s="235"/>
      <c r="BT16" s="235"/>
      <c r="BU16" s="235"/>
      <c r="BV16" s="235"/>
      <c r="BW16" s="235"/>
      <c r="BX16" s="235"/>
      <c r="BY16" s="235"/>
      <c r="BZ16" s="235"/>
      <c r="CA16" s="235"/>
      <c r="CB16" s="235"/>
      <c r="CC16" s="235"/>
      <c r="CD16" s="235"/>
      <c r="CE16" s="235"/>
      <c r="CF16" s="500"/>
      <c r="CG16" s="501"/>
    </row>
    <row r="17" spans="1:85" s="250" customFormat="1" ht="15" customHeight="1">
      <c r="A17" s="243">
        <v>39</v>
      </c>
      <c r="B17" s="228">
        <v>79</v>
      </c>
      <c r="C17" s="491" t="s">
        <v>60</v>
      </c>
      <c r="D17" s="199" t="s">
        <v>218</v>
      </c>
      <c r="E17" s="504">
        <v>45323</v>
      </c>
      <c r="F17" s="517" t="s">
        <v>107</v>
      </c>
      <c r="G17" s="245">
        <v>26250</v>
      </c>
      <c r="H17" s="210">
        <f t="shared" si="44"/>
        <v>13125</v>
      </c>
      <c r="I17" s="210">
        <f t="shared" si="45"/>
        <v>1206.8965517241379</v>
      </c>
      <c r="J17" s="210">
        <f t="shared" si="46"/>
        <v>150.86206896551724</v>
      </c>
      <c r="K17"/>
      <c r="L17" s="235">
        <v>2000</v>
      </c>
      <c r="M17" s="235">
        <v>500</v>
      </c>
      <c r="N17" s="235">
        <v>300</v>
      </c>
      <c r="O17"/>
      <c r="P17"/>
      <c r="Q17" s="230"/>
      <c r="R17" s="350"/>
      <c r="S17"/>
      <c r="T17"/>
      <c r="U17"/>
      <c r="V17" s="507"/>
      <c r="W17" s="507"/>
      <c r="X17" s="507"/>
      <c r="Y17" s="249"/>
      <c r="Z17"/>
      <c r="AA17" s="231">
        <f>VLOOKUP(C17,Timesheet!D:DD,99,0)/60</f>
        <v>0</v>
      </c>
      <c r="AB17" s="174">
        <f t="shared" si="40"/>
        <v>0</v>
      </c>
      <c r="AC17" s="173">
        <f>VLOOKUP(C17,Timesheet!D:DD,104,0)</f>
        <v>0</v>
      </c>
      <c r="AD17" s="174">
        <f t="shared" si="41"/>
        <v>0</v>
      </c>
      <c r="AE17" s="518"/>
      <c r="AF17" s="510">
        <f t="shared" si="72"/>
        <v>0</v>
      </c>
      <c r="AG17" s="241">
        <f>VLOOKUP(C17,Timesheet!D:DD,97,0)</f>
        <v>12</v>
      </c>
      <c r="AH17" s="232">
        <f t="shared" si="48"/>
        <v>2262.9310344827586</v>
      </c>
      <c r="AI17" s="241">
        <f>VLOOKUP(C17,Timesheet!D:DD,100,0)</f>
        <v>86</v>
      </c>
      <c r="AJ17" s="438">
        <f t="shared" si="73"/>
        <v>1297.4137931034484</v>
      </c>
      <c r="AK17" s="236">
        <f>VLOOKUP(C17,Timesheet!D:DD,98,0)</f>
        <v>6</v>
      </c>
      <c r="AL17" s="244">
        <f t="shared" si="74"/>
        <v>1176.7241379310344</v>
      </c>
      <c r="AM17" s="236"/>
      <c r="AN17" s="232">
        <f t="shared" si="49"/>
        <v>0</v>
      </c>
      <c r="AO17" s="173"/>
      <c r="AP17" s="174">
        <f t="shared" si="42"/>
        <v>0</v>
      </c>
      <c r="AQ17" s="518"/>
      <c r="AR17" s="497">
        <f t="shared" si="50"/>
        <v>0</v>
      </c>
      <c r="AS17" s="518"/>
      <c r="AT17" s="510"/>
      <c r="AU17" s="518"/>
      <c r="AV17" s="497">
        <f t="shared" si="52"/>
        <v>0</v>
      </c>
      <c r="AW17" s="231">
        <v>0</v>
      </c>
      <c r="AX17" s="244">
        <f t="shared" si="75"/>
        <v>0</v>
      </c>
      <c r="AY17" s="236">
        <v>0</v>
      </c>
      <c r="AZ17" s="244">
        <f t="shared" si="76"/>
        <v>0</v>
      </c>
      <c r="BA17" s="231">
        <v>0</v>
      </c>
      <c r="BB17" s="244">
        <f t="shared" si="80"/>
        <v>0</v>
      </c>
      <c r="BC17" s="231">
        <f>VLOOKUP(C17,Timesheet!D:DD,96,0)</f>
        <v>0</v>
      </c>
      <c r="BD17" s="244">
        <f t="shared" ref="BD17:BD24" si="81">J17*1*BC17</f>
        <v>0</v>
      </c>
      <c r="BE17" s="236"/>
      <c r="BF17" s="174">
        <f t="shared" si="77"/>
        <v>0</v>
      </c>
      <c r="BG17" s="173">
        <f>VLOOKUP(C17,Timesheet!D:DD,101,0)</f>
        <v>0</v>
      </c>
      <c r="BH17" s="174">
        <f t="shared" si="58"/>
        <v>0</v>
      </c>
      <c r="BI17" s="175">
        <f t="shared" si="78"/>
        <v>4737.0689655172409</v>
      </c>
      <c r="BJ17" s="175">
        <f t="shared" si="79"/>
        <v>0</v>
      </c>
      <c r="BK17" s="233">
        <f>Timesheet!CT12</f>
        <v>80</v>
      </c>
      <c r="BL17" s="92">
        <f t="shared" si="63"/>
        <v>0</v>
      </c>
      <c r="BM17" s="234"/>
      <c r="BN17" s="334">
        <v>435469247</v>
      </c>
      <c r="BO17" s="335" t="s">
        <v>234</v>
      </c>
      <c r="BR17" s="499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500"/>
      <c r="CG17" s="501"/>
    </row>
    <row r="18" spans="1:85" s="183" customFormat="1" ht="15" customHeight="1">
      <c r="A18" s="243">
        <v>41</v>
      </c>
      <c r="B18" s="228">
        <v>83</v>
      </c>
      <c r="C18" s="491" t="s">
        <v>61</v>
      </c>
      <c r="D18" s="296" t="s">
        <v>218</v>
      </c>
      <c r="E18" s="514">
        <v>45453</v>
      </c>
      <c r="F18" s="517" t="s">
        <v>107</v>
      </c>
      <c r="G18" s="92">
        <v>28646</v>
      </c>
      <c r="H18" s="210">
        <f t="shared" si="44"/>
        <v>14323</v>
      </c>
      <c r="I18" s="210">
        <f t="shared" si="45"/>
        <v>1317.0574712643679</v>
      </c>
      <c r="J18" s="210">
        <f t="shared" si="46"/>
        <v>164.63218390804599</v>
      </c>
      <c r="K18"/>
      <c r="L18" s="235">
        <v>2000</v>
      </c>
      <c r="M18" s="235">
        <v>500</v>
      </c>
      <c r="N18" s="235">
        <v>300</v>
      </c>
      <c r="O18"/>
      <c r="P18"/>
      <c r="Q18" s="230"/>
      <c r="R18" s="185"/>
      <c r="S18"/>
      <c r="T18"/>
      <c r="U18"/>
      <c r="V18" s="235"/>
      <c r="W18" s="507"/>
      <c r="X18" s="507"/>
      <c r="Y18" s="230"/>
      <c r="Z18"/>
      <c r="AA18" s="231">
        <f>VLOOKUP(C18,Timesheet!D:DD,99,0)/60</f>
        <v>0</v>
      </c>
      <c r="AB18" s="174">
        <f t="shared" si="40"/>
        <v>0</v>
      </c>
      <c r="AC18" s="173">
        <f>VLOOKUP(C18,Timesheet!D:DD,104,0)</f>
        <v>0</v>
      </c>
      <c r="AD18" s="174">
        <f t="shared" si="41"/>
        <v>0</v>
      </c>
      <c r="AE18" s="515"/>
      <c r="AF18" s="516">
        <f t="shared" si="72"/>
        <v>0</v>
      </c>
      <c r="AG18" s="241">
        <f>VLOOKUP(C18,Timesheet!D:DD,97,0)</f>
        <v>0</v>
      </c>
      <c r="AH18" s="174">
        <f t="shared" ref="AH18:AH24" si="82">(J18*AG18*125%)+((J18*AG18*10%)*25%)</f>
        <v>0</v>
      </c>
      <c r="AI18" s="241">
        <f>VLOOKUP(C18,Timesheet!D:DD,100,0)</f>
        <v>78</v>
      </c>
      <c r="AJ18" s="440">
        <f t="shared" si="73"/>
        <v>1284.1310344827587</v>
      </c>
      <c r="AK18" s="173">
        <f>VLOOKUP(C18,Timesheet!D:DD,98,0)</f>
        <v>0</v>
      </c>
      <c r="AL18" s="174">
        <f t="shared" si="74"/>
        <v>0</v>
      </c>
      <c r="AM18" s="173"/>
      <c r="AN18" s="232">
        <f t="shared" si="49"/>
        <v>0</v>
      </c>
      <c r="AO18" s="173"/>
      <c r="AP18" s="174">
        <f t="shared" si="42"/>
        <v>0</v>
      </c>
      <c r="AQ18" s="515"/>
      <c r="AR18" s="497">
        <f t="shared" si="50"/>
        <v>0</v>
      </c>
      <c r="AS18" s="515"/>
      <c r="AT18" s="516"/>
      <c r="AU18" s="515"/>
      <c r="AV18" s="497">
        <f t="shared" si="52"/>
        <v>0</v>
      </c>
      <c r="AW18" s="231">
        <v>0</v>
      </c>
      <c r="AX18" s="174">
        <f t="shared" si="75"/>
        <v>0</v>
      </c>
      <c r="AY18" s="173">
        <v>0</v>
      </c>
      <c r="AZ18" s="244">
        <f t="shared" si="76"/>
        <v>0</v>
      </c>
      <c r="BA18" s="231">
        <v>0</v>
      </c>
      <c r="BB18" s="174">
        <f t="shared" si="80"/>
        <v>0</v>
      </c>
      <c r="BC18" s="231">
        <f>VLOOKUP(C18,Timesheet!D:DD,96,0)</f>
        <v>2</v>
      </c>
      <c r="BD18" s="174">
        <f t="shared" si="81"/>
        <v>329.26436781609198</v>
      </c>
      <c r="BE18" s="173"/>
      <c r="BF18" s="174">
        <f t="shared" si="77"/>
        <v>0</v>
      </c>
      <c r="BG18" s="173">
        <f>VLOOKUP(C18,Timesheet!D:DD,101,0)</f>
        <v>2</v>
      </c>
      <c r="BH18" s="174">
        <f t="shared" ref="BH18:BH24" si="83">(J18*1*0.1)*BG18</f>
        <v>32.926436781609198</v>
      </c>
      <c r="BI18" s="175">
        <f t="shared" si="78"/>
        <v>1646.3218390804598</v>
      </c>
      <c r="BJ18" s="175">
        <f t="shared" si="79"/>
        <v>0</v>
      </c>
      <c r="BK18" s="233">
        <f>Timesheet!CT13</f>
        <v>78</v>
      </c>
      <c r="BL18" s="92">
        <f t="shared" si="63"/>
        <v>0</v>
      </c>
      <c r="BM18" s="234"/>
      <c r="BN18" s="334">
        <v>325896554</v>
      </c>
      <c r="BO18" s="335" t="s">
        <v>235</v>
      </c>
    </row>
    <row r="19" spans="1:85" s="183" customFormat="1" ht="15" customHeight="1">
      <c r="A19" s="243">
        <v>42</v>
      </c>
      <c r="B19" s="228">
        <v>85</v>
      </c>
      <c r="C19" s="491" t="s">
        <v>62</v>
      </c>
      <c r="D19" s="296" t="s">
        <v>218</v>
      </c>
      <c r="E19" s="514">
        <v>45461</v>
      </c>
      <c r="F19" s="505" t="s">
        <v>232</v>
      </c>
      <c r="G19" s="92">
        <v>187500</v>
      </c>
      <c r="H19" s="210">
        <f t="shared" si="44"/>
        <v>93750</v>
      </c>
      <c r="I19" s="210">
        <f t="shared" si="45"/>
        <v>8620.689655172413</v>
      </c>
      <c r="J19" s="210">
        <f t="shared" si="46"/>
        <v>1077.5862068965516</v>
      </c>
      <c r="K19"/>
      <c r="L19" s="235">
        <v>2000</v>
      </c>
      <c r="M19" s="235">
        <v>500</v>
      </c>
      <c r="N19" s="235">
        <v>300</v>
      </c>
      <c r="O19"/>
      <c r="P19"/>
      <c r="Q19" s="230"/>
      <c r="R19" s="191"/>
      <c r="S19"/>
      <c r="T19"/>
      <c r="U19"/>
      <c r="V19" s="507"/>
      <c r="W19" s="507"/>
      <c r="X19" s="507"/>
      <c r="Y19" s="185"/>
      <c r="Z19"/>
      <c r="AA19" s="231">
        <f>VLOOKUP(C19,Timesheet!D:DD,99,0)/60</f>
        <v>0</v>
      </c>
      <c r="AB19" s="174">
        <f t="shared" si="40"/>
        <v>0</v>
      </c>
      <c r="AC19" s="173">
        <f>VLOOKUP(C19,Timesheet!D:DD,104,0)</f>
        <v>0</v>
      </c>
      <c r="AD19" s="174">
        <f t="shared" si="41"/>
        <v>0</v>
      </c>
      <c r="AE19" s="515"/>
      <c r="AF19" s="516">
        <f>J19*AE19</f>
        <v>0</v>
      </c>
      <c r="AG19" s="241">
        <f>VLOOKUP(C19,Timesheet!D:DD,97,0)</f>
        <v>0</v>
      </c>
      <c r="AH19" s="174">
        <f t="shared" si="82"/>
        <v>0</v>
      </c>
      <c r="AI19" s="241">
        <f>VLOOKUP(C19,Timesheet!D:DD,100,0)</f>
        <v>20</v>
      </c>
      <c r="AJ19" s="440">
        <f>J19*0.1*AI19</f>
        <v>2155.1724137931033</v>
      </c>
      <c r="AK19" s="173">
        <f>VLOOKUP(C19,Timesheet!D:DD,98,0)</f>
        <v>0</v>
      </c>
      <c r="AL19" s="174">
        <f>J19*1.3*AK19</f>
        <v>0</v>
      </c>
      <c r="AM19" s="173"/>
      <c r="AN19" s="232">
        <f t="shared" si="49"/>
        <v>0</v>
      </c>
      <c r="AO19" s="173"/>
      <c r="AP19" s="174">
        <f t="shared" si="42"/>
        <v>0</v>
      </c>
      <c r="AQ19" s="515"/>
      <c r="AR19" s="497">
        <f t="shared" si="50"/>
        <v>0</v>
      </c>
      <c r="AS19" s="515"/>
      <c r="AT19" s="516"/>
      <c r="AU19" s="515"/>
      <c r="AV19" s="497">
        <f t="shared" si="52"/>
        <v>0</v>
      </c>
      <c r="AW19" s="231">
        <v>0</v>
      </c>
      <c r="AX19" s="174">
        <f>(J19*0.3)*AW19</f>
        <v>0</v>
      </c>
      <c r="AY19" s="173">
        <v>0</v>
      </c>
      <c r="AZ19" s="244">
        <f t="shared" si="76"/>
        <v>0</v>
      </c>
      <c r="BA19" s="231">
        <v>0</v>
      </c>
      <c r="BB19" s="174">
        <f>((J19*0.3)*0.1)*BA19</f>
        <v>0</v>
      </c>
      <c r="BC19" s="231">
        <f>VLOOKUP(C19,Timesheet!D:DD,96,0)</f>
        <v>0</v>
      </c>
      <c r="BD19" s="174">
        <f>J19*1*BC19</f>
        <v>0</v>
      </c>
      <c r="BE19" s="173"/>
      <c r="BF19" s="174">
        <f>(J19*2*1.3)*BE19</f>
        <v>0</v>
      </c>
      <c r="BG19" s="173">
        <f>VLOOKUP(C19,Timesheet!D:DD,101,0)</f>
        <v>0</v>
      </c>
      <c r="BH19" s="174">
        <f t="shared" si="83"/>
        <v>0</v>
      </c>
      <c r="BI19" s="175">
        <f>AH19+AJ19+AL19+AN19+AP19+AR19+AT19+AV19+AX19+AZ19+BB19+BD19+BF19+BH19</f>
        <v>2155.1724137931033</v>
      </c>
      <c r="BJ19" s="175">
        <f>-(AB19+AD19)</f>
        <v>0</v>
      </c>
      <c r="BK19" s="233">
        <f>Timesheet!CT14</f>
        <v>80</v>
      </c>
      <c r="BL19" s="92">
        <f t="shared" si="63"/>
        <v>0</v>
      </c>
      <c r="BM19" s="234"/>
      <c r="BN19" s="334">
        <v>419094830</v>
      </c>
      <c r="BO19" s="335" t="s">
        <v>236</v>
      </c>
    </row>
    <row r="20" spans="1:85" s="183" customFormat="1" ht="15" customHeight="1">
      <c r="A20" s="243">
        <v>43</v>
      </c>
      <c r="B20" s="228">
        <v>87</v>
      </c>
      <c r="C20" s="491" t="s">
        <v>63</v>
      </c>
      <c r="D20" s="296" t="s">
        <v>218</v>
      </c>
      <c r="E20" s="514">
        <v>45488</v>
      </c>
      <c r="F20" s="505" t="s">
        <v>108</v>
      </c>
      <c r="G20" s="92">
        <v>102816</v>
      </c>
      <c r="H20" s="210">
        <f t="shared" si="44"/>
        <v>51408</v>
      </c>
      <c r="I20" s="210">
        <f t="shared" si="45"/>
        <v>4727.1724137931033</v>
      </c>
      <c r="J20" s="210">
        <f t="shared" si="46"/>
        <v>590.89655172413791</v>
      </c>
      <c r="K20"/>
      <c r="L20" s="235">
        <v>2000</v>
      </c>
      <c r="M20" s="235">
        <v>500</v>
      </c>
      <c r="N20" s="235">
        <v>300</v>
      </c>
      <c r="O20"/>
      <c r="P20"/>
      <c r="Q20" s="230"/>
      <c r="R20" s="191"/>
      <c r="S20"/>
      <c r="T20"/>
      <c r="U20"/>
      <c r="V20" s="507"/>
      <c r="W20" s="507"/>
      <c r="X20" s="507"/>
      <c r="Y20" s="185"/>
      <c r="Z20"/>
      <c r="AA20" s="231">
        <f>VLOOKUP(C20,Timesheet!D:DD,99,0)/60</f>
        <v>0</v>
      </c>
      <c r="AB20" s="174">
        <f t="shared" si="40"/>
        <v>0</v>
      </c>
      <c r="AC20" s="173">
        <f>VLOOKUP(C20,Timesheet!D:DD,104,0)</f>
        <v>3</v>
      </c>
      <c r="AD20" s="174">
        <f t="shared" si="41"/>
        <v>14181.51724137931</v>
      </c>
      <c r="AE20" s="515"/>
      <c r="AF20" s="516">
        <f t="shared" si="72"/>
        <v>0</v>
      </c>
      <c r="AG20" s="241">
        <f>VLOOKUP(C20,Timesheet!D:DD,97,0)</f>
        <v>0</v>
      </c>
      <c r="AH20" s="174">
        <f t="shared" si="82"/>
        <v>0</v>
      </c>
      <c r="AI20" s="241">
        <f>VLOOKUP(C20,Timesheet!D:DD,100,0)</f>
        <v>0</v>
      </c>
      <c r="AJ20" s="440">
        <f t="shared" si="73"/>
        <v>0</v>
      </c>
      <c r="AK20" s="173">
        <f>VLOOKUP(C20,Timesheet!D:DD,98,0)</f>
        <v>0</v>
      </c>
      <c r="AL20" s="174">
        <f t="shared" si="74"/>
        <v>0</v>
      </c>
      <c r="AM20" s="173"/>
      <c r="AN20" s="232">
        <f t="shared" si="49"/>
        <v>0</v>
      </c>
      <c r="AO20" s="173"/>
      <c r="AP20" s="174">
        <f t="shared" si="42"/>
        <v>0</v>
      </c>
      <c r="AQ20" s="515"/>
      <c r="AR20" s="497">
        <f t="shared" si="50"/>
        <v>0</v>
      </c>
      <c r="AS20" s="515"/>
      <c r="AT20" s="516"/>
      <c r="AU20" s="515"/>
      <c r="AV20" s="497">
        <f t="shared" si="52"/>
        <v>0</v>
      </c>
      <c r="AW20" s="231">
        <v>0</v>
      </c>
      <c r="AX20" s="174">
        <f t="shared" si="75"/>
        <v>0</v>
      </c>
      <c r="AY20" s="173">
        <v>0</v>
      </c>
      <c r="AZ20" s="244">
        <f t="shared" si="76"/>
        <v>0</v>
      </c>
      <c r="BA20" s="231">
        <v>0</v>
      </c>
      <c r="BB20" s="174">
        <f t="shared" si="80"/>
        <v>0</v>
      </c>
      <c r="BC20" s="231">
        <f>VLOOKUP(C20,Timesheet!D:DD,96,0)</f>
        <v>0</v>
      </c>
      <c r="BD20" s="174">
        <f t="shared" si="81"/>
        <v>0</v>
      </c>
      <c r="BE20" s="173"/>
      <c r="BF20" s="174">
        <f t="shared" si="77"/>
        <v>0</v>
      </c>
      <c r="BG20" s="173">
        <f>VLOOKUP(C20,Timesheet!D:DD,101,0)</f>
        <v>0</v>
      </c>
      <c r="BH20" s="174">
        <f t="shared" si="83"/>
        <v>0</v>
      </c>
      <c r="BI20" s="175">
        <f t="shared" si="78"/>
        <v>0</v>
      </c>
      <c r="BJ20" s="175">
        <f>-(AB20+AD20)</f>
        <v>-14181.51724137931</v>
      </c>
      <c r="BK20" s="233">
        <f>Timesheet!CT15</f>
        <v>0</v>
      </c>
      <c r="BL20" s="92">
        <f t="shared" si="63"/>
        <v>0</v>
      </c>
      <c r="BM20" s="234"/>
      <c r="BN20" s="334">
        <v>428347497</v>
      </c>
      <c r="BO20" s="335" t="s">
        <v>237</v>
      </c>
    </row>
    <row r="21" spans="1:85" s="183" customFormat="1" ht="15" customHeight="1">
      <c r="A21" s="333">
        <v>44</v>
      </c>
      <c r="B21" s="228">
        <v>89</v>
      </c>
      <c r="C21" s="491" t="s">
        <v>64</v>
      </c>
      <c r="D21" s="296" t="s">
        <v>218</v>
      </c>
      <c r="E21" s="351">
        <v>45539</v>
      </c>
      <c r="F21" s="208" t="s">
        <v>215</v>
      </c>
      <c r="G21" s="92">
        <v>24700</v>
      </c>
      <c r="H21" s="210">
        <f t="shared" si="44"/>
        <v>12350</v>
      </c>
      <c r="I21" s="210">
        <f t="shared" si="45"/>
        <v>1135.632183908046</v>
      </c>
      <c r="J21" s="210">
        <f t="shared" si="46"/>
        <v>141.95402298850576</v>
      </c>
      <c r="K21"/>
      <c r="L21" s="235">
        <v>2000</v>
      </c>
      <c r="M21" s="235">
        <v>500</v>
      </c>
      <c r="N21" s="235">
        <v>300</v>
      </c>
      <c r="O21"/>
      <c r="P21"/>
      <c r="Q21" s="230"/>
      <c r="R21" s="191"/>
      <c r="S21"/>
      <c r="T21"/>
      <c r="U21"/>
      <c r="V21" s="507">
        <v>697.88</v>
      </c>
      <c r="W21" s="507"/>
      <c r="X21" s="507">
        <v>697.88</v>
      </c>
      <c r="Y21" s="185"/>
      <c r="Z21"/>
      <c r="AA21" s="231">
        <f>VLOOKUP(C21,Timesheet!D:DD,99,0)/60</f>
        <v>0</v>
      </c>
      <c r="AB21" s="174">
        <f t="shared" si="40"/>
        <v>0</v>
      </c>
      <c r="AC21" s="173">
        <f>VLOOKUP(C21,Timesheet!D:DD,104,0)</f>
        <v>0</v>
      </c>
      <c r="AD21" s="174">
        <f t="shared" si="41"/>
        <v>0</v>
      </c>
      <c r="AE21" s="515"/>
      <c r="AF21" s="516"/>
      <c r="AG21" s="241">
        <f>VLOOKUP(C21,Timesheet!D:DD,97,0)</f>
        <v>0</v>
      </c>
      <c r="AH21" s="174">
        <f t="shared" si="82"/>
        <v>0</v>
      </c>
      <c r="AI21" s="241">
        <f>VLOOKUP(C21,Timesheet!D:DD,100,0)</f>
        <v>62</v>
      </c>
      <c r="AJ21" s="440">
        <f t="shared" si="73"/>
        <v>880.1149425287357</v>
      </c>
      <c r="AK21" s="173">
        <f>VLOOKUP(C21,Timesheet!D:DD,98,0)</f>
        <v>0</v>
      </c>
      <c r="AL21" s="174">
        <f t="shared" si="74"/>
        <v>0</v>
      </c>
      <c r="AM21" s="173"/>
      <c r="AN21" s="232">
        <f t="shared" si="49"/>
        <v>0</v>
      </c>
      <c r="AO21" s="173"/>
      <c r="AP21" s="174">
        <f t="shared" si="42"/>
        <v>0</v>
      </c>
      <c r="AQ21" s="515"/>
      <c r="AR21" s="497">
        <f t="shared" si="50"/>
        <v>0</v>
      </c>
      <c r="AS21" s="515"/>
      <c r="AT21" s="516"/>
      <c r="AU21" s="515"/>
      <c r="AV21" s="497">
        <f t="shared" si="52"/>
        <v>0</v>
      </c>
      <c r="AW21" s="231">
        <v>0</v>
      </c>
      <c r="AX21" s="174">
        <f t="shared" si="75"/>
        <v>0</v>
      </c>
      <c r="AY21" s="173">
        <v>0</v>
      </c>
      <c r="AZ21" s="244">
        <f t="shared" si="76"/>
        <v>0</v>
      </c>
      <c r="BA21" s="231">
        <v>0</v>
      </c>
      <c r="BB21" s="174">
        <f t="shared" si="80"/>
        <v>0</v>
      </c>
      <c r="BC21" s="231">
        <f>VLOOKUP(C21,Timesheet!D:DD,96,0)</f>
        <v>3</v>
      </c>
      <c r="BD21" s="174">
        <f t="shared" si="81"/>
        <v>425.86206896551727</v>
      </c>
      <c r="BE21" s="173"/>
      <c r="BF21" s="174"/>
      <c r="BG21" s="173">
        <f>VLOOKUP(C21,Timesheet!D:DD,101,0)</f>
        <v>2</v>
      </c>
      <c r="BH21" s="174">
        <f t="shared" si="83"/>
        <v>28.390804597701152</v>
      </c>
      <c r="BI21" s="175">
        <f t="shared" si="78"/>
        <v>1334.3678160919542</v>
      </c>
      <c r="BJ21" s="175">
        <f t="shared" ref="BJ21:BJ25" si="84">-(AB21+AD21)</f>
        <v>0</v>
      </c>
      <c r="BK21" s="233">
        <f>Timesheet!CT16</f>
        <v>85</v>
      </c>
      <c r="BL21" s="92">
        <f t="shared" si="63"/>
        <v>0</v>
      </c>
      <c r="BM21" s="234"/>
      <c r="BN21" s="334">
        <v>720012795</v>
      </c>
      <c r="BO21" s="335" t="s">
        <v>238</v>
      </c>
    </row>
    <row r="22" spans="1:85" s="423" customFormat="1" ht="15" customHeight="1">
      <c r="A22" s="333">
        <v>45</v>
      </c>
      <c r="B22" s="396">
        <v>91</v>
      </c>
      <c r="C22" s="491" t="s">
        <v>65</v>
      </c>
      <c r="D22" s="296" t="s">
        <v>218</v>
      </c>
      <c r="E22" s="351">
        <v>45600</v>
      </c>
      <c r="F22" s="418" t="s">
        <v>108</v>
      </c>
      <c r="G22" s="92">
        <v>85000</v>
      </c>
      <c r="H22" s="419">
        <f t="shared" si="44"/>
        <v>42500</v>
      </c>
      <c r="I22" s="419">
        <f t="shared" si="45"/>
        <v>3908.0459770114944</v>
      </c>
      <c r="J22" s="419">
        <f t="shared" si="46"/>
        <v>488.5057471264368</v>
      </c>
      <c r="K22" s="420"/>
      <c r="L22" s="405">
        <v>2000</v>
      </c>
      <c r="M22" s="405">
        <v>500</v>
      </c>
      <c r="N22" s="405">
        <v>300</v>
      </c>
      <c r="O22" s="420"/>
      <c r="P22" s="420"/>
      <c r="Q22" s="400"/>
      <c r="R22" s="421"/>
      <c r="S22" s="420"/>
      <c r="T22" s="420"/>
      <c r="U22" s="420"/>
      <c r="V22" s="406"/>
      <c r="W22" s="406"/>
      <c r="X22" s="406"/>
      <c r="Y22" s="422"/>
      <c r="Z22" s="420"/>
      <c r="AA22" s="231">
        <f>VLOOKUP(C22,Timesheet!D:DD,99,0)/60</f>
        <v>0</v>
      </c>
      <c r="AB22" s="174">
        <f>AA22*J22</f>
        <v>0</v>
      </c>
      <c r="AC22" s="173">
        <f>VLOOKUP(C22,Timesheet!D:DD,104,0)</f>
        <v>0</v>
      </c>
      <c r="AD22" s="174">
        <f>I22*AC22</f>
        <v>0</v>
      </c>
      <c r="AE22" s="173"/>
      <c r="AF22" s="174"/>
      <c r="AG22" s="241">
        <f>VLOOKUP(C22,Timesheet!D:DD,97,0)</f>
        <v>12</v>
      </c>
      <c r="AH22" s="174">
        <f t="shared" si="82"/>
        <v>7474.1379310344837</v>
      </c>
      <c r="AI22" s="241">
        <f>VLOOKUP(C22,Timesheet!D:DD,100,0)</f>
        <v>72</v>
      </c>
      <c r="AJ22" s="440">
        <f>J22*0.1*AI22</f>
        <v>3517.2413793103451</v>
      </c>
      <c r="AK22" s="173">
        <f>VLOOKUP(C22,Timesheet!D:DD,98,0)</f>
        <v>0</v>
      </c>
      <c r="AL22" s="174">
        <f t="shared" si="74"/>
        <v>0</v>
      </c>
      <c r="AM22" s="173"/>
      <c r="AN22" s="232">
        <f t="shared" si="49"/>
        <v>0</v>
      </c>
      <c r="AO22" s="173"/>
      <c r="AP22" s="174">
        <f t="shared" ref="AP22:AP24" si="85">(J22*130%*10%)*AO22</f>
        <v>0</v>
      </c>
      <c r="AQ22" s="173"/>
      <c r="AR22" s="293">
        <f t="shared" si="50"/>
        <v>0</v>
      </c>
      <c r="AS22" s="173"/>
      <c r="AT22" s="174"/>
      <c r="AU22" s="173"/>
      <c r="AV22" s="293">
        <f t="shared" si="52"/>
        <v>0</v>
      </c>
      <c r="AW22" s="231">
        <v>0</v>
      </c>
      <c r="AX22" s="174">
        <f>(J22*0.3)*AW22</f>
        <v>0</v>
      </c>
      <c r="AY22" s="173">
        <v>0</v>
      </c>
      <c r="AZ22" s="174">
        <f t="shared" si="76"/>
        <v>0</v>
      </c>
      <c r="BA22" s="231">
        <v>0</v>
      </c>
      <c r="BB22" s="174">
        <f>((J22*0.3)*0.1)*BA22</f>
        <v>0</v>
      </c>
      <c r="BC22" s="231">
        <f>VLOOKUP(C22,Timesheet!D:DD,96,0)</f>
        <v>0</v>
      </c>
      <c r="BD22" s="174">
        <f>J22*1*BC22</f>
        <v>0</v>
      </c>
      <c r="BE22" s="173"/>
      <c r="BF22" s="174"/>
      <c r="BG22" s="173">
        <f>VLOOKUP(C22,Timesheet!D:DD,101,0)</f>
        <v>0</v>
      </c>
      <c r="BH22" s="174">
        <f t="shared" si="83"/>
        <v>0</v>
      </c>
      <c r="BI22" s="175">
        <f>AH22+AJ22+AL22+AN22+AP22+AR22+AT22+AV22+AX22+AZ22+BB22+BD22+BF22+BH22</f>
        <v>10991.37931034483</v>
      </c>
      <c r="BJ22" s="175">
        <f t="shared" si="84"/>
        <v>0</v>
      </c>
      <c r="BK22" s="233">
        <f>Timesheet!CT17</f>
        <v>72</v>
      </c>
      <c r="BL22" s="402">
        <f t="shared" si="63"/>
        <v>0</v>
      </c>
      <c r="BM22" s="234"/>
      <c r="BN22" s="334">
        <v>288391366</v>
      </c>
      <c r="BO22" s="340" t="s">
        <v>239</v>
      </c>
    </row>
    <row r="23" spans="1:85" s="183" customFormat="1" ht="15" customHeight="1">
      <c r="A23" s="333">
        <v>46</v>
      </c>
      <c r="B23" s="228">
        <v>93</v>
      </c>
      <c r="C23" s="491" t="s">
        <v>66</v>
      </c>
      <c r="D23" s="296" t="s">
        <v>218</v>
      </c>
      <c r="E23" s="351">
        <v>45600</v>
      </c>
      <c r="F23" s="247" t="s">
        <v>108</v>
      </c>
      <c r="G23" s="92">
        <v>130000</v>
      </c>
      <c r="H23" s="210">
        <f t="shared" si="44"/>
        <v>65000</v>
      </c>
      <c r="I23" s="210">
        <f t="shared" si="45"/>
        <v>5977.0114942528735</v>
      </c>
      <c r="J23" s="210">
        <f t="shared" si="46"/>
        <v>747.12643678160919</v>
      </c>
      <c r="K23"/>
      <c r="L23" s="235">
        <v>2000</v>
      </c>
      <c r="M23" s="235">
        <v>500</v>
      </c>
      <c r="N23" s="235">
        <v>300</v>
      </c>
      <c r="O23"/>
      <c r="P23"/>
      <c r="Q23" s="229"/>
      <c r="R23" s="191"/>
      <c r="S23"/>
      <c r="T23"/>
      <c r="U23"/>
      <c r="V23" s="387">
        <v>1845.8</v>
      </c>
      <c r="W23" s="387"/>
      <c r="X23" s="387"/>
      <c r="Y23" s="185"/>
      <c r="Z23"/>
      <c r="AA23" s="231">
        <f>VLOOKUP(C23,Timesheet!D:DD,99,0)/60</f>
        <v>0</v>
      </c>
      <c r="AB23" s="174">
        <f t="shared" ref="AB23" si="86">AA23*J23</f>
        <v>0</v>
      </c>
      <c r="AC23" s="173">
        <f>VLOOKUP(C23,Timesheet!D:DD,104,0)</f>
        <v>0</v>
      </c>
      <c r="AD23" s="174">
        <f t="shared" ref="AD23:AD24" si="87">I23*AC23</f>
        <v>0</v>
      </c>
      <c r="AE23" s="173"/>
      <c r="AF23" s="174"/>
      <c r="AG23" s="241">
        <f>VLOOKUP(C23,Timesheet!D:DD,97,0)</f>
        <v>6</v>
      </c>
      <c r="AH23" s="174">
        <f t="shared" si="82"/>
        <v>5715.5172413793098</v>
      </c>
      <c r="AI23" s="241">
        <f>VLOOKUP(C23,Timesheet!D:DD,100,0)</f>
        <v>48</v>
      </c>
      <c r="AJ23" s="440">
        <f t="shared" si="73"/>
        <v>3586.2068965517237</v>
      </c>
      <c r="AK23" s="173">
        <f>VLOOKUP(C23,Timesheet!D:DD,98,0)</f>
        <v>0</v>
      </c>
      <c r="AL23" s="174">
        <f t="shared" si="74"/>
        <v>0</v>
      </c>
      <c r="AM23" s="173"/>
      <c r="AN23" s="232">
        <f t="shared" si="49"/>
        <v>0</v>
      </c>
      <c r="AO23" s="173"/>
      <c r="AP23" s="174">
        <f t="shared" si="85"/>
        <v>0</v>
      </c>
      <c r="AQ23" s="173"/>
      <c r="AR23" s="232">
        <f t="shared" si="50"/>
        <v>0</v>
      </c>
      <c r="AS23" s="173"/>
      <c r="AT23" s="174"/>
      <c r="AU23" s="173"/>
      <c r="AV23" s="232">
        <f t="shared" si="52"/>
        <v>0</v>
      </c>
      <c r="AW23" s="231">
        <v>0</v>
      </c>
      <c r="AX23" s="174">
        <f t="shared" si="75"/>
        <v>0</v>
      </c>
      <c r="AY23" s="173">
        <v>0</v>
      </c>
      <c r="AZ23" s="244">
        <f t="shared" si="76"/>
        <v>0</v>
      </c>
      <c r="BA23" s="231">
        <v>0</v>
      </c>
      <c r="BB23" s="174">
        <f t="shared" si="80"/>
        <v>0</v>
      </c>
      <c r="BC23" s="231">
        <f>VLOOKUP(C23,Timesheet!D:DD,96,0)</f>
        <v>0</v>
      </c>
      <c r="BD23" s="174">
        <f t="shared" si="81"/>
        <v>0</v>
      </c>
      <c r="BE23" s="173"/>
      <c r="BF23" s="174"/>
      <c r="BG23" s="173">
        <f>VLOOKUP(C23,Timesheet!D:DD,101,0)</f>
        <v>0</v>
      </c>
      <c r="BH23" s="174">
        <f t="shared" si="83"/>
        <v>0</v>
      </c>
      <c r="BI23" s="175">
        <f t="shared" si="78"/>
        <v>9301.7241379310326</v>
      </c>
      <c r="BJ23" s="175">
        <f t="shared" si="84"/>
        <v>0</v>
      </c>
      <c r="BK23" s="233">
        <f>Timesheet!CT18</f>
        <v>80</v>
      </c>
      <c r="BL23" s="402">
        <f t="shared" si="63"/>
        <v>0</v>
      </c>
      <c r="BM23" s="234"/>
      <c r="BN23" s="352">
        <v>307812652</v>
      </c>
      <c r="BO23" s="354" t="s">
        <v>240</v>
      </c>
    </row>
    <row r="24" spans="1:85" s="183" customFormat="1" ht="15" customHeight="1">
      <c r="A24" s="333">
        <v>47</v>
      </c>
      <c r="B24" s="228">
        <v>95</v>
      </c>
      <c r="C24" s="491" t="s">
        <v>67</v>
      </c>
      <c r="D24" s="296" t="s">
        <v>218</v>
      </c>
      <c r="E24" s="351">
        <v>45600</v>
      </c>
      <c r="F24" s="247" t="s">
        <v>107</v>
      </c>
      <c r="G24" s="92">
        <v>30000</v>
      </c>
      <c r="H24" s="210">
        <f t="shared" si="44"/>
        <v>15000</v>
      </c>
      <c r="I24" s="210">
        <f t="shared" si="45"/>
        <v>1379.3103448275863</v>
      </c>
      <c r="J24" s="210">
        <f t="shared" si="46"/>
        <v>172.41379310344828</v>
      </c>
      <c r="K24"/>
      <c r="L24" s="235">
        <v>2000</v>
      </c>
      <c r="M24" s="235">
        <v>500</v>
      </c>
      <c r="N24" s="235">
        <v>300</v>
      </c>
      <c r="O24"/>
      <c r="P24"/>
      <c r="Q24" s="229"/>
      <c r="R24" s="191"/>
      <c r="S24"/>
      <c r="T24"/>
      <c r="U24"/>
      <c r="V24" s="387"/>
      <c r="W24" s="387"/>
      <c r="X24" s="387"/>
      <c r="Y24" s="387"/>
      <c r="Z24"/>
      <c r="AA24" s="231">
        <f>VLOOKUP(C24,Timesheet!D:DD,99,0)/60</f>
        <v>0</v>
      </c>
      <c r="AB24" s="174">
        <f t="shared" ref="AB24:AB29" si="88">AA24*J24</f>
        <v>0</v>
      </c>
      <c r="AC24" s="173">
        <f>VLOOKUP(C24,Timesheet!D:DD,104,0)</f>
        <v>1</v>
      </c>
      <c r="AD24" s="174">
        <f t="shared" si="87"/>
        <v>1379.3103448275863</v>
      </c>
      <c r="AE24" s="173"/>
      <c r="AF24" s="174"/>
      <c r="AG24" s="241">
        <f>VLOOKUP(C24,Timesheet!D:DD,97,0)</f>
        <v>0</v>
      </c>
      <c r="AH24" s="174">
        <f t="shared" si="82"/>
        <v>0</v>
      </c>
      <c r="AI24" s="241">
        <f>VLOOKUP(C24,Timesheet!D:DD,100,0)</f>
        <v>14</v>
      </c>
      <c r="AJ24" s="440">
        <f t="shared" si="73"/>
        <v>241.37931034482762</v>
      </c>
      <c r="AK24" s="173">
        <f>VLOOKUP(C24,Timesheet!D:DD,98,0)</f>
        <v>0</v>
      </c>
      <c r="AL24" s="174">
        <f t="shared" si="74"/>
        <v>0</v>
      </c>
      <c r="AM24" s="173"/>
      <c r="AN24" s="232">
        <f t="shared" si="49"/>
        <v>0</v>
      </c>
      <c r="AO24" s="173"/>
      <c r="AP24" s="174">
        <f t="shared" si="85"/>
        <v>0</v>
      </c>
      <c r="AQ24" s="173"/>
      <c r="AR24" s="232">
        <f t="shared" si="50"/>
        <v>0</v>
      </c>
      <c r="AS24" s="173"/>
      <c r="AT24" s="174"/>
      <c r="AU24" s="173"/>
      <c r="AV24" s="232">
        <f t="shared" si="52"/>
        <v>0</v>
      </c>
      <c r="AW24" s="231">
        <v>0</v>
      </c>
      <c r="AX24" s="174">
        <f t="shared" si="75"/>
        <v>0</v>
      </c>
      <c r="AY24" s="173">
        <v>0</v>
      </c>
      <c r="AZ24" s="244">
        <f t="shared" si="76"/>
        <v>0</v>
      </c>
      <c r="BA24" s="231">
        <v>0</v>
      </c>
      <c r="BB24" s="174">
        <f t="shared" si="80"/>
        <v>0</v>
      </c>
      <c r="BC24" s="231">
        <f>VLOOKUP(C24,Timesheet!D:DD,96,0)</f>
        <v>8</v>
      </c>
      <c r="BD24" s="174">
        <f t="shared" si="81"/>
        <v>1379.3103448275863</v>
      </c>
      <c r="BE24" s="173"/>
      <c r="BF24" s="174"/>
      <c r="BG24" s="173">
        <f>VLOOKUP(C24,Timesheet!D:DD,101,0)</f>
        <v>2</v>
      </c>
      <c r="BH24" s="174">
        <f t="shared" si="83"/>
        <v>34.482758620689658</v>
      </c>
      <c r="BI24" s="175">
        <f t="shared" si="78"/>
        <v>1655.1724137931037</v>
      </c>
      <c r="BJ24" s="175">
        <f t="shared" si="84"/>
        <v>-1379.3103448275863</v>
      </c>
      <c r="BK24" s="233">
        <f>Timesheet!CT19</f>
        <v>56</v>
      </c>
      <c r="BL24" s="402">
        <f t="shared" si="63"/>
        <v>0</v>
      </c>
      <c r="BM24" s="234"/>
      <c r="BN24" s="352">
        <v>306005428</v>
      </c>
      <c r="BO24" s="354" t="s">
        <v>241</v>
      </c>
    </row>
    <row r="25" spans="1:85" s="183" customFormat="1" ht="15" customHeight="1" outlineLevel="1">
      <c r="A25" s="333">
        <v>49</v>
      </c>
      <c r="B25" s="228">
        <v>99</v>
      </c>
      <c r="C25" s="492" t="s">
        <v>68</v>
      </c>
      <c r="D25" s="296" t="s">
        <v>218</v>
      </c>
      <c r="E25" s="351">
        <v>45726</v>
      </c>
      <c r="F25" s="247" t="s">
        <v>107</v>
      </c>
      <c r="G25" s="92">
        <v>28000</v>
      </c>
      <c r="H25" s="210">
        <f t="shared" si="44"/>
        <v>14000</v>
      </c>
      <c r="I25" s="210">
        <f t="shared" si="45"/>
        <v>1287.3563218390805</v>
      </c>
      <c r="J25" s="210">
        <f t="shared" si="46"/>
        <v>160.91954022988506</v>
      </c>
      <c r="K25"/>
      <c r="L25" s="235">
        <v>2000</v>
      </c>
      <c r="M25" s="235">
        <v>500</v>
      </c>
      <c r="N25" s="235">
        <v>300</v>
      </c>
      <c r="O25"/>
      <c r="P25"/>
      <c r="Q25" s="229"/>
      <c r="R25" s="191"/>
      <c r="S25"/>
      <c r="T25"/>
      <c r="U25"/>
      <c r="V25" s="387"/>
      <c r="W25" s="387"/>
      <c r="X25" s="387"/>
      <c r="Y25" s="185"/>
      <c r="Z25"/>
      <c r="AA25" s="231">
        <f>VLOOKUP(C25,Timesheet!D:DD,99,0)/60</f>
        <v>0</v>
      </c>
      <c r="AB25" s="174">
        <f t="shared" si="88"/>
        <v>0</v>
      </c>
      <c r="AC25" s="173">
        <f>VLOOKUP(C25,Timesheet!D:DD,104,0)</f>
        <v>0</v>
      </c>
      <c r="AD25" s="174">
        <f t="shared" ref="AD25:AD29" si="89">I25*AC25</f>
        <v>0</v>
      </c>
      <c r="AE25" s="173"/>
      <c r="AF25" s="174"/>
      <c r="AG25" s="241">
        <f>VLOOKUP(C25,Timesheet!D:DD,97,0)</f>
        <v>0</v>
      </c>
      <c r="AH25" s="174">
        <f>(J25*AG25*125%)+((J25*AG25*10%)*25%)</f>
        <v>0</v>
      </c>
      <c r="AI25" s="241">
        <f>VLOOKUP(C25,Timesheet!D:DD,100,0)</f>
        <v>20</v>
      </c>
      <c r="AJ25" s="440">
        <f t="shared" ref="AJ25:AJ29" si="90">J25*0.1*AI25</f>
        <v>321.83908045977012</v>
      </c>
      <c r="AK25" s="173">
        <f>VLOOKUP(C25,Timesheet!D:DD,98,0)</f>
        <v>0</v>
      </c>
      <c r="AL25" s="174">
        <f>J25*1.3*AK25</f>
        <v>0</v>
      </c>
      <c r="AM25" s="173"/>
      <c r="AN25" s="232">
        <f t="shared" si="49"/>
        <v>0</v>
      </c>
      <c r="AO25" s="173"/>
      <c r="AP25" s="174">
        <f>(J25*130%*10%)*AO25</f>
        <v>0</v>
      </c>
      <c r="AQ25" s="173"/>
      <c r="AR25" s="232">
        <f>J25*1.3*AQ25</f>
        <v>0</v>
      </c>
      <c r="AS25" s="173"/>
      <c r="AT25" s="174"/>
      <c r="AU25" s="173"/>
      <c r="AV25" s="232">
        <f>(J25*0.3*0.1)*AU25</f>
        <v>0</v>
      </c>
      <c r="AW25" s="231">
        <v>0</v>
      </c>
      <c r="AX25" s="174">
        <f t="shared" ref="AX25:AX29" si="91">(J25*0.3)*AW25</f>
        <v>0</v>
      </c>
      <c r="AY25" s="173">
        <v>0</v>
      </c>
      <c r="AZ25" s="244">
        <f t="shared" si="76"/>
        <v>0</v>
      </c>
      <c r="BA25" s="231">
        <v>0</v>
      </c>
      <c r="BB25" s="174">
        <f t="shared" ref="BB25:BB29" si="92">((J25*0.3)*0.1)*BA25</f>
        <v>0</v>
      </c>
      <c r="BC25" s="231">
        <f>VLOOKUP(C25,Timesheet!D:DD,96,0)</f>
        <v>0</v>
      </c>
      <c r="BD25" s="174">
        <f t="shared" ref="BD25:BD29" si="93">J25*1*BC25</f>
        <v>0</v>
      </c>
      <c r="BE25" s="173"/>
      <c r="BF25" s="174"/>
      <c r="BG25" s="173">
        <f>VLOOKUP(C25,Timesheet!D:DD,101,0)</f>
        <v>0</v>
      </c>
      <c r="BH25" s="174">
        <f>(J25*1*0.1)*BG25</f>
        <v>0</v>
      </c>
      <c r="BI25" s="175">
        <f t="shared" ref="BI25:BI29" si="94">AH25+AJ25+AL25+AN25+AP25+AR25+AT25+AV25+AX25+AZ25+BB25+BD25+BF25+BH25</f>
        <v>321.83908045977012</v>
      </c>
      <c r="BJ25" s="175">
        <f t="shared" si="84"/>
        <v>0</v>
      </c>
      <c r="BK25" s="233">
        <f>Timesheet!CT20</f>
        <v>80</v>
      </c>
      <c r="BL25" s="402">
        <f t="shared" si="63"/>
        <v>0</v>
      </c>
      <c r="BM25" s="234"/>
      <c r="BN25" s="334">
        <v>398029807</v>
      </c>
      <c r="BO25" s="353" t="s">
        <v>242</v>
      </c>
    </row>
    <row r="26" spans="1:85">
      <c r="A26" s="333">
        <v>50</v>
      </c>
      <c r="B26" s="228">
        <v>101</v>
      </c>
      <c r="C26" s="493" t="s">
        <v>69</v>
      </c>
      <c r="D26" s="296" t="s">
        <v>218</v>
      </c>
      <c r="E26" s="351">
        <v>45775</v>
      </c>
      <c r="F26" s="247" t="s">
        <v>108</v>
      </c>
      <c r="G26" s="92">
        <v>85000</v>
      </c>
      <c r="H26" s="210">
        <f t="shared" si="44"/>
        <v>42500</v>
      </c>
      <c r="I26" s="210">
        <f t="shared" si="45"/>
        <v>3908.0459770114944</v>
      </c>
      <c r="J26" s="210">
        <f t="shared" si="46"/>
        <v>488.5057471264368</v>
      </c>
      <c r="L26" s="235">
        <v>2000</v>
      </c>
      <c r="M26" s="235">
        <v>500</v>
      </c>
      <c r="N26" s="235">
        <v>300</v>
      </c>
      <c r="V26" s="387">
        <v>1809.09</v>
      </c>
      <c r="W26" s="387"/>
      <c r="X26" s="387"/>
      <c r="AA26" s="231">
        <f>VLOOKUP(C26,Timesheet!D:DD,99,0)/60</f>
        <v>0</v>
      </c>
      <c r="AB26" s="174">
        <f t="shared" si="88"/>
        <v>0</v>
      </c>
      <c r="AC26" s="173">
        <f>VLOOKUP(C26,Timesheet!D:DD,104,0)</f>
        <v>0</v>
      </c>
      <c r="AD26" s="174">
        <f t="shared" si="89"/>
        <v>0</v>
      </c>
      <c r="AE26" s="173"/>
      <c r="AF26" s="174"/>
      <c r="AG26" s="241">
        <f>VLOOKUP(C26,Timesheet!D:DD,97,0)</f>
        <v>6</v>
      </c>
      <c r="AH26" s="174">
        <f>(J26*AG26*125%)+((J26*AG26*10%)*25%)</f>
        <v>3737.0689655172418</v>
      </c>
      <c r="AI26" s="241">
        <f>VLOOKUP(C26,Timesheet!D:DD,100,0)</f>
        <v>32</v>
      </c>
      <c r="AJ26" s="440">
        <f t="shared" si="90"/>
        <v>1563.2183908045979</v>
      </c>
      <c r="AK26" s="173">
        <f>VLOOKUP(C26,Timesheet!D:DD,98,0)</f>
        <v>0</v>
      </c>
      <c r="AL26" s="174">
        <f>J26*1.3*AK26</f>
        <v>0</v>
      </c>
      <c r="AM26" s="173"/>
      <c r="AN26" s="232">
        <f t="shared" si="49"/>
        <v>0</v>
      </c>
      <c r="AO26" s="173"/>
      <c r="AP26" s="174">
        <f>(J26*130%*10%)*AO26</f>
        <v>0</v>
      </c>
      <c r="AQ26" s="173"/>
      <c r="AR26" s="232">
        <f>J26*1.3*AQ26</f>
        <v>0</v>
      </c>
      <c r="AS26" s="173"/>
      <c r="AT26" s="174"/>
      <c r="AU26" s="173"/>
      <c r="AV26" s="232">
        <f>(J26*0.3*0.1)*AU26</f>
        <v>0</v>
      </c>
      <c r="AW26" s="231">
        <v>0</v>
      </c>
      <c r="AX26" s="174">
        <f t="shared" si="91"/>
        <v>0</v>
      </c>
      <c r="AY26" s="173">
        <v>0</v>
      </c>
      <c r="AZ26" s="244">
        <f t="shared" si="76"/>
        <v>0</v>
      </c>
      <c r="BA26" s="231">
        <v>0</v>
      </c>
      <c r="BB26" s="174">
        <f t="shared" si="92"/>
        <v>0</v>
      </c>
      <c r="BC26" s="231">
        <f>VLOOKUP(C26,Timesheet!D:DD,96,0)</f>
        <v>0</v>
      </c>
      <c r="BD26" s="174">
        <f t="shared" si="93"/>
        <v>0</v>
      </c>
      <c r="BE26" s="173"/>
      <c r="BF26" s="174"/>
      <c r="BG26" s="173">
        <f>VLOOKUP(C26,Timesheet!D:DD,101,0)</f>
        <v>0</v>
      </c>
      <c r="BH26" s="174">
        <f>(J26*1*0.1)*BG26</f>
        <v>0</v>
      </c>
      <c r="BI26" s="175">
        <f>AH26+AJ26+AL26+AN26+AP26+AR26+AT26+AV26+AX26+AZ26+BB26+BD26+BF26+BH26</f>
        <v>5300.28735632184</v>
      </c>
      <c r="BJ26" s="175">
        <f>-(AB26+AD26)</f>
        <v>0</v>
      </c>
      <c r="BK26" s="233">
        <f>Timesheet!CT21</f>
        <v>72</v>
      </c>
      <c r="BL26" s="402">
        <f t="shared" si="63"/>
        <v>0</v>
      </c>
      <c r="BM26" s="234"/>
      <c r="BN26" s="415">
        <v>338342591</v>
      </c>
      <c r="BO26" s="416" t="s">
        <v>243</v>
      </c>
    </row>
    <row r="27" spans="1:85" s="183" customFormat="1">
      <c r="A27" s="333">
        <v>51</v>
      </c>
      <c r="B27" s="228">
        <v>103</v>
      </c>
      <c r="C27" s="355" t="s">
        <v>70</v>
      </c>
      <c r="D27" s="296" t="s">
        <v>218</v>
      </c>
      <c r="E27" s="351">
        <v>45777</v>
      </c>
      <c r="F27" s="247" t="s">
        <v>107</v>
      </c>
      <c r="G27" s="200">
        <v>22000</v>
      </c>
      <c r="H27" s="210">
        <f t="shared" si="44"/>
        <v>11000</v>
      </c>
      <c r="I27" s="210">
        <f t="shared" si="45"/>
        <v>1011.4942528735633</v>
      </c>
      <c r="J27" s="210">
        <f t="shared" si="46"/>
        <v>126.43678160919541</v>
      </c>
      <c r="K27" s="349"/>
      <c r="L27" s="235">
        <v>2000</v>
      </c>
      <c r="M27" s="235">
        <v>500</v>
      </c>
      <c r="N27" s="235">
        <v>300</v>
      </c>
      <c r="O27"/>
      <c r="P27"/>
      <c r="Q27" s="54"/>
      <c r="R27" s="185"/>
      <c r="S27"/>
      <c r="T27"/>
      <c r="U27"/>
      <c r="V27" s="387"/>
      <c r="W27" s="387"/>
      <c r="X27" s="387"/>
      <c r="Y27" s="185"/>
      <c r="Z27"/>
      <c r="AA27" s="231">
        <f>VLOOKUP(C27,Timesheet!D:DD,99,0)/60</f>
        <v>2</v>
      </c>
      <c r="AB27" s="174">
        <f>AA27*J27</f>
        <v>252.87356321839081</v>
      </c>
      <c r="AC27" s="173">
        <f>VLOOKUP(C27,Timesheet!D:DD,104,0)</f>
        <v>0</v>
      </c>
      <c r="AD27" s="174">
        <f t="shared" si="89"/>
        <v>0</v>
      </c>
      <c r="AE27" s="173"/>
      <c r="AF27" s="174"/>
      <c r="AG27" s="241">
        <f>VLOOKUP(C27,Timesheet!D:DD,97,0)</f>
        <v>0</v>
      </c>
      <c r="AH27" s="174">
        <f>(J27*AG27*125%)+((J27*AG27*10%)*25%)</f>
        <v>0</v>
      </c>
      <c r="AI27" s="241">
        <f>VLOOKUP(C27,Timesheet!D:DD,100,0)</f>
        <v>22</v>
      </c>
      <c r="AJ27" s="440">
        <f t="shared" si="90"/>
        <v>278.16091954022994</v>
      </c>
      <c r="AK27" s="173">
        <f>VLOOKUP(C27,Timesheet!D:DD,98,0)</f>
        <v>0</v>
      </c>
      <c r="AL27" s="174">
        <f>J27*1.3*AK27</f>
        <v>0</v>
      </c>
      <c r="AM27" s="173"/>
      <c r="AN27" s="232">
        <f t="shared" si="49"/>
        <v>0</v>
      </c>
      <c r="AO27" s="173"/>
      <c r="AP27" s="174">
        <f>(J27*130%*10%)*AO27</f>
        <v>0</v>
      </c>
      <c r="AQ27" s="173"/>
      <c r="AR27" s="232">
        <f>J27*1.3*AQ27</f>
        <v>0</v>
      </c>
      <c r="AS27" s="173"/>
      <c r="AT27" s="174"/>
      <c r="AU27" s="173"/>
      <c r="AV27" s="232">
        <f>(J27*0.3*0.1)*AU27</f>
        <v>0</v>
      </c>
      <c r="AW27" s="231">
        <v>0</v>
      </c>
      <c r="AX27" s="174">
        <f t="shared" si="91"/>
        <v>0</v>
      </c>
      <c r="AY27" s="173">
        <v>0</v>
      </c>
      <c r="AZ27" s="244">
        <f t="shared" si="76"/>
        <v>0</v>
      </c>
      <c r="BA27" s="231">
        <v>0</v>
      </c>
      <c r="BB27" s="174">
        <f t="shared" si="92"/>
        <v>0</v>
      </c>
      <c r="BC27" s="231">
        <f>VLOOKUP(C27,Timesheet!D:DD,96,0)</f>
        <v>8</v>
      </c>
      <c r="BD27" s="174">
        <f t="shared" si="93"/>
        <v>1011.4942528735633</v>
      </c>
      <c r="BE27" s="173"/>
      <c r="BF27" s="174"/>
      <c r="BG27" s="173">
        <f>VLOOKUP(C27,Timesheet!D:DD,101,0)</f>
        <v>2</v>
      </c>
      <c r="BH27" s="174">
        <f>(J27*1*0.1)*BG27</f>
        <v>25.287356321839084</v>
      </c>
      <c r="BI27" s="175">
        <f t="shared" si="94"/>
        <v>1314.9425287356323</v>
      </c>
      <c r="BJ27" s="175">
        <f>-(AB27+AD27)</f>
        <v>-252.87356321839081</v>
      </c>
      <c r="BK27" s="233">
        <f>Timesheet!CT22</f>
        <v>68</v>
      </c>
      <c r="BL27" s="402">
        <f t="shared" si="63"/>
        <v>0</v>
      </c>
      <c r="BM27" s="234"/>
      <c r="BN27" s="352">
        <v>457949341</v>
      </c>
      <c r="BO27" s="354" t="s">
        <v>244</v>
      </c>
    </row>
    <row r="28" spans="1:85" s="200" customFormat="1">
      <c r="A28" s="333">
        <v>52</v>
      </c>
      <c r="B28" s="228">
        <v>105</v>
      </c>
      <c r="C28" s="355" t="s">
        <v>71</v>
      </c>
      <c r="D28" s="296" t="s">
        <v>218</v>
      </c>
      <c r="E28" s="351">
        <v>45817</v>
      </c>
      <c r="F28" s="418" t="s">
        <v>107</v>
      </c>
      <c r="G28" s="200">
        <v>18000</v>
      </c>
      <c r="H28" s="210">
        <f t="shared" si="44"/>
        <v>9000</v>
      </c>
      <c r="I28" s="210">
        <f t="shared" si="45"/>
        <v>827.58620689655174</v>
      </c>
      <c r="J28" s="210">
        <f t="shared" si="46"/>
        <v>103.44827586206897</v>
      </c>
      <c r="K28" s="199"/>
      <c r="L28" s="235">
        <v>2000</v>
      </c>
      <c r="M28" s="235">
        <v>500</v>
      </c>
      <c r="N28" s="235">
        <v>300</v>
      </c>
      <c r="O28" s="199"/>
      <c r="P28" s="199"/>
      <c r="Q28" s="199"/>
      <c r="R28" s="191"/>
      <c r="S28" s="199"/>
      <c r="T28" s="199"/>
      <c r="U28" s="199"/>
      <c r="V28" s="387"/>
      <c r="W28" s="387"/>
      <c r="X28" s="387"/>
      <c r="Y28" s="191"/>
      <c r="Z28" s="199"/>
      <c r="AA28" s="231">
        <f>VLOOKUP(C28,Timesheet!D:DD,99,0)/60</f>
        <v>0</v>
      </c>
      <c r="AB28" s="174">
        <f t="shared" si="88"/>
        <v>0</v>
      </c>
      <c r="AC28" s="173">
        <f>VLOOKUP(C28,Timesheet!D:DD,104,0)</f>
        <v>0</v>
      </c>
      <c r="AD28" s="174">
        <f t="shared" si="89"/>
        <v>0</v>
      </c>
      <c r="AE28" s="173"/>
      <c r="AF28" s="174"/>
      <c r="AG28" s="241">
        <f>VLOOKUP(C28,Timesheet!D:DD,97,0)</f>
        <v>0</v>
      </c>
      <c r="AH28" s="174">
        <f>(J28*AG28*125%)+((J28*AG28*10%)*25%)</f>
        <v>0</v>
      </c>
      <c r="AI28" s="241">
        <f>VLOOKUP(C28,Timesheet!D:DD,100,0)</f>
        <v>20</v>
      </c>
      <c r="AJ28" s="440">
        <f t="shared" si="90"/>
        <v>206.89655172413794</v>
      </c>
      <c r="AK28" s="173">
        <f>VLOOKUP(C28,Timesheet!D:DD,98,0)</f>
        <v>0</v>
      </c>
      <c r="AL28" s="174">
        <f>J28*1.3*AK28</f>
        <v>0</v>
      </c>
      <c r="AM28" s="173"/>
      <c r="AN28" s="232">
        <f t="shared" si="49"/>
        <v>0</v>
      </c>
      <c r="AO28" s="173"/>
      <c r="AP28" s="174">
        <f>(J28*130%*10%)*AO28</f>
        <v>0</v>
      </c>
      <c r="AQ28" s="173"/>
      <c r="AR28" s="232">
        <f>J28*1.3*AQ28</f>
        <v>0</v>
      </c>
      <c r="AS28" s="173"/>
      <c r="AT28" s="174"/>
      <c r="AU28" s="173"/>
      <c r="AV28" s="232">
        <f>(J28*0.3*0.1)*AU28</f>
        <v>0</v>
      </c>
      <c r="AW28" s="231">
        <v>0</v>
      </c>
      <c r="AX28" s="174">
        <f t="shared" si="91"/>
        <v>0</v>
      </c>
      <c r="AY28" s="173">
        <v>0</v>
      </c>
      <c r="AZ28" s="244">
        <f t="shared" si="76"/>
        <v>0</v>
      </c>
      <c r="BA28" s="231">
        <v>0</v>
      </c>
      <c r="BB28" s="174">
        <f t="shared" si="92"/>
        <v>0</v>
      </c>
      <c r="BC28" s="231">
        <f>VLOOKUP(C28,Timesheet!D:DD,96,0)</f>
        <v>8</v>
      </c>
      <c r="BD28" s="174">
        <f t="shared" si="93"/>
        <v>827.58620689655174</v>
      </c>
      <c r="BE28" s="173"/>
      <c r="BF28" s="174"/>
      <c r="BG28" s="173">
        <f>VLOOKUP(C28,Timesheet!D:DD,101,0)</f>
        <v>2</v>
      </c>
      <c r="BH28" s="174">
        <f>(J28*1*0.1)*BG28</f>
        <v>20.689655172413794</v>
      </c>
      <c r="BI28" s="175">
        <f t="shared" si="94"/>
        <v>1055.1724137931035</v>
      </c>
      <c r="BJ28" s="175">
        <f>-(AB28+AD28)</f>
        <v>0</v>
      </c>
      <c r="BK28" s="233">
        <f>Timesheet!CT23</f>
        <v>80</v>
      </c>
      <c r="BL28" s="402">
        <f t="shared" si="63"/>
        <v>0</v>
      </c>
      <c r="BM28" s="234"/>
      <c r="BN28" s="435">
        <v>121366114074</v>
      </c>
      <c r="BO28" s="436" t="s">
        <v>245</v>
      </c>
    </row>
    <row r="29" spans="1:85" s="200" customFormat="1" ht="12.95">
      <c r="A29" s="243"/>
      <c r="D29" s="199"/>
      <c r="F29" s="357"/>
      <c r="G29" s="365"/>
      <c r="H29" s="366"/>
      <c r="K29" s="199"/>
      <c r="L29" s="203"/>
      <c r="M29" s="358"/>
      <c r="N29" s="199"/>
      <c r="O29" s="199"/>
      <c r="P29" s="199"/>
      <c r="Q29" s="199"/>
      <c r="R29" s="191"/>
      <c r="S29" s="199"/>
      <c r="T29" s="199"/>
      <c r="U29" s="199"/>
      <c r="V29" s="199"/>
      <c r="W29" s="199"/>
      <c r="X29" s="199"/>
      <c r="Z29" s="356"/>
      <c r="AA29" s="231"/>
      <c r="AB29" s="174">
        <f t="shared" si="88"/>
        <v>0</v>
      </c>
      <c r="AC29" s="173"/>
      <c r="AD29" s="174">
        <f t="shared" si="89"/>
        <v>0</v>
      </c>
      <c r="AE29" s="173"/>
      <c r="AF29" s="174"/>
      <c r="AG29" s="241"/>
      <c r="AH29" s="174">
        <f>(J29*AG29*125%)+((J29*AG29*10%)*25%)</f>
        <v>0</v>
      </c>
      <c r="AI29" s="231"/>
      <c r="AJ29" s="440">
        <f t="shared" si="90"/>
        <v>0</v>
      </c>
      <c r="AK29" s="173"/>
      <c r="AL29" s="174">
        <f>J29*1.3*AK29</f>
        <v>0</v>
      </c>
      <c r="AM29" s="173"/>
      <c r="AN29" s="174"/>
      <c r="AO29" s="173"/>
      <c r="AP29" s="174">
        <f>(J29*130%*10%)*AO29</f>
        <v>0</v>
      </c>
      <c r="AQ29" s="173"/>
      <c r="AR29" s="232">
        <f>J29*1.3*AQ29</f>
        <v>0</v>
      </c>
      <c r="AS29" s="173"/>
      <c r="AT29" s="174"/>
      <c r="AU29" s="173"/>
      <c r="AV29" s="232">
        <f>(J29*0.3*0.1)*AU29</f>
        <v>0</v>
      </c>
      <c r="AW29" s="173"/>
      <c r="AX29" s="174">
        <f t="shared" si="91"/>
        <v>0</v>
      </c>
      <c r="AY29" s="173"/>
      <c r="AZ29" s="244">
        <f t="shared" si="76"/>
        <v>0</v>
      </c>
      <c r="BA29" s="173"/>
      <c r="BB29" s="174">
        <f t="shared" si="92"/>
        <v>0</v>
      </c>
      <c r="BC29" s="173"/>
      <c r="BD29" s="174">
        <f t="shared" si="93"/>
        <v>0</v>
      </c>
      <c r="BE29" s="173"/>
      <c r="BF29" s="174"/>
      <c r="BG29" s="173"/>
      <c r="BH29" s="174">
        <f>(J29*1*0.1)*BG29</f>
        <v>0</v>
      </c>
      <c r="BI29" s="175">
        <f t="shared" si="94"/>
        <v>0</v>
      </c>
      <c r="BJ29" s="175">
        <f>-(AB29+AD29)</f>
        <v>0</v>
      </c>
      <c r="BK29" s="233">
        <f>Timesheet!CT24</f>
        <v>0</v>
      </c>
      <c r="BL29" s="402">
        <f t="shared" si="63"/>
        <v>0</v>
      </c>
    </row>
    <row r="30" spans="1:85" s="462" customFormat="1" ht="15.6" customHeight="1" thickBot="1">
      <c r="A30" s="454"/>
      <c r="B30" s="455"/>
      <c r="C30" s="456" t="s">
        <v>72</v>
      </c>
      <c r="D30" s="457"/>
      <c r="E30" s="456"/>
      <c r="F30" s="458"/>
      <c r="G30" s="459">
        <f t="shared" ref="G30:AA30" si="95">SUM(G8:G29)</f>
        <v>1596217</v>
      </c>
      <c r="H30" s="459">
        <f t="shared" si="95"/>
        <v>798108.5</v>
      </c>
      <c r="I30" s="459">
        <f t="shared" si="95"/>
        <v>73389.287356321845</v>
      </c>
      <c r="J30" s="459">
        <f t="shared" si="95"/>
        <v>9173.6609195402307</v>
      </c>
      <c r="K30" s="459">
        <f t="shared" si="95"/>
        <v>0</v>
      </c>
      <c r="L30" s="459">
        <f t="shared" si="95"/>
        <v>39560</v>
      </c>
      <c r="M30" s="459">
        <f t="shared" si="95"/>
        <v>9100</v>
      </c>
      <c r="N30" s="459">
        <f t="shared" si="95"/>
        <v>5400</v>
      </c>
      <c r="O30" s="459">
        <f t="shared" si="95"/>
        <v>0</v>
      </c>
      <c r="P30" s="459">
        <f t="shared" si="95"/>
        <v>0</v>
      </c>
      <c r="Q30" s="459">
        <f t="shared" si="95"/>
        <v>0</v>
      </c>
      <c r="R30" s="459">
        <f t="shared" si="95"/>
        <v>0</v>
      </c>
      <c r="S30" s="459">
        <f t="shared" si="95"/>
        <v>0</v>
      </c>
      <c r="T30" s="459">
        <f t="shared" si="95"/>
        <v>0</v>
      </c>
      <c r="U30" s="459">
        <f t="shared" si="95"/>
        <v>0</v>
      </c>
      <c r="V30" s="459">
        <f t="shared" si="95"/>
        <v>8044.37</v>
      </c>
      <c r="W30" s="459">
        <f t="shared" si="95"/>
        <v>0</v>
      </c>
      <c r="X30" s="459">
        <f t="shared" si="95"/>
        <v>697.88</v>
      </c>
      <c r="Y30" s="459">
        <f t="shared" si="95"/>
        <v>41395.83</v>
      </c>
      <c r="Z30" s="459">
        <f t="shared" si="95"/>
        <v>0</v>
      </c>
      <c r="AA30" s="459">
        <f t="shared" si="95"/>
        <v>2</v>
      </c>
      <c r="AB30" s="459">
        <f t="shared" ref="AB30:BK30" si="96">SUM(AB8:AB29)</f>
        <v>252.87356321839081</v>
      </c>
      <c r="AC30" s="459">
        <f t="shared" si="96"/>
        <v>4</v>
      </c>
      <c r="AD30" s="459">
        <f t="shared" si="96"/>
        <v>15560.827586206897</v>
      </c>
      <c r="AE30" s="459">
        <v>14856.896551724138</v>
      </c>
      <c r="AF30" s="459">
        <f t="shared" si="96"/>
        <v>0</v>
      </c>
      <c r="AG30" s="459">
        <f t="shared" si="96"/>
        <v>57</v>
      </c>
      <c r="AH30" s="459">
        <f t="shared" si="96"/>
        <v>25719.827586206899</v>
      </c>
      <c r="AI30" s="459">
        <f t="shared" si="96"/>
        <v>565</v>
      </c>
      <c r="AJ30" s="459">
        <f t="shared" si="96"/>
        <v>19578.050574712644</v>
      </c>
      <c r="AK30" s="459">
        <f t="shared" si="96"/>
        <v>6</v>
      </c>
      <c r="AL30" s="459">
        <f t="shared" si="96"/>
        <v>1176.7241379310344</v>
      </c>
      <c r="AM30" s="459">
        <f t="shared" si="96"/>
        <v>0</v>
      </c>
      <c r="AN30" s="459">
        <f t="shared" si="96"/>
        <v>0</v>
      </c>
      <c r="AO30" s="459">
        <f t="shared" si="96"/>
        <v>0</v>
      </c>
      <c r="AP30" s="459">
        <f t="shared" si="96"/>
        <v>0</v>
      </c>
      <c r="AQ30" s="459">
        <f t="shared" si="96"/>
        <v>0</v>
      </c>
      <c r="AR30" s="459">
        <f t="shared" si="96"/>
        <v>0</v>
      </c>
      <c r="AS30" s="459">
        <f t="shared" si="96"/>
        <v>0</v>
      </c>
      <c r="AT30" s="459">
        <f t="shared" si="96"/>
        <v>0</v>
      </c>
      <c r="AU30" s="459">
        <f t="shared" si="96"/>
        <v>0</v>
      </c>
      <c r="AV30" s="459">
        <f t="shared" si="96"/>
        <v>0</v>
      </c>
      <c r="AW30" s="459">
        <f t="shared" si="96"/>
        <v>0</v>
      </c>
      <c r="AX30" s="459">
        <f t="shared" si="96"/>
        <v>0</v>
      </c>
      <c r="AY30" s="459">
        <f t="shared" si="96"/>
        <v>0</v>
      </c>
      <c r="AZ30" s="459">
        <f t="shared" si="96"/>
        <v>0</v>
      </c>
      <c r="BA30" s="459">
        <f t="shared" si="96"/>
        <v>0</v>
      </c>
      <c r="BB30" s="459">
        <f t="shared" si="96"/>
        <v>0</v>
      </c>
      <c r="BC30" s="459">
        <f t="shared" si="96"/>
        <v>53</v>
      </c>
      <c r="BD30" s="459">
        <f t="shared" si="96"/>
        <v>10138.48275862069</v>
      </c>
      <c r="BE30" s="459">
        <f t="shared" si="96"/>
        <v>0</v>
      </c>
      <c r="BF30" s="459">
        <f t="shared" si="96"/>
        <v>0</v>
      </c>
      <c r="BG30" s="459">
        <f t="shared" si="96"/>
        <v>13</v>
      </c>
      <c r="BH30" s="459">
        <f t="shared" si="96"/>
        <v>279.34022988505751</v>
      </c>
      <c r="BI30" s="459">
        <f t="shared" si="96"/>
        <v>56892.425287356324</v>
      </c>
      <c r="BJ30" s="459">
        <f t="shared" si="96"/>
        <v>-15813.701149425287</v>
      </c>
      <c r="BK30" s="459">
        <f t="shared" si="96"/>
        <v>1531</v>
      </c>
      <c r="BL30" s="460"/>
      <c r="BM30" s="461"/>
    </row>
    <row r="31" spans="1:85" s="183" customFormat="1" ht="15" thickTop="1">
      <c r="A31" s="182"/>
      <c r="D31"/>
      <c r="F31" s="184"/>
      <c r="K31"/>
      <c r="L31" s="138"/>
      <c r="M31" s="188"/>
      <c r="N31" s="189"/>
      <c r="O31"/>
      <c r="P31"/>
      <c r="Q31"/>
      <c r="R31" s="191"/>
      <c r="S31"/>
      <c r="T31"/>
      <c r="U31"/>
      <c r="V31"/>
      <c r="W31"/>
      <c r="X31"/>
      <c r="Y31" s="211"/>
      <c r="Z31" s="369"/>
      <c r="AB31" s="370"/>
      <c r="AC31" s="185"/>
      <c r="AD31" s="201"/>
      <c r="AE31" s="200"/>
      <c r="AF31" s="200"/>
      <c r="AG31" s="185"/>
      <c r="AH31" s="200"/>
      <c r="AI31" s="185"/>
      <c r="AJ31" s="200"/>
      <c r="AK31" s="185"/>
      <c r="AL31" s="200"/>
      <c r="AM31" s="200"/>
      <c r="AN31" s="200"/>
      <c r="AO31" s="185"/>
      <c r="AP31" s="200"/>
      <c r="AQ31" s="200"/>
      <c r="AR31" s="200"/>
      <c r="AS31" s="200"/>
      <c r="AT31" s="200"/>
      <c r="AU31" s="200"/>
      <c r="AV31" s="200"/>
      <c r="AW31" s="185"/>
      <c r="AX31" s="200"/>
      <c r="AY31" s="200"/>
      <c r="AZ31" s="200"/>
      <c r="BA31" s="185"/>
      <c r="BB31" s="200"/>
      <c r="BC31" s="196"/>
      <c r="BD31" s="200"/>
      <c r="BE31" s="200"/>
      <c r="BF31" s="200"/>
      <c r="BG31" s="185"/>
      <c r="BH31" s="200"/>
      <c r="BI31" s="196"/>
      <c r="BL31" s="186"/>
    </row>
    <row r="32" spans="1:85" s="183" customFormat="1">
      <c r="A32" s="182"/>
      <c r="D32"/>
      <c r="F32" s="184"/>
      <c r="G32" s="193"/>
      <c r="K32"/>
      <c r="L32"/>
      <c r="M32" s="188"/>
      <c r="N32" s="54"/>
      <c r="O32"/>
      <c r="P32"/>
      <c r="Q32"/>
      <c r="R32" s="200"/>
      <c r="S32"/>
      <c r="T32"/>
      <c r="U32"/>
      <c r="V32"/>
      <c r="W32"/>
      <c r="X32"/>
      <c r="Y32" s="185"/>
      <c r="Z32" s="54"/>
      <c r="AA32" s="200">
        <f>AA30*60-Timesheet!CX25</f>
        <v>0</v>
      </c>
      <c r="AB32" s="355"/>
      <c r="AC32" s="191">
        <f>AC30-Timesheet!DC25</f>
        <v>0</v>
      </c>
      <c r="AD32" s="200"/>
      <c r="AE32" s="200"/>
      <c r="AF32" s="200"/>
      <c r="AG32" s="200">
        <f>AG30-Timesheet!CV25</f>
        <v>0</v>
      </c>
      <c r="AH32" s="200"/>
      <c r="AI32" s="200">
        <f>AI30-Timesheet!CY25</f>
        <v>0</v>
      </c>
      <c r="AJ32" s="200"/>
      <c r="AK32" s="200">
        <f>AK30-Timesheet!CW25</f>
        <v>0</v>
      </c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>
        <f>BC30-Timesheet!CU25</f>
        <v>0</v>
      </c>
      <c r="BD32" s="200"/>
      <c r="BE32" s="200"/>
      <c r="BF32" s="200"/>
      <c r="BG32" s="200">
        <f>BG30-Timesheet!CZ25</f>
        <v>0</v>
      </c>
      <c r="BH32" s="200"/>
      <c r="BI32" s="200"/>
      <c r="BJ32" s="200"/>
      <c r="BK32" s="183">
        <f>BK30-Timesheet!CT25</f>
        <v>0</v>
      </c>
    </row>
    <row r="33" spans="1:64" s="183" customFormat="1">
      <c r="A33" s="182"/>
      <c r="D33"/>
      <c r="F33" s="184"/>
      <c r="G33" s="195"/>
      <c r="H33" s="193"/>
      <c r="K33"/>
      <c r="L33"/>
      <c r="M33" s="188"/>
      <c r="N33"/>
      <c r="O33"/>
      <c r="P33"/>
      <c r="Q33"/>
      <c r="R33" s="185"/>
      <c r="S33"/>
      <c r="T33"/>
      <c r="U33"/>
      <c r="V33"/>
      <c r="W33"/>
      <c r="X33"/>
      <c r="Y33" s="185"/>
      <c r="Z33"/>
      <c r="AA33" s="200"/>
      <c r="AB33" s="355"/>
      <c r="AC33" s="191"/>
      <c r="AD33" s="54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L33" s="186"/>
    </row>
    <row r="34" spans="1:64" s="200" customFormat="1" ht="12.95">
      <c r="A34" s="243"/>
      <c r="D34" s="199"/>
      <c r="F34" s="357"/>
      <c r="G34" s="365"/>
      <c r="H34" s="191"/>
      <c r="K34" s="199"/>
      <c r="L34" s="203"/>
      <c r="M34" s="358"/>
      <c r="N34" s="199"/>
      <c r="O34" s="199"/>
      <c r="P34" s="199"/>
      <c r="Q34" s="199"/>
      <c r="R34" s="191"/>
      <c r="S34" s="199"/>
      <c r="T34" s="199"/>
      <c r="U34" s="199"/>
      <c r="V34" s="199"/>
      <c r="W34" s="199"/>
      <c r="X34" s="199"/>
      <c r="Y34" s="191"/>
      <c r="Z34" s="199"/>
      <c r="AB34" s="355"/>
      <c r="AC34" s="191"/>
      <c r="AD34" s="196"/>
      <c r="BL34" s="196"/>
    </row>
    <row r="35" spans="1:64" s="183" customFormat="1">
      <c r="A35" s="182"/>
      <c r="D35"/>
      <c r="F35" s="184"/>
      <c r="G35" s="195"/>
      <c r="H35" s="193"/>
      <c r="K35"/>
      <c r="L35"/>
      <c r="M35" s="188"/>
      <c r="N35" s="54"/>
      <c r="O35"/>
      <c r="P35"/>
      <c r="Q35"/>
      <c r="R35" s="185"/>
      <c r="S35"/>
      <c r="T35"/>
      <c r="U35"/>
      <c r="V35"/>
      <c r="W35"/>
      <c r="X35"/>
      <c r="Y35" s="185"/>
      <c r="Z35"/>
      <c r="AB35" s="199"/>
      <c r="AC35" s="200"/>
      <c r="AD35" s="200"/>
      <c r="BL35" s="186"/>
    </row>
    <row r="36" spans="1:64" s="183" customFormat="1">
      <c r="A36" s="182"/>
      <c r="D36"/>
      <c r="F36" s="184"/>
      <c r="K36"/>
      <c r="L36" s="138"/>
      <c r="M36" s="188"/>
      <c r="N36" s="189"/>
      <c r="O36"/>
      <c r="P36"/>
      <c r="Q36"/>
      <c r="R36" s="185"/>
      <c r="S36"/>
      <c r="T36"/>
      <c r="U36"/>
      <c r="V36"/>
      <c r="W36"/>
      <c r="X36"/>
      <c r="Y36" s="185"/>
      <c r="Z36"/>
      <c r="AB36" s="355"/>
      <c r="AC36" s="200"/>
      <c r="AD36" s="201"/>
      <c r="BL36" s="186"/>
    </row>
    <row r="37" spans="1:64" s="192" customFormat="1" ht="12.95">
      <c r="A37" s="359"/>
      <c r="D37" s="203"/>
      <c r="F37" s="360"/>
      <c r="K37" s="203"/>
      <c r="L37" s="203"/>
      <c r="M37" s="361"/>
      <c r="N37" s="362"/>
      <c r="O37" s="203"/>
      <c r="P37" s="203"/>
      <c r="Q37" s="203"/>
      <c r="R37" s="356"/>
      <c r="S37" s="203"/>
      <c r="T37" s="203"/>
      <c r="U37" s="203"/>
      <c r="V37" s="203"/>
      <c r="W37" s="203"/>
      <c r="X37" s="203"/>
      <c r="Y37" s="356"/>
      <c r="Z37" s="203"/>
      <c r="AB37" s="371"/>
      <c r="AC37" s="372"/>
      <c r="AD37" s="362"/>
      <c r="BL37" s="363"/>
    </row>
    <row r="38" spans="1:64" s="200" customFormat="1" ht="12.95">
      <c r="A38" s="243"/>
      <c r="D38" s="199"/>
      <c r="F38" s="357"/>
      <c r="G38" s="364"/>
      <c r="K38" s="199"/>
      <c r="L38" s="199"/>
      <c r="M38" s="358"/>
      <c r="N38" s="199"/>
      <c r="O38" s="199"/>
      <c r="P38" s="199"/>
      <c r="Q38" s="199"/>
      <c r="R38" s="191"/>
      <c r="S38" s="199"/>
      <c r="T38" s="199"/>
      <c r="U38" s="199"/>
      <c r="V38" s="199"/>
      <c r="W38" s="199"/>
      <c r="X38" s="199"/>
      <c r="Y38" s="191"/>
      <c r="Z38" s="199"/>
      <c r="AB38" s="355"/>
      <c r="AC38" s="191"/>
      <c r="AD38" s="373"/>
      <c r="BL38" s="196"/>
    </row>
    <row r="39" spans="1:64" s="200" customFormat="1" ht="12.95">
      <c r="A39" s="243"/>
      <c r="D39" s="199"/>
      <c r="F39" s="357"/>
      <c r="G39" s="365"/>
      <c r="H39" s="366"/>
      <c r="K39" s="199"/>
      <c r="L39" s="203"/>
      <c r="M39" s="358"/>
      <c r="N39" s="201"/>
      <c r="O39" s="199"/>
      <c r="P39" s="199"/>
      <c r="Q39" s="199"/>
      <c r="R39" s="191"/>
      <c r="S39" s="199"/>
      <c r="T39" s="199"/>
      <c r="U39" s="199"/>
      <c r="V39" s="199"/>
      <c r="W39" s="199"/>
      <c r="X39" s="199"/>
      <c r="Y39" s="191"/>
      <c r="Z39" s="199"/>
      <c r="AB39" s="355"/>
      <c r="AC39" s="191"/>
      <c r="AD39" s="201"/>
      <c r="BL39" s="196"/>
    </row>
    <row r="40" spans="1:64" s="200" customFormat="1" ht="12.95">
      <c r="A40" s="243"/>
      <c r="D40" s="199"/>
      <c r="F40" s="357"/>
      <c r="G40" s="365"/>
      <c r="H40" s="366"/>
      <c r="K40" s="199"/>
      <c r="L40" s="199"/>
      <c r="M40" s="358"/>
      <c r="N40" s="201"/>
      <c r="O40" s="199"/>
      <c r="P40" s="199"/>
      <c r="Q40" s="199"/>
      <c r="R40" s="191"/>
      <c r="S40" s="199"/>
      <c r="T40" s="199"/>
      <c r="U40" s="199"/>
      <c r="V40" s="199"/>
      <c r="W40" s="199"/>
      <c r="X40" s="199"/>
      <c r="Y40" s="191"/>
      <c r="Z40" s="199"/>
      <c r="AB40" s="355"/>
      <c r="AC40" s="191"/>
      <c r="AD40" s="196"/>
      <c r="BL40" s="196"/>
    </row>
    <row r="41" spans="1:64" s="183" customFormat="1">
      <c r="A41" s="182"/>
      <c r="D41"/>
      <c r="F41" s="184"/>
      <c r="G41" s="195"/>
      <c r="H41" s="193"/>
      <c r="K41"/>
      <c r="L41" s="138"/>
      <c r="M41" s="188"/>
      <c r="N41" s="189"/>
      <c r="O41"/>
      <c r="P41"/>
      <c r="Q41"/>
      <c r="R41" s="185"/>
      <c r="S41"/>
      <c r="T41"/>
      <c r="U41"/>
      <c r="V41"/>
      <c r="W41"/>
      <c r="X41"/>
      <c r="Y41" s="185"/>
      <c r="Z41"/>
      <c r="AD41" s="54"/>
      <c r="BL41" s="186"/>
    </row>
    <row r="42" spans="1:64" s="183" customFormat="1">
      <c r="A42" s="182"/>
      <c r="D42"/>
      <c r="F42" s="184"/>
      <c r="G42" s="195"/>
      <c r="H42" s="193"/>
      <c r="K42"/>
      <c r="L42"/>
      <c r="M42" s="188"/>
      <c r="N42" s="54"/>
      <c r="O42"/>
      <c r="P42"/>
      <c r="Q42"/>
      <c r="R42" s="185"/>
      <c r="S42"/>
      <c r="T42"/>
      <c r="U42"/>
      <c r="V42"/>
      <c r="W42"/>
      <c r="X42"/>
      <c r="Y42" s="185"/>
      <c r="Z42"/>
      <c r="AB42" s="138"/>
      <c r="AC42" s="188"/>
      <c r="AD42" s="189"/>
      <c r="BL42" s="186"/>
    </row>
    <row r="43" spans="1:64" s="183" customFormat="1">
      <c r="A43" s="182"/>
      <c r="D43"/>
      <c r="F43" s="184"/>
      <c r="G43" s="138"/>
      <c r="K43"/>
      <c r="L43"/>
      <c r="M43" s="188"/>
      <c r="N43"/>
      <c r="O43"/>
      <c r="P43"/>
      <c r="Q43"/>
      <c r="R43" s="185"/>
      <c r="S43"/>
      <c r="T43"/>
      <c r="U43"/>
      <c r="V43"/>
      <c r="W43"/>
      <c r="X43"/>
      <c r="Y43" s="185"/>
      <c r="Z43"/>
      <c r="AB43"/>
      <c r="AC43" s="188"/>
      <c r="AD43" s="54"/>
      <c r="BL43" s="186"/>
    </row>
    <row r="44" spans="1:64" s="183" customFormat="1">
      <c r="A44" s="182"/>
      <c r="D44"/>
      <c r="F44" s="184"/>
      <c r="H44" s="190"/>
      <c r="K44"/>
      <c r="L44" s="138"/>
      <c r="M44" s="188"/>
      <c r="N44"/>
      <c r="O44"/>
      <c r="P44"/>
      <c r="Q44"/>
      <c r="R44" s="185"/>
      <c r="S44"/>
      <c r="T44"/>
      <c r="U44"/>
      <c r="V44"/>
      <c r="W44"/>
      <c r="X44"/>
      <c r="Y44" s="185"/>
      <c r="Z44"/>
      <c r="BL44" s="186"/>
    </row>
    <row r="45" spans="1:64" s="183" customFormat="1">
      <c r="A45" s="182"/>
      <c r="D45"/>
      <c r="F45" s="184"/>
      <c r="G45" s="138"/>
      <c r="I45" s="187"/>
      <c r="K45"/>
      <c r="L45"/>
      <c r="M45" s="188"/>
      <c r="N45" s="54"/>
      <c r="O45"/>
      <c r="P45"/>
      <c r="Q45"/>
      <c r="R45" s="185"/>
      <c r="S45"/>
      <c r="T45"/>
      <c r="U45"/>
      <c r="V45"/>
      <c r="W45"/>
      <c r="X45"/>
      <c r="Y45" s="185"/>
      <c r="Z45"/>
      <c r="AB45" s="138"/>
      <c r="BL45" s="186"/>
    </row>
    <row r="46" spans="1:64" s="183" customFormat="1">
      <c r="A46" s="182"/>
      <c r="D46"/>
      <c r="F46" s="184"/>
      <c r="G46" s="194"/>
      <c r="I46" s="54"/>
      <c r="K46"/>
      <c r="L46" s="138"/>
      <c r="M46" s="188"/>
      <c r="N46" s="189"/>
      <c r="O46"/>
      <c r="P46"/>
      <c r="Q46"/>
      <c r="R46" s="185"/>
      <c r="S46"/>
      <c r="T46"/>
      <c r="U46"/>
      <c r="V46"/>
      <c r="W46"/>
      <c r="X46"/>
      <c r="Y46" s="185"/>
      <c r="Z46"/>
      <c r="AD46" s="54"/>
      <c r="BL46" s="186"/>
    </row>
    <row r="47" spans="1:64" s="183" customFormat="1">
      <c r="A47" s="182"/>
      <c r="D47"/>
      <c r="F47" s="184"/>
      <c r="G47" s="195"/>
      <c r="H47" s="193"/>
      <c r="K47"/>
      <c r="L47"/>
      <c r="M47"/>
      <c r="N47" s="54"/>
      <c r="O47"/>
      <c r="P47"/>
      <c r="Q47"/>
      <c r="R47" s="185"/>
      <c r="S47"/>
      <c r="T47"/>
      <c r="U47"/>
      <c r="V47"/>
      <c r="W47"/>
      <c r="X47"/>
      <c r="Y47" s="185"/>
      <c r="Z47"/>
      <c r="AB47" s="138"/>
      <c r="AC47" s="188"/>
      <c r="AD47" s="189"/>
      <c r="BL47" s="186"/>
    </row>
    <row r="48" spans="1:64" s="183" customFormat="1">
      <c r="A48" s="182"/>
      <c r="D48"/>
      <c r="F48" s="184"/>
      <c r="G48" s="195"/>
      <c r="H48" s="193"/>
      <c r="K48"/>
      <c r="L48"/>
      <c r="M48"/>
      <c r="N48"/>
      <c r="O48"/>
      <c r="P48"/>
      <c r="Q48"/>
      <c r="R48" s="185"/>
      <c r="S48"/>
      <c r="T48"/>
      <c r="U48"/>
      <c r="V48"/>
      <c r="W48"/>
      <c r="X48"/>
      <c r="Y48" s="185"/>
      <c r="Z48"/>
      <c r="AB48"/>
      <c r="AC48" s="188"/>
      <c r="AD48" s="54"/>
      <c r="BL48" s="186"/>
    </row>
    <row r="49" spans="1:64" s="183" customFormat="1">
      <c r="A49" s="182"/>
      <c r="D49"/>
      <c r="F49" s="184"/>
      <c r="G49" s="195"/>
      <c r="H49" s="193"/>
      <c r="K49"/>
      <c r="L49" s="138"/>
      <c r="M49" s="188"/>
      <c r="N49"/>
      <c r="O49"/>
      <c r="P49"/>
      <c r="Q49"/>
      <c r="R49" s="185"/>
      <c r="S49"/>
      <c r="T49"/>
      <c r="U49"/>
      <c r="V49"/>
      <c r="W49"/>
      <c r="X49"/>
      <c r="Y49" s="185"/>
      <c r="Z49"/>
      <c r="BL49" s="186"/>
    </row>
    <row r="50" spans="1:64" s="183" customFormat="1">
      <c r="A50" s="182"/>
      <c r="D50"/>
      <c r="F50" s="184"/>
      <c r="G50" s="195"/>
      <c r="H50" s="193"/>
      <c r="K50"/>
      <c r="L50"/>
      <c r="M50" s="188"/>
      <c r="N50" s="54"/>
      <c r="O50"/>
      <c r="P50"/>
      <c r="Q50"/>
      <c r="R50" s="185"/>
      <c r="S50"/>
      <c r="T50"/>
      <c r="U50"/>
      <c r="V50"/>
      <c r="W50"/>
      <c r="X50"/>
      <c r="Y50" s="185"/>
      <c r="Z50"/>
      <c r="AB50" s="138"/>
      <c r="BL50" s="186"/>
    </row>
    <row r="51" spans="1:64" s="183" customFormat="1">
      <c r="A51" s="182"/>
      <c r="D51"/>
      <c r="F51" s="184"/>
      <c r="G51" s="195"/>
      <c r="H51" s="193"/>
      <c r="K51"/>
      <c r="L51"/>
      <c r="M51" s="185"/>
      <c r="N51" s="185"/>
      <c r="O51"/>
      <c r="P51"/>
      <c r="Q51"/>
      <c r="R51" s="185"/>
      <c r="S51"/>
      <c r="T51"/>
      <c r="U51"/>
      <c r="V51"/>
      <c r="W51"/>
      <c r="X51"/>
      <c r="Y51" s="185"/>
      <c r="Z51"/>
      <c r="AD51" s="54"/>
      <c r="BL51" s="186"/>
    </row>
    <row r="52" spans="1:64" s="183" customFormat="1">
      <c r="A52" s="182"/>
      <c r="D52"/>
      <c r="F52" s="184"/>
      <c r="K52"/>
      <c r="L52"/>
      <c r="M52" s="188"/>
      <c r="N52" s="54"/>
      <c r="O52"/>
      <c r="P52"/>
      <c r="Q52"/>
      <c r="R52" s="185"/>
      <c r="S52"/>
      <c r="T52"/>
      <c r="U52"/>
      <c r="V52"/>
      <c r="W52"/>
      <c r="X52"/>
      <c r="Y52" s="185"/>
      <c r="Z52"/>
      <c r="AB52" s="138"/>
      <c r="AC52" s="188"/>
      <c r="AD52" s="189"/>
      <c r="BL52" s="186"/>
    </row>
    <row r="53" spans="1:64" s="183" customFormat="1">
      <c r="A53" s="182"/>
      <c r="D53"/>
      <c r="F53" s="184"/>
      <c r="G53" s="138"/>
      <c r="K53"/>
      <c r="L53" s="138"/>
      <c r="M53"/>
      <c r="N53" s="189"/>
      <c r="O53"/>
      <c r="P53"/>
      <c r="Q53"/>
      <c r="R53" s="185"/>
      <c r="S53"/>
      <c r="T53"/>
      <c r="U53"/>
      <c r="V53"/>
      <c r="W53"/>
      <c r="X53"/>
      <c r="Y53" s="185"/>
      <c r="Z53"/>
      <c r="AB53"/>
      <c r="AC53" s="188"/>
      <c r="AD53" s="54"/>
      <c r="BL53" s="186"/>
    </row>
    <row r="54" spans="1:64" s="183" customFormat="1">
      <c r="A54" s="182"/>
      <c r="D54"/>
      <c r="F54" s="184"/>
      <c r="H54" s="190"/>
      <c r="K54"/>
      <c r="L54"/>
      <c r="M54"/>
      <c r="N54" s="54"/>
      <c r="O54"/>
      <c r="P54"/>
      <c r="Q54"/>
      <c r="R54" s="185"/>
      <c r="S54"/>
      <c r="T54"/>
      <c r="U54"/>
      <c r="V54"/>
      <c r="W54"/>
      <c r="X54"/>
      <c r="Y54" s="185"/>
      <c r="Z54"/>
      <c r="BL54" s="186"/>
    </row>
    <row r="55" spans="1:64" s="183" customFormat="1">
      <c r="A55" s="182"/>
      <c r="D55"/>
      <c r="F55" s="184"/>
      <c r="G55" s="194"/>
      <c r="I55" s="187"/>
      <c r="K55"/>
      <c r="L55"/>
      <c r="M55"/>
      <c r="N55"/>
      <c r="O55"/>
      <c r="P55"/>
      <c r="Q55"/>
      <c r="R55" s="185"/>
      <c r="S55"/>
      <c r="T55"/>
      <c r="U55"/>
      <c r="V55"/>
      <c r="W55"/>
      <c r="X55"/>
      <c r="Y55" s="185"/>
      <c r="Z55"/>
      <c r="BL55" s="186"/>
    </row>
    <row r="56" spans="1:64" s="183" customFormat="1">
      <c r="A56" s="182"/>
      <c r="D56"/>
      <c r="F56" s="184"/>
      <c r="G56" s="193"/>
      <c r="K56"/>
      <c r="L56" s="138"/>
      <c r="M56"/>
      <c r="N56"/>
      <c r="O56"/>
      <c r="P56"/>
      <c r="Q56"/>
      <c r="R56" s="185"/>
      <c r="S56"/>
      <c r="T56"/>
      <c r="U56"/>
      <c r="V56"/>
      <c r="W56"/>
      <c r="X56"/>
      <c r="Y56" s="185"/>
      <c r="Z56"/>
      <c r="BL56" s="186"/>
    </row>
    <row r="57" spans="1:64" s="183" customFormat="1">
      <c r="A57" s="182"/>
      <c r="D57"/>
      <c r="F57" s="184"/>
      <c r="G57" s="193"/>
      <c r="K57"/>
      <c r="L57"/>
      <c r="M57" s="185"/>
      <c r="N57" s="54"/>
      <c r="O57"/>
      <c r="P57"/>
      <c r="Q57"/>
      <c r="R57" s="185"/>
      <c r="S57"/>
      <c r="T57"/>
      <c r="U57"/>
      <c r="V57"/>
      <c r="W57"/>
      <c r="X57"/>
      <c r="Y57" s="185"/>
      <c r="Z57"/>
      <c r="BL57" s="186"/>
    </row>
    <row r="58" spans="1:64" s="183" customFormat="1">
      <c r="A58" s="182"/>
      <c r="D58"/>
      <c r="F58" s="184"/>
      <c r="G58" s="195"/>
      <c r="K58"/>
      <c r="L58"/>
      <c r="M58" s="185"/>
      <c r="N58" s="185"/>
      <c r="O58"/>
      <c r="P58"/>
      <c r="Q58"/>
      <c r="R58" s="185"/>
      <c r="S58"/>
      <c r="T58"/>
      <c r="U58"/>
      <c r="V58"/>
      <c r="W58"/>
      <c r="X58"/>
      <c r="Y58" s="185"/>
      <c r="Z58"/>
      <c r="BL58" s="186"/>
    </row>
    <row r="59" spans="1:64" s="183" customFormat="1">
      <c r="A59" s="182"/>
      <c r="D59"/>
      <c r="F59" s="184"/>
      <c r="K59"/>
      <c r="L59" s="138"/>
      <c r="M59"/>
      <c r="N59" s="189"/>
      <c r="O59"/>
      <c r="P59"/>
      <c r="Q59"/>
      <c r="R59" s="185"/>
      <c r="S59"/>
      <c r="T59"/>
      <c r="U59"/>
      <c r="V59"/>
      <c r="W59"/>
      <c r="X59"/>
      <c r="Y59" s="185"/>
      <c r="Z59"/>
      <c r="BL59" s="186"/>
    </row>
    <row r="60" spans="1:64" s="183" customFormat="1">
      <c r="A60" s="182"/>
      <c r="D60"/>
      <c r="F60" s="184"/>
      <c r="K60"/>
      <c r="L60"/>
      <c r="M60"/>
      <c r="N60" s="54"/>
      <c r="O60"/>
      <c r="P60"/>
      <c r="Q60"/>
      <c r="R60" s="185"/>
      <c r="S60"/>
      <c r="T60"/>
      <c r="U60"/>
      <c r="V60"/>
      <c r="W60"/>
      <c r="X60"/>
      <c r="Y60" s="185"/>
      <c r="Z60"/>
      <c r="BL60" s="186"/>
    </row>
    <row r="61" spans="1:64" s="183" customFormat="1">
      <c r="A61" s="182"/>
      <c r="D61"/>
      <c r="F61" s="184"/>
      <c r="G61" s="194"/>
      <c r="I61" s="187"/>
      <c r="K61"/>
      <c r="L61"/>
      <c r="M61"/>
      <c r="N61"/>
      <c r="O61"/>
      <c r="P61"/>
      <c r="Q61"/>
      <c r="R61" s="185"/>
      <c r="S61"/>
      <c r="T61"/>
      <c r="U61"/>
      <c r="V61"/>
      <c r="W61"/>
      <c r="X61"/>
      <c r="Y61" s="185"/>
      <c r="Z61"/>
      <c r="BL61" s="186"/>
    </row>
    <row r="62" spans="1:64" s="183" customFormat="1">
      <c r="A62" s="182"/>
      <c r="D62"/>
      <c r="F62" s="184"/>
      <c r="G62" s="193"/>
      <c r="K62"/>
      <c r="L62" s="138"/>
      <c r="M62"/>
      <c r="N62"/>
      <c r="O62"/>
      <c r="P62"/>
      <c r="Q62"/>
      <c r="R62" s="185"/>
      <c r="S62"/>
      <c r="T62"/>
      <c r="U62"/>
      <c r="V62"/>
      <c r="W62"/>
      <c r="X62"/>
      <c r="Y62" s="185"/>
      <c r="Z62"/>
      <c r="BL62" s="186"/>
    </row>
    <row r="63" spans="1:64" s="183" customFormat="1">
      <c r="A63" s="182"/>
      <c r="D63"/>
      <c r="F63" s="184"/>
      <c r="G63" s="195"/>
      <c r="K63"/>
      <c r="L63"/>
      <c r="M63" s="185"/>
      <c r="N63" s="54"/>
      <c r="O63"/>
      <c r="P63"/>
      <c r="Q63"/>
      <c r="R63" s="185"/>
      <c r="S63"/>
      <c r="T63"/>
      <c r="U63"/>
      <c r="V63"/>
      <c r="W63"/>
      <c r="X63"/>
      <c r="Y63" s="185"/>
      <c r="Z63"/>
      <c r="BL63" s="186"/>
    </row>
    <row r="64" spans="1:64" s="183" customFormat="1">
      <c r="A64" s="182"/>
      <c r="D64"/>
      <c r="F64" s="184"/>
      <c r="G64" s="195"/>
      <c r="K64"/>
      <c r="L64" s="138"/>
      <c r="M64"/>
      <c r="N64" s="189"/>
      <c r="O64"/>
      <c r="P64"/>
      <c r="Q64"/>
      <c r="R64" s="185"/>
      <c r="S64"/>
      <c r="T64"/>
      <c r="U64"/>
      <c r="V64"/>
      <c r="W64"/>
      <c r="X64"/>
      <c r="Y64" s="185"/>
      <c r="Z64"/>
      <c r="BL64" s="186"/>
    </row>
    <row r="65" spans="1:65" s="183" customFormat="1">
      <c r="A65" s="182"/>
      <c r="D65"/>
      <c r="F65" s="184"/>
      <c r="G65" s="195"/>
      <c r="K65"/>
      <c r="L65"/>
      <c r="M65"/>
      <c r="N65" s="54"/>
      <c r="O65"/>
      <c r="P65"/>
      <c r="Q65"/>
      <c r="R65" s="185"/>
      <c r="S65"/>
      <c r="T65"/>
      <c r="U65"/>
      <c r="V65"/>
      <c r="W65"/>
      <c r="X65"/>
      <c r="Y65" s="185"/>
      <c r="Z65"/>
      <c r="BL65" s="186"/>
    </row>
    <row r="66" spans="1:65" s="183" customFormat="1">
      <c r="A66" s="182"/>
      <c r="D66"/>
      <c r="F66" s="184"/>
      <c r="K66"/>
      <c r="L66"/>
      <c r="M66"/>
      <c r="N66"/>
      <c r="O66"/>
      <c r="P66"/>
      <c r="Q66"/>
      <c r="R66" s="185"/>
      <c r="S66"/>
      <c r="T66"/>
      <c r="U66"/>
      <c r="V66"/>
      <c r="W66"/>
      <c r="X66"/>
      <c r="Y66" s="185"/>
      <c r="Z66"/>
      <c r="BL66" s="186"/>
    </row>
    <row r="67" spans="1:65" s="183" customFormat="1">
      <c r="A67" s="182"/>
      <c r="D67"/>
      <c r="F67" s="184"/>
      <c r="K67"/>
      <c r="L67"/>
      <c r="M67"/>
      <c r="N67"/>
      <c r="O67"/>
      <c r="P67"/>
      <c r="Q67"/>
      <c r="R67" s="185"/>
      <c r="S67"/>
      <c r="T67"/>
      <c r="U67"/>
      <c r="V67"/>
      <c r="W67"/>
      <c r="X67"/>
      <c r="Y67" s="185"/>
      <c r="Z67"/>
      <c r="BL67" s="186"/>
    </row>
    <row r="68" spans="1:65" s="183" customFormat="1">
      <c r="A68" s="182"/>
      <c r="D68"/>
      <c r="F68" s="184"/>
      <c r="G68" s="194"/>
      <c r="I68" s="187"/>
      <c r="K68"/>
      <c r="L68"/>
      <c r="M68"/>
      <c r="N68"/>
      <c r="O68"/>
      <c r="P68"/>
      <c r="Q68"/>
      <c r="R68" s="185"/>
      <c r="S68"/>
      <c r="T68"/>
      <c r="U68"/>
      <c r="V68"/>
      <c r="W68"/>
      <c r="X68"/>
      <c r="Y68" s="185"/>
      <c r="Z68"/>
      <c r="BL68" s="186"/>
    </row>
    <row r="69" spans="1:65" s="183" customFormat="1">
      <c r="A69" s="182"/>
      <c r="D69"/>
      <c r="F69" s="184"/>
      <c r="G69" s="193"/>
      <c r="K69"/>
      <c r="L69"/>
      <c r="M69"/>
      <c r="N69"/>
      <c r="O69"/>
      <c r="P69"/>
      <c r="Q69"/>
      <c r="R69" s="185"/>
      <c r="S69"/>
      <c r="T69"/>
      <c r="U69"/>
      <c r="V69"/>
      <c r="W69"/>
      <c r="X69"/>
      <c r="Y69" s="185"/>
      <c r="Z69"/>
      <c r="BL69" s="186"/>
    </row>
    <row r="70" spans="1:65" s="183" customFormat="1">
      <c r="A70" s="182"/>
      <c r="D70"/>
      <c r="F70" s="184"/>
      <c r="G70" s="195"/>
      <c r="K70"/>
      <c r="L70"/>
      <c r="M70"/>
      <c r="N70"/>
      <c r="O70"/>
      <c r="P70"/>
      <c r="Q70"/>
      <c r="R70" s="185"/>
      <c r="S70"/>
      <c r="T70"/>
      <c r="U70"/>
      <c r="V70"/>
      <c r="W70"/>
      <c r="X70"/>
      <c r="Y70" s="185"/>
      <c r="Z70"/>
      <c r="BL70" s="186"/>
    </row>
    <row r="71" spans="1:65" s="183" customFormat="1">
      <c r="A71" s="182"/>
      <c r="D71"/>
      <c r="F71" s="184"/>
      <c r="G71" s="195"/>
      <c r="K71"/>
      <c r="L71"/>
      <c r="M71"/>
      <c r="N71"/>
      <c r="O71"/>
      <c r="P71"/>
      <c r="Q71"/>
      <c r="R71" s="185"/>
      <c r="S71"/>
      <c r="T71"/>
      <c r="U71"/>
      <c r="V71"/>
      <c r="W71"/>
      <c r="X71"/>
      <c r="Y71" s="185"/>
      <c r="Z71"/>
      <c r="BL71" s="186"/>
    </row>
    <row r="72" spans="1:65" s="183" customFormat="1">
      <c r="A72" s="182"/>
      <c r="D72"/>
      <c r="F72" s="184"/>
      <c r="G72" s="195"/>
      <c r="K72"/>
      <c r="L72"/>
      <c r="M72"/>
      <c r="N72"/>
      <c r="O72"/>
      <c r="P72"/>
      <c r="Q72"/>
      <c r="R72" s="185"/>
      <c r="S72"/>
      <c r="T72"/>
      <c r="U72"/>
      <c r="V72"/>
      <c r="W72"/>
      <c r="X72"/>
      <c r="Y72" s="185"/>
      <c r="Z72"/>
      <c r="BL72" s="186"/>
    </row>
    <row r="73" spans="1:65" s="183" customFormat="1">
      <c r="A73" s="182"/>
      <c r="D73"/>
      <c r="F73" s="184"/>
      <c r="G73" s="195"/>
      <c r="H73" s="190"/>
      <c r="K73"/>
      <c r="L73"/>
      <c r="M73"/>
      <c r="N73"/>
      <c r="O73"/>
      <c r="P73"/>
      <c r="Q73"/>
      <c r="R73" s="185"/>
      <c r="S73"/>
      <c r="T73"/>
      <c r="U73"/>
      <c r="V73"/>
      <c r="W73"/>
      <c r="X73"/>
      <c r="Y73" s="185"/>
      <c r="Z73"/>
      <c r="BL73" s="186"/>
    </row>
    <row r="74" spans="1:65" s="183" customFormat="1">
      <c r="A74" s="182"/>
      <c r="D74"/>
      <c r="F74" s="184"/>
      <c r="K74"/>
      <c r="L74"/>
      <c r="M74"/>
      <c r="N74"/>
      <c r="O74"/>
      <c r="P74"/>
      <c r="Q74"/>
      <c r="R74" s="185"/>
      <c r="S74"/>
      <c r="T74"/>
      <c r="U74"/>
      <c r="V74"/>
      <c r="W74"/>
      <c r="X74"/>
      <c r="Y74" s="185"/>
      <c r="Z74"/>
      <c r="BL74" s="186"/>
    </row>
    <row r="75" spans="1:65" s="183" customFormat="1">
      <c r="A75" s="182"/>
      <c r="D75"/>
      <c r="F75" s="184"/>
      <c r="G75" s="55"/>
      <c r="H75" s="55"/>
      <c r="J75" s="55"/>
      <c r="K75"/>
      <c r="L75"/>
      <c r="M75"/>
      <c r="N75"/>
      <c r="O75"/>
      <c r="P75"/>
      <c r="Q75"/>
      <c r="R75" s="185"/>
      <c r="S75"/>
      <c r="T75"/>
      <c r="U75"/>
      <c r="V75"/>
      <c r="W75"/>
      <c r="X75"/>
      <c r="Y75" s="185"/>
      <c r="Z75"/>
      <c r="BL75" s="186"/>
    </row>
    <row r="76" spans="1:65" s="55" customFormat="1">
      <c r="A76" s="56"/>
      <c r="D76"/>
      <c r="F76" s="197"/>
      <c r="K76"/>
      <c r="L76"/>
      <c r="M76"/>
      <c r="N76"/>
      <c r="O76"/>
      <c r="P76"/>
      <c r="Q76"/>
      <c r="R76" s="43"/>
      <c r="S76"/>
      <c r="T76"/>
      <c r="U76"/>
      <c r="V76"/>
      <c r="W76"/>
      <c r="X76"/>
      <c r="Y76" s="43"/>
      <c r="Z76"/>
      <c r="BL76" s="198"/>
      <c r="BM76" s="183"/>
    </row>
    <row r="77" spans="1:65" s="55" customFormat="1">
      <c r="A77" s="56"/>
      <c r="D77"/>
      <c r="F77" s="197"/>
      <c r="G77" s="194"/>
      <c r="K77"/>
      <c r="L77"/>
      <c r="M77"/>
      <c r="N77"/>
      <c r="O77"/>
      <c r="P77"/>
      <c r="Q77"/>
      <c r="R77" s="43"/>
      <c r="S77"/>
      <c r="T77"/>
      <c r="U77"/>
      <c r="V77"/>
      <c r="W77"/>
      <c r="X77"/>
      <c r="Y77" s="43"/>
      <c r="Z77"/>
      <c r="BL77" s="198"/>
      <c r="BM77" s="183"/>
    </row>
    <row r="78" spans="1:65" s="55" customFormat="1">
      <c r="A78" s="56"/>
      <c r="D78"/>
      <c r="F78" s="197"/>
      <c r="G78" s="193"/>
      <c r="H78" s="183"/>
      <c r="I78" s="183"/>
      <c r="K78"/>
      <c r="L78"/>
      <c r="M78"/>
      <c r="N78"/>
      <c r="O78"/>
      <c r="P78"/>
      <c r="Q78"/>
      <c r="R78" s="43"/>
      <c r="S78"/>
      <c r="T78"/>
      <c r="U78"/>
      <c r="V78"/>
      <c r="W78"/>
      <c r="X78"/>
      <c r="Y78" s="43"/>
      <c r="Z78"/>
      <c r="BL78" s="198"/>
      <c r="BM78" s="183"/>
    </row>
    <row r="79" spans="1:65" s="55" customFormat="1">
      <c r="A79" s="56"/>
      <c r="D79"/>
      <c r="F79" s="197"/>
      <c r="G79" s="195"/>
      <c r="H79" s="183"/>
      <c r="I79" s="183"/>
      <c r="K79"/>
      <c r="L79"/>
      <c r="M79"/>
      <c r="N79"/>
      <c r="O79"/>
      <c r="P79"/>
      <c r="Q79"/>
      <c r="R79" s="43"/>
      <c r="S79"/>
      <c r="T79"/>
      <c r="U79"/>
      <c r="V79"/>
      <c r="W79"/>
      <c r="X79"/>
      <c r="Y79" s="43"/>
      <c r="Z79"/>
      <c r="BL79" s="198"/>
      <c r="BM79" s="183"/>
    </row>
    <row r="80" spans="1:65" s="55" customFormat="1">
      <c r="A80" s="56"/>
      <c r="D80"/>
      <c r="F80" s="197"/>
      <c r="G80" s="195"/>
      <c r="H80" s="183"/>
      <c r="I80" s="183"/>
      <c r="K80"/>
      <c r="L80" s="54"/>
      <c r="M80"/>
      <c r="N80"/>
      <c r="O80"/>
      <c r="P80"/>
      <c r="Q80"/>
      <c r="R80" s="43"/>
      <c r="S80"/>
      <c r="T80"/>
      <c r="U80"/>
      <c r="V80"/>
      <c r="W80"/>
      <c r="X80"/>
      <c r="Y80" s="43"/>
      <c r="Z80"/>
      <c r="BL80" s="198"/>
      <c r="BM80" s="183"/>
    </row>
    <row r="81" spans="1:65" s="55" customFormat="1">
      <c r="A81" s="56"/>
      <c r="D81"/>
      <c r="F81" s="197"/>
      <c r="I81" s="183"/>
      <c r="K81"/>
      <c r="L81"/>
      <c r="M81"/>
      <c r="N81"/>
      <c r="O81"/>
      <c r="P81"/>
      <c r="Q81"/>
      <c r="R81" s="43"/>
      <c r="S81"/>
      <c r="T81"/>
      <c r="U81"/>
      <c r="V81"/>
      <c r="W81"/>
      <c r="X81"/>
      <c r="Y81" s="43"/>
      <c r="Z81"/>
      <c r="BL81" s="198"/>
      <c r="BM81" s="183"/>
    </row>
    <row r="82" spans="1:65" s="55" customFormat="1">
      <c r="A82" s="56"/>
      <c r="D82"/>
      <c r="F82" s="197"/>
      <c r="I82" s="183"/>
      <c r="K82"/>
      <c r="L82"/>
      <c r="M82"/>
      <c r="N82"/>
      <c r="O82"/>
      <c r="P82"/>
      <c r="Q82"/>
      <c r="R82" s="43"/>
      <c r="S82"/>
      <c r="T82"/>
      <c r="U82"/>
      <c r="V82"/>
      <c r="W82"/>
      <c r="X82"/>
      <c r="Y82" s="43"/>
      <c r="Z82"/>
      <c r="BL82" s="198"/>
      <c r="BM82" s="183"/>
    </row>
    <row r="83" spans="1:65" s="55" customFormat="1">
      <c r="A83" s="56"/>
      <c r="D83"/>
      <c r="F83" s="197"/>
      <c r="K83"/>
      <c r="L83"/>
      <c r="M83"/>
      <c r="N83"/>
      <c r="O83"/>
      <c r="P83"/>
      <c r="Q83"/>
      <c r="R83" s="43"/>
      <c r="S83"/>
      <c r="T83"/>
      <c r="U83"/>
      <c r="V83"/>
      <c r="W83"/>
      <c r="X83"/>
      <c r="Y83" s="43"/>
      <c r="Z83"/>
      <c r="BL83" s="198"/>
      <c r="BM83" s="183"/>
    </row>
    <row r="84" spans="1:65" s="55" customFormat="1">
      <c r="A84" s="56"/>
      <c r="D84"/>
      <c r="F84" s="197"/>
      <c r="G84" s="194"/>
      <c r="K84"/>
      <c r="L84"/>
      <c r="M84"/>
      <c r="N84"/>
      <c r="O84"/>
      <c r="P84"/>
      <c r="Q84"/>
      <c r="R84" s="43"/>
      <c r="S84"/>
      <c r="T84"/>
      <c r="U84"/>
      <c r="V84"/>
      <c r="W84"/>
      <c r="X84"/>
      <c r="Y84" s="43"/>
      <c r="Z84"/>
      <c r="BL84" s="198"/>
      <c r="BM84" s="183"/>
    </row>
    <row r="85" spans="1:65" s="55" customFormat="1">
      <c r="A85" s="56"/>
      <c r="D85"/>
      <c r="F85" s="197"/>
      <c r="G85" s="195"/>
      <c r="H85" s="193"/>
      <c r="I85" s="183"/>
      <c r="K85"/>
      <c r="L85"/>
      <c r="M85"/>
      <c r="N85"/>
      <c r="O85"/>
      <c r="P85"/>
      <c r="Q85"/>
      <c r="R85" s="43"/>
      <c r="S85"/>
      <c r="T85"/>
      <c r="U85"/>
      <c r="V85"/>
      <c r="W85"/>
      <c r="X85"/>
      <c r="Y85" s="43"/>
      <c r="Z85"/>
      <c r="BL85" s="198"/>
      <c r="BM85" s="183"/>
    </row>
    <row r="86" spans="1:65" s="55" customFormat="1">
      <c r="A86" s="56"/>
      <c r="D86"/>
      <c r="F86" s="197"/>
      <c r="G86" s="195"/>
      <c r="H86" s="193"/>
      <c r="I86" s="183"/>
      <c r="K86"/>
      <c r="L86"/>
      <c r="M86"/>
      <c r="N86"/>
      <c r="O86"/>
      <c r="P86"/>
      <c r="Q86"/>
      <c r="R86" s="43"/>
      <c r="S86"/>
      <c r="T86"/>
      <c r="U86"/>
      <c r="V86"/>
      <c r="W86"/>
      <c r="X86"/>
      <c r="Y86" s="43"/>
      <c r="Z86"/>
      <c r="BL86" s="198"/>
      <c r="BM86" s="183"/>
    </row>
    <row r="87" spans="1:65" s="55" customFormat="1">
      <c r="A87" s="56"/>
      <c r="D87"/>
      <c r="F87" s="197"/>
      <c r="G87" s="195"/>
      <c r="H87" s="193"/>
      <c r="I87" s="183"/>
      <c r="K87"/>
      <c r="L87"/>
      <c r="M87"/>
      <c r="N87"/>
      <c r="O87"/>
      <c r="P87"/>
      <c r="Q87"/>
      <c r="R87" s="43"/>
      <c r="S87"/>
      <c r="T87"/>
      <c r="U87"/>
      <c r="V87"/>
      <c r="W87"/>
      <c r="X87"/>
      <c r="Y87" s="43"/>
      <c r="Z87"/>
      <c r="BL87" s="198"/>
      <c r="BM87" s="183"/>
    </row>
    <row r="88" spans="1:65" s="55" customFormat="1">
      <c r="A88" s="56"/>
      <c r="D88"/>
      <c r="F88" s="197"/>
      <c r="G88" s="195"/>
      <c r="H88" s="193"/>
      <c r="I88" s="183"/>
      <c r="K88"/>
      <c r="L88"/>
      <c r="M88"/>
      <c r="N88"/>
      <c r="O88"/>
      <c r="P88"/>
      <c r="Q88"/>
      <c r="R88" s="43"/>
      <c r="S88"/>
      <c r="T88"/>
      <c r="U88"/>
      <c r="V88"/>
      <c r="W88"/>
      <c r="X88"/>
      <c r="Y88" s="43"/>
      <c r="Z88"/>
      <c r="BL88" s="198"/>
      <c r="BM88" s="183"/>
    </row>
    <row r="89" spans="1:65" s="55" customFormat="1">
      <c r="A89" s="56"/>
      <c r="D89"/>
      <c r="F89" s="197"/>
      <c r="G89" s="195"/>
      <c r="H89" s="193"/>
      <c r="I89" s="183"/>
      <c r="K89"/>
      <c r="L89"/>
      <c r="M89"/>
      <c r="N89"/>
      <c r="O89"/>
      <c r="P89"/>
      <c r="Q89"/>
      <c r="R89" s="43"/>
      <c r="S89"/>
      <c r="T89"/>
      <c r="U89"/>
      <c r="V89"/>
      <c r="W89"/>
      <c r="X89"/>
      <c r="Y89" s="43"/>
      <c r="Z89"/>
      <c r="BL89" s="198"/>
      <c r="BM89" s="183"/>
    </row>
    <row r="90" spans="1:65" s="55" customFormat="1">
      <c r="A90" s="56"/>
      <c r="D90"/>
      <c r="F90" s="197"/>
      <c r="I90" s="183"/>
      <c r="K90"/>
      <c r="L90"/>
      <c r="M90"/>
      <c r="N90"/>
      <c r="O90"/>
      <c r="P90"/>
      <c r="Q90"/>
      <c r="R90" s="43"/>
      <c r="S90"/>
      <c r="T90"/>
      <c r="U90"/>
      <c r="V90"/>
      <c r="W90"/>
      <c r="X90"/>
      <c r="Y90" s="43"/>
      <c r="Z90"/>
      <c r="BL90" s="198"/>
      <c r="BM90" s="183"/>
    </row>
    <row r="91" spans="1:65" s="55" customFormat="1">
      <c r="A91" s="56"/>
      <c r="D91"/>
      <c r="F91" s="197"/>
      <c r="I91" s="183"/>
      <c r="K91"/>
      <c r="L91"/>
      <c r="M91"/>
      <c r="N91"/>
      <c r="O91"/>
      <c r="P91"/>
      <c r="Q91"/>
      <c r="R91" s="43"/>
      <c r="S91"/>
      <c r="T91"/>
      <c r="U91"/>
      <c r="V91"/>
      <c r="W91"/>
      <c r="X91"/>
      <c r="Y91" s="43"/>
      <c r="Z91"/>
      <c r="BL91" s="198"/>
      <c r="BM91" s="183"/>
    </row>
    <row r="92" spans="1:65" s="55" customFormat="1">
      <c r="A92" s="56"/>
      <c r="D92"/>
      <c r="F92" s="197"/>
      <c r="K92"/>
      <c r="L92"/>
      <c r="M92"/>
      <c r="N92"/>
      <c r="O92"/>
      <c r="P92"/>
      <c r="Q92"/>
      <c r="R92" s="43"/>
      <c r="S92"/>
      <c r="T92"/>
      <c r="U92"/>
      <c r="V92"/>
      <c r="W92"/>
      <c r="X92"/>
      <c r="Y92" s="43"/>
      <c r="Z92"/>
      <c r="BL92" s="198"/>
      <c r="BM92" s="183"/>
    </row>
    <row r="93" spans="1:65" s="55" customFormat="1">
      <c r="A93" s="56"/>
      <c r="D93"/>
      <c r="F93" s="197"/>
      <c r="G93" s="194"/>
      <c r="K93"/>
      <c r="L93"/>
      <c r="M93"/>
      <c r="N93"/>
      <c r="O93"/>
      <c r="P93"/>
      <c r="Q93"/>
      <c r="R93" s="43"/>
      <c r="S93"/>
      <c r="T93"/>
      <c r="U93"/>
      <c r="V93"/>
      <c r="W93"/>
      <c r="X93"/>
      <c r="Y93" s="43"/>
      <c r="Z93"/>
      <c r="BL93" s="198"/>
      <c r="BM93" s="183"/>
    </row>
    <row r="94" spans="1:65" s="55" customFormat="1">
      <c r="A94" s="56"/>
      <c r="D94"/>
      <c r="F94" s="197"/>
      <c r="G94" s="195"/>
      <c r="H94" s="193"/>
      <c r="I94" s="183"/>
      <c r="K94"/>
      <c r="L94"/>
      <c r="M94"/>
      <c r="N94"/>
      <c r="O94"/>
      <c r="P94"/>
      <c r="Q94"/>
      <c r="R94" s="43"/>
      <c r="S94"/>
      <c r="T94"/>
      <c r="U94"/>
      <c r="V94"/>
      <c r="W94"/>
      <c r="X94"/>
      <c r="Y94" s="43"/>
      <c r="Z94"/>
      <c r="BL94" s="198"/>
      <c r="BM94" s="183"/>
    </row>
    <row r="95" spans="1:65" s="55" customFormat="1">
      <c r="A95" s="56"/>
      <c r="D95"/>
      <c r="F95" s="197"/>
      <c r="G95" s="195"/>
      <c r="H95" s="193"/>
      <c r="I95" s="183"/>
      <c r="K95"/>
      <c r="L95"/>
      <c r="M95"/>
      <c r="N95"/>
      <c r="O95"/>
      <c r="P95"/>
      <c r="Q95"/>
      <c r="R95" s="43"/>
      <c r="S95"/>
      <c r="T95"/>
      <c r="U95"/>
      <c r="V95"/>
      <c r="W95"/>
      <c r="X95"/>
      <c r="Y95" s="43"/>
      <c r="Z95"/>
      <c r="BL95" s="198"/>
      <c r="BM95" s="183"/>
    </row>
    <row r="96" spans="1:65" s="55" customFormat="1">
      <c r="A96" s="56"/>
      <c r="D96"/>
      <c r="F96" s="197"/>
      <c r="G96" s="195"/>
      <c r="H96" s="193"/>
      <c r="I96" s="183"/>
      <c r="K96"/>
      <c r="L96"/>
      <c r="M96"/>
      <c r="N96"/>
      <c r="O96"/>
      <c r="P96"/>
      <c r="Q96"/>
      <c r="R96" s="43"/>
      <c r="S96"/>
      <c r="T96"/>
      <c r="U96"/>
      <c r="V96"/>
      <c r="W96"/>
      <c r="X96"/>
      <c r="Y96" s="43"/>
      <c r="Z96"/>
      <c r="BL96" s="198"/>
      <c r="BM96" s="183"/>
    </row>
    <row r="97" spans="1:65" s="55" customFormat="1">
      <c r="A97" s="56"/>
      <c r="D97"/>
      <c r="F97" s="197"/>
      <c r="G97" s="195"/>
      <c r="H97" s="193"/>
      <c r="I97" s="183"/>
      <c r="K97"/>
      <c r="L97"/>
      <c r="M97"/>
      <c r="N97"/>
      <c r="O97"/>
      <c r="P97"/>
      <c r="Q97"/>
      <c r="R97" s="43"/>
      <c r="S97"/>
      <c r="T97"/>
      <c r="U97"/>
      <c r="V97"/>
      <c r="W97"/>
      <c r="X97"/>
      <c r="Y97" s="43"/>
      <c r="Z97"/>
      <c r="BL97" s="198"/>
      <c r="BM97" s="183"/>
    </row>
    <row r="98" spans="1:65" s="55" customFormat="1">
      <c r="A98" s="56"/>
      <c r="D98"/>
      <c r="F98" s="197"/>
      <c r="G98" s="195"/>
      <c r="H98" s="193"/>
      <c r="I98" s="183"/>
      <c r="K98"/>
      <c r="L98"/>
      <c r="M98"/>
      <c r="N98"/>
      <c r="O98"/>
      <c r="P98"/>
      <c r="Q98"/>
      <c r="R98" s="43"/>
      <c r="S98"/>
      <c r="T98"/>
      <c r="U98"/>
      <c r="V98"/>
      <c r="W98"/>
      <c r="X98"/>
      <c r="Y98" s="43"/>
      <c r="Z98"/>
      <c r="BL98" s="198"/>
      <c r="BM98" s="183"/>
    </row>
    <row r="99" spans="1:65" s="55" customFormat="1">
      <c r="A99" s="56"/>
      <c r="D99"/>
      <c r="F99" s="197"/>
      <c r="I99" s="183"/>
      <c r="K99"/>
      <c r="L99"/>
      <c r="M99"/>
      <c r="N99"/>
      <c r="O99"/>
      <c r="P99"/>
      <c r="Q99"/>
      <c r="R99" s="43"/>
      <c r="S99"/>
      <c r="T99"/>
      <c r="U99"/>
      <c r="V99"/>
      <c r="W99"/>
      <c r="X99"/>
      <c r="Y99" s="43"/>
      <c r="Z99"/>
      <c r="BL99" s="198"/>
      <c r="BM99" s="183"/>
    </row>
    <row r="100" spans="1:65" s="55" customFormat="1">
      <c r="A100" s="56"/>
      <c r="D100"/>
      <c r="F100" s="197"/>
      <c r="I100" s="183"/>
      <c r="K100"/>
      <c r="L100"/>
      <c r="M100"/>
      <c r="N100"/>
      <c r="O100"/>
      <c r="P100"/>
      <c r="Q100"/>
      <c r="R100" s="43"/>
      <c r="S100"/>
      <c r="T100"/>
      <c r="U100"/>
      <c r="V100"/>
      <c r="W100"/>
      <c r="X100"/>
      <c r="Y100" s="43"/>
      <c r="Z100"/>
      <c r="BL100" s="198"/>
      <c r="BM100" s="183"/>
    </row>
    <row r="101" spans="1:65" s="55" customFormat="1">
      <c r="A101" s="56"/>
      <c r="D101"/>
      <c r="F101" s="197"/>
      <c r="K101"/>
      <c r="L101"/>
      <c r="M101"/>
      <c r="N101"/>
      <c r="O101"/>
      <c r="P101"/>
      <c r="Q101"/>
      <c r="R101" s="43"/>
      <c r="S101"/>
      <c r="T101"/>
      <c r="U101"/>
      <c r="V101"/>
      <c r="W101"/>
      <c r="X101"/>
      <c r="Y101" s="43"/>
      <c r="Z101"/>
      <c r="BL101" s="198"/>
      <c r="BM101" s="183"/>
    </row>
    <row r="102" spans="1:65" s="55" customFormat="1">
      <c r="A102" s="56"/>
      <c r="D102"/>
      <c r="F102" s="197"/>
      <c r="G102" s="194"/>
      <c r="K102"/>
      <c r="L102"/>
      <c r="M102"/>
      <c r="N102"/>
      <c r="O102"/>
      <c r="P102"/>
      <c r="Q102"/>
      <c r="R102" s="43"/>
      <c r="S102"/>
      <c r="T102"/>
      <c r="U102"/>
      <c r="V102"/>
      <c r="W102"/>
      <c r="X102"/>
      <c r="Y102" s="43"/>
      <c r="Z102"/>
      <c r="BL102" s="198"/>
      <c r="BM102" s="183"/>
    </row>
    <row r="103" spans="1:65" s="55" customFormat="1">
      <c r="A103" s="56"/>
      <c r="D103"/>
      <c r="F103" s="197"/>
      <c r="G103" s="195"/>
      <c r="H103" s="193"/>
      <c r="I103" s="183"/>
      <c r="K103"/>
      <c r="L103"/>
      <c r="M103"/>
      <c r="N103"/>
      <c r="O103"/>
      <c r="P103"/>
      <c r="Q103"/>
      <c r="R103" s="43"/>
      <c r="S103"/>
      <c r="T103"/>
      <c r="U103"/>
      <c r="V103"/>
      <c r="W103"/>
      <c r="X103"/>
      <c r="Y103" s="43"/>
      <c r="Z103"/>
      <c r="BL103" s="198"/>
      <c r="BM103" s="183"/>
    </row>
    <row r="104" spans="1:65" s="55" customFormat="1">
      <c r="A104" s="56"/>
      <c r="D104"/>
      <c r="F104" s="197"/>
      <c r="I104" s="183"/>
      <c r="K104"/>
      <c r="L104"/>
      <c r="M104"/>
      <c r="N104"/>
      <c r="O104"/>
      <c r="P104"/>
      <c r="Q104"/>
      <c r="R104" s="43"/>
      <c r="S104"/>
      <c r="T104"/>
      <c r="U104"/>
      <c r="V104"/>
      <c r="W104"/>
      <c r="X104"/>
      <c r="Y104" s="43"/>
      <c r="Z104"/>
      <c r="BL104" s="198"/>
      <c r="BM104" s="183"/>
    </row>
    <row r="105" spans="1:65" s="55" customFormat="1">
      <c r="A105" s="56"/>
      <c r="D105"/>
      <c r="F105" s="197"/>
      <c r="I105" s="183"/>
      <c r="K105"/>
      <c r="L105"/>
      <c r="M105"/>
      <c r="N105"/>
      <c r="O105"/>
      <c r="P105"/>
      <c r="Q105"/>
      <c r="R105" s="43"/>
      <c r="S105"/>
      <c r="T105"/>
      <c r="U105"/>
      <c r="V105"/>
      <c r="W105"/>
      <c r="X105"/>
      <c r="Y105" s="43"/>
      <c r="Z105"/>
      <c r="BL105" s="198"/>
      <c r="BM105" s="183"/>
    </row>
    <row r="106" spans="1:65" s="55" customFormat="1">
      <c r="A106" s="56"/>
      <c r="D106"/>
      <c r="F106" s="197"/>
      <c r="G106" s="194"/>
      <c r="K106"/>
      <c r="L106"/>
      <c r="M106"/>
      <c r="N106"/>
      <c r="O106"/>
      <c r="P106"/>
      <c r="Q106"/>
      <c r="R106" s="43"/>
      <c r="S106"/>
      <c r="T106"/>
      <c r="U106"/>
      <c r="V106"/>
      <c r="W106"/>
      <c r="X106"/>
      <c r="Y106" s="43"/>
      <c r="Z106"/>
      <c r="BL106" s="198"/>
      <c r="BM106" s="183"/>
    </row>
    <row r="107" spans="1:65" s="55" customFormat="1">
      <c r="A107" s="56"/>
      <c r="D107"/>
      <c r="F107" s="197"/>
      <c r="G107" s="195"/>
      <c r="H107" s="193"/>
      <c r="K107"/>
      <c r="L107"/>
      <c r="M107"/>
      <c r="N107"/>
      <c r="O107"/>
      <c r="P107"/>
      <c r="Q107"/>
      <c r="R107" s="43"/>
      <c r="S107"/>
      <c r="T107"/>
      <c r="U107"/>
      <c r="V107"/>
      <c r="W107"/>
      <c r="X107"/>
      <c r="Y107" s="43"/>
      <c r="Z107"/>
      <c r="BL107" s="198"/>
      <c r="BM107" s="183"/>
    </row>
    <row r="108" spans="1:65" s="55" customFormat="1">
      <c r="A108" s="56"/>
      <c r="D108"/>
      <c r="F108" s="197"/>
      <c r="G108" s="195"/>
      <c r="H108" s="193"/>
      <c r="I108" s="183"/>
      <c r="K108"/>
      <c r="L108"/>
      <c r="M108"/>
      <c r="N108"/>
      <c r="O108"/>
      <c r="P108"/>
      <c r="Q108"/>
      <c r="R108" s="43"/>
      <c r="S108"/>
      <c r="T108"/>
      <c r="U108"/>
      <c r="V108"/>
      <c r="W108"/>
      <c r="X108"/>
      <c r="Y108" s="43"/>
      <c r="Z108"/>
      <c r="BL108" s="198"/>
      <c r="BM108" s="183"/>
    </row>
    <row r="109" spans="1:65" s="55" customFormat="1">
      <c r="A109" s="56"/>
      <c r="D109"/>
      <c r="F109" s="197"/>
      <c r="G109" s="195"/>
      <c r="H109" s="193"/>
      <c r="I109" s="183"/>
      <c r="K109"/>
      <c r="L109"/>
      <c r="M109"/>
      <c r="N109"/>
      <c r="O109"/>
      <c r="P109"/>
      <c r="Q109"/>
      <c r="R109" s="43"/>
      <c r="S109"/>
      <c r="T109"/>
      <c r="U109"/>
      <c r="V109"/>
      <c r="W109"/>
      <c r="X109"/>
      <c r="Y109" s="43"/>
      <c r="Z109"/>
      <c r="BL109" s="198"/>
      <c r="BM109" s="183"/>
    </row>
    <row r="110" spans="1:65" s="55" customFormat="1">
      <c r="A110" s="56"/>
      <c r="D110"/>
      <c r="F110" s="197"/>
      <c r="I110" s="183"/>
      <c r="K110"/>
      <c r="L110"/>
      <c r="M110"/>
      <c r="N110"/>
      <c r="O110"/>
      <c r="P110"/>
      <c r="Q110"/>
      <c r="R110" s="43"/>
      <c r="S110"/>
      <c r="T110"/>
      <c r="U110"/>
      <c r="V110"/>
      <c r="W110"/>
      <c r="X110"/>
      <c r="Y110" s="43"/>
      <c r="Z110"/>
      <c r="BL110" s="198"/>
      <c r="BM110" s="183"/>
    </row>
    <row r="111" spans="1:65" s="55" customFormat="1">
      <c r="A111" s="56"/>
      <c r="D111"/>
      <c r="F111" s="197"/>
      <c r="I111" s="183"/>
      <c r="K111"/>
      <c r="L111"/>
      <c r="M111"/>
      <c r="N111"/>
      <c r="O111"/>
      <c r="P111"/>
      <c r="Q111"/>
      <c r="R111" s="43"/>
      <c r="S111"/>
      <c r="T111"/>
      <c r="U111"/>
      <c r="V111"/>
      <c r="W111"/>
      <c r="X111"/>
      <c r="Y111" s="43"/>
      <c r="Z111"/>
      <c r="BL111" s="198"/>
      <c r="BM111" s="183"/>
    </row>
    <row r="112" spans="1:65" s="55" customFormat="1">
      <c r="A112" s="56"/>
      <c r="D112"/>
      <c r="F112" s="197"/>
      <c r="G112" s="194"/>
      <c r="K112"/>
      <c r="L112"/>
      <c r="M112"/>
      <c r="N112"/>
      <c r="O112"/>
      <c r="P112"/>
      <c r="Q112"/>
      <c r="R112" s="43"/>
      <c r="S112"/>
      <c r="T112"/>
      <c r="U112"/>
      <c r="V112"/>
      <c r="W112"/>
      <c r="X112"/>
      <c r="Y112" s="43"/>
      <c r="Z112"/>
      <c r="BL112" s="198"/>
      <c r="BM112" s="183"/>
    </row>
    <row r="113" spans="1:65" s="55" customFormat="1">
      <c r="A113" s="56"/>
      <c r="D113"/>
      <c r="F113" s="197"/>
      <c r="G113" s="195"/>
      <c r="H113" s="193"/>
      <c r="I113" s="183"/>
      <c r="K113"/>
      <c r="L113"/>
      <c r="M113"/>
      <c r="N113"/>
      <c r="O113"/>
      <c r="P113"/>
      <c r="Q113"/>
      <c r="R113" s="43"/>
      <c r="S113"/>
      <c r="T113"/>
      <c r="U113"/>
      <c r="V113"/>
      <c r="W113"/>
      <c r="X113"/>
      <c r="Y113" s="43"/>
      <c r="Z113"/>
      <c r="BL113" s="198"/>
      <c r="BM113" s="183"/>
    </row>
    <row r="114" spans="1:65" s="55" customFormat="1">
      <c r="A114" s="56"/>
      <c r="D114"/>
      <c r="F114" s="197"/>
      <c r="G114" s="195"/>
      <c r="H114" s="193"/>
      <c r="I114" s="183"/>
      <c r="K114"/>
      <c r="L114"/>
      <c r="M114"/>
      <c r="N114"/>
      <c r="O114"/>
      <c r="P114"/>
      <c r="Q114"/>
      <c r="R114" s="43"/>
      <c r="S114"/>
      <c r="T114"/>
      <c r="U114"/>
      <c r="V114"/>
      <c r="W114"/>
      <c r="X114"/>
      <c r="Y114" s="43"/>
      <c r="Z114"/>
      <c r="BL114" s="198"/>
      <c r="BM114" s="183"/>
    </row>
    <row r="115" spans="1:65" s="55" customFormat="1">
      <c r="A115" s="56"/>
      <c r="D115"/>
      <c r="F115" s="197"/>
      <c r="G115" s="195"/>
      <c r="H115" s="193"/>
      <c r="I115" s="183"/>
      <c r="K115"/>
      <c r="L115"/>
      <c r="M115"/>
      <c r="N115"/>
      <c r="O115"/>
      <c r="P115"/>
      <c r="Q115"/>
      <c r="R115" s="43"/>
      <c r="S115"/>
      <c r="T115"/>
      <c r="U115"/>
      <c r="V115"/>
      <c r="W115"/>
      <c r="X115"/>
      <c r="Y115" s="43"/>
      <c r="Z115"/>
      <c r="BL115" s="198"/>
      <c r="BM115" s="183"/>
    </row>
    <row r="116" spans="1:65" s="55" customFormat="1">
      <c r="A116" s="56"/>
      <c r="D116"/>
      <c r="F116" s="197"/>
      <c r="G116" s="195"/>
      <c r="H116" s="193"/>
      <c r="I116" s="183"/>
      <c r="K116"/>
      <c r="L116"/>
      <c r="M116"/>
      <c r="N116"/>
      <c r="O116"/>
      <c r="P116"/>
      <c r="Q116"/>
      <c r="R116" s="43"/>
      <c r="S116"/>
      <c r="T116"/>
      <c r="U116"/>
      <c r="V116"/>
      <c r="W116"/>
      <c r="X116"/>
      <c r="Y116" s="43"/>
      <c r="Z116"/>
      <c r="BL116" s="198"/>
      <c r="BM116" s="183"/>
    </row>
    <row r="117" spans="1:65" s="55" customFormat="1">
      <c r="A117" s="56"/>
      <c r="D117"/>
      <c r="F117" s="197"/>
      <c r="H117" s="193"/>
      <c r="I117" s="183"/>
      <c r="K117"/>
      <c r="L117"/>
      <c r="M117"/>
      <c r="N117"/>
      <c r="O117"/>
      <c r="P117"/>
      <c r="Q117"/>
      <c r="R117" s="43"/>
      <c r="S117"/>
      <c r="T117"/>
      <c r="U117"/>
      <c r="V117"/>
      <c r="W117"/>
      <c r="X117"/>
      <c r="Y117" s="43"/>
      <c r="Z117"/>
      <c r="BL117" s="198"/>
      <c r="BM117" s="183"/>
    </row>
    <row r="118" spans="1:65" s="55" customFormat="1">
      <c r="A118" s="56"/>
      <c r="D118"/>
      <c r="F118" s="197"/>
      <c r="I118" s="183"/>
      <c r="K118"/>
      <c r="L118"/>
      <c r="M118"/>
      <c r="N118"/>
      <c r="O118"/>
      <c r="P118"/>
      <c r="Q118"/>
      <c r="R118" s="43"/>
      <c r="S118"/>
      <c r="T118"/>
      <c r="U118"/>
      <c r="V118"/>
      <c r="W118"/>
      <c r="X118"/>
      <c r="Y118" s="43"/>
      <c r="Z118"/>
      <c r="BL118" s="198"/>
      <c r="BM118" s="183"/>
    </row>
    <row r="119" spans="1:65" s="55" customFormat="1">
      <c r="A119" s="56"/>
      <c r="D119"/>
      <c r="F119" s="197"/>
      <c r="I119" s="183"/>
      <c r="K119"/>
      <c r="L119"/>
      <c r="M119"/>
      <c r="N119"/>
      <c r="O119"/>
      <c r="P119"/>
      <c r="Q119"/>
      <c r="R119" s="43"/>
      <c r="S119"/>
      <c r="T119"/>
      <c r="U119"/>
      <c r="V119"/>
      <c r="W119"/>
      <c r="X119"/>
      <c r="Y119" s="43"/>
      <c r="Z119"/>
      <c r="BL119" s="198"/>
      <c r="BM119" s="183"/>
    </row>
    <row r="120" spans="1:65" s="55" customFormat="1">
      <c r="A120" s="56"/>
      <c r="D120"/>
      <c r="F120" s="197"/>
      <c r="G120" s="187"/>
      <c r="K120"/>
      <c r="L120"/>
      <c r="M120"/>
      <c r="N120"/>
      <c r="O120"/>
      <c r="P120"/>
      <c r="Q120"/>
      <c r="R120" s="43"/>
      <c r="S120"/>
      <c r="T120"/>
      <c r="U120"/>
      <c r="V120"/>
      <c r="W120"/>
      <c r="X120"/>
      <c r="Y120" s="43"/>
      <c r="Z120"/>
      <c r="BL120" s="198"/>
      <c r="BM120" s="183"/>
    </row>
    <row r="121" spans="1:65" s="55" customFormat="1">
      <c r="A121" s="56"/>
      <c r="D121"/>
      <c r="F121" s="197"/>
      <c r="H121" s="193"/>
      <c r="I121" s="183"/>
      <c r="K121"/>
      <c r="L121"/>
      <c r="M121"/>
      <c r="N121"/>
      <c r="O121"/>
      <c r="P121"/>
      <c r="Q121"/>
      <c r="R121" s="43"/>
      <c r="S121"/>
      <c r="T121"/>
      <c r="U121"/>
      <c r="V121"/>
      <c r="W121"/>
      <c r="X121"/>
      <c r="Y121" s="43"/>
      <c r="Z121"/>
      <c r="BL121" s="198"/>
      <c r="BM121" s="183"/>
    </row>
    <row r="122" spans="1:65" s="55" customFormat="1">
      <c r="A122" s="56"/>
      <c r="D122"/>
      <c r="F122" s="197"/>
      <c r="I122" s="183"/>
      <c r="K122"/>
      <c r="L122"/>
      <c r="M122"/>
      <c r="N122"/>
      <c r="O122"/>
      <c r="P122"/>
      <c r="Q122"/>
      <c r="R122" s="43"/>
      <c r="S122"/>
      <c r="T122"/>
      <c r="U122"/>
      <c r="V122"/>
      <c r="W122"/>
      <c r="X122"/>
      <c r="Y122" s="43"/>
      <c r="Z122"/>
      <c r="BL122" s="198"/>
      <c r="BM122" s="183"/>
    </row>
    <row r="123" spans="1:65" s="55" customFormat="1">
      <c r="A123" s="56"/>
      <c r="D123"/>
      <c r="F123" s="197"/>
      <c r="I123" s="183"/>
      <c r="K123"/>
      <c r="L123"/>
      <c r="M123"/>
      <c r="N123"/>
      <c r="O123"/>
      <c r="P123"/>
      <c r="Q123"/>
      <c r="R123" s="43"/>
      <c r="S123"/>
      <c r="T123"/>
      <c r="U123"/>
      <c r="V123"/>
      <c r="W123"/>
      <c r="X123"/>
      <c r="Y123" s="43"/>
      <c r="Z123"/>
      <c r="BL123" s="198"/>
      <c r="BM123" s="183"/>
    </row>
    <row r="124" spans="1:65" s="55" customFormat="1">
      <c r="A124" s="56"/>
      <c r="D124"/>
      <c r="F124" s="197"/>
      <c r="K124"/>
      <c r="L124"/>
      <c r="M124"/>
      <c r="N124"/>
      <c r="O124"/>
      <c r="P124"/>
      <c r="Q124"/>
      <c r="R124" s="43"/>
      <c r="S124"/>
      <c r="T124"/>
      <c r="U124"/>
      <c r="V124"/>
      <c r="W124"/>
      <c r="X124"/>
      <c r="Y124" s="43"/>
      <c r="Z124"/>
      <c r="BL124" s="198"/>
      <c r="BM124" s="183"/>
    </row>
    <row r="125" spans="1:65" s="55" customFormat="1">
      <c r="A125" s="56"/>
      <c r="D125"/>
      <c r="F125" s="197"/>
      <c r="G125" s="187"/>
      <c r="K125"/>
      <c r="L125"/>
      <c r="M125"/>
      <c r="N125"/>
      <c r="O125"/>
      <c r="P125"/>
      <c r="Q125"/>
      <c r="R125" s="43"/>
      <c r="S125"/>
      <c r="T125"/>
      <c r="U125"/>
      <c r="V125"/>
      <c r="W125"/>
      <c r="X125"/>
      <c r="Y125" s="43"/>
      <c r="Z125"/>
      <c r="BL125" s="198"/>
      <c r="BM125" s="183"/>
    </row>
    <row r="126" spans="1:65" s="55" customFormat="1">
      <c r="A126" s="56"/>
      <c r="D126"/>
      <c r="F126" s="197"/>
      <c r="H126" s="193"/>
      <c r="I126" s="183"/>
      <c r="K126"/>
      <c r="L126"/>
      <c r="M126"/>
      <c r="N126"/>
      <c r="O126"/>
      <c r="P126"/>
      <c r="Q126"/>
      <c r="R126" s="43"/>
      <c r="S126"/>
      <c r="T126"/>
      <c r="U126"/>
      <c r="V126"/>
      <c r="W126"/>
      <c r="X126"/>
      <c r="Y126" s="43"/>
      <c r="Z126"/>
      <c r="BL126" s="198"/>
      <c r="BM126" s="183"/>
    </row>
    <row r="127" spans="1:65" s="55" customFormat="1">
      <c r="A127" s="56"/>
      <c r="D127"/>
      <c r="F127" s="197"/>
      <c r="I127" s="183"/>
      <c r="K127"/>
      <c r="L127"/>
      <c r="M127"/>
      <c r="N127"/>
      <c r="O127"/>
      <c r="P127"/>
      <c r="Q127"/>
      <c r="R127" s="43"/>
      <c r="S127"/>
      <c r="T127"/>
      <c r="U127"/>
      <c r="V127"/>
      <c r="W127"/>
      <c r="X127"/>
      <c r="Y127" s="43"/>
      <c r="Z127"/>
      <c r="BL127" s="198"/>
      <c r="BM127" s="183"/>
    </row>
    <row r="128" spans="1:65" s="55" customFormat="1">
      <c r="A128" s="56"/>
      <c r="D128"/>
      <c r="F128" s="197"/>
      <c r="I128" s="183"/>
      <c r="K128"/>
      <c r="L128"/>
      <c r="M128"/>
      <c r="N128"/>
      <c r="O128"/>
      <c r="P128"/>
      <c r="Q128"/>
      <c r="R128" s="43"/>
      <c r="S128"/>
      <c r="T128"/>
      <c r="U128"/>
      <c r="V128"/>
      <c r="W128"/>
      <c r="X128"/>
      <c r="Y128" s="43"/>
      <c r="Z128"/>
      <c r="BL128" s="198"/>
      <c r="BM128" s="183"/>
    </row>
    <row r="129" spans="1:65" s="55" customFormat="1">
      <c r="A129" s="56"/>
      <c r="D129"/>
      <c r="F129" s="197"/>
      <c r="G129" s="187"/>
      <c r="K129"/>
      <c r="L129"/>
      <c r="M129"/>
      <c r="N129"/>
      <c r="O129"/>
      <c r="P129"/>
      <c r="Q129"/>
      <c r="R129" s="43"/>
      <c r="S129"/>
      <c r="T129"/>
      <c r="U129"/>
      <c r="V129"/>
      <c r="W129"/>
      <c r="X129"/>
      <c r="Y129" s="43"/>
      <c r="Z129"/>
      <c r="BL129" s="198"/>
      <c r="BM129" s="183"/>
    </row>
    <row r="130" spans="1:65" s="55" customFormat="1">
      <c r="A130" s="56"/>
      <c r="D130"/>
      <c r="F130" s="197"/>
      <c r="H130" s="193"/>
      <c r="I130" s="183"/>
      <c r="K130"/>
      <c r="L130"/>
      <c r="M130"/>
      <c r="N130"/>
      <c r="O130"/>
      <c r="P130"/>
      <c r="Q130"/>
      <c r="R130" s="43"/>
      <c r="S130"/>
      <c r="T130"/>
      <c r="U130"/>
      <c r="V130"/>
      <c r="W130"/>
      <c r="X130"/>
      <c r="Y130" s="43"/>
      <c r="Z130"/>
      <c r="BL130" s="198"/>
      <c r="BM130" s="183"/>
    </row>
    <row r="131" spans="1:65" s="55" customFormat="1">
      <c r="A131" s="56"/>
      <c r="D131"/>
      <c r="F131" s="197"/>
      <c r="I131" s="183"/>
      <c r="K131"/>
      <c r="L131"/>
      <c r="M131"/>
      <c r="N131"/>
      <c r="O131"/>
      <c r="P131"/>
      <c r="Q131"/>
      <c r="R131" s="43"/>
      <c r="S131"/>
      <c r="T131"/>
      <c r="U131"/>
      <c r="V131"/>
      <c r="W131"/>
      <c r="X131"/>
      <c r="Y131" s="43"/>
      <c r="Z131"/>
      <c r="BL131" s="198"/>
      <c r="BM131" s="183"/>
    </row>
    <row r="132" spans="1:65" s="55" customFormat="1">
      <c r="A132" s="56"/>
      <c r="D132"/>
      <c r="F132" s="197"/>
      <c r="I132" s="183"/>
      <c r="K132"/>
      <c r="L132"/>
      <c r="M132"/>
      <c r="N132"/>
      <c r="O132"/>
      <c r="P132"/>
      <c r="Q132"/>
      <c r="R132" s="43"/>
      <c r="S132"/>
      <c r="T132"/>
      <c r="U132"/>
      <c r="V132"/>
      <c r="W132"/>
      <c r="X132"/>
      <c r="Y132" s="43"/>
      <c r="Z132"/>
      <c r="BL132" s="198"/>
      <c r="BM132" s="183"/>
    </row>
    <row r="133" spans="1:65" s="55" customFormat="1">
      <c r="A133" s="56"/>
      <c r="D133"/>
      <c r="F133" s="197"/>
      <c r="G133" s="187"/>
      <c r="K133"/>
      <c r="L133"/>
      <c r="M133"/>
      <c r="N133"/>
      <c r="O133"/>
      <c r="P133"/>
      <c r="Q133"/>
      <c r="R133" s="43"/>
      <c r="S133"/>
      <c r="T133"/>
      <c r="U133"/>
      <c r="V133"/>
      <c r="W133"/>
      <c r="X133"/>
      <c r="Y133" s="43"/>
      <c r="Z133"/>
      <c r="BL133" s="198"/>
      <c r="BM133" s="183"/>
    </row>
    <row r="134" spans="1:65" s="55" customFormat="1">
      <c r="A134" s="56"/>
      <c r="D134"/>
      <c r="F134" s="197"/>
      <c r="G134" s="195"/>
      <c r="H134" s="193"/>
      <c r="I134" s="183"/>
      <c r="K134"/>
      <c r="L134"/>
      <c r="M134"/>
      <c r="N134"/>
      <c r="O134"/>
      <c r="P134"/>
      <c r="Q134"/>
      <c r="R134" s="43"/>
      <c r="S134"/>
      <c r="T134"/>
      <c r="U134"/>
      <c r="V134"/>
      <c r="W134"/>
      <c r="X134"/>
      <c r="Y134" s="43"/>
      <c r="Z134"/>
      <c r="BL134" s="198"/>
      <c r="BM134" s="183"/>
    </row>
    <row r="135" spans="1:65" s="55" customFormat="1">
      <c r="A135" s="56"/>
      <c r="D135"/>
      <c r="F135" s="197"/>
      <c r="G135" s="195"/>
      <c r="H135" s="193"/>
      <c r="I135" s="183"/>
      <c r="K135"/>
      <c r="L135"/>
      <c r="M135"/>
      <c r="N135"/>
      <c r="O135"/>
      <c r="P135"/>
      <c r="Q135"/>
      <c r="R135" s="43"/>
      <c r="S135"/>
      <c r="T135"/>
      <c r="U135"/>
      <c r="V135"/>
      <c r="W135"/>
      <c r="X135"/>
      <c r="Y135" s="43"/>
      <c r="Z135"/>
      <c r="BL135" s="198"/>
      <c r="BM135" s="183"/>
    </row>
    <row r="136" spans="1:65" s="55" customFormat="1">
      <c r="A136" s="56"/>
      <c r="D136"/>
      <c r="F136" s="197"/>
      <c r="G136" s="195"/>
      <c r="H136" s="193"/>
      <c r="K136"/>
      <c r="L136"/>
      <c r="M136"/>
      <c r="N136"/>
      <c r="O136"/>
      <c r="P136"/>
      <c r="Q136"/>
      <c r="R136" s="43"/>
      <c r="S136"/>
      <c r="T136"/>
      <c r="U136"/>
      <c r="V136"/>
      <c r="W136"/>
      <c r="X136"/>
      <c r="Y136" s="43"/>
      <c r="Z136"/>
      <c r="BL136" s="198"/>
      <c r="BM136" s="183"/>
    </row>
    <row r="137" spans="1:65" s="55" customFormat="1">
      <c r="A137" s="56"/>
      <c r="D137"/>
      <c r="F137" s="197"/>
      <c r="G137" s="195"/>
      <c r="H137" s="193"/>
      <c r="I137" s="183"/>
      <c r="K137"/>
      <c r="L137"/>
      <c r="M137"/>
      <c r="N137"/>
      <c r="O137"/>
      <c r="P137"/>
      <c r="Q137"/>
      <c r="R137" s="43"/>
      <c r="S137"/>
      <c r="T137"/>
      <c r="U137"/>
      <c r="V137"/>
      <c r="W137"/>
      <c r="X137"/>
      <c r="Y137" s="43"/>
      <c r="Z137"/>
      <c r="BL137" s="198"/>
      <c r="BM137" s="183"/>
    </row>
    <row r="138" spans="1:65" s="55" customFormat="1">
      <c r="A138" s="56"/>
      <c r="D138"/>
      <c r="F138" s="197"/>
      <c r="I138" s="183"/>
      <c r="K138"/>
      <c r="L138"/>
      <c r="M138"/>
      <c r="N138"/>
      <c r="O138"/>
      <c r="P138"/>
      <c r="Q138"/>
      <c r="R138" s="43"/>
      <c r="S138"/>
      <c r="T138"/>
      <c r="U138"/>
      <c r="V138"/>
      <c r="W138"/>
      <c r="X138"/>
      <c r="Y138" s="43"/>
      <c r="Z138"/>
      <c r="BL138" s="198"/>
      <c r="BM138" s="183"/>
    </row>
    <row r="139" spans="1:65" s="55" customFormat="1">
      <c r="A139" s="56"/>
      <c r="D139"/>
      <c r="F139" s="197"/>
      <c r="I139" s="183"/>
      <c r="K139"/>
      <c r="L139"/>
      <c r="M139"/>
      <c r="N139"/>
      <c r="O139"/>
      <c r="P139"/>
      <c r="Q139"/>
      <c r="R139" s="43"/>
      <c r="S139"/>
      <c r="T139"/>
      <c r="U139"/>
      <c r="V139"/>
      <c r="W139"/>
      <c r="X139"/>
      <c r="Y139" s="43"/>
      <c r="Z139"/>
      <c r="BL139" s="198"/>
      <c r="BM139" s="183"/>
    </row>
    <row r="140" spans="1:65" s="55" customFormat="1">
      <c r="A140" s="56"/>
      <c r="D140"/>
      <c r="F140" s="197"/>
      <c r="K140"/>
      <c r="L140"/>
      <c r="M140"/>
      <c r="N140"/>
      <c r="O140"/>
      <c r="P140"/>
      <c r="Q140"/>
      <c r="R140" s="43"/>
      <c r="S140"/>
      <c r="T140"/>
      <c r="U140"/>
      <c r="V140"/>
      <c r="W140"/>
      <c r="X140"/>
      <c r="Y140" s="43"/>
      <c r="Z140"/>
      <c r="BL140" s="198"/>
      <c r="BM140" s="183"/>
    </row>
    <row r="141" spans="1:65" s="55" customFormat="1">
      <c r="A141" s="56"/>
      <c r="D141"/>
      <c r="F141" s="197"/>
      <c r="G141" s="187"/>
      <c r="K141"/>
      <c r="L141"/>
      <c r="M141"/>
      <c r="N141"/>
      <c r="O141"/>
      <c r="P141"/>
      <c r="Q141"/>
      <c r="R141" s="43"/>
      <c r="S141"/>
      <c r="T141"/>
      <c r="U141"/>
      <c r="V141"/>
      <c r="W141"/>
      <c r="X141"/>
      <c r="Y141" s="43"/>
      <c r="Z141"/>
      <c r="BL141" s="198"/>
      <c r="BM141" s="183"/>
    </row>
    <row r="142" spans="1:65" s="55" customFormat="1">
      <c r="A142" s="56"/>
      <c r="D142"/>
      <c r="F142" s="197"/>
      <c r="G142" s="195"/>
      <c r="H142" s="193"/>
      <c r="K142"/>
      <c r="L142"/>
      <c r="M142"/>
      <c r="N142"/>
      <c r="O142"/>
      <c r="P142"/>
      <c r="Q142"/>
      <c r="R142" s="43"/>
      <c r="S142"/>
      <c r="T142"/>
      <c r="U142"/>
      <c r="V142"/>
      <c r="W142"/>
      <c r="X142"/>
      <c r="Y142" s="43"/>
      <c r="Z142"/>
      <c r="BL142" s="198"/>
      <c r="BM142" s="183"/>
    </row>
    <row r="143" spans="1:65" s="55" customFormat="1">
      <c r="A143" s="56"/>
      <c r="D143"/>
      <c r="F143" s="197"/>
      <c r="G143" s="195"/>
      <c r="H143" s="193"/>
      <c r="I143" s="183"/>
      <c r="K143"/>
      <c r="L143"/>
      <c r="M143"/>
      <c r="N143"/>
      <c r="O143"/>
      <c r="P143"/>
      <c r="Q143"/>
      <c r="R143" s="43"/>
      <c r="S143"/>
      <c r="T143"/>
      <c r="U143"/>
      <c r="V143"/>
      <c r="W143"/>
      <c r="X143"/>
      <c r="Y143" s="43"/>
      <c r="Z143"/>
      <c r="BL143" s="198"/>
      <c r="BM143" s="183"/>
    </row>
    <row r="144" spans="1:65" s="55" customFormat="1">
      <c r="A144" s="56"/>
      <c r="D144"/>
      <c r="F144" s="197"/>
      <c r="G144" s="195"/>
      <c r="H144" s="193"/>
      <c r="I144" s="183"/>
      <c r="K144"/>
      <c r="L144"/>
      <c r="M144"/>
      <c r="N144"/>
      <c r="O144"/>
      <c r="P144"/>
      <c r="Q144"/>
      <c r="R144" s="43"/>
      <c r="S144"/>
      <c r="T144"/>
      <c r="U144"/>
      <c r="V144"/>
      <c r="W144"/>
      <c r="X144"/>
      <c r="Y144" s="43"/>
      <c r="Z144"/>
      <c r="BL144" s="198"/>
      <c r="BM144" s="183"/>
    </row>
    <row r="145" spans="1:65" s="55" customFormat="1">
      <c r="A145" s="56"/>
      <c r="D145"/>
      <c r="F145" s="197"/>
      <c r="G145" s="195"/>
      <c r="H145" s="193"/>
      <c r="I145" s="183"/>
      <c r="K145"/>
      <c r="L145"/>
      <c r="M145"/>
      <c r="N145"/>
      <c r="O145"/>
      <c r="P145"/>
      <c r="Q145"/>
      <c r="R145" s="43"/>
      <c r="S145"/>
      <c r="T145"/>
      <c r="U145"/>
      <c r="V145"/>
      <c r="W145"/>
      <c r="X145"/>
      <c r="Y145" s="43"/>
      <c r="Z145"/>
      <c r="BL145" s="198"/>
      <c r="BM145" s="183"/>
    </row>
    <row r="146" spans="1:65" s="55" customFormat="1">
      <c r="A146" s="56"/>
      <c r="D146"/>
      <c r="F146" s="197"/>
      <c r="K146"/>
      <c r="L146"/>
      <c r="M146"/>
      <c r="N146"/>
      <c r="O146"/>
      <c r="P146"/>
      <c r="Q146"/>
      <c r="R146" s="43"/>
      <c r="S146"/>
      <c r="T146"/>
      <c r="U146"/>
      <c r="V146"/>
      <c r="W146"/>
      <c r="X146"/>
      <c r="Y146" s="43"/>
      <c r="Z146"/>
      <c r="BL146" s="198"/>
      <c r="BM146" s="183"/>
    </row>
    <row r="147" spans="1:65" s="55" customFormat="1">
      <c r="A147" s="56"/>
      <c r="D147"/>
      <c r="F147" s="197"/>
      <c r="G147" s="187"/>
      <c r="K147"/>
      <c r="L147"/>
      <c r="M147"/>
      <c r="N147"/>
      <c r="O147"/>
      <c r="P147"/>
      <c r="Q147"/>
      <c r="R147" s="43"/>
      <c r="S147"/>
      <c r="T147"/>
      <c r="U147"/>
      <c r="V147"/>
      <c r="W147"/>
      <c r="X147"/>
      <c r="Y147" s="43"/>
      <c r="Z147"/>
      <c r="BL147" s="198"/>
      <c r="BM147" s="183"/>
    </row>
    <row r="148" spans="1:65" s="55" customFormat="1">
      <c r="A148" s="56"/>
      <c r="D148"/>
      <c r="F148" s="197"/>
      <c r="G148" s="195"/>
      <c r="H148" s="193"/>
      <c r="K148"/>
      <c r="L148"/>
      <c r="M148"/>
      <c r="N148"/>
      <c r="O148"/>
      <c r="P148"/>
      <c r="Q148"/>
      <c r="R148" s="43"/>
      <c r="S148"/>
      <c r="T148"/>
      <c r="U148"/>
      <c r="V148"/>
      <c r="W148"/>
      <c r="X148"/>
      <c r="Y148" s="43"/>
      <c r="Z148"/>
      <c r="BL148" s="198"/>
      <c r="BM148" s="183"/>
    </row>
    <row r="149" spans="1:65" s="55" customFormat="1">
      <c r="A149" s="56"/>
      <c r="D149"/>
      <c r="F149" s="197"/>
      <c r="G149" s="195"/>
      <c r="H149" s="193"/>
      <c r="I149" s="183"/>
      <c r="K149"/>
      <c r="L149"/>
      <c r="M149"/>
      <c r="N149"/>
      <c r="O149"/>
      <c r="P149"/>
      <c r="Q149"/>
      <c r="R149" s="43"/>
      <c r="S149"/>
      <c r="T149"/>
      <c r="U149"/>
      <c r="V149"/>
      <c r="W149"/>
      <c r="X149"/>
      <c r="Y149" s="43"/>
      <c r="Z149"/>
      <c r="BL149" s="198"/>
      <c r="BM149" s="183"/>
    </row>
    <row r="150" spans="1:65" s="55" customFormat="1">
      <c r="A150" s="56"/>
      <c r="D150"/>
      <c r="F150" s="197"/>
      <c r="G150" s="195"/>
      <c r="H150" s="193"/>
      <c r="I150" s="183"/>
      <c r="K150"/>
      <c r="L150"/>
      <c r="M150"/>
      <c r="N150"/>
      <c r="O150"/>
      <c r="P150"/>
      <c r="Q150"/>
      <c r="R150" s="43"/>
      <c r="S150"/>
      <c r="T150"/>
      <c r="U150"/>
      <c r="V150"/>
      <c r="W150"/>
      <c r="X150"/>
      <c r="Y150" s="43"/>
      <c r="Z150"/>
      <c r="BL150" s="198"/>
      <c r="BM150" s="183"/>
    </row>
    <row r="151" spans="1:65" s="55" customFormat="1">
      <c r="A151" s="56"/>
      <c r="D151"/>
      <c r="F151" s="197"/>
      <c r="G151" s="195"/>
      <c r="H151" s="193"/>
      <c r="I151" s="183"/>
      <c r="K151"/>
      <c r="L151"/>
      <c r="M151"/>
      <c r="N151"/>
      <c r="O151"/>
      <c r="P151"/>
      <c r="Q151"/>
      <c r="R151" s="43"/>
      <c r="S151"/>
      <c r="T151"/>
      <c r="U151"/>
      <c r="V151"/>
      <c r="W151"/>
      <c r="X151"/>
      <c r="Y151" s="43"/>
      <c r="Z151"/>
      <c r="BL151" s="198"/>
      <c r="BM151" s="183"/>
    </row>
    <row r="152" spans="1:65" s="55" customFormat="1">
      <c r="A152" s="56"/>
      <c r="D152"/>
      <c r="F152" s="197"/>
      <c r="G152" s="187"/>
      <c r="K152"/>
      <c r="L152"/>
      <c r="M152"/>
      <c r="N152"/>
      <c r="O152"/>
      <c r="P152"/>
      <c r="Q152"/>
      <c r="R152" s="43"/>
      <c r="S152"/>
      <c r="T152"/>
      <c r="U152"/>
      <c r="V152"/>
      <c r="W152"/>
      <c r="X152"/>
      <c r="Y152" s="43"/>
      <c r="Z152"/>
      <c r="BL152" s="198"/>
      <c r="BM152" s="183"/>
    </row>
    <row r="153" spans="1:65" s="55" customFormat="1">
      <c r="A153" s="56"/>
      <c r="D153"/>
      <c r="F153" s="197"/>
      <c r="G153" s="195"/>
      <c r="H153" s="193"/>
      <c r="K153"/>
      <c r="L153"/>
      <c r="M153"/>
      <c r="N153"/>
      <c r="O153"/>
      <c r="P153"/>
      <c r="Q153"/>
      <c r="R153" s="43"/>
      <c r="S153"/>
      <c r="T153"/>
      <c r="U153"/>
      <c r="V153"/>
      <c r="W153"/>
      <c r="X153"/>
      <c r="Y153" s="43"/>
      <c r="Z153"/>
      <c r="BL153" s="198"/>
      <c r="BM153" s="183"/>
    </row>
    <row r="154" spans="1:65" s="55" customFormat="1">
      <c r="A154" s="56"/>
      <c r="D154"/>
      <c r="F154" s="197"/>
      <c r="G154" s="195"/>
      <c r="H154" s="193"/>
      <c r="K154"/>
      <c r="L154"/>
      <c r="M154"/>
      <c r="N154"/>
      <c r="O154"/>
      <c r="P154"/>
      <c r="Q154"/>
      <c r="R154" s="43"/>
      <c r="S154"/>
      <c r="T154"/>
      <c r="U154"/>
      <c r="V154"/>
      <c r="W154"/>
      <c r="X154"/>
      <c r="Y154" s="43"/>
      <c r="Z154"/>
      <c r="BL154" s="198"/>
      <c r="BM154" s="183"/>
    </row>
    <row r="155" spans="1:65" s="55" customFormat="1">
      <c r="A155" s="56"/>
      <c r="D155"/>
      <c r="F155" s="197"/>
      <c r="G155" s="195"/>
      <c r="H155" s="193"/>
      <c r="I155" s="183"/>
      <c r="K155"/>
      <c r="L155"/>
      <c r="M155"/>
      <c r="N155"/>
      <c r="O155"/>
      <c r="P155"/>
      <c r="Q155"/>
      <c r="R155" s="43"/>
      <c r="S155"/>
      <c r="T155"/>
      <c r="U155"/>
      <c r="V155"/>
      <c r="W155"/>
      <c r="X155"/>
      <c r="Y155" s="43"/>
      <c r="Z155"/>
      <c r="BL155" s="198"/>
      <c r="BM155" s="183"/>
    </row>
    <row r="156" spans="1:65" s="55" customFormat="1">
      <c r="A156" s="56"/>
      <c r="D156"/>
      <c r="F156" s="197"/>
      <c r="I156" s="183"/>
      <c r="K156"/>
      <c r="L156"/>
      <c r="M156"/>
      <c r="N156"/>
      <c r="O156"/>
      <c r="P156"/>
      <c r="Q156"/>
      <c r="R156" s="43"/>
      <c r="S156"/>
      <c r="T156"/>
      <c r="U156"/>
      <c r="V156"/>
      <c r="W156"/>
      <c r="X156"/>
      <c r="Y156" s="43"/>
      <c r="Z156"/>
      <c r="BL156" s="198"/>
      <c r="BM156" s="183"/>
    </row>
    <row r="157" spans="1:65" s="55" customFormat="1">
      <c r="A157" s="56"/>
      <c r="D157"/>
      <c r="F157" s="197"/>
      <c r="G157" s="187"/>
      <c r="K157"/>
      <c r="L157"/>
      <c r="M157"/>
      <c r="N157"/>
      <c r="O157"/>
      <c r="P157"/>
      <c r="Q157"/>
      <c r="R157" s="43"/>
      <c r="S157"/>
      <c r="T157"/>
      <c r="U157"/>
      <c r="V157"/>
      <c r="W157"/>
      <c r="X157"/>
      <c r="Y157" s="43"/>
      <c r="Z157"/>
      <c r="BL157" s="198"/>
      <c r="BM157" s="183"/>
    </row>
    <row r="158" spans="1:65" s="55" customFormat="1">
      <c r="A158" s="56"/>
      <c r="D158"/>
      <c r="F158" s="197"/>
      <c r="G158" s="195"/>
      <c r="H158" s="193"/>
      <c r="K158"/>
      <c r="L158"/>
      <c r="M158"/>
      <c r="N158"/>
      <c r="O158"/>
      <c r="P158"/>
      <c r="Q158"/>
      <c r="R158" s="43"/>
      <c r="S158"/>
      <c r="T158"/>
      <c r="U158"/>
      <c r="V158"/>
      <c r="W158"/>
      <c r="X158"/>
      <c r="Y158" s="43"/>
      <c r="Z158"/>
      <c r="BL158" s="198"/>
      <c r="BM158" s="183"/>
    </row>
    <row r="159" spans="1:65" s="55" customFormat="1">
      <c r="A159" s="56"/>
      <c r="D159"/>
      <c r="F159" s="197"/>
      <c r="I159" s="183"/>
      <c r="K159"/>
      <c r="L159"/>
      <c r="M159"/>
      <c r="N159"/>
      <c r="O159"/>
      <c r="P159"/>
      <c r="Q159"/>
      <c r="R159" s="43"/>
      <c r="S159"/>
      <c r="T159"/>
      <c r="U159"/>
      <c r="V159"/>
      <c r="W159"/>
      <c r="X159"/>
      <c r="Y159" s="43"/>
      <c r="Z159"/>
      <c r="BL159" s="198"/>
      <c r="BM159" s="183"/>
    </row>
    <row r="160" spans="1:65" s="55" customFormat="1">
      <c r="A160" s="56"/>
      <c r="D160"/>
      <c r="F160" s="197"/>
      <c r="G160" s="195"/>
      <c r="H160" s="193"/>
      <c r="I160" s="183"/>
      <c r="K160"/>
      <c r="L160"/>
      <c r="M160"/>
      <c r="N160"/>
      <c r="O160"/>
      <c r="P160"/>
      <c r="Q160"/>
      <c r="R160" s="43"/>
      <c r="S160"/>
      <c r="T160"/>
      <c r="U160"/>
      <c r="V160"/>
      <c r="W160"/>
      <c r="X160"/>
      <c r="Y160" s="43"/>
      <c r="Z160"/>
      <c r="BL160" s="198"/>
      <c r="BM160" s="183"/>
    </row>
    <row r="161" spans="1:65" s="55" customFormat="1">
      <c r="A161" s="56"/>
      <c r="D161"/>
      <c r="F161" s="197"/>
      <c r="G161" s="187"/>
      <c r="K161"/>
      <c r="L161"/>
      <c r="M161"/>
      <c r="N161"/>
      <c r="O161"/>
      <c r="P161"/>
      <c r="Q161"/>
      <c r="R161" s="43"/>
      <c r="S161"/>
      <c r="T161"/>
      <c r="U161"/>
      <c r="V161"/>
      <c r="W161"/>
      <c r="X161"/>
      <c r="Y161" s="43"/>
      <c r="Z161"/>
      <c r="BL161" s="198"/>
      <c r="BM161" s="183"/>
    </row>
    <row r="162" spans="1:65" s="55" customFormat="1">
      <c r="A162" s="56"/>
      <c r="D162"/>
      <c r="F162" s="197"/>
      <c r="G162" s="195"/>
      <c r="H162" s="193"/>
      <c r="K162"/>
      <c r="L162"/>
      <c r="M162"/>
      <c r="N162"/>
      <c r="O162"/>
      <c r="P162"/>
      <c r="Q162"/>
      <c r="R162" s="43"/>
      <c r="S162"/>
      <c r="T162"/>
      <c r="U162"/>
      <c r="V162"/>
      <c r="W162"/>
      <c r="X162"/>
      <c r="Y162" s="43"/>
      <c r="Z162"/>
      <c r="BL162" s="198"/>
      <c r="BM162" s="183"/>
    </row>
    <row r="163" spans="1:65" s="55" customFormat="1">
      <c r="A163" s="56"/>
      <c r="D163"/>
      <c r="F163" s="197"/>
      <c r="I163" s="183"/>
      <c r="K163"/>
      <c r="L163"/>
      <c r="M163"/>
      <c r="N163"/>
      <c r="O163"/>
      <c r="P163"/>
      <c r="Q163"/>
      <c r="R163" s="43"/>
      <c r="S163"/>
      <c r="T163"/>
      <c r="U163"/>
      <c r="V163"/>
      <c r="W163"/>
      <c r="X163"/>
      <c r="Y163" s="43"/>
      <c r="Z163"/>
      <c r="BL163" s="198"/>
      <c r="BM163" s="183"/>
    </row>
    <row r="164" spans="1:65" s="55" customFormat="1">
      <c r="A164" s="56"/>
      <c r="D164"/>
      <c r="F164" s="197"/>
      <c r="G164" s="195"/>
      <c r="H164" s="193"/>
      <c r="I164" s="183"/>
      <c r="K164"/>
      <c r="L164"/>
      <c r="M164"/>
      <c r="N164"/>
      <c r="O164"/>
      <c r="P164"/>
      <c r="Q164"/>
      <c r="R164" s="43"/>
      <c r="S164"/>
      <c r="T164"/>
      <c r="U164"/>
      <c r="V164"/>
      <c r="W164"/>
      <c r="X164"/>
      <c r="Y164" s="43"/>
      <c r="Z164"/>
      <c r="BL164" s="198"/>
      <c r="BM164" s="183"/>
    </row>
    <row r="165" spans="1:65" s="55" customFormat="1">
      <c r="A165" s="56"/>
      <c r="D165"/>
      <c r="F165" s="197"/>
      <c r="K165"/>
      <c r="L165"/>
      <c r="M165"/>
      <c r="N165"/>
      <c r="O165"/>
      <c r="P165"/>
      <c r="Q165"/>
      <c r="R165" s="43"/>
      <c r="S165"/>
      <c r="T165"/>
      <c r="U165"/>
      <c r="V165"/>
      <c r="W165"/>
      <c r="X165"/>
      <c r="Y165" s="43"/>
      <c r="Z165"/>
      <c r="BL165" s="198"/>
      <c r="BM165" s="183"/>
    </row>
    <row r="166" spans="1:65" s="55" customFormat="1">
      <c r="A166" s="56"/>
      <c r="D166"/>
      <c r="F166" s="197"/>
      <c r="G166" s="187"/>
      <c r="K166"/>
      <c r="L166"/>
      <c r="M166"/>
      <c r="N166"/>
      <c r="O166"/>
      <c r="P166"/>
      <c r="Q166"/>
      <c r="R166" s="43"/>
      <c r="S166"/>
      <c r="T166"/>
      <c r="U166"/>
      <c r="V166"/>
      <c r="W166"/>
      <c r="X166"/>
      <c r="Y166" s="43"/>
      <c r="Z166"/>
      <c r="BL166" s="198"/>
      <c r="BM166" s="183"/>
    </row>
    <row r="167" spans="1:65" s="55" customFormat="1">
      <c r="A167" s="56"/>
      <c r="D167"/>
      <c r="F167" s="197"/>
      <c r="G167" s="195"/>
      <c r="H167" s="193"/>
      <c r="K167"/>
      <c r="L167"/>
      <c r="M167"/>
      <c r="N167"/>
      <c r="O167"/>
      <c r="P167"/>
      <c r="Q167"/>
      <c r="R167" s="43"/>
      <c r="S167"/>
      <c r="T167"/>
      <c r="U167"/>
      <c r="V167"/>
      <c r="W167"/>
      <c r="X167"/>
      <c r="Y167" s="43"/>
      <c r="Z167"/>
      <c r="BL167" s="198"/>
      <c r="BM167" s="183"/>
    </row>
    <row r="168" spans="1:65" s="55" customFormat="1">
      <c r="A168" s="56"/>
      <c r="D168"/>
      <c r="F168" s="197"/>
      <c r="I168" s="183"/>
      <c r="K168"/>
      <c r="L168"/>
      <c r="M168"/>
      <c r="N168"/>
      <c r="O168"/>
      <c r="P168"/>
      <c r="Q168"/>
      <c r="R168" s="43"/>
      <c r="S168"/>
      <c r="T168"/>
      <c r="U168"/>
      <c r="V168"/>
      <c r="W168"/>
      <c r="X168"/>
      <c r="Y168" s="43"/>
      <c r="Z168"/>
      <c r="BL168" s="198"/>
      <c r="BM168" s="183"/>
    </row>
    <row r="169" spans="1:65" s="55" customFormat="1">
      <c r="A169" s="56"/>
      <c r="D169"/>
      <c r="F169" s="197"/>
      <c r="G169" s="195"/>
      <c r="H169" s="193"/>
      <c r="I169" s="183"/>
      <c r="K169"/>
      <c r="L169"/>
      <c r="M169"/>
      <c r="N169"/>
      <c r="O169"/>
      <c r="P169"/>
      <c r="Q169"/>
      <c r="R169" s="43"/>
      <c r="S169"/>
      <c r="T169"/>
      <c r="U169"/>
      <c r="V169"/>
      <c r="W169"/>
      <c r="X169"/>
      <c r="Y169" s="43"/>
      <c r="Z169"/>
      <c r="BL169" s="198"/>
      <c r="BM169" s="183"/>
    </row>
    <row r="170" spans="1:65" s="55" customFormat="1">
      <c r="A170" s="56"/>
      <c r="D170"/>
      <c r="F170" s="197"/>
      <c r="G170" s="187"/>
      <c r="K170"/>
      <c r="L170"/>
      <c r="M170"/>
      <c r="N170"/>
      <c r="O170"/>
      <c r="P170"/>
      <c r="Q170"/>
      <c r="R170" s="43"/>
      <c r="S170"/>
      <c r="T170"/>
      <c r="U170"/>
      <c r="V170"/>
      <c r="W170"/>
      <c r="X170"/>
      <c r="Y170" s="43"/>
      <c r="Z170"/>
      <c r="BL170" s="198"/>
      <c r="BM170" s="183"/>
    </row>
    <row r="171" spans="1:65" s="55" customFormat="1">
      <c r="A171" s="56"/>
      <c r="D171"/>
      <c r="F171" s="197"/>
      <c r="G171" s="195"/>
      <c r="H171" s="193"/>
      <c r="K171"/>
      <c r="L171"/>
      <c r="M171"/>
      <c r="N171"/>
      <c r="O171"/>
      <c r="P171"/>
      <c r="Q171"/>
      <c r="R171" s="43"/>
      <c r="S171"/>
      <c r="T171"/>
      <c r="U171"/>
      <c r="V171"/>
      <c r="W171"/>
      <c r="X171"/>
      <c r="Y171" s="43"/>
      <c r="Z171"/>
      <c r="BL171" s="198"/>
      <c r="BM171" s="183"/>
    </row>
    <row r="172" spans="1:65" s="55" customFormat="1">
      <c r="A172" s="56"/>
      <c r="D172"/>
      <c r="F172" s="197"/>
      <c r="I172" s="183"/>
      <c r="K172"/>
      <c r="L172"/>
      <c r="M172"/>
      <c r="N172"/>
      <c r="O172"/>
      <c r="P172"/>
      <c r="Q172"/>
      <c r="R172" s="43"/>
      <c r="S172"/>
      <c r="T172"/>
      <c r="U172"/>
      <c r="V172"/>
      <c r="W172"/>
      <c r="X172"/>
      <c r="Y172" s="43"/>
      <c r="Z172"/>
      <c r="BL172" s="198"/>
      <c r="BM172" s="183"/>
    </row>
    <row r="173" spans="1:65" s="55" customFormat="1">
      <c r="A173" s="56"/>
      <c r="D173"/>
      <c r="F173" s="197"/>
      <c r="G173" s="195"/>
      <c r="H173" s="193"/>
      <c r="I173" s="183"/>
      <c r="K173"/>
      <c r="L173"/>
      <c r="M173"/>
      <c r="N173"/>
      <c r="O173"/>
      <c r="P173"/>
      <c r="Q173"/>
      <c r="R173" s="43"/>
      <c r="S173"/>
      <c r="T173"/>
      <c r="U173"/>
      <c r="V173"/>
      <c r="W173"/>
      <c r="X173"/>
      <c r="Y173" s="43"/>
      <c r="Z173"/>
      <c r="BL173" s="198"/>
      <c r="BM173" s="183"/>
    </row>
    <row r="174" spans="1:65" s="55" customFormat="1">
      <c r="A174" s="56"/>
      <c r="D174"/>
      <c r="F174" s="197"/>
      <c r="K174"/>
      <c r="L174"/>
      <c r="M174"/>
      <c r="N174"/>
      <c r="O174"/>
      <c r="P174"/>
      <c r="Q174"/>
      <c r="R174" s="43"/>
      <c r="S174"/>
      <c r="T174"/>
      <c r="U174"/>
      <c r="V174"/>
      <c r="W174"/>
      <c r="X174"/>
      <c r="Y174" s="43"/>
      <c r="Z174"/>
      <c r="BL174" s="198"/>
      <c r="BM174" s="183"/>
    </row>
    <row r="175" spans="1:65" s="55" customFormat="1">
      <c r="A175" s="56"/>
      <c r="D175"/>
      <c r="F175" s="197"/>
      <c r="G175" s="187"/>
      <c r="K175"/>
      <c r="L175"/>
      <c r="M175"/>
      <c r="N175"/>
      <c r="O175"/>
      <c r="P175"/>
      <c r="Q175"/>
      <c r="R175" s="43"/>
      <c r="S175"/>
      <c r="T175"/>
      <c r="U175"/>
      <c r="V175"/>
      <c r="W175"/>
      <c r="X175"/>
      <c r="Y175" s="43"/>
      <c r="Z175"/>
      <c r="BL175" s="198"/>
      <c r="BM175" s="183"/>
    </row>
    <row r="176" spans="1:65" s="55" customFormat="1">
      <c r="A176" s="56"/>
      <c r="D176"/>
      <c r="F176" s="197"/>
      <c r="G176" s="195"/>
      <c r="H176" s="193"/>
      <c r="I176" s="183"/>
      <c r="K176"/>
      <c r="L176"/>
      <c r="M176"/>
      <c r="N176"/>
      <c r="O176"/>
      <c r="P176"/>
      <c r="Q176"/>
      <c r="R176" s="43"/>
      <c r="S176"/>
      <c r="T176"/>
      <c r="U176"/>
      <c r="V176"/>
      <c r="W176"/>
      <c r="X176"/>
      <c r="Y176" s="43"/>
      <c r="Z176"/>
      <c r="BL176" s="198"/>
      <c r="BM176" s="183"/>
    </row>
    <row r="177" spans="1:65" s="55" customFormat="1">
      <c r="A177" s="56"/>
      <c r="D177"/>
      <c r="F177" s="197"/>
      <c r="G177" s="195"/>
      <c r="H177" s="193"/>
      <c r="I177" s="183"/>
      <c r="K177"/>
      <c r="L177"/>
      <c r="M177"/>
      <c r="N177"/>
      <c r="O177"/>
      <c r="P177"/>
      <c r="Q177"/>
      <c r="R177" s="43"/>
      <c r="S177"/>
      <c r="T177"/>
      <c r="U177"/>
      <c r="V177"/>
      <c r="W177"/>
      <c r="X177"/>
      <c r="Y177" s="43"/>
      <c r="Z177"/>
      <c r="BL177" s="198"/>
      <c r="BM177" s="183"/>
    </row>
    <row r="178" spans="1:65" s="55" customFormat="1">
      <c r="A178" s="56"/>
      <c r="D178"/>
      <c r="F178" s="197"/>
      <c r="G178" s="195"/>
      <c r="H178" s="193"/>
      <c r="I178" s="183"/>
      <c r="K178"/>
      <c r="L178"/>
      <c r="M178"/>
      <c r="N178"/>
      <c r="O178"/>
      <c r="P178"/>
      <c r="Q178"/>
      <c r="R178" s="43"/>
      <c r="S178"/>
      <c r="T178"/>
      <c r="U178"/>
      <c r="V178"/>
      <c r="W178"/>
      <c r="X178"/>
      <c r="Y178" s="43"/>
      <c r="Z178"/>
      <c r="BL178" s="198"/>
      <c r="BM178" s="183"/>
    </row>
    <row r="179" spans="1:65" s="55" customFormat="1">
      <c r="A179" s="56"/>
      <c r="D179"/>
      <c r="F179" s="197"/>
      <c r="G179" s="195"/>
      <c r="H179" s="193"/>
      <c r="I179" s="183"/>
      <c r="K179"/>
      <c r="L179"/>
      <c r="M179"/>
      <c r="N179"/>
      <c r="O179"/>
      <c r="P179"/>
      <c r="Q179"/>
      <c r="R179" s="43"/>
      <c r="S179"/>
      <c r="T179"/>
      <c r="U179"/>
      <c r="V179"/>
      <c r="W179"/>
      <c r="X179"/>
      <c r="Y179" s="43"/>
      <c r="Z179"/>
      <c r="BL179" s="198"/>
      <c r="BM179" s="183"/>
    </row>
    <row r="180" spans="1:65" s="55" customFormat="1">
      <c r="A180" s="56"/>
      <c r="D180"/>
      <c r="F180" s="197"/>
      <c r="H180" s="193"/>
      <c r="I180" s="183"/>
      <c r="K180"/>
      <c r="L180"/>
      <c r="M180"/>
      <c r="N180"/>
      <c r="O180"/>
      <c r="P180"/>
      <c r="Q180"/>
      <c r="R180" s="43"/>
      <c r="S180"/>
      <c r="T180"/>
      <c r="U180"/>
      <c r="V180"/>
      <c r="W180"/>
      <c r="X180"/>
      <c r="Y180" s="43"/>
      <c r="Z180"/>
      <c r="BL180" s="198"/>
      <c r="BM180" s="183"/>
    </row>
    <row r="181" spans="1:65" s="55" customFormat="1">
      <c r="A181" s="56"/>
      <c r="D181"/>
      <c r="F181" s="197"/>
      <c r="I181" s="183"/>
      <c r="K181"/>
      <c r="L181"/>
      <c r="M181"/>
      <c r="N181"/>
      <c r="O181"/>
      <c r="P181"/>
      <c r="Q181"/>
      <c r="R181" s="43"/>
      <c r="S181"/>
      <c r="T181"/>
      <c r="U181"/>
      <c r="V181"/>
      <c r="W181"/>
      <c r="X181"/>
      <c r="Y181" s="43"/>
      <c r="Z181"/>
      <c r="BL181" s="198"/>
      <c r="BM181" s="183"/>
    </row>
    <row r="182" spans="1:65" s="55" customFormat="1">
      <c r="A182" s="56"/>
      <c r="D182"/>
      <c r="F182" s="197"/>
      <c r="I182" s="183"/>
      <c r="K182"/>
      <c r="L182"/>
      <c r="M182"/>
      <c r="N182"/>
      <c r="O182"/>
      <c r="P182"/>
      <c r="Q182"/>
      <c r="R182" s="43"/>
      <c r="S182"/>
      <c r="T182"/>
      <c r="U182"/>
      <c r="V182"/>
      <c r="W182"/>
      <c r="X182"/>
      <c r="Y182" s="43"/>
      <c r="Z182"/>
      <c r="BL182" s="198"/>
      <c r="BM182" s="183"/>
    </row>
    <row r="183" spans="1:65" s="55" customFormat="1">
      <c r="A183" s="56"/>
      <c r="D183"/>
      <c r="F183" s="197"/>
      <c r="G183" s="187"/>
      <c r="K183"/>
      <c r="L183"/>
      <c r="M183"/>
      <c r="N183"/>
      <c r="O183"/>
      <c r="P183"/>
      <c r="Q183"/>
      <c r="R183" s="43"/>
      <c r="S183"/>
      <c r="T183"/>
      <c r="U183"/>
      <c r="V183"/>
      <c r="W183"/>
      <c r="X183"/>
      <c r="Y183" s="43"/>
      <c r="Z183"/>
      <c r="BL183" s="198"/>
      <c r="BM183" s="183"/>
    </row>
    <row r="184" spans="1:65" s="55" customFormat="1">
      <c r="A184" s="56"/>
      <c r="D184"/>
      <c r="F184" s="197"/>
      <c r="G184" s="195"/>
      <c r="H184" s="193"/>
      <c r="K184"/>
      <c r="L184"/>
      <c r="M184"/>
      <c r="N184"/>
      <c r="O184"/>
      <c r="P184"/>
      <c r="Q184"/>
      <c r="R184" s="43"/>
      <c r="S184"/>
      <c r="T184"/>
      <c r="U184"/>
      <c r="V184"/>
      <c r="W184"/>
      <c r="X184"/>
      <c r="Y184" s="43"/>
      <c r="Z184"/>
      <c r="BL184" s="198"/>
      <c r="BM184" s="183"/>
    </row>
    <row r="185" spans="1:65" s="55" customFormat="1">
      <c r="A185" s="56"/>
      <c r="D185"/>
      <c r="F185" s="197"/>
      <c r="G185" s="195"/>
      <c r="K185"/>
      <c r="L185"/>
      <c r="M185"/>
      <c r="N185"/>
      <c r="O185"/>
      <c r="P185"/>
      <c r="Q185"/>
      <c r="R185" s="43"/>
      <c r="S185"/>
      <c r="T185"/>
      <c r="U185"/>
      <c r="V185"/>
      <c r="W185"/>
      <c r="X185"/>
      <c r="Y185" s="43"/>
      <c r="Z185"/>
      <c r="BL185" s="198"/>
      <c r="BM185" s="183"/>
    </row>
    <row r="186" spans="1:65" s="55" customFormat="1">
      <c r="A186" s="56"/>
      <c r="D186"/>
      <c r="F186" s="197"/>
      <c r="G186" s="195"/>
      <c r="H186" s="193"/>
      <c r="I186" s="183"/>
      <c r="K186"/>
      <c r="L186"/>
      <c r="M186"/>
      <c r="N186"/>
      <c r="O186"/>
      <c r="P186"/>
      <c r="Q186"/>
      <c r="R186" s="43"/>
      <c r="S186"/>
      <c r="T186"/>
      <c r="U186"/>
      <c r="V186"/>
      <c r="W186"/>
      <c r="X186"/>
      <c r="Y186" s="43"/>
      <c r="Z186"/>
      <c r="BL186" s="198"/>
      <c r="BM186" s="183"/>
    </row>
    <row r="187" spans="1:65" s="55" customFormat="1">
      <c r="A187" s="56"/>
      <c r="D187"/>
      <c r="F187" s="197"/>
      <c r="I187" s="183"/>
      <c r="K187"/>
      <c r="L187"/>
      <c r="M187"/>
      <c r="N187"/>
      <c r="O187"/>
      <c r="P187"/>
      <c r="Q187"/>
      <c r="R187" s="43"/>
      <c r="S187"/>
      <c r="T187"/>
      <c r="U187"/>
      <c r="V187"/>
      <c r="W187"/>
      <c r="X187"/>
      <c r="Y187" s="43"/>
      <c r="Z187"/>
      <c r="BL187" s="198"/>
      <c r="BM187" s="183"/>
    </row>
    <row r="188" spans="1:65" s="55" customFormat="1">
      <c r="A188" s="56"/>
      <c r="D188"/>
      <c r="F188" s="197"/>
      <c r="K188"/>
      <c r="L188"/>
      <c r="M188"/>
      <c r="N188"/>
      <c r="O188"/>
      <c r="P188"/>
      <c r="Q188"/>
      <c r="R188" s="43"/>
      <c r="S188"/>
      <c r="T188"/>
      <c r="U188"/>
      <c r="V188"/>
      <c r="W188"/>
      <c r="X188"/>
      <c r="Y188" s="43"/>
      <c r="Z188"/>
      <c r="BL188" s="198"/>
      <c r="BM188" s="183"/>
    </row>
    <row r="189" spans="1:65" s="55" customFormat="1">
      <c r="A189" s="56"/>
      <c r="D189"/>
      <c r="F189" s="197"/>
      <c r="G189" s="187"/>
      <c r="K189"/>
      <c r="L189"/>
      <c r="M189"/>
      <c r="N189"/>
      <c r="O189"/>
      <c r="P189"/>
      <c r="Q189"/>
      <c r="R189" s="43"/>
      <c r="S189"/>
      <c r="T189"/>
      <c r="U189"/>
      <c r="V189"/>
      <c r="W189"/>
      <c r="X189"/>
      <c r="Y189" s="43"/>
      <c r="Z189"/>
      <c r="BL189" s="198"/>
      <c r="BM189" s="183"/>
    </row>
    <row r="190" spans="1:65" s="55" customFormat="1">
      <c r="A190" s="56"/>
      <c r="D190"/>
      <c r="F190" s="197"/>
      <c r="G190" s="195"/>
      <c r="H190" s="193"/>
      <c r="K190"/>
      <c r="L190"/>
      <c r="M190"/>
      <c r="N190"/>
      <c r="O190"/>
      <c r="P190"/>
      <c r="Q190"/>
      <c r="R190" s="43"/>
      <c r="S190"/>
      <c r="T190"/>
      <c r="U190"/>
      <c r="V190"/>
      <c r="W190"/>
      <c r="X190"/>
      <c r="Y190" s="43"/>
      <c r="Z190"/>
      <c r="BL190" s="198"/>
      <c r="BM190" s="183"/>
    </row>
    <row r="191" spans="1:65" s="55" customFormat="1">
      <c r="A191" s="56"/>
      <c r="D191"/>
      <c r="F191" s="197"/>
      <c r="G191" s="195"/>
      <c r="K191"/>
      <c r="L191"/>
      <c r="M191"/>
      <c r="N191"/>
      <c r="O191"/>
      <c r="P191"/>
      <c r="Q191"/>
      <c r="R191" s="43"/>
      <c r="S191"/>
      <c r="T191"/>
      <c r="U191"/>
      <c r="V191"/>
      <c r="W191"/>
      <c r="X191"/>
      <c r="Y191" s="43"/>
      <c r="Z191"/>
      <c r="BL191" s="198"/>
      <c r="BM191" s="183"/>
    </row>
    <row r="192" spans="1:65" s="55" customFormat="1">
      <c r="A192" s="56"/>
      <c r="D192"/>
      <c r="F192" s="197"/>
      <c r="G192" s="195"/>
      <c r="H192" s="193"/>
      <c r="I192" s="183"/>
      <c r="K192"/>
      <c r="L192"/>
      <c r="M192"/>
      <c r="N192"/>
      <c r="O192"/>
      <c r="P192"/>
      <c r="Q192"/>
      <c r="R192" s="43"/>
      <c r="S192"/>
      <c r="T192"/>
      <c r="U192"/>
      <c r="V192"/>
      <c r="W192"/>
      <c r="X192"/>
      <c r="Y192" s="43"/>
      <c r="Z192"/>
      <c r="BL192" s="198"/>
      <c r="BM192" s="183"/>
    </row>
    <row r="193" spans="1:65" s="55" customFormat="1">
      <c r="A193" s="56"/>
      <c r="D193"/>
      <c r="F193" s="197"/>
      <c r="I193" s="183"/>
      <c r="K193"/>
      <c r="L193"/>
      <c r="M193"/>
      <c r="N193"/>
      <c r="O193"/>
      <c r="P193"/>
      <c r="Q193"/>
      <c r="R193" s="43"/>
      <c r="S193"/>
      <c r="T193"/>
      <c r="U193"/>
      <c r="V193"/>
      <c r="W193"/>
      <c r="X193"/>
      <c r="Y193" s="43"/>
      <c r="Z193"/>
      <c r="BL193" s="198"/>
      <c r="BM193" s="183"/>
    </row>
    <row r="194" spans="1:65" s="55" customFormat="1">
      <c r="A194" s="56"/>
      <c r="D194"/>
      <c r="F194" s="197"/>
      <c r="G194" s="187"/>
      <c r="K194"/>
      <c r="L194"/>
      <c r="M194"/>
      <c r="N194"/>
      <c r="O194"/>
      <c r="P194"/>
      <c r="Q194"/>
      <c r="R194" s="43"/>
      <c r="S194"/>
      <c r="T194"/>
      <c r="U194"/>
      <c r="V194"/>
      <c r="W194"/>
      <c r="X194"/>
      <c r="Y194" s="43"/>
      <c r="Z194"/>
      <c r="BL194" s="198"/>
      <c r="BM194" s="183"/>
    </row>
    <row r="195" spans="1:65" s="55" customFormat="1">
      <c r="A195" s="56"/>
      <c r="D195"/>
      <c r="F195" s="197"/>
      <c r="G195" s="195"/>
      <c r="H195" s="193"/>
      <c r="K195"/>
      <c r="L195"/>
      <c r="M195"/>
      <c r="N195"/>
      <c r="O195"/>
      <c r="P195"/>
      <c r="Q195"/>
      <c r="R195" s="43"/>
      <c r="S195"/>
      <c r="T195"/>
      <c r="U195"/>
      <c r="V195"/>
      <c r="W195"/>
      <c r="X195"/>
      <c r="Y195" s="43"/>
      <c r="Z195"/>
      <c r="BL195" s="198"/>
      <c r="BM195" s="183"/>
    </row>
    <row r="196" spans="1:65" s="55" customFormat="1">
      <c r="A196" s="56"/>
      <c r="D196"/>
      <c r="F196" s="197"/>
      <c r="G196" s="195"/>
      <c r="K196"/>
      <c r="L196"/>
      <c r="M196"/>
      <c r="N196"/>
      <c r="O196"/>
      <c r="P196"/>
      <c r="Q196"/>
      <c r="R196" s="43"/>
      <c r="S196"/>
      <c r="T196"/>
      <c r="U196"/>
      <c r="V196"/>
      <c r="W196"/>
      <c r="X196"/>
      <c r="Y196" s="43"/>
      <c r="Z196"/>
      <c r="BL196" s="198"/>
      <c r="BM196" s="183"/>
    </row>
    <row r="197" spans="1:65" s="55" customFormat="1">
      <c r="A197" s="56"/>
      <c r="D197"/>
      <c r="F197" s="197"/>
      <c r="G197" s="195"/>
      <c r="H197" s="193"/>
      <c r="I197" s="183"/>
      <c r="K197"/>
      <c r="L197"/>
      <c r="M197"/>
      <c r="N197"/>
      <c r="O197"/>
      <c r="P197"/>
      <c r="Q197"/>
      <c r="R197" s="43"/>
      <c r="S197"/>
      <c r="T197"/>
      <c r="U197"/>
      <c r="V197"/>
      <c r="W197"/>
      <c r="X197"/>
      <c r="Y197" s="43"/>
      <c r="Z197"/>
      <c r="BL197" s="198"/>
      <c r="BM197" s="183"/>
    </row>
    <row r="198" spans="1:65" s="55" customFormat="1">
      <c r="A198" s="56"/>
      <c r="D198"/>
      <c r="F198" s="197"/>
      <c r="I198" s="183"/>
      <c r="K198"/>
      <c r="L198"/>
      <c r="M198"/>
      <c r="N198"/>
      <c r="O198"/>
      <c r="P198"/>
      <c r="Q198"/>
      <c r="R198" s="43"/>
      <c r="S198"/>
      <c r="T198"/>
      <c r="U198"/>
      <c r="V198"/>
      <c r="W198"/>
      <c r="X198"/>
      <c r="Y198" s="43"/>
      <c r="Z198"/>
      <c r="BL198" s="198"/>
      <c r="BM198" s="183"/>
    </row>
    <row r="199" spans="1:65" s="55" customFormat="1">
      <c r="A199" s="56"/>
      <c r="D199"/>
      <c r="F199" s="197"/>
      <c r="K199"/>
      <c r="L199"/>
      <c r="M199"/>
      <c r="N199"/>
      <c r="O199"/>
      <c r="P199"/>
      <c r="Q199"/>
      <c r="R199" s="43"/>
      <c r="S199"/>
      <c r="T199"/>
      <c r="U199"/>
      <c r="V199"/>
      <c r="W199"/>
      <c r="X199"/>
      <c r="Y199" s="43"/>
      <c r="Z199"/>
      <c r="BL199" s="198"/>
      <c r="BM199" s="183"/>
    </row>
    <row r="200" spans="1:65" s="55" customFormat="1">
      <c r="A200" s="56"/>
      <c r="D200"/>
      <c r="F200" s="197"/>
      <c r="G200" s="187"/>
      <c r="K200"/>
      <c r="L200"/>
      <c r="M200"/>
      <c r="N200"/>
      <c r="O200"/>
      <c r="P200"/>
      <c r="Q200"/>
      <c r="R200" s="43"/>
      <c r="S200"/>
      <c r="T200"/>
      <c r="U200"/>
      <c r="V200"/>
      <c r="W200"/>
      <c r="X200"/>
      <c r="Y200" s="43"/>
      <c r="Z200"/>
      <c r="BL200" s="198"/>
      <c r="BM200" s="183"/>
    </row>
    <row r="201" spans="1:65" s="55" customFormat="1">
      <c r="A201" s="56"/>
      <c r="D201"/>
      <c r="F201" s="197"/>
      <c r="G201" s="195"/>
      <c r="H201" s="193"/>
      <c r="K201"/>
      <c r="L201"/>
      <c r="M201"/>
      <c r="N201"/>
      <c r="O201"/>
      <c r="P201"/>
      <c r="Q201"/>
      <c r="R201" s="43"/>
      <c r="S201"/>
      <c r="T201"/>
      <c r="U201"/>
      <c r="V201"/>
      <c r="W201"/>
      <c r="X201"/>
      <c r="Y201" s="43"/>
      <c r="Z201"/>
      <c r="BL201" s="198"/>
      <c r="BM201" s="183"/>
    </row>
    <row r="202" spans="1:65" s="55" customFormat="1">
      <c r="A202" s="56"/>
      <c r="D202"/>
      <c r="F202" s="197"/>
      <c r="G202" s="195"/>
      <c r="K202"/>
      <c r="L202"/>
      <c r="M202"/>
      <c r="N202"/>
      <c r="O202"/>
      <c r="P202"/>
      <c r="Q202"/>
      <c r="R202" s="43"/>
      <c r="S202"/>
      <c r="T202"/>
      <c r="U202"/>
      <c r="V202"/>
      <c r="W202"/>
      <c r="X202"/>
      <c r="Y202" s="43"/>
      <c r="Z202"/>
      <c r="BL202" s="198"/>
      <c r="BM202" s="183"/>
    </row>
    <row r="203" spans="1:65" s="55" customFormat="1">
      <c r="A203" s="56"/>
      <c r="D203"/>
      <c r="F203" s="197"/>
      <c r="G203" s="195"/>
      <c r="H203" s="193"/>
      <c r="I203" s="183"/>
      <c r="K203"/>
      <c r="L203"/>
      <c r="M203"/>
      <c r="N203"/>
      <c r="O203"/>
      <c r="P203"/>
      <c r="Q203"/>
      <c r="R203" s="43"/>
      <c r="S203"/>
      <c r="T203"/>
      <c r="U203"/>
      <c r="V203"/>
      <c r="W203"/>
      <c r="X203"/>
      <c r="Y203" s="43"/>
      <c r="Z203"/>
      <c r="BL203" s="198"/>
      <c r="BM203" s="183"/>
    </row>
    <row r="204" spans="1:65" s="55" customFormat="1">
      <c r="A204" s="56"/>
      <c r="D204"/>
      <c r="F204" s="197"/>
      <c r="I204" s="183"/>
      <c r="K204"/>
      <c r="L204"/>
      <c r="M204"/>
      <c r="N204"/>
      <c r="O204"/>
      <c r="P204"/>
      <c r="Q204"/>
      <c r="R204" s="43"/>
      <c r="S204"/>
      <c r="T204"/>
      <c r="U204"/>
      <c r="V204"/>
      <c r="W204"/>
      <c r="X204"/>
      <c r="Y204" s="43"/>
      <c r="Z204"/>
      <c r="BL204" s="198"/>
      <c r="BM204" s="183"/>
    </row>
    <row r="205" spans="1:65" s="55" customFormat="1">
      <c r="A205" s="56"/>
      <c r="D205"/>
      <c r="F205" s="197"/>
      <c r="K205"/>
      <c r="L205"/>
      <c r="M205"/>
      <c r="N205"/>
      <c r="O205"/>
      <c r="P205"/>
      <c r="Q205"/>
      <c r="R205" s="43"/>
      <c r="S205"/>
      <c r="T205"/>
      <c r="U205"/>
      <c r="V205"/>
      <c r="W205"/>
      <c r="X205"/>
      <c r="Y205" s="43"/>
      <c r="Z205"/>
      <c r="BL205" s="198"/>
      <c r="BM205" s="183"/>
    </row>
    <row r="206" spans="1:65" s="55" customFormat="1">
      <c r="A206" s="56"/>
      <c r="D206"/>
      <c r="F206" s="197"/>
      <c r="K206"/>
      <c r="L206"/>
      <c r="M206"/>
      <c r="N206"/>
      <c r="O206"/>
      <c r="P206"/>
      <c r="Q206"/>
      <c r="R206" s="43"/>
      <c r="S206"/>
      <c r="T206"/>
      <c r="U206"/>
      <c r="V206"/>
      <c r="W206"/>
      <c r="X206"/>
      <c r="Y206" s="43"/>
      <c r="Z206"/>
      <c r="BL206" s="198"/>
      <c r="BM206" s="183"/>
    </row>
    <row r="207" spans="1:65" s="55" customFormat="1">
      <c r="A207" s="56"/>
      <c r="D207"/>
      <c r="F207" s="197"/>
      <c r="K207"/>
      <c r="L207"/>
      <c r="M207"/>
      <c r="N207"/>
      <c r="O207"/>
      <c r="P207"/>
      <c r="Q207"/>
      <c r="R207" s="43"/>
      <c r="S207"/>
      <c r="T207"/>
      <c r="U207"/>
      <c r="V207"/>
      <c r="W207"/>
      <c r="X207"/>
      <c r="Y207" s="43"/>
      <c r="Z207"/>
      <c r="BL207" s="198"/>
      <c r="BM207" s="183"/>
    </row>
    <row r="208" spans="1:65" s="55" customFormat="1">
      <c r="A208" s="56"/>
      <c r="D208"/>
      <c r="F208" s="197"/>
      <c r="K208"/>
      <c r="L208"/>
      <c r="M208"/>
      <c r="N208"/>
      <c r="O208"/>
      <c r="P208"/>
      <c r="Q208"/>
      <c r="R208" s="43"/>
      <c r="S208"/>
      <c r="T208"/>
      <c r="U208"/>
      <c r="V208"/>
      <c r="W208"/>
      <c r="X208"/>
      <c r="Y208" s="43"/>
      <c r="Z208"/>
      <c r="BL208" s="198"/>
      <c r="BM208" s="183"/>
    </row>
    <row r="209" spans="1:65" s="55" customFormat="1">
      <c r="A209" s="56"/>
      <c r="D209"/>
      <c r="F209" s="197"/>
      <c r="K209"/>
      <c r="L209"/>
      <c r="M209"/>
      <c r="N209"/>
      <c r="O209"/>
      <c r="P209"/>
      <c r="Q209"/>
      <c r="R209" s="43"/>
      <c r="S209"/>
      <c r="T209"/>
      <c r="U209"/>
      <c r="V209"/>
      <c r="W209"/>
      <c r="X209"/>
      <c r="Y209" s="43"/>
      <c r="Z209"/>
      <c r="BL209" s="198"/>
      <c r="BM209" s="183"/>
    </row>
    <row r="210" spans="1:65" s="55" customFormat="1">
      <c r="A210" s="56"/>
      <c r="D210"/>
      <c r="F210" s="197"/>
      <c r="K210"/>
      <c r="L210"/>
      <c r="M210"/>
      <c r="N210"/>
      <c r="O210"/>
      <c r="P210"/>
      <c r="Q210"/>
      <c r="R210" s="43"/>
      <c r="S210"/>
      <c r="T210"/>
      <c r="U210"/>
      <c r="V210"/>
      <c r="W210"/>
      <c r="X210"/>
      <c r="Y210" s="43"/>
      <c r="Z210"/>
      <c r="BL210" s="198"/>
      <c r="BM210" s="183"/>
    </row>
    <row r="211" spans="1:65" s="55" customFormat="1">
      <c r="A211" s="56"/>
      <c r="D211"/>
      <c r="F211" s="197"/>
      <c r="K211"/>
      <c r="L211"/>
      <c r="M211"/>
      <c r="N211"/>
      <c r="O211"/>
      <c r="P211"/>
      <c r="Q211"/>
      <c r="R211" s="43"/>
      <c r="S211"/>
      <c r="T211"/>
      <c r="U211"/>
      <c r="V211"/>
      <c r="W211"/>
      <c r="X211"/>
      <c r="Y211" s="43"/>
      <c r="Z211"/>
      <c r="BL211" s="198"/>
      <c r="BM211" s="183"/>
    </row>
    <row r="212" spans="1:65" s="55" customFormat="1">
      <c r="A212" s="56"/>
      <c r="D212"/>
      <c r="F212" s="197"/>
      <c r="K212"/>
      <c r="L212"/>
      <c r="M212"/>
      <c r="N212"/>
      <c r="O212"/>
      <c r="P212"/>
      <c r="Q212"/>
      <c r="R212" s="43"/>
      <c r="S212"/>
      <c r="T212"/>
      <c r="U212"/>
      <c r="V212"/>
      <c r="W212"/>
      <c r="X212"/>
      <c r="Y212" s="43"/>
      <c r="Z212"/>
      <c r="BL212" s="198"/>
      <c r="BM212" s="183"/>
    </row>
    <row r="213" spans="1:65" s="55" customFormat="1">
      <c r="A213" s="56"/>
      <c r="D213"/>
      <c r="F213" s="197"/>
      <c r="K213"/>
      <c r="L213"/>
      <c r="M213"/>
      <c r="N213"/>
      <c r="O213"/>
      <c r="P213"/>
      <c r="Q213"/>
      <c r="R213" s="43"/>
      <c r="S213"/>
      <c r="T213"/>
      <c r="U213"/>
      <c r="V213"/>
      <c r="W213"/>
      <c r="X213"/>
      <c r="Y213" s="43"/>
      <c r="Z213"/>
      <c r="BL213" s="198"/>
      <c r="BM213" s="183"/>
    </row>
    <row r="214" spans="1:65" s="55" customFormat="1">
      <c r="A214" s="56"/>
      <c r="D214"/>
      <c r="F214" s="197"/>
      <c r="K214"/>
      <c r="L214"/>
      <c r="M214"/>
      <c r="N214"/>
      <c r="O214"/>
      <c r="P214"/>
      <c r="Q214"/>
      <c r="R214" s="43"/>
      <c r="S214"/>
      <c r="T214"/>
      <c r="U214"/>
      <c r="V214"/>
      <c r="W214"/>
      <c r="X214"/>
      <c r="Y214" s="43"/>
      <c r="Z214"/>
      <c r="BL214" s="198"/>
      <c r="BM214" s="183"/>
    </row>
    <row r="215" spans="1:65" s="55" customFormat="1">
      <c r="A215" s="56"/>
      <c r="D215"/>
      <c r="F215" s="197"/>
      <c r="K215"/>
      <c r="L215"/>
      <c r="M215"/>
      <c r="N215"/>
      <c r="O215"/>
      <c r="P215"/>
      <c r="Q215"/>
      <c r="R215" s="43"/>
      <c r="S215"/>
      <c r="T215"/>
      <c r="U215"/>
      <c r="V215"/>
      <c r="W215"/>
      <c r="X215"/>
      <c r="Y215" s="43"/>
      <c r="Z215"/>
      <c r="BL215" s="198"/>
      <c r="BM215" s="183"/>
    </row>
    <row r="216" spans="1:65" s="55" customFormat="1">
      <c r="A216" s="56"/>
      <c r="D216"/>
      <c r="F216" s="197"/>
      <c r="K216"/>
      <c r="L216"/>
      <c r="M216"/>
      <c r="N216"/>
      <c r="O216"/>
      <c r="P216"/>
      <c r="Q216"/>
      <c r="R216" s="43"/>
      <c r="S216"/>
      <c r="T216"/>
      <c r="U216"/>
      <c r="V216"/>
      <c r="W216"/>
      <c r="X216"/>
      <c r="Y216" s="43"/>
      <c r="Z216"/>
      <c r="BL216" s="198"/>
      <c r="BM216" s="183"/>
    </row>
    <row r="217" spans="1:65" s="55" customFormat="1">
      <c r="A217" s="56"/>
      <c r="D217"/>
      <c r="F217" s="197"/>
      <c r="K217"/>
      <c r="L217"/>
      <c r="M217"/>
      <c r="N217"/>
      <c r="O217"/>
      <c r="P217"/>
      <c r="Q217"/>
      <c r="R217" s="43"/>
      <c r="S217"/>
      <c r="T217"/>
      <c r="U217"/>
      <c r="V217"/>
      <c r="W217"/>
      <c r="X217"/>
      <c r="Y217" s="43"/>
      <c r="Z217"/>
      <c r="BL217" s="198"/>
      <c r="BM217" s="183"/>
    </row>
    <row r="218" spans="1:65" s="55" customFormat="1">
      <c r="A218" s="56"/>
      <c r="D218"/>
      <c r="F218" s="197"/>
      <c r="K218"/>
      <c r="L218"/>
      <c r="M218"/>
      <c r="N218"/>
      <c r="O218"/>
      <c r="P218"/>
      <c r="Q218"/>
      <c r="R218" s="43"/>
      <c r="S218"/>
      <c r="T218"/>
      <c r="U218"/>
      <c r="V218"/>
      <c r="W218"/>
      <c r="X218"/>
      <c r="Y218" s="43"/>
      <c r="Z218"/>
      <c r="BL218" s="198"/>
      <c r="BM218" s="183"/>
    </row>
    <row r="219" spans="1:65" s="55" customFormat="1">
      <c r="A219" s="56"/>
      <c r="D219"/>
      <c r="F219" s="197"/>
      <c r="K219"/>
      <c r="L219"/>
      <c r="M219"/>
      <c r="N219"/>
      <c r="O219"/>
      <c r="P219"/>
      <c r="Q219"/>
      <c r="R219" s="43"/>
      <c r="S219"/>
      <c r="T219"/>
      <c r="U219"/>
      <c r="V219"/>
      <c r="W219"/>
      <c r="X219"/>
      <c r="Y219" s="43"/>
      <c r="Z219"/>
      <c r="BL219" s="198"/>
      <c r="BM219" s="183"/>
    </row>
    <row r="220" spans="1:65" s="55" customFormat="1">
      <c r="A220" s="56"/>
      <c r="D220"/>
      <c r="F220" s="197"/>
      <c r="K220"/>
      <c r="L220"/>
      <c r="M220"/>
      <c r="N220"/>
      <c r="O220"/>
      <c r="P220"/>
      <c r="Q220"/>
      <c r="R220" s="43"/>
      <c r="S220"/>
      <c r="T220"/>
      <c r="U220"/>
      <c r="V220"/>
      <c r="W220"/>
      <c r="X220"/>
      <c r="Y220" s="43"/>
      <c r="Z220"/>
      <c r="BL220" s="198"/>
      <c r="BM220" s="183"/>
    </row>
    <row r="221" spans="1:65" s="55" customFormat="1">
      <c r="A221" s="56"/>
      <c r="D221"/>
      <c r="F221" s="197"/>
      <c r="K221"/>
      <c r="L221"/>
      <c r="M221"/>
      <c r="N221"/>
      <c r="O221"/>
      <c r="P221"/>
      <c r="Q221"/>
      <c r="R221" s="43"/>
      <c r="S221"/>
      <c r="T221"/>
      <c r="U221"/>
      <c r="V221"/>
      <c r="W221"/>
      <c r="X221"/>
      <c r="Y221" s="43"/>
      <c r="Z221"/>
      <c r="BL221" s="198"/>
      <c r="BM221" s="183"/>
    </row>
    <row r="222" spans="1:65">
      <c r="A222" s="56"/>
    </row>
    <row r="223" spans="1:65">
      <c r="A223" s="56"/>
    </row>
    <row r="224" spans="1:65">
      <c r="A224" s="56"/>
    </row>
    <row r="225" spans="1:1">
      <c r="A225" s="56"/>
    </row>
    <row r="226" spans="1:1">
      <c r="A226" s="56"/>
    </row>
    <row r="227" spans="1:1">
      <c r="A227" s="56"/>
    </row>
    <row r="228" spans="1:1">
      <c r="A228" s="56"/>
    </row>
    <row r="229" spans="1:1">
      <c r="A229" s="56"/>
    </row>
    <row r="230" spans="1:1">
      <c r="A230" s="56"/>
    </row>
    <row r="231" spans="1:1">
      <c r="A231" s="56"/>
    </row>
    <row r="232" spans="1:1">
      <c r="A232" s="56"/>
    </row>
    <row r="233" spans="1:1">
      <c r="A233" s="56"/>
    </row>
    <row r="234" spans="1:1">
      <c r="A234" s="56"/>
    </row>
    <row r="235" spans="1:1">
      <c r="A235" s="56"/>
    </row>
    <row r="236" spans="1:1">
      <c r="A236" s="56"/>
    </row>
    <row r="237" spans="1:1">
      <c r="A237" s="56"/>
    </row>
    <row r="238" spans="1:1">
      <c r="A238" s="56"/>
    </row>
    <row r="239" spans="1:1">
      <c r="A239" s="56"/>
    </row>
    <row r="240" spans="1:1">
      <c r="A240" s="56"/>
    </row>
    <row r="241" spans="1:1">
      <c r="A241" s="56"/>
    </row>
    <row r="242" spans="1:1">
      <c r="A242" s="56"/>
    </row>
    <row r="243" spans="1:1">
      <c r="A243" s="56"/>
    </row>
    <row r="244" spans="1:1">
      <c r="A244" s="56"/>
    </row>
    <row r="245" spans="1:1">
      <c r="A245" s="56"/>
    </row>
    <row r="246" spans="1:1">
      <c r="A246" s="56"/>
    </row>
    <row r="247" spans="1:1">
      <c r="A247" s="56"/>
    </row>
    <row r="248" spans="1:1">
      <c r="A248" s="56"/>
    </row>
    <row r="249" spans="1:1">
      <c r="A249" s="56"/>
    </row>
    <row r="250" spans="1:1">
      <c r="A250" s="56"/>
    </row>
    <row r="251" spans="1:1">
      <c r="A251" s="56"/>
    </row>
    <row r="252" spans="1:1">
      <c r="A252" s="56"/>
    </row>
    <row r="253" spans="1:1">
      <c r="A253" s="56"/>
    </row>
    <row r="254" spans="1:1">
      <c r="A254" s="56"/>
    </row>
    <row r="255" spans="1:1">
      <c r="A255" s="56"/>
    </row>
    <row r="256" spans="1:1">
      <c r="A256" s="56"/>
    </row>
    <row r="257" spans="1:1">
      <c r="A257" s="56"/>
    </row>
    <row r="258" spans="1:1">
      <c r="A258" s="56"/>
    </row>
    <row r="259" spans="1:1">
      <c r="A259" s="56"/>
    </row>
    <row r="260" spans="1:1">
      <c r="A260" s="56"/>
    </row>
    <row r="261" spans="1:1">
      <c r="A261" s="56"/>
    </row>
    <row r="262" spans="1:1">
      <c r="A262" s="56"/>
    </row>
    <row r="263" spans="1:1">
      <c r="A263" s="56"/>
    </row>
    <row r="264" spans="1:1">
      <c r="A264" s="56"/>
    </row>
    <row r="265" spans="1:1">
      <c r="A265" s="56"/>
    </row>
    <row r="266" spans="1:1">
      <c r="A266" s="56"/>
    </row>
    <row r="267" spans="1:1">
      <c r="A267" s="56"/>
    </row>
    <row r="268" spans="1:1">
      <c r="A268" s="56"/>
    </row>
    <row r="269" spans="1:1">
      <c r="A269" s="56"/>
    </row>
    <row r="270" spans="1:1">
      <c r="A270" s="56"/>
    </row>
    <row r="271" spans="1:1">
      <c r="A271" s="56"/>
    </row>
    <row r="272" spans="1:1">
      <c r="A272" s="56"/>
    </row>
    <row r="273" spans="1:1">
      <c r="A273" s="56"/>
    </row>
    <row r="274" spans="1:1">
      <c r="A274" s="56"/>
    </row>
    <row r="275" spans="1:1">
      <c r="A275" s="56"/>
    </row>
    <row r="276" spans="1:1">
      <c r="A276" s="56"/>
    </row>
    <row r="277" spans="1:1">
      <c r="A277" s="56"/>
    </row>
    <row r="278" spans="1:1">
      <c r="A278" s="56"/>
    </row>
    <row r="279" spans="1:1">
      <c r="A279" s="56"/>
    </row>
    <row r="280" spans="1:1">
      <c r="A280" s="56"/>
    </row>
    <row r="281" spans="1:1">
      <c r="A281" s="56"/>
    </row>
    <row r="282" spans="1:1">
      <c r="A282" s="56"/>
    </row>
    <row r="283" spans="1:1">
      <c r="A283" s="56"/>
    </row>
    <row r="284" spans="1:1">
      <c r="A284" s="56"/>
    </row>
    <row r="285" spans="1:1">
      <c r="A285" s="56"/>
    </row>
    <row r="286" spans="1:1">
      <c r="A286" s="56"/>
    </row>
    <row r="287" spans="1:1">
      <c r="A287" s="56"/>
    </row>
    <row r="288" spans="1:1">
      <c r="A288" s="56"/>
    </row>
    <row r="289" spans="1:1">
      <c r="A289" s="56"/>
    </row>
    <row r="290" spans="1:1">
      <c r="A290" s="56"/>
    </row>
    <row r="291" spans="1:1">
      <c r="A291" s="56"/>
    </row>
    <row r="292" spans="1:1">
      <c r="A292" s="56"/>
    </row>
    <row r="293" spans="1:1">
      <c r="A293" s="56"/>
    </row>
    <row r="294" spans="1:1">
      <c r="A294" s="56"/>
    </row>
    <row r="295" spans="1:1">
      <c r="A295" s="56"/>
    </row>
    <row r="296" spans="1:1">
      <c r="A296" s="56"/>
    </row>
    <row r="297" spans="1:1">
      <c r="A297" s="56"/>
    </row>
    <row r="298" spans="1:1">
      <c r="A298" s="56"/>
    </row>
    <row r="299" spans="1:1">
      <c r="A299" s="56"/>
    </row>
    <row r="300" spans="1:1">
      <c r="A300" s="56"/>
    </row>
    <row r="301" spans="1:1">
      <c r="A301" s="56"/>
    </row>
    <row r="302" spans="1:1">
      <c r="A302" s="56"/>
    </row>
    <row r="303" spans="1:1">
      <c r="A303" s="56"/>
    </row>
    <row r="304" spans="1:1">
      <c r="A304" s="56"/>
    </row>
    <row r="305" spans="1:1">
      <c r="A305" s="56"/>
    </row>
    <row r="306" spans="1:1">
      <c r="A306" s="56"/>
    </row>
    <row r="307" spans="1:1">
      <c r="A307" s="56"/>
    </row>
    <row r="308" spans="1:1">
      <c r="A308" s="56"/>
    </row>
    <row r="309" spans="1:1">
      <c r="A309" s="56"/>
    </row>
    <row r="310" spans="1:1">
      <c r="A310" s="56"/>
    </row>
    <row r="311" spans="1:1">
      <c r="A311" s="56"/>
    </row>
    <row r="312" spans="1:1">
      <c r="A312" s="56"/>
    </row>
    <row r="313" spans="1:1">
      <c r="A313" s="56"/>
    </row>
    <row r="314" spans="1:1">
      <c r="A314" s="56"/>
    </row>
    <row r="315" spans="1:1">
      <c r="A315" s="56"/>
    </row>
    <row r="316" spans="1:1">
      <c r="A316" s="56"/>
    </row>
    <row r="317" spans="1:1">
      <c r="A317" s="56"/>
    </row>
    <row r="318" spans="1:1">
      <c r="A318" s="56"/>
    </row>
    <row r="319" spans="1:1">
      <c r="A319" s="56"/>
    </row>
    <row r="320" spans="1:1">
      <c r="A320" s="56"/>
    </row>
    <row r="321" spans="1:1">
      <c r="A321" s="56"/>
    </row>
    <row r="322" spans="1:1">
      <c r="A322" s="56"/>
    </row>
    <row r="323" spans="1:1">
      <c r="A323" s="56"/>
    </row>
    <row r="324" spans="1:1">
      <c r="A324" s="56"/>
    </row>
    <row r="325" spans="1:1">
      <c r="A325" s="56"/>
    </row>
    <row r="326" spans="1:1">
      <c r="A326" s="56"/>
    </row>
    <row r="327" spans="1:1">
      <c r="A327" s="56"/>
    </row>
    <row r="328" spans="1:1">
      <c r="A328" s="56"/>
    </row>
    <row r="329" spans="1:1">
      <c r="A329" s="56"/>
    </row>
    <row r="330" spans="1:1">
      <c r="A330" s="56"/>
    </row>
    <row r="331" spans="1:1">
      <c r="A331" s="56"/>
    </row>
    <row r="332" spans="1:1">
      <c r="A332" s="56"/>
    </row>
    <row r="333" spans="1:1">
      <c r="A333" s="56"/>
    </row>
    <row r="334" spans="1:1">
      <c r="A334" s="56"/>
    </row>
    <row r="335" spans="1:1">
      <c r="A335" s="56"/>
    </row>
    <row r="336" spans="1:1">
      <c r="A336" s="56"/>
    </row>
    <row r="337" spans="1:1">
      <c r="A337" s="56"/>
    </row>
    <row r="338" spans="1:1">
      <c r="A338" s="56"/>
    </row>
    <row r="339" spans="1:1">
      <c r="A339" s="56"/>
    </row>
    <row r="340" spans="1:1">
      <c r="A340" s="56"/>
    </row>
    <row r="341" spans="1:1">
      <c r="A341" s="56"/>
    </row>
    <row r="342" spans="1:1">
      <c r="A342" s="56"/>
    </row>
    <row r="343" spans="1:1">
      <c r="A343" s="56"/>
    </row>
    <row r="344" spans="1:1">
      <c r="A344" s="56"/>
    </row>
    <row r="345" spans="1:1">
      <c r="A345" s="56"/>
    </row>
    <row r="346" spans="1:1">
      <c r="A346" s="56"/>
    </row>
    <row r="347" spans="1:1">
      <c r="A347" s="56"/>
    </row>
    <row r="348" spans="1:1">
      <c r="A348" s="56"/>
    </row>
    <row r="349" spans="1:1">
      <c r="A349" s="56"/>
    </row>
    <row r="350" spans="1:1">
      <c r="A350" s="56"/>
    </row>
    <row r="351" spans="1:1">
      <c r="A351" s="56"/>
    </row>
    <row r="352" spans="1:1">
      <c r="A352" s="56"/>
    </row>
    <row r="353" spans="1:1">
      <c r="A353" s="56"/>
    </row>
    <row r="354" spans="1:1">
      <c r="A354" s="56"/>
    </row>
    <row r="355" spans="1:1">
      <c r="A355" s="56"/>
    </row>
    <row r="356" spans="1:1">
      <c r="A356" s="56"/>
    </row>
    <row r="357" spans="1:1">
      <c r="A357" s="56"/>
    </row>
    <row r="358" spans="1:1">
      <c r="A358" s="56"/>
    </row>
    <row r="359" spans="1:1">
      <c r="A359" s="56"/>
    </row>
    <row r="360" spans="1:1">
      <c r="A360" s="56"/>
    </row>
    <row r="361" spans="1:1">
      <c r="A361" s="56"/>
    </row>
    <row r="362" spans="1:1">
      <c r="A362" s="56"/>
    </row>
    <row r="363" spans="1:1">
      <c r="A363" s="56"/>
    </row>
    <row r="364" spans="1:1">
      <c r="A364" s="56"/>
    </row>
    <row r="365" spans="1:1">
      <c r="A365" s="56"/>
    </row>
    <row r="366" spans="1:1">
      <c r="A366" s="56"/>
    </row>
    <row r="367" spans="1:1">
      <c r="A367" s="56"/>
    </row>
    <row r="368" spans="1:1">
      <c r="A368" s="56"/>
    </row>
    <row r="369" spans="1:1">
      <c r="A369" s="56"/>
    </row>
    <row r="370" spans="1:1">
      <c r="A370" s="56"/>
    </row>
    <row r="371" spans="1:1">
      <c r="A371" s="56"/>
    </row>
    <row r="372" spans="1:1">
      <c r="A372" s="56"/>
    </row>
    <row r="373" spans="1:1">
      <c r="A373" s="56"/>
    </row>
    <row r="374" spans="1:1">
      <c r="A374" s="56"/>
    </row>
    <row r="375" spans="1:1">
      <c r="A375" s="56"/>
    </row>
    <row r="376" spans="1:1">
      <c r="A376" s="56"/>
    </row>
    <row r="377" spans="1:1">
      <c r="A377" s="56"/>
    </row>
    <row r="378" spans="1:1">
      <c r="A378" s="56"/>
    </row>
    <row r="379" spans="1:1">
      <c r="A379" s="56"/>
    </row>
    <row r="380" spans="1:1">
      <c r="A380" s="56"/>
    </row>
    <row r="381" spans="1:1">
      <c r="A381" s="56"/>
    </row>
    <row r="382" spans="1:1">
      <c r="A382" s="56"/>
    </row>
    <row r="383" spans="1:1">
      <c r="A383" s="56"/>
    </row>
    <row r="384" spans="1:1">
      <c r="A384" s="56"/>
    </row>
    <row r="385" spans="1:1">
      <c r="A385" s="56"/>
    </row>
    <row r="386" spans="1:1">
      <c r="A386" s="56"/>
    </row>
    <row r="387" spans="1:1">
      <c r="A387" s="56"/>
    </row>
    <row r="388" spans="1:1">
      <c r="A388" s="56"/>
    </row>
    <row r="389" spans="1:1">
      <c r="A389" s="56"/>
    </row>
    <row r="390" spans="1:1">
      <c r="A390" s="56"/>
    </row>
    <row r="391" spans="1:1">
      <c r="A391" s="56"/>
    </row>
    <row r="392" spans="1:1">
      <c r="A392" s="56"/>
    </row>
    <row r="393" spans="1:1">
      <c r="A393" s="56"/>
    </row>
    <row r="394" spans="1:1">
      <c r="A394" s="56"/>
    </row>
    <row r="395" spans="1:1">
      <c r="A395" s="56"/>
    </row>
    <row r="396" spans="1:1">
      <c r="A396" s="56"/>
    </row>
    <row r="397" spans="1:1">
      <c r="A397" s="56"/>
    </row>
    <row r="398" spans="1:1">
      <c r="A398" s="56"/>
    </row>
    <row r="399" spans="1:1">
      <c r="A399" s="56"/>
    </row>
    <row r="400" spans="1:1">
      <c r="A400" s="56"/>
    </row>
    <row r="401" spans="1:1">
      <c r="A401" s="56"/>
    </row>
    <row r="402" spans="1:1">
      <c r="A402" s="56"/>
    </row>
    <row r="403" spans="1:1">
      <c r="A403" s="56"/>
    </row>
    <row r="404" spans="1:1">
      <c r="A404" s="56"/>
    </row>
    <row r="405" spans="1:1">
      <c r="A405" s="56"/>
    </row>
    <row r="406" spans="1:1">
      <c r="A406" s="56"/>
    </row>
    <row r="407" spans="1:1">
      <c r="A407" s="56"/>
    </row>
    <row r="408" spans="1:1">
      <c r="A408" s="56"/>
    </row>
    <row r="409" spans="1:1">
      <c r="A409" s="56"/>
    </row>
    <row r="410" spans="1:1">
      <c r="A410" s="56"/>
    </row>
    <row r="411" spans="1:1">
      <c r="A411" s="56"/>
    </row>
    <row r="412" spans="1:1">
      <c r="A412" s="56"/>
    </row>
    <row r="413" spans="1:1">
      <c r="A413" s="56"/>
    </row>
    <row r="414" spans="1:1">
      <c r="A414" s="56"/>
    </row>
    <row r="415" spans="1:1">
      <c r="A415" s="56"/>
    </row>
    <row r="416" spans="1:1">
      <c r="A416" s="56"/>
    </row>
    <row r="417" spans="1:1">
      <c r="A417" s="56"/>
    </row>
    <row r="418" spans="1:1">
      <c r="A418" s="56"/>
    </row>
    <row r="419" spans="1:1">
      <c r="A419" s="56"/>
    </row>
    <row r="420" spans="1:1">
      <c r="A420" s="56"/>
    </row>
    <row r="421" spans="1:1">
      <c r="A421" s="56"/>
    </row>
    <row r="422" spans="1:1">
      <c r="A422" s="56"/>
    </row>
    <row r="423" spans="1:1">
      <c r="A423" s="56"/>
    </row>
    <row r="424" spans="1:1">
      <c r="A424" s="56"/>
    </row>
    <row r="425" spans="1:1">
      <c r="A425" s="56"/>
    </row>
    <row r="426" spans="1:1">
      <c r="A426" s="56"/>
    </row>
    <row r="427" spans="1:1">
      <c r="A427" s="56"/>
    </row>
    <row r="428" spans="1:1">
      <c r="A428" s="56"/>
    </row>
    <row r="429" spans="1:1">
      <c r="A429" s="56"/>
    </row>
    <row r="430" spans="1:1">
      <c r="A430" s="56"/>
    </row>
    <row r="431" spans="1:1">
      <c r="A431" s="56"/>
    </row>
    <row r="432" spans="1:1">
      <c r="A432" s="56"/>
    </row>
    <row r="433" spans="1:1">
      <c r="A433" s="56"/>
    </row>
    <row r="434" spans="1:1">
      <c r="A434" s="56"/>
    </row>
    <row r="435" spans="1:1">
      <c r="A435" s="56"/>
    </row>
    <row r="436" spans="1:1">
      <c r="A436" s="56"/>
    </row>
    <row r="437" spans="1:1">
      <c r="A437" s="56"/>
    </row>
    <row r="438" spans="1:1">
      <c r="A438" s="56"/>
    </row>
    <row r="439" spans="1:1">
      <c r="A439" s="56"/>
    </row>
    <row r="440" spans="1:1">
      <c r="A440" s="56"/>
    </row>
    <row r="441" spans="1:1">
      <c r="A441" s="56"/>
    </row>
    <row r="442" spans="1:1">
      <c r="A442" s="56"/>
    </row>
    <row r="443" spans="1:1">
      <c r="A443" s="56"/>
    </row>
    <row r="444" spans="1:1">
      <c r="A444" s="56"/>
    </row>
    <row r="445" spans="1:1">
      <c r="A445" s="56"/>
    </row>
    <row r="446" spans="1:1">
      <c r="A446" s="56"/>
    </row>
    <row r="447" spans="1:1">
      <c r="A447" s="56"/>
    </row>
    <row r="448" spans="1:1">
      <c r="A448" s="56"/>
    </row>
    <row r="449" spans="1:1">
      <c r="A449" s="56"/>
    </row>
    <row r="450" spans="1:1">
      <c r="A450" s="56"/>
    </row>
    <row r="451" spans="1:1">
      <c r="A451" s="56"/>
    </row>
    <row r="452" spans="1:1">
      <c r="A452" s="56"/>
    </row>
    <row r="453" spans="1:1">
      <c r="A453" s="56"/>
    </row>
    <row r="454" spans="1:1">
      <c r="A454" s="56"/>
    </row>
    <row r="455" spans="1:1">
      <c r="A455" s="56"/>
    </row>
    <row r="456" spans="1:1">
      <c r="A456" s="56"/>
    </row>
    <row r="457" spans="1:1">
      <c r="A457" s="56"/>
    </row>
    <row r="458" spans="1:1">
      <c r="A458" s="56"/>
    </row>
    <row r="459" spans="1:1">
      <c r="A459" s="56"/>
    </row>
    <row r="460" spans="1:1">
      <c r="A460" s="56"/>
    </row>
    <row r="461" spans="1:1">
      <c r="A461" s="56"/>
    </row>
    <row r="462" spans="1:1">
      <c r="A462" s="56"/>
    </row>
    <row r="463" spans="1:1">
      <c r="A463" s="56"/>
    </row>
    <row r="464" spans="1:1">
      <c r="A464" s="56"/>
    </row>
    <row r="465" spans="1:1">
      <c r="A465" s="56"/>
    </row>
    <row r="466" spans="1:1">
      <c r="A466" s="56"/>
    </row>
    <row r="467" spans="1:1">
      <c r="A467" s="56"/>
    </row>
    <row r="468" spans="1:1">
      <c r="A468" s="56"/>
    </row>
    <row r="469" spans="1:1">
      <c r="A469" s="56"/>
    </row>
    <row r="470" spans="1:1">
      <c r="A470" s="56"/>
    </row>
    <row r="471" spans="1:1">
      <c r="A471" s="56"/>
    </row>
    <row r="472" spans="1:1">
      <c r="A472" s="56"/>
    </row>
    <row r="473" spans="1:1">
      <c r="A473" s="56"/>
    </row>
    <row r="474" spans="1:1">
      <c r="A474" s="56"/>
    </row>
    <row r="475" spans="1:1">
      <c r="A475" s="56"/>
    </row>
    <row r="476" spans="1:1">
      <c r="A476" s="56"/>
    </row>
    <row r="477" spans="1:1">
      <c r="A477" s="56"/>
    </row>
    <row r="478" spans="1:1">
      <c r="A478" s="56"/>
    </row>
    <row r="479" spans="1:1">
      <c r="A479" s="56"/>
    </row>
    <row r="480" spans="1:1">
      <c r="A480" s="56"/>
    </row>
    <row r="481" spans="1:1">
      <c r="A481" s="56"/>
    </row>
    <row r="482" spans="1:1">
      <c r="A482" s="56"/>
    </row>
    <row r="483" spans="1:1">
      <c r="A483" s="56"/>
    </row>
    <row r="484" spans="1:1">
      <c r="A484" s="56"/>
    </row>
    <row r="485" spans="1:1">
      <c r="A485" s="56"/>
    </row>
    <row r="486" spans="1:1">
      <c r="A486" s="56"/>
    </row>
    <row r="487" spans="1:1">
      <c r="A487" s="56"/>
    </row>
    <row r="488" spans="1:1">
      <c r="A488" s="56"/>
    </row>
    <row r="489" spans="1:1">
      <c r="A489" s="56"/>
    </row>
    <row r="490" spans="1:1">
      <c r="A490" s="56"/>
    </row>
    <row r="491" spans="1:1">
      <c r="A491" s="56"/>
    </row>
    <row r="492" spans="1:1">
      <c r="A492" s="56"/>
    </row>
    <row r="493" spans="1:1">
      <c r="A493" s="56"/>
    </row>
    <row r="494" spans="1:1">
      <c r="A494" s="56"/>
    </row>
    <row r="495" spans="1:1">
      <c r="A495" s="56"/>
    </row>
    <row r="496" spans="1:1">
      <c r="A496" s="56"/>
    </row>
    <row r="497" spans="1:1">
      <c r="A497" s="56"/>
    </row>
    <row r="498" spans="1:1">
      <c r="A498" s="56"/>
    </row>
    <row r="499" spans="1:1">
      <c r="A499" s="56"/>
    </row>
    <row r="500" spans="1:1">
      <c r="A500" s="56"/>
    </row>
    <row r="501" spans="1:1">
      <c r="A501" s="56"/>
    </row>
    <row r="502" spans="1:1">
      <c r="A502" s="56"/>
    </row>
    <row r="503" spans="1:1">
      <c r="A503" s="56"/>
    </row>
    <row r="504" spans="1:1">
      <c r="A504" s="56"/>
    </row>
    <row r="505" spans="1:1">
      <c r="A505" s="56"/>
    </row>
    <row r="506" spans="1:1">
      <c r="A506" s="56"/>
    </row>
    <row r="507" spans="1:1">
      <c r="A507" s="56"/>
    </row>
    <row r="508" spans="1:1">
      <c r="A508" s="56"/>
    </row>
    <row r="509" spans="1:1">
      <c r="A509" s="56"/>
    </row>
    <row r="510" spans="1:1">
      <c r="A510" s="56"/>
    </row>
    <row r="511" spans="1:1">
      <c r="A511" s="56"/>
    </row>
    <row r="512" spans="1:1">
      <c r="A512" s="56"/>
    </row>
    <row r="513" spans="1:1">
      <c r="A513" s="56"/>
    </row>
    <row r="514" spans="1:1">
      <c r="A514" s="56"/>
    </row>
    <row r="515" spans="1:1">
      <c r="A515" s="56"/>
    </row>
    <row r="516" spans="1:1">
      <c r="A516" s="56"/>
    </row>
    <row r="517" spans="1:1">
      <c r="A517" s="56"/>
    </row>
    <row r="518" spans="1:1">
      <c r="A518" s="56"/>
    </row>
    <row r="519" spans="1:1">
      <c r="A519" s="56"/>
    </row>
    <row r="520" spans="1:1">
      <c r="A520" s="56"/>
    </row>
    <row r="521" spans="1:1">
      <c r="A521" s="56"/>
    </row>
    <row r="522" spans="1:1">
      <c r="A522" s="56"/>
    </row>
    <row r="523" spans="1:1">
      <c r="A523" s="56"/>
    </row>
    <row r="524" spans="1:1">
      <c r="A524" s="56"/>
    </row>
    <row r="525" spans="1:1">
      <c r="A525" s="56"/>
    </row>
    <row r="526" spans="1:1">
      <c r="A526" s="56"/>
    </row>
    <row r="527" spans="1:1">
      <c r="A527" s="56"/>
    </row>
    <row r="528" spans="1:1">
      <c r="A528" s="56"/>
    </row>
    <row r="529" spans="1:1">
      <c r="A529" s="56"/>
    </row>
    <row r="530" spans="1:1">
      <c r="A530" s="56"/>
    </row>
    <row r="531" spans="1:1">
      <c r="A531" s="56"/>
    </row>
    <row r="532" spans="1:1">
      <c r="A532" s="56"/>
    </row>
    <row r="533" spans="1:1">
      <c r="A533" s="56"/>
    </row>
    <row r="534" spans="1:1">
      <c r="A534" s="56"/>
    </row>
    <row r="535" spans="1:1">
      <c r="A535" s="56"/>
    </row>
    <row r="536" spans="1:1">
      <c r="A536" s="56"/>
    </row>
    <row r="537" spans="1:1">
      <c r="A537" s="56"/>
    </row>
    <row r="538" spans="1:1">
      <c r="A538" s="56"/>
    </row>
    <row r="539" spans="1:1">
      <c r="A539" s="56"/>
    </row>
    <row r="540" spans="1:1">
      <c r="A540" s="56"/>
    </row>
    <row r="541" spans="1:1">
      <c r="A541" s="56"/>
    </row>
    <row r="542" spans="1:1">
      <c r="A542" s="56"/>
    </row>
    <row r="543" spans="1:1">
      <c r="A543" s="56"/>
    </row>
    <row r="544" spans="1:1">
      <c r="A544" s="56"/>
    </row>
    <row r="545" spans="1:1">
      <c r="A545" s="56"/>
    </row>
    <row r="546" spans="1:1">
      <c r="A546" s="56"/>
    </row>
    <row r="547" spans="1:1">
      <c r="A547" s="56"/>
    </row>
    <row r="548" spans="1:1">
      <c r="A548" s="56"/>
    </row>
    <row r="549" spans="1:1">
      <c r="A549" s="56"/>
    </row>
    <row r="550" spans="1:1">
      <c r="A550" s="56"/>
    </row>
    <row r="551" spans="1:1">
      <c r="A551" s="56"/>
    </row>
    <row r="552" spans="1:1">
      <c r="A552" s="56"/>
    </row>
    <row r="553" spans="1:1">
      <c r="A553" s="56"/>
    </row>
    <row r="554" spans="1:1">
      <c r="A554" s="56"/>
    </row>
    <row r="555" spans="1:1">
      <c r="A555" s="56"/>
    </row>
    <row r="556" spans="1:1">
      <c r="A556" s="56"/>
    </row>
    <row r="557" spans="1:1">
      <c r="A557" s="56"/>
    </row>
    <row r="558" spans="1:1">
      <c r="A558" s="56"/>
    </row>
    <row r="559" spans="1:1">
      <c r="A559" s="56"/>
    </row>
    <row r="560" spans="1:1">
      <c r="A560" s="56"/>
    </row>
    <row r="561" spans="1:1">
      <c r="A561" s="56"/>
    </row>
    <row r="562" spans="1:1">
      <c r="A562" s="56"/>
    </row>
    <row r="563" spans="1:1">
      <c r="A563" s="56"/>
    </row>
    <row r="564" spans="1:1">
      <c r="A564" s="56"/>
    </row>
    <row r="565" spans="1:1">
      <c r="A565" s="56"/>
    </row>
    <row r="566" spans="1:1">
      <c r="A566" s="56"/>
    </row>
    <row r="567" spans="1:1">
      <c r="A567" s="56"/>
    </row>
    <row r="568" spans="1:1">
      <c r="A568" s="56"/>
    </row>
    <row r="569" spans="1:1">
      <c r="A569" s="56"/>
    </row>
    <row r="570" spans="1:1">
      <c r="A570" s="56"/>
    </row>
    <row r="571" spans="1:1">
      <c r="A571" s="56"/>
    </row>
    <row r="572" spans="1:1">
      <c r="A572" s="56"/>
    </row>
    <row r="573" spans="1:1">
      <c r="A573" s="56"/>
    </row>
    <row r="574" spans="1:1">
      <c r="A574" s="56"/>
    </row>
    <row r="575" spans="1:1">
      <c r="A575" s="56"/>
    </row>
    <row r="576" spans="1:1">
      <c r="A576" s="56"/>
    </row>
    <row r="577" spans="1:1">
      <c r="A577" s="56"/>
    </row>
    <row r="578" spans="1:1">
      <c r="A578" s="56"/>
    </row>
    <row r="579" spans="1:1">
      <c r="A579" s="56"/>
    </row>
    <row r="580" spans="1:1">
      <c r="A580" s="56"/>
    </row>
    <row r="581" spans="1:1">
      <c r="A581" s="56"/>
    </row>
    <row r="582" spans="1:1">
      <c r="A582" s="56"/>
    </row>
    <row r="583" spans="1:1">
      <c r="A583" s="56"/>
    </row>
    <row r="584" spans="1:1">
      <c r="A584" s="56"/>
    </row>
    <row r="585" spans="1:1">
      <c r="A585" s="56"/>
    </row>
    <row r="586" spans="1:1">
      <c r="A586" s="56"/>
    </row>
    <row r="587" spans="1:1">
      <c r="A587" s="56"/>
    </row>
    <row r="588" spans="1:1">
      <c r="A588" s="56"/>
    </row>
    <row r="589" spans="1:1">
      <c r="A589" s="56"/>
    </row>
    <row r="590" spans="1:1">
      <c r="A590" s="56"/>
    </row>
    <row r="591" spans="1:1">
      <c r="A591" s="56"/>
    </row>
    <row r="592" spans="1:1">
      <c r="A592" s="56"/>
    </row>
    <row r="593" spans="1:1">
      <c r="A593" s="56"/>
    </row>
    <row r="594" spans="1:1">
      <c r="A594" s="56"/>
    </row>
    <row r="595" spans="1:1">
      <c r="A595" s="56"/>
    </row>
    <row r="596" spans="1:1">
      <c r="A596" s="56"/>
    </row>
    <row r="597" spans="1:1">
      <c r="A597" s="56"/>
    </row>
    <row r="598" spans="1:1">
      <c r="A598" s="56"/>
    </row>
    <row r="599" spans="1:1">
      <c r="A599" s="56"/>
    </row>
    <row r="600" spans="1:1">
      <c r="A600" s="56"/>
    </row>
    <row r="601" spans="1:1">
      <c r="A601" s="56"/>
    </row>
    <row r="602" spans="1:1">
      <c r="A602" s="56"/>
    </row>
    <row r="603" spans="1:1">
      <c r="A603" s="56"/>
    </row>
    <row r="604" spans="1:1">
      <c r="A604" s="56"/>
    </row>
    <row r="605" spans="1:1">
      <c r="A605" s="56"/>
    </row>
    <row r="606" spans="1:1">
      <c r="A606" s="56"/>
    </row>
    <row r="607" spans="1:1">
      <c r="A607" s="56"/>
    </row>
    <row r="608" spans="1:1">
      <c r="A608" s="56"/>
    </row>
    <row r="609" spans="1:1">
      <c r="A609" s="56"/>
    </row>
    <row r="610" spans="1:1">
      <c r="A610" s="56"/>
    </row>
    <row r="611" spans="1:1">
      <c r="A611" s="56"/>
    </row>
    <row r="612" spans="1:1">
      <c r="A612" s="56"/>
    </row>
    <row r="613" spans="1:1">
      <c r="A613" s="56"/>
    </row>
    <row r="614" spans="1:1">
      <c r="A614" s="56"/>
    </row>
    <row r="615" spans="1:1">
      <c r="A615" s="56"/>
    </row>
    <row r="616" spans="1:1">
      <c r="A616" s="56"/>
    </row>
    <row r="617" spans="1:1">
      <c r="A617" s="56"/>
    </row>
    <row r="618" spans="1:1">
      <c r="A618" s="56"/>
    </row>
    <row r="619" spans="1:1">
      <c r="A619" s="56"/>
    </row>
    <row r="620" spans="1:1">
      <c r="A620" s="56"/>
    </row>
    <row r="621" spans="1:1">
      <c r="A621" s="56"/>
    </row>
    <row r="622" spans="1:1">
      <c r="A622" s="56"/>
    </row>
    <row r="623" spans="1:1">
      <c r="A623" s="56"/>
    </row>
    <row r="624" spans="1:1">
      <c r="A624" s="56"/>
    </row>
    <row r="625" spans="1:1">
      <c r="A625" s="56"/>
    </row>
    <row r="626" spans="1:1">
      <c r="A626" s="56"/>
    </row>
    <row r="627" spans="1:1">
      <c r="A627" s="56"/>
    </row>
    <row r="628" spans="1:1">
      <c r="A628" s="56"/>
    </row>
    <row r="629" spans="1:1">
      <c r="A629" s="56"/>
    </row>
    <row r="630" spans="1:1">
      <c r="A630" s="56"/>
    </row>
    <row r="631" spans="1:1">
      <c r="A631" s="56"/>
    </row>
    <row r="632" spans="1:1">
      <c r="A632" s="56"/>
    </row>
    <row r="633" spans="1:1">
      <c r="A633" s="56"/>
    </row>
    <row r="634" spans="1:1">
      <c r="A634" s="56"/>
    </row>
    <row r="635" spans="1:1">
      <c r="A635" s="56"/>
    </row>
    <row r="636" spans="1:1">
      <c r="A636" s="56"/>
    </row>
    <row r="637" spans="1:1">
      <c r="A637" s="56"/>
    </row>
    <row r="638" spans="1:1">
      <c r="A638" s="56"/>
    </row>
    <row r="639" spans="1:1">
      <c r="A639" s="56"/>
    </row>
    <row r="640" spans="1:1">
      <c r="A640" s="56"/>
    </row>
    <row r="641" spans="1:1">
      <c r="A641" s="56"/>
    </row>
    <row r="642" spans="1:1">
      <c r="A642" s="56"/>
    </row>
    <row r="643" spans="1:1">
      <c r="A643" s="56"/>
    </row>
    <row r="644" spans="1:1">
      <c r="A644" s="56"/>
    </row>
    <row r="645" spans="1:1">
      <c r="A645" s="56"/>
    </row>
    <row r="646" spans="1:1">
      <c r="A646" s="56"/>
    </row>
    <row r="647" spans="1:1">
      <c r="A647" s="56"/>
    </row>
    <row r="648" spans="1:1">
      <c r="A648" s="56"/>
    </row>
    <row r="649" spans="1:1">
      <c r="A649" s="56"/>
    </row>
    <row r="650" spans="1:1">
      <c r="A650" s="56"/>
    </row>
    <row r="651" spans="1:1">
      <c r="A651" s="56"/>
    </row>
    <row r="652" spans="1:1">
      <c r="A652" s="56"/>
    </row>
    <row r="653" spans="1:1">
      <c r="A653" s="56"/>
    </row>
    <row r="654" spans="1:1">
      <c r="A654" s="56"/>
    </row>
    <row r="655" spans="1:1">
      <c r="A655" s="56"/>
    </row>
    <row r="656" spans="1:1">
      <c r="A656" s="56"/>
    </row>
    <row r="657" spans="1:1">
      <c r="A657" s="56"/>
    </row>
    <row r="658" spans="1:1">
      <c r="A658" s="56"/>
    </row>
    <row r="659" spans="1:1">
      <c r="A659" s="56"/>
    </row>
    <row r="660" spans="1:1">
      <c r="A660" s="56"/>
    </row>
    <row r="661" spans="1:1">
      <c r="A661" s="56"/>
    </row>
    <row r="662" spans="1:1">
      <c r="A662" s="56"/>
    </row>
    <row r="663" spans="1:1">
      <c r="A663" s="56"/>
    </row>
    <row r="664" spans="1:1">
      <c r="A664" s="56"/>
    </row>
    <row r="665" spans="1:1">
      <c r="A665" s="56"/>
    </row>
    <row r="666" spans="1:1">
      <c r="A666" s="56"/>
    </row>
    <row r="667" spans="1:1">
      <c r="A667" s="56"/>
    </row>
    <row r="668" spans="1:1">
      <c r="A668" s="56"/>
    </row>
    <row r="669" spans="1:1">
      <c r="A669" s="56"/>
    </row>
    <row r="670" spans="1:1">
      <c r="A670" s="56"/>
    </row>
    <row r="671" spans="1:1">
      <c r="A671" s="56"/>
    </row>
    <row r="672" spans="1:1">
      <c r="A672" s="56"/>
    </row>
    <row r="673" spans="1:1">
      <c r="A673" s="56"/>
    </row>
    <row r="674" spans="1:1">
      <c r="A674" s="56"/>
    </row>
    <row r="675" spans="1:1">
      <c r="A675" s="56"/>
    </row>
    <row r="676" spans="1:1">
      <c r="A676" s="56"/>
    </row>
    <row r="677" spans="1:1">
      <c r="A677" s="56"/>
    </row>
    <row r="678" spans="1:1">
      <c r="A678" s="56"/>
    </row>
    <row r="679" spans="1:1">
      <c r="A679" s="56"/>
    </row>
    <row r="680" spans="1:1">
      <c r="A680" s="56"/>
    </row>
    <row r="681" spans="1:1">
      <c r="A681" s="56"/>
    </row>
    <row r="682" spans="1:1">
      <c r="A682" s="56"/>
    </row>
    <row r="683" spans="1:1">
      <c r="A683" s="56"/>
    </row>
    <row r="684" spans="1:1">
      <c r="A684" s="56"/>
    </row>
    <row r="685" spans="1:1">
      <c r="A685" s="56"/>
    </row>
    <row r="686" spans="1:1">
      <c r="A686" s="56"/>
    </row>
    <row r="687" spans="1:1">
      <c r="A687" s="56"/>
    </row>
    <row r="688" spans="1:1">
      <c r="A688" s="56"/>
    </row>
    <row r="689" spans="1:1">
      <c r="A689" s="56"/>
    </row>
    <row r="690" spans="1:1">
      <c r="A690" s="56"/>
    </row>
    <row r="691" spans="1:1">
      <c r="A691" s="56"/>
    </row>
    <row r="692" spans="1:1">
      <c r="A692" s="56"/>
    </row>
    <row r="693" spans="1:1">
      <c r="A693" s="56"/>
    </row>
    <row r="694" spans="1:1">
      <c r="A694" s="56"/>
    </row>
    <row r="695" spans="1:1">
      <c r="A695" s="56"/>
    </row>
    <row r="696" spans="1:1">
      <c r="A696" s="56"/>
    </row>
    <row r="697" spans="1:1">
      <c r="A697" s="56"/>
    </row>
    <row r="698" spans="1:1">
      <c r="A698" s="56"/>
    </row>
    <row r="699" spans="1:1">
      <c r="A699" s="56"/>
    </row>
    <row r="700" spans="1:1">
      <c r="A700" s="56"/>
    </row>
    <row r="701" spans="1:1">
      <c r="A701" s="56"/>
    </row>
    <row r="702" spans="1:1">
      <c r="A702" s="56"/>
    </row>
    <row r="703" spans="1:1">
      <c r="A703" s="56"/>
    </row>
    <row r="704" spans="1:1">
      <c r="A704" s="56"/>
    </row>
    <row r="705" spans="1:1">
      <c r="A705" s="56"/>
    </row>
    <row r="706" spans="1:1">
      <c r="A706" s="56"/>
    </row>
    <row r="707" spans="1:1">
      <c r="A707" s="56"/>
    </row>
    <row r="708" spans="1:1">
      <c r="A708" s="56"/>
    </row>
    <row r="709" spans="1:1">
      <c r="A709" s="56"/>
    </row>
    <row r="710" spans="1:1">
      <c r="A710" s="56"/>
    </row>
    <row r="711" spans="1:1">
      <c r="A711" s="56"/>
    </row>
    <row r="712" spans="1:1">
      <c r="A712" s="56"/>
    </row>
    <row r="713" spans="1:1">
      <c r="A713" s="56"/>
    </row>
    <row r="714" spans="1:1">
      <c r="A714" s="56"/>
    </row>
    <row r="715" spans="1:1">
      <c r="A715" s="56"/>
    </row>
    <row r="716" spans="1:1">
      <c r="A716" s="56"/>
    </row>
    <row r="717" spans="1:1">
      <c r="A717" s="56"/>
    </row>
    <row r="718" spans="1:1">
      <c r="A718" s="56"/>
    </row>
    <row r="719" spans="1:1">
      <c r="A719" s="56"/>
    </row>
    <row r="720" spans="1:1">
      <c r="A720" s="56"/>
    </row>
    <row r="721" spans="1:1">
      <c r="A721" s="56"/>
    </row>
    <row r="722" spans="1:1">
      <c r="A722" s="56"/>
    </row>
    <row r="723" spans="1:1">
      <c r="A723" s="56"/>
    </row>
    <row r="724" spans="1:1">
      <c r="A724" s="56"/>
    </row>
    <row r="725" spans="1:1">
      <c r="A725" s="56"/>
    </row>
    <row r="726" spans="1:1">
      <c r="A726" s="56"/>
    </row>
    <row r="727" spans="1:1">
      <c r="A727" s="56"/>
    </row>
    <row r="728" spans="1:1">
      <c r="A728" s="56"/>
    </row>
    <row r="729" spans="1:1">
      <c r="A729" s="56"/>
    </row>
    <row r="730" spans="1:1">
      <c r="A730" s="56"/>
    </row>
    <row r="731" spans="1:1">
      <c r="A731" s="56"/>
    </row>
    <row r="732" spans="1:1">
      <c r="A732" s="56"/>
    </row>
    <row r="733" spans="1:1">
      <c r="A733" s="56"/>
    </row>
    <row r="734" spans="1:1">
      <c r="A734" s="56"/>
    </row>
    <row r="735" spans="1:1">
      <c r="A735" s="56"/>
    </row>
    <row r="736" spans="1:1">
      <c r="A736" s="56"/>
    </row>
    <row r="737" spans="1:1">
      <c r="A737" s="56"/>
    </row>
    <row r="738" spans="1:1">
      <c r="A738" s="56"/>
    </row>
    <row r="739" spans="1:1">
      <c r="A739" s="56"/>
    </row>
    <row r="740" spans="1:1">
      <c r="A740" s="56"/>
    </row>
    <row r="741" spans="1:1">
      <c r="A741" s="56"/>
    </row>
    <row r="742" spans="1:1">
      <c r="A742" s="56"/>
    </row>
    <row r="743" spans="1:1">
      <c r="A743" s="56"/>
    </row>
    <row r="744" spans="1:1">
      <c r="A744" s="56"/>
    </row>
    <row r="745" spans="1:1">
      <c r="A745" s="56"/>
    </row>
    <row r="746" spans="1:1">
      <c r="A746" s="56"/>
    </row>
    <row r="747" spans="1:1">
      <c r="A747" s="56"/>
    </row>
    <row r="748" spans="1:1">
      <c r="A748" s="56"/>
    </row>
    <row r="749" spans="1:1">
      <c r="A749" s="56"/>
    </row>
    <row r="750" spans="1:1">
      <c r="A750" s="56"/>
    </row>
    <row r="751" spans="1:1">
      <c r="A751" s="56"/>
    </row>
    <row r="752" spans="1:1">
      <c r="A752" s="56"/>
    </row>
    <row r="753" spans="1:1">
      <c r="A753" s="56"/>
    </row>
    <row r="754" spans="1:1">
      <c r="A754" s="56"/>
    </row>
    <row r="755" spans="1:1">
      <c r="A755" s="56"/>
    </row>
    <row r="756" spans="1:1">
      <c r="A756" s="56"/>
    </row>
    <row r="757" spans="1:1">
      <c r="A757" s="56"/>
    </row>
    <row r="758" spans="1:1">
      <c r="A758" s="56"/>
    </row>
    <row r="759" spans="1:1">
      <c r="A759" s="56"/>
    </row>
    <row r="760" spans="1:1">
      <c r="A760" s="56"/>
    </row>
    <row r="761" spans="1:1">
      <c r="A761" s="56"/>
    </row>
    <row r="762" spans="1:1">
      <c r="A762" s="56"/>
    </row>
    <row r="763" spans="1:1">
      <c r="A763" s="56"/>
    </row>
    <row r="764" spans="1:1">
      <c r="A764" s="56"/>
    </row>
    <row r="765" spans="1:1">
      <c r="A765" s="56"/>
    </row>
    <row r="766" spans="1:1">
      <c r="A766" s="56"/>
    </row>
    <row r="767" spans="1:1">
      <c r="A767" s="56"/>
    </row>
    <row r="768" spans="1:1">
      <c r="A768" s="56"/>
    </row>
    <row r="769" spans="1:1">
      <c r="A769" s="56"/>
    </row>
    <row r="770" spans="1:1">
      <c r="A770" s="56"/>
    </row>
    <row r="771" spans="1:1">
      <c r="A771" s="56"/>
    </row>
    <row r="772" spans="1:1">
      <c r="A772" s="56"/>
    </row>
    <row r="773" spans="1:1">
      <c r="A773" s="56"/>
    </row>
    <row r="774" spans="1:1">
      <c r="A774" s="56"/>
    </row>
    <row r="775" spans="1:1">
      <c r="A775" s="56"/>
    </row>
    <row r="776" spans="1:1">
      <c r="A776" s="56"/>
    </row>
    <row r="777" spans="1:1">
      <c r="A777" s="56"/>
    </row>
    <row r="778" spans="1:1">
      <c r="A778" s="56"/>
    </row>
    <row r="779" spans="1:1">
      <c r="A779" s="56"/>
    </row>
    <row r="780" spans="1:1">
      <c r="A780" s="56"/>
    </row>
    <row r="781" spans="1:1">
      <c r="A781" s="56"/>
    </row>
    <row r="782" spans="1:1">
      <c r="A782" s="56"/>
    </row>
    <row r="783" spans="1:1">
      <c r="A783" s="56"/>
    </row>
    <row r="784" spans="1:1">
      <c r="A784" s="56"/>
    </row>
    <row r="785" spans="1:1">
      <c r="A785" s="56"/>
    </row>
    <row r="786" spans="1:1">
      <c r="A786" s="56"/>
    </row>
    <row r="787" spans="1:1">
      <c r="A787" s="56"/>
    </row>
    <row r="788" spans="1:1">
      <c r="A788" s="56"/>
    </row>
    <row r="789" spans="1:1">
      <c r="A789" s="56"/>
    </row>
    <row r="790" spans="1:1">
      <c r="A790" s="56"/>
    </row>
    <row r="791" spans="1:1">
      <c r="A791" s="56"/>
    </row>
    <row r="792" spans="1:1">
      <c r="A792" s="56"/>
    </row>
    <row r="793" spans="1:1">
      <c r="A793" s="56"/>
    </row>
    <row r="794" spans="1:1">
      <c r="A794" s="56"/>
    </row>
    <row r="795" spans="1:1">
      <c r="A795" s="56"/>
    </row>
    <row r="796" spans="1:1">
      <c r="A796" s="56"/>
    </row>
    <row r="797" spans="1:1">
      <c r="A797" s="56"/>
    </row>
    <row r="798" spans="1:1">
      <c r="A798" s="56"/>
    </row>
    <row r="799" spans="1:1">
      <c r="A799" s="56"/>
    </row>
    <row r="800" spans="1:1">
      <c r="A800" s="56"/>
    </row>
    <row r="801" spans="1:1">
      <c r="A801" s="56"/>
    </row>
    <row r="802" spans="1:1">
      <c r="A802" s="56"/>
    </row>
    <row r="803" spans="1:1">
      <c r="A803" s="56"/>
    </row>
    <row r="804" spans="1:1">
      <c r="A804" s="56"/>
    </row>
    <row r="805" spans="1:1">
      <c r="A805" s="56"/>
    </row>
    <row r="806" spans="1:1">
      <c r="A806" s="56"/>
    </row>
    <row r="807" spans="1:1">
      <c r="A807" s="56"/>
    </row>
    <row r="808" spans="1:1">
      <c r="A808" s="56"/>
    </row>
    <row r="809" spans="1:1">
      <c r="A809" s="56"/>
    </row>
    <row r="810" spans="1:1">
      <c r="A810" s="56"/>
    </row>
    <row r="811" spans="1:1">
      <c r="A811" s="56"/>
    </row>
    <row r="812" spans="1:1">
      <c r="A812" s="56"/>
    </row>
    <row r="813" spans="1:1">
      <c r="A813" s="56"/>
    </row>
    <row r="814" spans="1:1">
      <c r="A814" s="56"/>
    </row>
    <row r="815" spans="1:1">
      <c r="A815" s="56"/>
    </row>
    <row r="816" spans="1:1">
      <c r="A816" s="56"/>
    </row>
    <row r="817" spans="1:1">
      <c r="A817" s="56"/>
    </row>
    <row r="818" spans="1:1">
      <c r="A818" s="56"/>
    </row>
    <row r="819" spans="1:1">
      <c r="A819" s="56"/>
    </row>
    <row r="820" spans="1:1">
      <c r="A820" s="56"/>
    </row>
    <row r="821" spans="1:1">
      <c r="A821" s="56"/>
    </row>
    <row r="822" spans="1:1">
      <c r="A822" s="56"/>
    </row>
    <row r="823" spans="1:1">
      <c r="A823" s="56"/>
    </row>
    <row r="824" spans="1:1">
      <c r="A824" s="56"/>
    </row>
    <row r="825" spans="1:1">
      <c r="A825" s="56"/>
    </row>
    <row r="826" spans="1:1">
      <c r="A826" s="56"/>
    </row>
    <row r="827" spans="1:1">
      <c r="A827" s="56"/>
    </row>
    <row r="828" spans="1:1">
      <c r="A828" s="56"/>
    </row>
    <row r="829" spans="1:1">
      <c r="A829" s="56"/>
    </row>
    <row r="830" spans="1:1">
      <c r="A830" s="56"/>
    </row>
    <row r="831" spans="1:1">
      <c r="A831" s="56"/>
    </row>
    <row r="832" spans="1:1">
      <c r="A832" s="56"/>
    </row>
    <row r="833" spans="1:1">
      <c r="A833" s="56"/>
    </row>
    <row r="834" spans="1:1">
      <c r="A834" s="56"/>
    </row>
    <row r="835" spans="1:1">
      <c r="A835" s="56"/>
    </row>
    <row r="836" spans="1:1">
      <c r="A836" s="56"/>
    </row>
    <row r="837" spans="1:1">
      <c r="A837" s="56"/>
    </row>
    <row r="838" spans="1:1">
      <c r="A838" s="56"/>
    </row>
    <row r="839" spans="1:1">
      <c r="A839" s="56"/>
    </row>
    <row r="840" spans="1:1">
      <c r="A840" s="56"/>
    </row>
    <row r="841" spans="1:1">
      <c r="A841" s="56"/>
    </row>
    <row r="842" spans="1:1">
      <c r="A842" s="56"/>
    </row>
    <row r="843" spans="1:1">
      <c r="A843" s="56"/>
    </row>
    <row r="844" spans="1:1">
      <c r="A844" s="56"/>
    </row>
    <row r="845" spans="1:1">
      <c r="A845" s="56"/>
    </row>
    <row r="846" spans="1:1">
      <c r="A846" s="56"/>
    </row>
    <row r="847" spans="1:1">
      <c r="A847" s="56"/>
    </row>
    <row r="848" spans="1:1">
      <c r="A848" s="56"/>
    </row>
    <row r="849" spans="1:1">
      <c r="A849" s="56"/>
    </row>
    <row r="850" spans="1:1">
      <c r="A850" s="56"/>
    </row>
    <row r="851" spans="1:1">
      <c r="A851" s="56"/>
    </row>
    <row r="852" spans="1:1">
      <c r="A852" s="56"/>
    </row>
    <row r="853" spans="1:1">
      <c r="A853" s="56"/>
    </row>
    <row r="854" spans="1:1">
      <c r="A854" s="56"/>
    </row>
    <row r="855" spans="1:1">
      <c r="A855" s="56"/>
    </row>
    <row r="856" spans="1:1">
      <c r="A856" s="56"/>
    </row>
    <row r="857" spans="1:1">
      <c r="A857" s="56"/>
    </row>
    <row r="858" spans="1:1">
      <c r="A858" s="56"/>
    </row>
    <row r="859" spans="1:1">
      <c r="A859" s="56"/>
    </row>
    <row r="860" spans="1:1">
      <c r="A860" s="56"/>
    </row>
    <row r="861" spans="1:1">
      <c r="A861" s="56"/>
    </row>
    <row r="862" spans="1:1">
      <c r="A862" s="56"/>
    </row>
    <row r="863" spans="1:1">
      <c r="A863" s="56"/>
    </row>
    <row r="864" spans="1:1">
      <c r="A864" s="56"/>
    </row>
    <row r="865" spans="1:1">
      <c r="A865" s="56"/>
    </row>
    <row r="866" spans="1:1">
      <c r="A866" s="56"/>
    </row>
    <row r="867" spans="1:1">
      <c r="A867" s="56"/>
    </row>
    <row r="868" spans="1:1">
      <c r="A868" s="56"/>
    </row>
    <row r="869" spans="1:1">
      <c r="A869" s="56"/>
    </row>
    <row r="870" spans="1:1">
      <c r="A870" s="56"/>
    </row>
    <row r="871" spans="1:1">
      <c r="A871" s="56"/>
    </row>
    <row r="872" spans="1:1">
      <c r="A872" s="56"/>
    </row>
    <row r="873" spans="1:1">
      <c r="A873" s="56"/>
    </row>
    <row r="874" spans="1:1">
      <c r="A874" s="56"/>
    </row>
    <row r="875" spans="1:1">
      <c r="A875" s="56"/>
    </row>
    <row r="876" spans="1:1">
      <c r="A876" s="56"/>
    </row>
    <row r="877" spans="1:1">
      <c r="A877" s="56"/>
    </row>
    <row r="878" spans="1:1">
      <c r="A878" s="56"/>
    </row>
    <row r="879" spans="1:1">
      <c r="A879" s="56"/>
    </row>
    <row r="880" spans="1:1">
      <c r="A880" s="56"/>
    </row>
    <row r="881" spans="1:1">
      <c r="A881" s="56"/>
    </row>
    <row r="882" spans="1:1">
      <c r="A882" s="56"/>
    </row>
    <row r="883" spans="1:1">
      <c r="A883" s="56"/>
    </row>
    <row r="884" spans="1:1">
      <c r="A884" s="56"/>
    </row>
    <row r="885" spans="1:1">
      <c r="A885" s="56"/>
    </row>
    <row r="886" spans="1:1">
      <c r="A886" s="56"/>
    </row>
    <row r="887" spans="1:1">
      <c r="A887" s="56"/>
    </row>
    <row r="888" spans="1:1">
      <c r="A888" s="56"/>
    </row>
    <row r="889" spans="1:1">
      <c r="A889" s="56"/>
    </row>
    <row r="890" spans="1:1">
      <c r="A890" s="56"/>
    </row>
    <row r="891" spans="1:1">
      <c r="A891" s="56"/>
    </row>
    <row r="892" spans="1:1">
      <c r="A892" s="56"/>
    </row>
    <row r="893" spans="1:1">
      <c r="A893" s="56"/>
    </row>
    <row r="894" spans="1:1">
      <c r="A894" s="56"/>
    </row>
    <row r="895" spans="1:1">
      <c r="A895" s="56"/>
    </row>
    <row r="896" spans="1:1">
      <c r="A896" s="56"/>
    </row>
    <row r="897" spans="1:1">
      <c r="A897" s="56"/>
    </row>
    <row r="898" spans="1:1">
      <c r="A898" s="56"/>
    </row>
    <row r="899" spans="1:1">
      <c r="A899" s="56"/>
    </row>
    <row r="900" spans="1:1">
      <c r="A900" s="56"/>
    </row>
    <row r="901" spans="1:1">
      <c r="A901" s="56"/>
    </row>
    <row r="902" spans="1:1">
      <c r="A902" s="56"/>
    </row>
    <row r="903" spans="1:1">
      <c r="A903" s="56"/>
    </row>
    <row r="904" spans="1:1">
      <c r="A904" s="56"/>
    </row>
    <row r="905" spans="1:1">
      <c r="A905" s="56"/>
    </row>
    <row r="906" spans="1:1">
      <c r="A906" s="56"/>
    </row>
    <row r="907" spans="1:1">
      <c r="A907" s="56"/>
    </row>
    <row r="908" spans="1:1">
      <c r="A908" s="56"/>
    </row>
    <row r="909" spans="1:1">
      <c r="A909" s="56"/>
    </row>
    <row r="910" spans="1:1">
      <c r="A910" s="56"/>
    </row>
    <row r="911" spans="1:1">
      <c r="A911" s="56"/>
    </row>
    <row r="912" spans="1:1">
      <c r="A912" s="56"/>
    </row>
    <row r="913" spans="1:1">
      <c r="A913" s="56"/>
    </row>
    <row r="914" spans="1:1">
      <c r="A914" s="56"/>
    </row>
    <row r="915" spans="1:1">
      <c r="A915" s="56"/>
    </row>
    <row r="916" spans="1:1">
      <c r="A916" s="56"/>
    </row>
    <row r="917" spans="1:1">
      <c r="A917" s="56"/>
    </row>
    <row r="918" spans="1:1">
      <c r="A918" s="56"/>
    </row>
    <row r="919" spans="1:1">
      <c r="A919" s="56"/>
    </row>
    <row r="920" spans="1:1">
      <c r="A920" s="56"/>
    </row>
    <row r="921" spans="1:1">
      <c r="A921" s="56"/>
    </row>
    <row r="922" spans="1:1">
      <c r="A922" s="56"/>
    </row>
    <row r="923" spans="1:1">
      <c r="A923" s="56"/>
    </row>
    <row r="924" spans="1:1">
      <c r="A924" s="56"/>
    </row>
    <row r="925" spans="1:1">
      <c r="A925" s="56"/>
    </row>
    <row r="926" spans="1:1">
      <c r="A926" s="56"/>
    </row>
    <row r="927" spans="1:1">
      <c r="A927" s="56"/>
    </row>
    <row r="928" spans="1:1">
      <c r="A928" s="56"/>
    </row>
    <row r="929" spans="1:1">
      <c r="A929" s="56"/>
    </row>
    <row r="930" spans="1:1">
      <c r="A930" s="56"/>
    </row>
    <row r="931" spans="1:1">
      <c r="A931" s="56"/>
    </row>
    <row r="932" spans="1:1">
      <c r="A932" s="56"/>
    </row>
    <row r="933" spans="1:1">
      <c r="A933" s="56"/>
    </row>
    <row r="934" spans="1:1">
      <c r="A934" s="56"/>
    </row>
    <row r="935" spans="1:1">
      <c r="A935" s="56"/>
    </row>
    <row r="936" spans="1:1">
      <c r="A936" s="56"/>
    </row>
    <row r="937" spans="1:1">
      <c r="A937" s="56"/>
    </row>
    <row r="938" spans="1:1">
      <c r="A938" s="56"/>
    </row>
    <row r="939" spans="1:1">
      <c r="A939" s="56"/>
    </row>
    <row r="940" spans="1:1">
      <c r="A940" s="56"/>
    </row>
    <row r="941" spans="1:1">
      <c r="A941" s="56"/>
    </row>
    <row r="942" spans="1:1">
      <c r="A942" s="56"/>
    </row>
    <row r="943" spans="1:1">
      <c r="A943" s="56"/>
    </row>
    <row r="944" spans="1:1">
      <c r="A944" s="56"/>
    </row>
    <row r="945" spans="1:1">
      <c r="A945" s="56"/>
    </row>
    <row r="946" spans="1:1">
      <c r="A946" s="56"/>
    </row>
    <row r="947" spans="1:1">
      <c r="A947" s="56"/>
    </row>
    <row r="948" spans="1:1">
      <c r="A948" s="56"/>
    </row>
    <row r="949" spans="1:1">
      <c r="A949" s="56"/>
    </row>
    <row r="950" spans="1:1">
      <c r="A950" s="56"/>
    </row>
    <row r="951" spans="1:1">
      <c r="A951" s="56"/>
    </row>
    <row r="952" spans="1:1">
      <c r="A952" s="56"/>
    </row>
    <row r="953" spans="1:1">
      <c r="A953" s="56"/>
    </row>
    <row r="954" spans="1:1">
      <c r="A954" s="56"/>
    </row>
    <row r="955" spans="1:1">
      <c r="A955" s="56"/>
    </row>
    <row r="956" spans="1:1">
      <c r="A956" s="56"/>
    </row>
    <row r="957" spans="1:1">
      <c r="A957" s="56"/>
    </row>
    <row r="958" spans="1:1">
      <c r="A958" s="56"/>
    </row>
    <row r="959" spans="1:1">
      <c r="A959" s="56"/>
    </row>
    <row r="960" spans="1:1">
      <c r="A960" s="56"/>
    </row>
    <row r="961" spans="1:1">
      <c r="A961" s="56"/>
    </row>
    <row r="962" spans="1:1">
      <c r="A962" s="56"/>
    </row>
    <row r="963" spans="1:1">
      <c r="A963" s="56"/>
    </row>
    <row r="964" spans="1:1">
      <c r="A964" s="56"/>
    </row>
    <row r="965" spans="1:1">
      <c r="A965" s="56"/>
    </row>
    <row r="966" spans="1:1">
      <c r="A966" s="56"/>
    </row>
    <row r="967" spans="1:1">
      <c r="A967" s="56"/>
    </row>
    <row r="968" spans="1:1">
      <c r="A968" s="56"/>
    </row>
    <row r="969" spans="1:1">
      <c r="A969" s="56"/>
    </row>
    <row r="970" spans="1:1">
      <c r="A970" s="56"/>
    </row>
    <row r="971" spans="1:1">
      <c r="A971" s="56"/>
    </row>
    <row r="972" spans="1:1">
      <c r="A972" s="56"/>
    </row>
    <row r="973" spans="1:1">
      <c r="A973" s="56"/>
    </row>
    <row r="974" spans="1:1">
      <c r="A974" s="56"/>
    </row>
    <row r="975" spans="1:1">
      <c r="A975" s="56"/>
    </row>
    <row r="976" spans="1:1">
      <c r="A976" s="56"/>
    </row>
    <row r="977" spans="1:1">
      <c r="A977" s="56"/>
    </row>
    <row r="978" spans="1:1">
      <c r="A978" s="56"/>
    </row>
    <row r="979" spans="1:1">
      <c r="A979" s="56"/>
    </row>
    <row r="980" spans="1:1">
      <c r="A980" s="56"/>
    </row>
    <row r="981" spans="1:1">
      <c r="A981" s="56"/>
    </row>
    <row r="982" spans="1:1">
      <c r="A982" s="56"/>
    </row>
    <row r="983" spans="1:1">
      <c r="A983" s="56"/>
    </row>
    <row r="984" spans="1:1">
      <c r="A984" s="56"/>
    </row>
    <row r="985" spans="1:1">
      <c r="A985" s="56"/>
    </row>
    <row r="986" spans="1:1">
      <c r="A986" s="56"/>
    </row>
    <row r="987" spans="1:1">
      <c r="A987" s="56"/>
    </row>
    <row r="988" spans="1:1">
      <c r="A988" s="56"/>
    </row>
    <row r="989" spans="1:1">
      <c r="A989" s="56"/>
    </row>
    <row r="990" spans="1:1">
      <c r="A990" s="56"/>
    </row>
    <row r="991" spans="1:1">
      <c r="A991" s="56"/>
    </row>
    <row r="992" spans="1:1">
      <c r="A992" s="56"/>
    </row>
    <row r="993" spans="1:1">
      <c r="A993" s="56"/>
    </row>
    <row r="994" spans="1:1">
      <c r="A994" s="56"/>
    </row>
    <row r="995" spans="1:1">
      <c r="A995" s="56"/>
    </row>
    <row r="996" spans="1:1">
      <c r="A996" s="56"/>
    </row>
    <row r="997" spans="1:1">
      <c r="A997" s="56"/>
    </row>
    <row r="998" spans="1:1">
      <c r="A998" s="56"/>
    </row>
    <row r="999" spans="1:1">
      <c r="A999" s="56"/>
    </row>
    <row r="1000" spans="1:1">
      <c r="A1000" s="56"/>
    </row>
    <row r="1001" spans="1:1">
      <c r="A1001" s="56"/>
    </row>
    <row r="1002" spans="1:1">
      <c r="A1002" s="56"/>
    </row>
    <row r="1003" spans="1:1">
      <c r="A1003" s="56"/>
    </row>
    <row r="1004" spans="1:1">
      <c r="A1004" s="56"/>
    </row>
    <row r="1005" spans="1:1">
      <c r="A1005" s="56"/>
    </row>
    <row r="1006" spans="1:1">
      <c r="A1006" s="56"/>
    </row>
    <row r="1007" spans="1:1">
      <c r="A1007" s="56"/>
    </row>
    <row r="1008" spans="1:1">
      <c r="A1008" s="56"/>
    </row>
    <row r="1009" spans="1:1">
      <c r="A1009" s="56"/>
    </row>
    <row r="1010" spans="1:1">
      <c r="A1010" s="56"/>
    </row>
    <row r="1011" spans="1:1">
      <c r="A1011" s="56"/>
    </row>
    <row r="1012" spans="1:1">
      <c r="A1012" s="56"/>
    </row>
    <row r="1013" spans="1:1">
      <c r="A1013" s="56"/>
    </row>
    <row r="1014" spans="1:1">
      <c r="A1014" s="56"/>
    </row>
    <row r="1015" spans="1:1">
      <c r="A1015" s="56"/>
    </row>
    <row r="1016" spans="1:1">
      <c r="A1016" s="56"/>
    </row>
    <row r="1017" spans="1:1">
      <c r="A1017" s="56"/>
    </row>
    <row r="1018" spans="1:1">
      <c r="A1018" s="56"/>
    </row>
    <row r="1019" spans="1:1">
      <c r="A1019" s="56"/>
    </row>
    <row r="1020" spans="1:1">
      <c r="A1020" s="56"/>
    </row>
    <row r="1021" spans="1:1">
      <c r="A1021" s="56"/>
    </row>
    <row r="1022" spans="1:1">
      <c r="A1022" s="56"/>
    </row>
    <row r="1023" spans="1:1">
      <c r="A1023" s="56"/>
    </row>
    <row r="1024" spans="1:1">
      <c r="A1024" s="56"/>
    </row>
    <row r="1025" spans="1:1">
      <c r="A1025" s="56"/>
    </row>
    <row r="1026" spans="1:1">
      <c r="A1026" s="56"/>
    </row>
    <row r="1027" spans="1:1">
      <c r="A1027" s="56"/>
    </row>
    <row r="1028" spans="1:1">
      <c r="A1028" s="56"/>
    </row>
    <row r="1029" spans="1:1">
      <c r="A1029" s="56"/>
    </row>
    <row r="1030" spans="1:1">
      <c r="A1030" s="56"/>
    </row>
    <row r="1031" spans="1:1">
      <c r="A1031" s="56"/>
    </row>
    <row r="1032" spans="1:1">
      <c r="A1032" s="56"/>
    </row>
    <row r="1033" spans="1:1">
      <c r="A1033" s="56"/>
    </row>
    <row r="1034" spans="1:1">
      <c r="A1034" s="56"/>
    </row>
    <row r="1035" spans="1:1">
      <c r="A1035" s="56"/>
    </row>
    <row r="1036" spans="1:1">
      <c r="A1036" s="56"/>
    </row>
    <row r="1037" spans="1:1">
      <c r="A1037" s="56"/>
    </row>
    <row r="1038" spans="1:1">
      <c r="A1038" s="56"/>
    </row>
    <row r="1039" spans="1:1">
      <c r="A1039" s="56"/>
    </row>
    <row r="1040" spans="1:1">
      <c r="A1040" s="56"/>
    </row>
    <row r="1041" spans="1:1">
      <c r="A1041" s="56"/>
    </row>
    <row r="1042" spans="1:1">
      <c r="A1042" s="56"/>
    </row>
    <row r="1043" spans="1:1">
      <c r="A1043" s="56"/>
    </row>
    <row r="1044" spans="1:1">
      <c r="A1044" s="56"/>
    </row>
    <row r="1045" spans="1:1">
      <c r="A1045" s="56"/>
    </row>
    <row r="1046" spans="1:1">
      <c r="A1046" s="56"/>
    </row>
    <row r="1047" spans="1:1">
      <c r="A1047" s="56"/>
    </row>
    <row r="1048" spans="1:1">
      <c r="A1048" s="56"/>
    </row>
    <row r="1049" spans="1:1">
      <c r="A1049" s="56"/>
    </row>
    <row r="1050" spans="1:1">
      <c r="A1050" s="56"/>
    </row>
    <row r="1051" spans="1:1">
      <c r="A1051" s="56"/>
    </row>
    <row r="1052" spans="1:1">
      <c r="A1052" s="56"/>
    </row>
    <row r="1053" spans="1:1">
      <c r="A1053" s="56"/>
    </row>
    <row r="1054" spans="1:1">
      <c r="A1054" s="56"/>
    </row>
    <row r="1055" spans="1:1">
      <c r="A1055" s="56"/>
    </row>
    <row r="1056" spans="1:1">
      <c r="A1056" s="56"/>
    </row>
    <row r="1057" spans="1:1">
      <c r="A1057" s="56"/>
    </row>
    <row r="1058" spans="1:1">
      <c r="A1058" s="56"/>
    </row>
    <row r="1059" spans="1:1">
      <c r="A1059" s="56"/>
    </row>
    <row r="1060" spans="1:1">
      <c r="A1060" s="56"/>
    </row>
    <row r="1061" spans="1:1">
      <c r="A1061" s="56"/>
    </row>
    <row r="1062" spans="1:1">
      <c r="A1062" s="56"/>
    </row>
    <row r="1063" spans="1:1">
      <c r="A1063" s="56"/>
    </row>
    <row r="1064" spans="1:1">
      <c r="A1064" s="56"/>
    </row>
    <row r="1065" spans="1:1">
      <c r="A1065" s="56"/>
    </row>
    <row r="1066" spans="1:1">
      <c r="A1066" s="56"/>
    </row>
    <row r="1067" spans="1:1">
      <c r="A1067" s="56"/>
    </row>
    <row r="1068" spans="1:1">
      <c r="A1068" s="56"/>
    </row>
    <row r="1069" spans="1:1">
      <c r="A1069" s="56"/>
    </row>
    <row r="1070" spans="1:1">
      <c r="A1070" s="56"/>
    </row>
    <row r="1071" spans="1:1">
      <c r="A1071" s="56"/>
    </row>
    <row r="1072" spans="1:1">
      <c r="A1072" s="56"/>
    </row>
    <row r="1073" spans="1:1">
      <c r="A1073" s="56"/>
    </row>
    <row r="1074" spans="1:1">
      <c r="A1074" s="56"/>
    </row>
    <row r="1075" spans="1:1">
      <c r="A1075" s="56"/>
    </row>
    <row r="1076" spans="1:1">
      <c r="A1076" s="56"/>
    </row>
    <row r="1077" spans="1:1">
      <c r="A1077" s="56"/>
    </row>
    <row r="1078" spans="1:1">
      <c r="A1078" s="56"/>
    </row>
    <row r="1079" spans="1:1">
      <c r="A1079" s="56"/>
    </row>
    <row r="1080" spans="1:1">
      <c r="A1080" s="56"/>
    </row>
    <row r="1081" spans="1:1">
      <c r="A1081" s="56"/>
    </row>
    <row r="1082" spans="1:1">
      <c r="A1082" s="56"/>
    </row>
    <row r="1083" spans="1:1">
      <c r="A1083" s="56"/>
    </row>
    <row r="1084" spans="1:1">
      <c r="A1084" s="56"/>
    </row>
    <row r="1085" spans="1:1">
      <c r="A1085" s="56"/>
    </row>
    <row r="1086" spans="1:1">
      <c r="A1086" s="56"/>
    </row>
    <row r="1087" spans="1:1">
      <c r="A1087" s="56"/>
    </row>
    <row r="1088" spans="1:1">
      <c r="A1088" s="56"/>
    </row>
    <row r="1089" spans="1:1">
      <c r="A1089" s="56"/>
    </row>
    <row r="1090" spans="1:1">
      <c r="A1090" s="56"/>
    </row>
    <row r="1091" spans="1:1">
      <c r="A1091" s="56"/>
    </row>
    <row r="1092" spans="1:1">
      <c r="A1092" s="56"/>
    </row>
    <row r="1093" spans="1:1">
      <c r="A1093" s="56"/>
    </row>
    <row r="1094" spans="1:1">
      <c r="A1094" s="56"/>
    </row>
    <row r="1095" spans="1:1">
      <c r="A1095" s="56"/>
    </row>
    <row r="1096" spans="1:1">
      <c r="A1096" s="56"/>
    </row>
    <row r="1097" spans="1:1">
      <c r="A1097" s="56"/>
    </row>
    <row r="1098" spans="1:1">
      <c r="A1098" s="56"/>
    </row>
    <row r="1099" spans="1:1">
      <c r="A1099" s="56"/>
    </row>
    <row r="1100" spans="1:1">
      <c r="A1100" s="56"/>
    </row>
    <row r="1101" spans="1:1">
      <c r="A1101" s="56"/>
    </row>
    <row r="1102" spans="1:1">
      <c r="A1102" s="56"/>
    </row>
    <row r="1103" spans="1:1">
      <c r="A1103" s="56"/>
    </row>
    <row r="1104" spans="1:1">
      <c r="A1104" s="56"/>
    </row>
    <row r="1105" spans="1:1">
      <c r="A1105" s="56"/>
    </row>
    <row r="1106" spans="1:1">
      <c r="A1106" s="56"/>
    </row>
    <row r="1107" spans="1:1">
      <c r="A1107" s="56"/>
    </row>
    <row r="1108" spans="1:1">
      <c r="A1108" s="56"/>
    </row>
    <row r="1109" spans="1:1">
      <c r="A1109" s="56"/>
    </row>
    <row r="1110" spans="1:1">
      <c r="A1110" s="56"/>
    </row>
    <row r="1111" spans="1:1">
      <c r="A1111" s="56"/>
    </row>
    <row r="1112" spans="1:1">
      <c r="A1112" s="56"/>
    </row>
    <row r="1113" spans="1:1">
      <c r="A1113" s="56"/>
    </row>
    <row r="1114" spans="1:1">
      <c r="A1114" s="56"/>
    </row>
    <row r="1115" spans="1:1">
      <c r="A1115" s="56"/>
    </row>
    <row r="1116" spans="1:1">
      <c r="A1116" s="56"/>
    </row>
    <row r="1117" spans="1:1">
      <c r="A1117" s="56"/>
    </row>
    <row r="1118" spans="1:1">
      <c r="A1118" s="56"/>
    </row>
    <row r="1119" spans="1:1">
      <c r="A1119" s="56"/>
    </row>
    <row r="1120" spans="1:1">
      <c r="A1120" s="56"/>
    </row>
    <row r="1121" spans="1:1">
      <c r="A1121" s="56"/>
    </row>
    <row r="1122" spans="1:1">
      <c r="A1122" s="56"/>
    </row>
    <row r="1123" spans="1:1">
      <c r="A1123" s="56"/>
    </row>
    <row r="1124" spans="1:1">
      <c r="A1124" s="56"/>
    </row>
    <row r="1125" spans="1:1">
      <c r="A1125" s="56"/>
    </row>
    <row r="1126" spans="1:1">
      <c r="A1126" s="56"/>
    </row>
    <row r="1127" spans="1:1">
      <c r="A1127" s="56"/>
    </row>
    <row r="1128" spans="1:1">
      <c r="A1128" s="56"/>
    </row>
    <row r="1129" spans="1:1">
      <c r="A1129" s="56"/>
    </row>
    <row r="1130" spans="1:1">
      <c r="A1130" s="56"/>
    </row>
    <row r="1131" spans="1:1">
      <c r="A1131" s="56"/>
    </row>
    <row r="1132" spans="1:1">
      <c r="A1132" s="56"/>
    </row>
    <row r="1133" spans="1:1">
      <c r="A1133" s="56"/>
    </row>
    <row r="1134" spans="1:1">
      <c r="A1134" s="56"/>
    </row>
    <row r="1135" spans="1:1">
      <c r="A1135" s="56"/>
    </row>
    <row r="1136" spans="1:1">
      <c r="A1136" s="56"/>
    </row>
    <row r="1137" spans="1:1">
      <c r="A1137" s="56"/>
    </row>
    <row r="1138" spans="1:1">
      <c r="A1138" s="56"/>
    </row>
    <row r="1139" spans="1:1">
      <c r="A1139" s="56"/>
    </row>
    <row r="1140" spans="1:1">
      <c r="A1140" s="56"/>
    </row>
    <row r="1141" spans="1:1">
      <c r="A1141" s="56"/>
    </row>
    <row r="1142" spans="1:1">
      <c r="A1142" s="56"/>
    </row>
    <row r="1143" spans="1:1">
      <c r="A1143" s="56"/>
    </row>
    <row r="1144" spans="1:1">
      <c r="A1144" s="56"/>
    </row>
    <row r="1145" spans="1:1">
      <c r="A1145" s="56"/>
    </row>
    <row r="1146" spans="1:1">
      <c r="A1146" s="56"/>
    </row>
    <row r="1147" spans="1:1">
      <c r="A1147" s="56"/>
    </row>
    <row r="1148" spans="1:1">
      <c r="A1148" s="56"/>
    </row>
    <row r="1149" spans="1:1">
      <c r="A1149" s="56"/>
    </row>
    <row r="1150" spans="1:1">
      <c r="A1150" s="56"/>
    </row>
    <row r="1151" spans="1:1">
      <c r="A1151" s="56"/>
    </row>
    <row r="1152" spans="1:1">
      <c r="A1152" s="56"/>
    </row>
    <row r="1153" spans="1:1">
      <c r="A1153" s="56"/>
    </row>
    <row r="1154" spans="1:1">
      <c r="A1154" s="56"/>
    </row>
    <row r="1155" spans="1:1">
      <c r="A1155" s="56"/>
    </row>
    <row r="1156" spans="1:1">
      <c r="A1156" s="56"/>
    </row>
    <row r="1157" spans="1:1">
      <c r="A1157" s="56"/>
    </row>
    <row r="1158" spans="1:1">
      <c r="A1158" s="56"/>
    </row>
    <row r="1159" spans="1:1">
      <c r="A1159" s="56"/>
    </row>
    <row r="1160" spans="1:1">
      <c r="A1160" s="56"/>
    </row>
    <row r="1161" spans="1:1">
      <c r="A1161" s="56"/>
    </row>
    <row r="1162" spans="1:1">
      <c r="A1162" s="56"/>
    </row>
    <row r="1163" spans="1:1">
      <c r="A1163" s="56"/>
    </row>
    <row r="1164" spans="1:1">
      <c r="A1164" s="56"/>
    </row>
    <row r="1165" spans="1:1">
      <c r="A1165" s="56"/>
    </row>
    <row r="1166" spans="1:1">
      <c r="A1166" s="56"/>
    </row>
    <row r="1167" spans="1:1">
      <c r="A1167" s="56"/>
    </row>
    <row r="1168" spans="1:1">
      <c r="A1168" s="56"/>
    </row>
    <row r="1169" spans="1:1">
      <c r="A1169" s="56"/>
    </row>
    <row r="1170" spans="1:1">
      <c r="A1170" s="56"/>
    </row>
    <row r="1171" spans="1:1">
      <c r="A1171" s="56"/>
    </row>
    <row r="1172" spans="1:1">
      <c r="A1172" s="56"/>
    </row>
    <row r="1173" spans="1:1">
      <c r="A1173" s="56"/>
    </row>
    <row r="1174" spans="1:1">
      <c r="A1174" s="56"/>
    </row>
    <row r="1175" spans="1:1">
      <c r="A1175" s="56"/>
    </row>
    <row r="1176" spans="1:1">
      <c r="A1176" s="56"/>
    </row>
    <row r="1177" spans="1:1">
      <c r="A1177" s="56"/>
    </row>
    <row r="1178" spans="1:1">
      <c r="A1178" s="56"/>
    </row>
    <row r="1179" spans="1:1">
      <c r="A1179" s="56"/>
    </row>
    <row r="1180" spans="1:1">
      <c r="A1180" s="56"/>
    </row>
    <row r="1181" spans="1:1">
      <c r="A1181" s="56"/>
    </row>
    <row r="1182" spans="1:1">
      <c r="A1182" s="56"/>
    </row>
    <row r="1183" spans="1:1">
      <c r="A1183" s="56"/>
    </row>
    <row r="1184" spans="1:1">
      <c r="A1184" s="56"/>
    </row>
    <row r="1185" spans="1:1">
      <c r="A1185" s="56"/>
    </row>
    <row r="1186" spans="1:1">
      <c r="A1186" s="56"/>
    </row>
    <row r="1187" spans="1:1">
      <c r="A1187" s="56"/>
    </row>
    <row r="1188" spans="1:1">
      <c r="A1188" s="56"/>
    </row>
    <row r="1189" spans="1:1">
      <c r="A1189" s="56"/>
    </row>
    <row r="1190" spans="1:1">
      <c r="A1190" s="56"/>
    </row>
    <row r="1191" spans="1:1">
      <c r="A1191" s="56"/>
    </row>
    <row r="1192" spans="1:1">
      <c r="A1192" s="56"/>
    </row>
    <row r="1193" spans="1:1">
      <c r="A1193" s="56"/>
    </row>
    <row r="1194" spans="1:1">
      <c r="A1194" s="56"/>
    </row>
    <row r="1195" spans="1:1">
      <c r="A1195" s="56"/>
    </row>
    <row r="1196" spans="1:1">
      <c r="A1196" s="56"/>
    </row>
    <row r="1197" spans="1:1">
      <c r="A1197" s="56"/>
    </row>
    <row r="1198" spans="1:1">
      <c r="A1198" s="56"/>
    </row>
    <row r="1199" spans="1:1">
      <c r="A1199" s="56"/>
    </row>
    <row r="1200" spans="1:1">
      <c r="A1200" s="56"/>
    </row>
    <row r="1201" spans="1:1">
      <c r="A1201" s="56"/>
    </row>
    <row r="1202" spans="1:1">
      <c r="A1202" s="56"/>
    </row>
    <row r="1203" spans="1:1">
      <c r="A1203" s="56"/>
    </row>
    <row r="1204" spans="1:1">
      <c r="A1204" s="56"/>
    </row>
    <row r="1205" spans="1:1">
      <c r="A1205" s="56"/>
    </row>
    <row r="1206" spans="1:1">
      <c r="A1206" s="56"/>
    </row>
    <row r="1207" spans="1:1">
      <c r="A1207" s="56"/>
    </row>
    <row r="1208" spans="1:1">
      <c r="A1208" s="56"/>
    </row>
    <row r="1209" spans="1:1">
      <c r="A1209" s="56"/>
    </row>
    <row r="1210" spans="1:1">
      <c r="A1210" s="56"/>
    </row>
    <row r="1211" spans="1:1">
      <c r="A1211" s="56"/>
    </row>
    <row r="1212" spans="1:1">
      <c r="A1212" s="56"/>
    </row>
    <row r="1213" spans="1:1">
      <c r="A1213" s="56"/>
    </row>
    <row r="1214" spans="1:1">
      <c r="A1214" s="56"/>
    </row>
    <row r="1215" spans="1:1">
      <c r="A1215" s="56"/>
    </row>
    <row r="1216" spans="1:1">
      <c r="A1216" s="56"/>
    </row>
    <row r="1217" spans="1:1">
      <c r="A1217" s="56"/>
    </row>
    <row r="1218" spans="1:1">
      <c r="A1218" s="56"/>
    </row>
    <row r="1219" spans="1:1">
      <c r="A1219" s="56"/>
    </row>
    <row r="1220" spans="1:1">
      <c r="A1220" s="56"/>
    </row>
    <row r="1221" spans="1:1">
      <c r="A1221" s="56"/>
    </row>
    <row r="1222" spans="1:1">
      <c r="A1222" s="56"/>
    </row>
    <row r="1223" spans="1:1">
      <c r="A1223" s="56"/>
    </row>
    <row r="1224" spans="1:1">
      <c r="A1224" s="56"/>
    </row>
    <row r="1225" spans="1:1">
      <c r="A1225" s="56"/>
    </row>
    <row r="1226" spans="1:1">
      <c r="A1226" s="56"/>
    </row>
    <row r="1227" spans="1:1">
      <c r="A1227" s="56"/>
    </row>
    <row r="1228" spans="1:1">
      <c r="A1228" s="56"/>
    </row>
    <row r="1229" spans="1:1">
      <c r="A1229" s="56"/>
    </row>
    <row r="1230" spans="1:1">
      <c r="A1230" s="56"/>
    </row>
    <row r="1231" spans="1:1">
      <c r="A1231" s="56"/>
    </row>
    <row r="1232" spans="1:1">
      <c r="A1232" s="56"/>
    </row>
    <row r="1233" spans="1:1">
      <c r="A1233" s="56"/>
    </row>
    <row r="1234" spans="1:1">
      <c r="A1234" s="56"/>
    </row>
    <row r="1235" spans="1:1">
      <c r="A1235" s="56"/>
    </row>
    <row r="1236" spans="1:1">
      <c r="A1236" s="56"/>
    </row>
    <row r="1237" spans="1:1">
      <c r="A1237" s="56"/>
    </row>
    <row r="1238" spans="1:1">
      <c r="A1238" s="56"/>
    </row>
    <row r="1239" spans="1:1">
      <c r="A1239" s="56"/>
    </row>
    <row r="1240" spans="1:1">
      <c r="A1240" s="56"/>
    </row>
    <row r="1241" spans="1:1">
      <c r="A1241" s="56"/>
    </row>
    <row r="1242" spans="1:1">
      <c r="A1242" s="56"/>
    </row>
    <row r="1243" spans="1:1">
      <c r="A1243" s="56"/>
    </row>
    <row r="1244" spans="1:1">
      <c r="A1244" s="56"/>
    </row>
    <row r="1245" spans="1:1">
      <c r="A1245" s="56"/>
    </row>
    <row r="1246" spans="1:1">
      <c r="A1246" s="56"/>
    </row>
    <row r="1247" spans="1:1">
      <c r="A1247" s="56"/>
    </row>
    <row r="1248" spans="1:1">
      <c r="A1248" s="56"/>
    </row>
    <row r="1249" spans="1:1">
      <c r="A1249" s="56"/>
    </row>
    <row r="1250" spans="1:1">
      <c r="A1250" s="56"/>
    </row>
    <row r="1251" spans="1:1">
      <c r="A1251" s="56"/>
    </row>
    <row r="1252" spans="1:1">
      <c r="A1252" s="56"/>
    </row>
    <row r="1253" spans="1:1">
      <c r="A1253" s="56"/>
    </row>
    <row r="1254" spans="1:1">
      <c r="A1254" s="56"/>
    </row>
    <row r="1255" spans="1:1">
      <c r="A1255" s="56"/>
    </row>
    <row r="1256" spans="1:1">
      <c r="A1256" s="56"/>
    </row>
    <row r="1257" spans="1:1">
      <c r="A1257" s="56"/>
    </row>
    <row r="1258" spans="1:1">
      <c r="A1258" s="56"/>
    </row>
    <row r="1259" spans="1:1">
      <c r="A1259" s="56"/>
    </row>
    <row r="1260" spans="1:1">
      <c r="A1260" s="56"/>
    </row>
    <row r="1261" spans="1:1">
      <c r="A1261" s="56"/>
    </row>
    <row r="1262" spans="1:1">
      <c r="A1262" s="56"/>
    </row>
    <row r="1263" spans="1:1">
      <c r="A1263" s="56"/>
    </row>
    <row r="1264" spans="1:1">
      <c r="A1264" s="56"/>
    </row>
    <row r="1265" spans="1:1">
      <c r="A1265" s="56"/>
    </row>
    <row r="1266" spans="1:1">
      <c r="A1266" s="56"/>
    </row>
    <row r="1267" spans="1:1">
      <c r="A1267" s="56"/>
    </row>
    <row r="1268" spans="1:1">
      <c r="A1268" s="56"/>
    </row>
    <row r="1269" spans="1:1">
      <c r="A1269" s="56"/>
    </row>
    <row r="1270" spans="1:1">
      <c r="A1270" s="56"/>
    </row>
    <row r="1271" spans="1:1">
      <c r="A1271" s="56"/>
    </row>
    <row r="1272" spans="1:1">
      <c r="A1272" s="56"/>
    </row>
    <row r="1273" spans="1:1">
      <c r="A1273" s="56"/>
    </row>
    <row r="1274" spans="1:1">
      <c r="A1274" s="56"/>
    </row>
    <row r="1275" spans="1:1">
      <c r="A1275" s="56"/>
    </row>
    <row r="1276" spans="1:1">
      <c r="A1276" s="56"/>
    </row>
    <row r="1277" spans="1:1">
      <c r="A1277" s="56"/>
    </row>
    <row r="1278" spans="1:1">
      <c r="A1278" s="56"/>
    </row>
    <row r="1279" spans="1:1">
      <c r="A1279" s="56"/>
    </row>
    <row r="1280" spans="1:1">
      <c r="A1280" s="56"/>
    </row>
    <row r="1281" spans="1:1">
      <c r="A1281" s="56"/>
    </row>
    <row r="1282" spans="1:1">
      <c r="A1282" s="56"/>
    </row>
    <row r="1283" spans="1:1">
      <c r="A1283" s="56"/>
    </row>
    <row r="1284" spans="1:1">
      <c r="A1284" s="56"/>
    </row>
    <row r="1285" spans="1:1">
      <c r="A1285" s="56"/>
    </row>
    <row r="1286" spans="1:1">
      <c r="A1286" s="56"/>
    </row>
    <row r="1287" spans="1:1">
      <c r="A1287" s="56"/>
    </row>
    <row r="1288" spans="1:1">
      <c r="A1288" s="56"/>
    </row>
    <row r="1289" spans="1:1">
      <c r="A1289" s="56"/>
    </row>
    <row r="1290" spans="1:1">
      <c r="A1290" s="56"/>
    </row>
    <row r="1291" spans="1:1">
      <c r="A1291" s="56"/>
    </row>
    <row r="1292" spans="1:1">
      <c r="A1292" s="56"/>
    </row>
    <row r="1293" spans="1:1">
      <c r="A1293" s="56"/>
    </row>
    <row r="1294" spans="1:1">
      <c r="A1294" s="56"/>
    </row>
    <row r="1295" spans="1:1">
      <c r="A1295" s="56"/>
    </row>
    <row r="1296" spans="1:1">
      <c r="A1296" s="56"/>
    </row>
    <row r="1297" spans="1:1">
      <c r="A1297" s="56"/>
    </row>
    <row r="1298" spans="1:1">
      <c r="A1298" s="56"/>
    </row>
    <row r="1299" spans="1:1">
      <c r="A1299" s="56"/>
    </row>
    <row r="1300" spans="1:1">
      <c r="A1300" s="56"/>
    </row>
    <row r="1301" spans="1:1">
      <c r="A1301" s="56"/>
    </row>
    <row r="1302" spans="1:1">
      <c r="A1302" s="56"/>
    </row>
    <row r="1303" spans="1:1">
      <c r="A1303" s="56"/>
    </row>
    <row r="1304" spans="1:1">
      <c r="A1304" s="56"/>
    </row>
    <row r="1305" spans="1:1">
      <c r="A1305" s="56"/>
    </row>
    <row r="1306" spans="1:1">
      <c r="A1306" s="56"/>
    </row>
    <row r="1307" spans="1:1">
      <c r="A1307" s="56"/>
    </row>
    <row r="1308" spans="1:1">
      <c r="A1308" s="56"/>
    </row>
    <row r="1309" spans="1:1">
      <c r="A1309" s="56"/>
    </row>
    <row r="1310" spans="1:1">
      <c r="A1310" s="56"/>
    </row>
    <row r="1311" spans="1:1">
      <c r="A1311" s="56"/>
    </row>
    <row r="1312" spans="1:1">
      <c r="A1312" s="56"/>
    </row>
    <row r="1313" spans="1:1">
      <c r="A1313" s="56"/>
    </row>
    <row r="1314" spans="1:1">
      <c r="A1314" s="56"/>
    </row>
    <row r="1315" spans="1:1">
      <c r="A1315" s="56"/>
    </row>
    <row r="1316" spans="1:1">
      <c r="A1316" s="56"/>
    </row>
    <row r="1317" spans="1:1">
      <c r="A1317" s="56"/>
    </row>
    <row r="1318" spans="1:1">
      <c r="A1318" s="56"/>
    </row>
    <row r="1319" spans="1:1">
      <c r="A1319" s="56"/>
    </row>
    <row r="1320" spans="1:1">
      <c r="A1320" s="56"/>
    </row>
    <row r="1321" spans="1:1">
      <c r="A1321" s="56"/>
    </row>
    <row r="1322" spans="1:1">
      <c r="A1322" s="56"/>
    </row>
    <row r="1323" spans="1:1">
      <c r="A1323" s="56"/>
    </row>
    <row r="1324" spans="1:1">
      <c r="A1324" s="56"/>
    </row>
    <row r="1325" spans="1:1">
      <c r="A1325" s="56"/>
    </row>
    <row r="1326" spans="1:1">
      <c r="A1326" s="56"/>
    </row>
    <row r="1327" spans="1:1">
      <c r="A1327" s="56"/>
    </row>
    <row r="1328" spans="1:1">
      <c r="A1328" s="56"/>
    </row>
    <row r="1329" spans="1:1">
      <c r="A1329" s="56"/>
    </row>
    <row r="1330" spans="1:1">
      <c r="A1330" s="56"/>
    </row>
    <row r="1331" spans="1:1">
      <c r="A1331" s="56"/>
    </row>
    <row r="1332" spans="1:1">
      <c r="A1332" s="56"/>
    </row>
    <row r="1333" spans="1:1">
      <c r="A1333" s="56"/>
    </row>
    <row r="1334" spans="1:1">
      <c r="A1334" s="56"/>
    </row>
    <row r="1335" spans="1:1">
      <c r="A1335" s="56"/>
    </row>
    <row r="1336" spans="1:1">
      <c r="A1336" s="56"/>
    </row>
    <row r="1337" spans="1:1">
      <c r="A1337" s="56"/>
    </row>
    <row r="1338" spans="1:1">
      <c r="A1338" s="56"/>
    </row>
    <row r="1339" spans="1:1">
      <c r="A1339" s="56"/>
    </row>
    <row r="1340" spans="1:1">
      <c r="A1340" s="56"/>
    </row>
    <row r="1341" spans="1:1">
      <c r="A1341" s="56"/>
    </row>
    <row r="1342" spans="1:1">
      <c r="A1342" s="56"/>
    </row>
    <row r="1343" spans="1:1">
      <c r="A1343" s="56"/>
    </row>
    <row r="1344" spans="1:1">
      <c r="A1344" s="56"/>
    </row>
    <row r="1345" spans="1:1">
      <c r="A1345" s="56"/>
    </row>
    <row r="1346" spans="1:1">
      <c r="A1346" s="56"/>
    </row>
    <row r="1347" spans="1:1">
      <c r="A1347" s="56"/>
    </row>
    <row r="1348" spans="1:1">
      <c r="A1348" s="56"/>
    </row>
    <row r="1349" spans="1:1">
      <c r="A1349" s="56"/>
    </row>
    <row r="1350" spans="1:1">
      <c r="A1350" s="56"/>
    </row>
    <row r="1351" spans="1:1">
      <c r="A1351" s="56"/>
    </row>
    <row r="1352" spans="1:1">
      <c r="A1352" s="56"/>
    </row>
    <row r="1353" spans="1:1">
      <c r="A1353" s="56"/>
    </row>
    <row r="1354" spans="1:1">
      <c r="A1354" s="56"/>
    </row>
    <row r="1355" spans="1:1">
      <c r="A1355" s="56"/>
    </row>
    <row r="1356" spans="1:1">
      <c r="A1356" s="56"/>
    </row>
    <row r="1357" spans="1:1">
      <c r="A1357" s="56"/>
    </row>
    <row r="1358" spans="1:1">
      <c r="A1358" s="56"/>
    </row>
    <row r="1359" spans="1:1">
      <c r="A1359" s="56"/>
    </row>
    <row r="1360" spans="1:1">
      <c r="A1360" s="56"/>
    </row>
    <row r="1361" spans="1:1">
      <c r="A1361" s="56"/>
    </row>
    <row r="1362" spans="1:1">
      <c r="A1362" s="56"/>
    </row>
    <row r="1363" spans="1:1">
      <c r="A1363" s="56"/>
    </row>
    <row r="1364" spans="1:1">
      <c r="A1364" s="56"/>
    </row>
    <row r="1365" spans="1:1">
      <c r="A1365" s="56"/>
    </row>
    <row r="1366" spans="1:1">
      <c r="A1366" s="56"/>
    </row>
    <row r="1367" spans="1:1">
      <c r="A1367" s="56"/>
    </row>
    <row r="1368" spans="1:1">
      <c r="A1368" s="56"/>
    </row>
    <row r="1369" spans="1:1">
      <c r="A1369" s="56"/>
    </row>
    <row r="1370" spans="1:1">
      <c r="A1370" s="56"/>
    </row>
    <row r="1371" spans="1:1">
      <c r="A1371" s="56"/>
    </row>
    <row r="1372" spans="1:1">
      <c r="A1372" s="56"/>
    </row>
    <row r="1373" spans="1:1">
      <c r="A1373" s="56"/>
    </row>
    <row r="1374" spans="1:1">
      <c r="A1374" s="56"/>
    </row>
    <row r="1375" spans="1:1">
      <c r="A1375" s="56"/>
    </row>
    <row r="1376" spans="1:1">
      <c r="A1376" s="56"/>
    </row>
    <row r="1377" spans="1:1">
      <c r="A1377" s="56"/>
    </row>
    <row r="1378" spans="1:1">
      <c r="A1378" s="56"/>
    </row>
    <row r="1379" spans="1:1">
      <c r="A1379" s="56"/>
    </row>
    <row r="1380" spans="1:1">
      <c r="A1380" s="56"/>
    </row>
    <row r="1381" spans="1:1">
      <c r="A1381" s="56"/>
    </row>
    <row r="1382" spans="1:1">
      <c r="A1382" s="56"/>
    </row>
    <row r="1383" spans="1:1">
      <c r="A1383" s="56"/>
    </row>
    <row r="1384" spans="1:1">
      <c r="A1384" s="56"/>
    </row>
    <row r="1385" spans="1:1">
      <c r="A1385" s="56"/>
    </row>
    <row r="1386" spans="1:1">
      <c r="A1386" s="56"/>
    </row>
    <row r="1387" spans="1:1">
      <c r="A1387" s="56"/>
    </row>
    <row r="1388" spans="1:1">
      <c r="A1388" s="56"/>
    </row>
    <row r="1389" spans="1:1">
      <c r="A1389" s="56"/>
    </row>
    <row r="1390" spans="1:1">
      <c r="A1390" s="56"/>
    </row>
    <row r="1391" spans="1:1">
      <c r="A1391" s="56"/>
    </row>
    <row r="1392" spans="1:1">
      <c r="A1392" s="56"/>
    </row>
    <row r="1393" spans="1:1">
      <c r="A1393" s="56"/>
    </row>
    <row r="1394" spans="1:1">
      <c r="A1394" s="56"/>
    </row>
    <row r="1395" spans="1:1">
      <c r="A1395" s="56"/>
    </row>
    <row r="1396" spans="1:1">
      <c r="A1396" s="56"/>
    </row>
    <row r="1397" spans="1:1">
      <c r="A1397" s="56"/>
    </row>
    <row r="1398" spans="1:1">
      <c r="A1398" s="56"/>
    </row>
    <row r="1399" spans="1:1">
      <c r="A1399" s="56"/>
    </row>
    <row r="1400" spans="1:1">
      <c r="A1400" s="56"/>
    </row>
    <row r="1401" spans="1:1">
      <c r="A1401" s="56"/>
    </row>
    <row r="1402" spans="1:1">
      <c r="A1402" s="56"/>
    </row>
    <row r="1403" spans="1:1">
      <c r="A1403" s="56"/>
    </row>
    <row r="1404" spans="1:1">
      <c r="A1404" s="56"/>
    </row>
    <row r="1405" spans="1:1">
      <c r="A1405" s="56"/>
    </row>
    <row r="1406" spans="1:1">
      <c r="A1406" s="56"/>
    </row>
    <row r="1407" spans="1:1">
      <c r="A1407" s="56"/>
    </row>
    <row r="1408" spans="1:1">
      <c r="A1408" s="56"/>
    </row>
    <row r="1409" spans="1:1">
      <c r="A1409" s="56"/>
    </row>
    <row r="1410" spans="1:1">
      <c r="A1410" s="56"/>
    </row>
    <row r="1411" spans="1:1">
      <c r="A1411" s="56"/>
    </row>
    <row r="1412" spans="1:1">
      <c r="A1412" s="56"/>
    </row>
    <row r="1413" spans="1:1">
      <c r="A1413" s="56"/>
    </row>
    <row r="1414" spans="1:1">
      <c r="A1414" s="56"/>
    </row>
    <row r="1415" spans="1:1">
      <c r="A1415" s="56"/>
    </row>
    <row r="1416" spans="1:1">
      <c r="A1416" s="56"/>
    </row>
    <row r="1417" spans="1:1">
      <c r="A1417" s="56"/>
    </row>
    <row r="1418" spans="1:1">
      <c r="A1418" s="56"/>
    </row>
    <row r="1419" spans="1:1">
      <c r="A1419" s="56"/>
    </row>
    <row r="1420" spans="1:1">
      <c r="A1420" s="56"/>
    </row>
    <row r="1421" spans="1:1">
      <c r="A1421" s="56"/>
    </row>
    <row r="1422" spans="1:1">
      <c r="A1422" s="56"/>
    </row>
    <row r="1423" spans="1:1">
      <c r="A1423" s="56"/>
    </row>
    <row r="1424" spans="1:1">
      <c r="A1424" s="56"/>
    </row>
    <row r="1425" spans="1:1">
      <c r="A1425" s="56"/>
    </row>
    <row r="1426" spans="1:1">
      <c r="A1426" s="56"/>
    </row>
    <row r="1427" spans="1:1">
      <c r="A1427" s="56"/>
    </row>
    <row r="1428" spans="1:1">
      <c r="A1428" s="56"/>
    </row>
    <row r="1429" spans="1:1">
      <c r="A1429" s="56"/>
    </row>
    <row r="1430" spans="1:1">
      <c r="A1430" s="56"/>
    </row>
    <row r="1431" spans="1:1">
      <c r="A1431" s="56"/>
    </row>
    <row r="1432" spans="1:1">
      <c r="A1432" s="56"/>
    </row>
    <row r="1433" spans="1:1">
      <c r="A1433" s="56"/>
    </row>
    <row r="1434" spans="1:1">
      <c r="A1434" s="56"/>
    </row>
    <row r="1435" spans="1:1">
      <c r="A1435" s="56"/>
    </row>
    <row r="1436" spans="1:1">
      <c r="A1436" s="56"/>
    </row>
    <row r="1437" spans="1:1">
      <c r="A1437" s="56"/>
    </row>
    <row r="1438" spans="1:1">
      <c r="A1438" s="56"/>
    </row>
    <row r="1439" spans="1:1">
      <c r="A1439" s="56"/>
    </row>
    <row r="1440" spans="1:1">
      <c r="A1440" s="56"/>
    </row>
    <row r="1441" spans="1:1">
      <c r="A1441" s="56"/>
    </row>
    <row r="1442" spans="1:1">
      <c r="A1442" s="56"/>
    </row>
    <row r="1443" spans="1:1">
      <c r="A1443" s="56"/>
    </row>
    <row r="1444" spans="1:1">
      <c r="A1444" s="56"/>
    </row>
    <row r="1445" spans="1:1">
      <c r="A1445" s="56"/>
    </row>
    <row r="1446" spans="1:1">
      <c r="A1446" s="56"/>
    </row>
    <row r="1447" spans="1:1">
      <c r="A1447" s="56"/>
    </row>
    <row r="1448" spans="1:1">
      <c r="A1448" s="56"/>
    </row>
    <row r="1449" spans="1:1">
      <c r="A1449" s="56"/>
    </row>
    <row r="1450" spans="1:1">
      <c r="A1450" s="56"/>
    </row>
    <row r="1451" spans="1:1">
      <c r="A1451" s="56"/>
    </row>
    <row r="1452" spans="1:1">
      <c r="A1452" s="56"/>
    </row>
    <row r="1453" spans="1:1">
      <c r="A1453" s="56"/>
    </row>
    <row r="1454" spans="1:1">
      <c r="A1454" s="56"/>
    </row>
    <row r="1455" spans="1:1">
      <c r="A1455" s="56"/>
    </row>
    <row r="1456" spans="1:1">
      <c r="A1456" s="56"/>
    </row>
    <row r="1457" spans="1:1">
      <c r="A1457" s="56"/>
    </row>
    <row r="1458" spans="1:1">
      <c r="A1458" s="56"/>
    </row>
    <row r="1459" spans="1:1">
      <c r="A1459" s="56"/>
    </row>
    <row r="1460" spans="1:1">
      <c r="A1460" s="56"/>
    </row>
    <row r="1461" spans="1:1">
      <c r="A1461" s="56"/>
    </row>
    <row r="1462" spans="1:1">
      <c r="A1462" s="56"/>
    </row>
    <row r="1463" spans="1:1">
      <c r="A1463" s="56"/>
    </row>
    <row r="1464" spans="1:1">
      <c r="A1464" s="56"/>
    </row>
    <row r="1465" spans="1:1">
      <c r="A1465" s="56"/>
    </row>
    <row r="1466" spans="1:1">
      <c r="A1466" s="56"/>
    </row>
    <row r="1467" spans="1:1">
      <c r="A1467" s="56"/>
    </row>
    <row r="1468" spans="1:1">
      <c r="A1468" s="56"/>
    </row>
    <row r="1469" spans="1:1">
      <c r="A1469" s="56"/>
    </row>
    <row r="1470" spans="1:1">
      <c r="A1470" s="56"/>
    </row>
    <row r="1471" spans="1:1">
      <c r="A1471" s="56"/>
    </row>
    <row r="1472" spans="1:1">
      <c r="A1472" s="56"/>
    </row>
    <row r="1473" spans="1:1">
      <c r="A1473" s="56"/>
    </row>
    <row r="1474" spans="1:1">
      <c r="A1474" s="56"/>
    </row>
    <row r="1475" spans="1:1">
      <c r="A1475" s="56"/>
    </row>
    <row r="1476" spans="1:1">
      <c r="A1476" s="56"/>
    </row>
    <row r="1477" spans="1:1">
      <c r="A1477" s="56"/>
    </row>
    <row r="1478" spans="1:1">
      <c r="A1478" s="56"/>
    </row>
    <row r="1479" spans="1:1">
      <c r="A1479" s="56"/>
    </row>
    <row r="1480" spans="1:1">
      <c r="A1480" s="56"/>
    </row>
    <row r="1481" spans="1:1">
      <c r="A1481" s="56"/>
    </row>
    <row r="1482" spans="1:1">
      <c r="A1482" s="56"/>
    </row>
    <row r="1483" spans="1:1">
      <c r="A1483" s="56"/>
    </row>
    <row r="1484" spans="1:1">
      <c r="A1484" s="56"/>
    </row>
    <row r="1485" spans="1:1">
      <c r="A1485" s="56"/>
    </row>
    <row r="1486" spans="1:1">
      <c r="A1486" s="56"/>
    </row>
    <row r="1487" spans="1:1">
      <c r="A1487" s="56"/>
    </row>
    <row r="1488" spans="1:1">
      <c r="A1488" s="56"/>
    </row>
    <row r="1489" spans="1:1">
      <c r="A1489" s="56"/>
    </row>
    <row r="1490" spans="1:1">
      <c r="A1490" s="56"/>
    </row>
    <row r="1491" spans="1:1">
      <c r="A1491" s="56"/>
    </row>
    <row r="1492" spans="1:1">
      <c r="A1492" s="56"/>
    </row>
    <row r="1493" spans="1:1">
      <c r="A1493" s="56"/>
    </row>
    <row r="1494" spans="1:1">
      <c r="A1494" s="56"/>
    </row>
    <row r="1495" spans="1:1">
      <c r="A1495" s="56"/>
    </row>
    <row r="1496" spans="1:1">
      <c r="A1496" s="56"/>
    </row>
    <row r="1497" spans="1:1">
      <c r="A1497" s="56"/>
    </row>
    <row r="1498" spans="1:1">
      <c r="A1498" s="56"/>
    </row>
    <row r="1499" spans="1:1">
      <c r="A1499" s="56"/>
    </row>
    <row r="1500" spans="1:1">
      <c r="A1500" s="56"/>
    </row>
    <row r="1501" spans="1:1">
      <c r="A1501" s="56"/>
    </row>
    <row r="1502" spans="1:1">
      <c r="A1502" s="56"/>
    </row>
    <row r="1503" spans="1:1">
      <c r="A1503" s="56"/>
    </row>
    <row r="1504" spans="1:1">
      <c r="A1504" s="56"/>
    </row>
    <row r="1505" spans="1:1">
      <c r="A1505" s="56"/>
    </row>
    <row r="1506" spans="1:1">
      <c r="A1506" s="56"/>
    </row>
    <row r="1507" spans="1:1">
      <c r="A1507" s="56"/>
    </row>
    <row r="1508" spans="1:1">
      <c r="A1508" s="56"/>
    </row>
    <row r="1509" spans="1:1">
      <c r="A1509" s="56"/>
    </row>
    <row r="1510" spans="1:1">
      <c r="A1510" s="56"/>
    </row>
    <row r="1511" spans="1:1">
      <c r="A1511" s="56"/>
    </row>
    <row r="1512" spans="1:1">
      <c r="A1512" s="56"/>
    </row>
    <row r="1513" spans="1:1">
      <c r="A1513" s="56"/>
    </row>
    <row r="1514" spans="1:1">
      <c r="A1514" s="56"/>
    </row>
    <row r="1515" spans="1:1">
      <c r="A1515" s="56"/>
    </row>
    <row r="1516" spans="1:1">
      <c r="A1516" s="56"/>
    </row>
    <row r="1517" spans="1:1">
      <c r="A1517" s="56"/>
    </row>
    <row r="1518" spans="1:1">
      <c r="A1518" s="56"/>
    </row>
    <row r="1519" spans="1:1">
      <c r="A1519" s="56"/>
    </row>
    <row r="1520" spans="1:1">
      <c r="A1520" s="56"/>
    </row>
    <row r="1521" spans="1:1">
      <c r="A1521" s="56"/>
    </row>
    <row r="1522" spans="1:1">
      <c r="A1522" s="56"/>
    </row>
    <row r="1523" spans="1:1">
      <c r="A1523" s="56"/>
    </row>
    <row r="1524" spans="1:1">
      <c r="A1524" s="56"/>
    </row>
    <row r="1525" spans="1:1">
      <c r="A1525" s="56"/>
    </row>
    <row r="1526" spans="1:1">
      <c r="A1526" s="56"/>
    </row>
    <row r="1527" spans="1:1">
      <c r="A1527" s="56"/>
    </row>
    <row r="1528" spans="1:1">
      <c r="A1528" s="56"/>
    </row>
    <row r="1529" spans="1:1">
      <c r="A1529" s="56"/>
    </row>
    <row r="1530" spans="1:1">
      <c r="A1530" s="56"/>
    </row>
    <row r="1531" spans="1:1">
      <c r="A1531" s="56"/>
    </row>
    <row r="1532" spans="1:1">
      <c r="A1532" s="56"/>
    </row>
    <row r="1533" spans="1:1">
      <c r="A1533" s="56"/>
    </row>
    <row r="1534" spans="1:1">
      <c r="A1534" s="56"/>
    </row>
    <row r="1535" spans="1:1">
      <c r="A1535" s="56"/>
    </row>
    <row r="1536" spans="1:1">
      <c r="A1536" s="56"/>
    </row>
    <row r="1537" spans="1:1">
      <c r="A1537" s="56"/>
    </row>
    <row r="1538" spans="1:1">
      <c r="A1538" s="56"/>
    </row>
    <row r="1539" spans="1:1">
      <c r="A1539" s="56"/>
    </row>
    <row r="1540" spans="1:1">
      <c r="A1540" s="56"/>
    </row>
    <row r="1541" spans="1:1">
      <c r="A1541" s="56"/>
    </row>
    <row r="1542" spans="1:1">
      <c r="A1542" s="56"/>
    </row>
    <row r="1543" spans="1:1">
      <c r="A1543" s="56"/>
    </row>
    <row r="1544" spans="1:1">
      <c r="A1544" s="56"/>
    </row>
    <row r="1545" spans="1:1">
      <c r="A1545" s="56"/>
    </row>
    <row r="1546" spans="1:1">
      <c r="A1546" s="56"/>
    </row>
    <row r="1547" spans="1:1">
      <c r="A1547" s="56"/>
    </row>
    <row r="1548" spans="1:1">
      <c r="A1548" s="56"/>
    </row>
    <row r="1549" spans="1:1">
      <c r="A1549" s="56"/>
    </row>
    <row r="1550" spans="1:1">
      <c r="A1550" s="56"/>
    </row>
    <row r="1551" spans="1:1">
      <c r="A1551" s="56"/>
    </row>
    <row r="1552" spans="1:1">
      <c r="A1552" s="56"/>
    </row>
    <row r="1553" spans="1:1">
      <c r="A1553" s="56"/>
    </row>
    <row r="1554" spans="1:1">
      <c r="A1554" s="56"/>
    </row>
    <row r="1555" spans="1:1">
      <c r="A1555" s="56"/>
    </row>
    <row r="1556" spans="1:1">
      <c r="A1556" s="56"/>
    </row>
    <row r="1557" spans="1:1">
      <c r="A1557" s="56"/>
    </row>
    <row r="1558" spans="1:1">
      <c r="A1558" s="56"/>
    </row>
    <row r="1559" spans="1:1">
      <c r="A1559" s="56"/>
    </row>
    <row r="1560" spans="1:1">
      <c r="A1560" s="56"/>
    </row>
    <row r="1561" spans="1:1">
      <c r="A1561" s="56"/>
    </row>
    <row r="1562" spans="1:1">
      <c r="A1562" s="56"/>
    </row>
    <row r="1563" spans="1:1">
      <c r="A1563" s="56"/>
    </row>
    <row r="1564" spans="1:1">
      <c r="A1564" s="56"/>
    </row>
    <row r="1565" spans="1:1">
      <c r="A1565" s="56"/>
    </row>
    <row r="1566" spans="1:1">
      <c r="A1566" s="56"/>
    </row>
    <row r="1567" spans="1:1">
      <c r="A1567" s="56"/>
    </row>
    <row r="1568" spans="1:1">
      <c r="A1568" s="56"/>
    </row>
    <row r="1569" spans="1:1">
      <c r="A1569" s="56"/>
    </row>
    <row r="1570" spans="1:1">
      <c r="A1570" s="56"/>
    </row>
    <row r="1571" spans="1:1">
      <c r="A1571" s="56"/>
    </row>
    <row r="1572" spans="1:1">
      <c r="A1572" s="56"/>
    </row>
    <row r="1573" spans="1:1">
      <c r="A1573" s="56"/>
    </row>
    <row r="1574" spans="1:1">
      <c r="A1574" s="56"/>
    </row>
    <row r="1575" spans="1:1">
      <c r="A1575" s="56"/>
    </row>
    <row r="1576" spans="1:1">
      <c r="A1576" s="56"/>
    </row>
    <row r="1577" spans="1:1">
      <c r="A1577" s="56"/>
    </row>
    <row r="1578" spans="1:1">
      <c r="A1578" s="56"/>
    </row>
    <row r="1579" spans="1:1">
      <c r="A1579" s="56"/>
    </row>
    <row r="1580" spans="1:1">
      <c r="A1580" s="56"/>
    </row>
    <row r="1581" spans="1:1">
      <c r="A1581" s="56"/>
    </row>
    <row r="1582" spans="1:1">
      <c r="A1582" s="56"/>
    </row>
    <row r="1583" spans="1:1">
      <c r="A1583" s="56"/>
    </row>
    <row r="1584" spans="1:1">
      <c r="A1584" s="56"/>
    </row>
    <row r="1585" spans="1:1">
      <c r="A1585" s="56"/>
    </row>
    <row r="1586" spans="1:1">
      <c r="A1586" s="56"/>
    </row>
    <row r="1587" spans="1:1">
      <c r="A1587" s="56"/>
    </row>
    <row r="1588" spans="1:1">
      <c r="A1588" s="56"/>
    </row>
    <row r="1589" spans="1:1">
      <c r="A1589" s="56"/>
    </row>
    <row r="1590" spans="1:1">
      <c r="A1590" s="56"/>
    </row>
    <row r="1591" spans="1:1">
      <c r="A1591" s="56"/>
    </row>
    <row r="1592" spans="1:1">
      <c r="A1592" s="56"/>
    </row>
    <row r="1593" spans="1:1">
      <c r="A1593" s="56"/>
    </row>
    <row r="1594" spans="1:1">
      <c r="A1594" s="56"/>
    </row>
    <row r="1595" spans="1:1">
      <c r="A1595" s="56"/>
    </row>
    <row r="1596" spans="1:1">
      <c r="A1596" s="56"/>
    </row>
    <row r="1597" spans="1:1">
      <c r="A1597" s="56"/>
    </row>
    <row r="1598" spans="1:1">
      <c r="A1598" s="56"/>
    </row>
    <row r="1599" spans="1:1">
      <c r="A1599" s="56"/>
    </row>
    <row r="1600" spans="1:1">
      <c r="A1600" s="56"/>
    </row>
    <row r="1601" spans="1:1">
      <c r="A1601" s="56"/>
    </row>
    <row r="1602" spans="1:1">
      <c r="A1602" s="56"/>
    </row>
    <row r="1603" spans="1:1">
      <c r="A1603" s="56"/>
    </row>
    <row r="1604" spans="1:1">
      <c r="A1604" s="56"/>
    </row>
    <row r="1605" spans="1:1">
      <c r="A1605" s="56"/>
    </row>
    <row r="1606" spans="1:1">
      <c r="A1606" s="56"/>
    </row>
    <row r="1607" spans="1:1">
      <c r="A1607" s="56"/>
    </row>
    <row r="1608" spans="1:1">
      <c r="A1608" s="56"/>
    </row>
    <row r="1609" spans="1:1">
      <c r="A1609" s="56"/>
    </row>
    <row r="1610" spans="1:1">
      <c r="A1610" s="56"/>
    </row>
    <row r="1611" spans="1:1">
      <c r="A1611" s="56"/>
    </row>
    <row r="1612" spans="1:1">
      <c r="A1612" s="56"/>
    </row>
    <row r="1613" spans="1:1">
      <c r="A1613" s="56"/>
    </row>
    <row r="1614" spans="1:1">
      <c r="A1614" s="56"/>
    </row>
    <row r="1615" spans="1:1">
      <c r="A1615" s="56"/>
    </row>
    <row r="1616" spans="1:1">
      <c r="A1616" s="56"/>
    </row>
    <row r="1617" spans="1:1">
      <c r="A1617" s="56"/>
    </row>
    <row r="1618" spans="1:1">
      <c r="A1618" s="56"/>
    </row>
    <row r="1619" spans="1:1">
      <c r="A1619" s="56"/>
    </row>
    <row r="1620" spans="1:1">
      <c r="A1620" s="56"/>
    </row>
    <row r="1621" spans="1:1">
      <c r="A1621" s="56"/>
    </row>
    <row r="1622" spans="1:1">
      <c r="A1622" s="56"/>
    </row>
    <row r="1623" spans="1:1">
      <c r="A1623" s="56"/>
    </row>
    <row r="1624" spans="1:1">
      <c r="A1624" s="56"/>
    </row>
    <row r="1625" spans="1:1">
      <c r="A1625" s="56"/>
    </row>
    <row r="1626" spans="1:1">
      <c r="A1626" s="56"/>
    </row>
    <row r="1627" spans="1:1">
      <c r="A1627" s="56"/>
    </row>
    <row r="1628" spans="1:1">
      <c r="A1628" s="56"/>
    </row>
    <row r="1629" spans="1:1">
      <c r="A1629" s="56"/>
    </row>
    <row r="1630" spans="1:1">
      <c r="A1630" s="56"/>
    </row>
    <row r="1631" spans="1:1">
      <c r="A1631" s="56"/>
    </row>
    <row r="1632" spans="1:1">
      <c r="A1632" s="56"/>
    </row>
    <row r="1633" spans="1:1">
      <c r="A1633" s="56"/>
    </row>
    <row r="1634" spans="1:1">
      <c r="A1634" s="56"/>
    </row>
    <row r="1635" spans="1:1">
      <c r="A1635" s="56"/>
    </row>
    <row r="1636" spans="1:1">
      <c r="A1636" s="56"/>
    </row>
    <row r="1637" spans="1:1">
      <c r="A1637" s="56"/>
    </row>
    <row r="1638" spans="1:1">
      <c r="A1638" s="56"/>
    </row>
    <row r="1639" spans="1:1">
      <c r="A1639" s="56"/>
    </row>
    <row r="1640" spans="1:1">
      <c r="A1640" s="56"/>
    </row>
    <row r="1641" spans="1:1">
      <c r="A1641" s="56"/>
    </row>
    <row r="1642" spans="1:1">
      <c r="A1642" s="56"/>
    </row>
    <row r="1643" spans="1:1">
      <c r="A1643" s="56"/>
    </row>
    <row r="1644" spans="1:1">
      <c r="A1644" s="56"/>
    </row>
    <row r="1645" spans="1:1">
      <c r="A1645" s="56"/>
    </row>
    <row r="1646" spans="1:1">
      <c r="A1646" s="56"/>
    </row>
    <row r="1647" spans="1:1">
      <c r="A1647" s="56"/>
    </row>
    <row r="1648" spans="1:1">
      <c r="A1648" s="56"/>
    </row>
    <row r="1649" spans="1:1">
      <c r="A1649" s="56"/>
    </row>
    <row r="1650" spans="1:1">
      <c r="A1650" s="56"/>
    </row>
    <row r="1651" spans="1:1">
      <c r="A1651" s="56"/>
    </row>
    <row r="1652" spans="1:1">
      <c r="A1652" s="56"/>
    </row>
    <row r="1653" spans="1:1">
      <c r="A1653" s="56"/>
    </row>
    <row r="1654" spans="1:1">
      <c r="A1654" s="56"/>
    </row>
    <row r="1655" spans="1:1">
      <c r="A1655" s="56"/>
    </row>
    <row r="1656" spans="1:1">
      <c r="A1656" s="56"/>
    </row>
    <row r="1657" spans="1:1">
      <c r="A1657" s="56"/>
    </row>
    <row r="1658" spans="1:1">
      <c r="A1658" s="56"/>
    </row>
    <row r="1659" spans="1:1">
      <c r="A1659" s="56"/>
    </row>
    <row r="1660" spans="1:1">
      <c r="A1660" s="56"/>
    </row>
    <row r="1661" spans="1:1">
      <c r="A1661" s="56"/>
    </row>
    <row r="1662" spans="1:1">
      <c r="A1662" s="56"/>
    </row>
    <row r="1663" spans="1:1">
      <c r="A1663" s="56"/>
    </row>
    <row r="1664" spans="1:1">
      <c r="A1664" s="56"/>
    </row>
    <row r="1665" spans="1:1">
      <c r="A1665" s="56"/>
    </row>
    <row r="1666" spans="1:1">
      <c r="A1666" s="56"/>
    </row>
    <row r="1667" spans="1:1">
      <c r="A1667" s="56"/>
    </row>
    <row r="1668" spans="1:1">
      <c r="A1668" s="56"/>
    </row>
    <row r="1669" spans="1:1">
      <c r="A1669" s="56"/>
    </row>
    <row r="1670" spans="1:1">
      <c r="A1670" s="56"/>
    </row>
    <row r="1671" spans="1:1">
      <c r="A1671" s="56"/>
    </row>
    <row r="1672" spans="1:1">
      <c r="A1672" s="56"/>
    </row>
    <row r="1673" spans="1:1">
      <c r="A1673" s="56"/>
    </row>
    <row r="1674" spans="1:1">
      <c r="A1674" s="56"/>
    </row>
    <row r="1675" spans="1:1">
      <c r="A1675" s="56"/>
    </row>
    <row r="1676" spans="1:1">
      <c r="A1676" s="56"/>
    </row>
    <row r="1677" spans="1:1">
      <c r="A1677" s="56"/>
    </row>
    <row r="1678" spans="1:1">
      <c r="A1678" s="56"/>
    </row>
    <row r="1679" spans="1:1">
      <c r="A1679" s="56"/>
    </row>
    <row r="1680" spans="1:1">
      <c r="A1680" s="56"/>
    </row>
    <row r="1681" spans="1:1">
      <c r="A1681" s="56"/>
    </row>
    <row r="1682" spans="1:1">
      <c r="A1682" s="56"/>
    </row>
    <row r="1683" spans="1:1">
      <c r="A1683" s="56"/>
    </row>
    <row r="1684" spans="1:1">
      <c r="A1684" s="56"/>
    </row>
    <row r="1685" spans="1:1">
      <c r="A1685" s="56"/>
    </row>
    <row r="1686" spans="1:1">
      <c r="A1686" s="56"/>
    </row>
    <row r="1687" spans="1:1">
      <c r="A1687" s="56"/>
    </row>
    <row r="1688" spans="1:1">
      <c r="A1688" s="56"/>
    </row>
    <row r="1689" spans="1:1">
      <c r="A1689" s="56"/>
    </row>
    <row r="1690" spans="1:1">
      <c r="A1690" s="56"/>
    </row>
    <row r="1691" spans="1:1">
      <c r="A1691" s="56"/>
    </row>
    <row r="1692" spans="1:1">
      <c r="A1692" s="56"/>
    </row>
    <row r="1693" spans="1:1">
      <c r="A1693" s="56"/>
    </row>
    <row r="1694" spans="1:1">
      <c r="A1694" s="56"/>
    </row>
    <row r="1695" spans="1:1">
      <c r="A1695" s="56"/>
    </row>
    <row r="1696" spans="1:1">
      <c r="A1696" s="56"/>
    </row>
    <row r="1697" spans="1:1">
      <c r="A1697" s="56"/>
    </row>
    <row r="1698" spans="1:1">
      <c r="A1698" s="56"/>
    </row>
    <row r="1699" spans="1:1">
      <c r="A1699" s="56"/>
    </row>
    <row r="1700" spans="1:1">
      <c r="A1700" s="56"/>
    </row>
    <row r="1701" spans="1:1">
      <c r="A1701" s="56"/>
    </row>
    <row r="1702" spans="1:1">
      <c r="A1702" s="56"/>
    </row>
    <row r="1703" spans="1:1">
      <c r="A1703" s="56"/>
    </row>
    <row r="1704" spans="1:1">
      <c r="A1704" s="56"/>
    </row>
    <row r="1705" spans="1:1">
      <c r="A1705" s="56"/>
    </row>
    <row r="1706" spans="1:1">
      <c r="A1706" s="56"/>
    </row>
    <row r="1707" spans="1:1">
      <c r="A1707" s="56"/>
    </row>
    <row r="1708" spans="1:1">
      <c r="A1708" s="56"/>
    </row>
    <row r="1709" spans="1:1">
      <c r="A1709" s="56"/>
    </row>
    <row r="1710" spans="1:1">
      <c r="A1710" s="56"/>
    </row>
    <row r="1711" spans="1:1">
      <c r="A1711" s="56"/>
    </row>
    <row r="1712" spans="1:1">
      <c r="A1712" s="56"/>
    </row>
    <row r="1713" spans="1:1">
      <c r="A1713" s="56"/>
    </row>
    <row r="1714" spans="1:1">
      <c r="A1714" s="56"/>
    </row>
    <row r="1715" spans="1:1">
      <c r="A1715" s="56"/>
    </row>
    <row r="1716" spans="1:1">
      <c r="A1716" s="56"/>
    </row>
    <row r="1717" spans="1:1">
      <c r="A1717" s="56"/>
    </row>
    <row r="1718" spans="1:1">
      <c r="A1718" s="56"/>
    </row>
    <row r="1719" spans="1:1">
      <c r="A1719" s="56"/>
    </row>
    <row r="1720" spans="1:1">
      <c r="A1720" s="56"/>
    </row>
    <row r="1721" spans="1:1">
      <c r="A1721" s="56"/>
    </row>
    <row r="1722" spans="1:1">
      <c r="A1722" s="56"/>
    </row>
    <row r="1723" spans="1:1">
      <c r="A1723" s="56"/>
    </row>
    <row r="1724" spans="1:1">
      <c r="A1724" s="56"/>
    </row>
    <row r="1725" spans="1:1">
      <c r="A1725" s="56"/>
    </row>
    <row r="1726" spans="1:1">
      <c r="A1726" s="56"/>
    </row>
    <row r="1727" spans="1:1">
      <c r="A1727" s="56"/>
    </row>
    <row r="1728" spans="1:1">
      <c r="A1728" s="56"/>
    </row>
    <row r="1729" spans="1:1">
      <c r="A1729" s="56"/>
    </row>
    <row r="1730" spans="1:1">
      <c r="A1730" s="56"/>
    </row>
    <row r="1731" spans="1:1">
      <c r="A1731" s="56"/>
    </row>
    <row r="1732" spans="1:1">
      <c r="A1732" s="56"/>
    </row>
    <row r="1733" spans="1:1">
      <c r="A1733" s="56"/>
    </row>
    <row r="1734" spans="1:1">
      <c r="A1734" s="56"/>
    </row>
    <row r="1735" spans="1:1">
      <c r="A1735" s="56"/>
    </row>
    <row r="1736" spans="1:1">
      <c r="A1736" s="56"/>
    </row>
    <row r="1737" spans="1:1">
      <c r="A1737" s="56"/>
    </row>
    <row r="1738" spans="1:1">
      <c r="A1738" s="56"/>
    </row>
    <row r="1739" spans="1:1">
      <c r="A1739" s="56"/>
    </row>
    <row r="1740" spans="1:1">
      <c r="A1740" s="56"/>
    </row>
    <row r="1741" spans="1:1">
      <c r="A1741" s="56"/>
    </row>
    <row r="1742" spans="1:1">
      <c r="A1742" s="56"/>
    </row>
    <row r="1743" spans="1:1">
      <c r="A1743" s="56"/>
    </row>
    <row r="1744" spans="1:1">
      <c r="A1744" s="56"/>
    </row>
    <row r="1745" spans="1:1">
      <c r="A1745" s="56"/>
    </row>
    <row r="1746" spans="1:1">
      <c r="A1746" s="56"/>
    </row>
    <row r="1747" spans="1:1">
      <c r="A1747" s="56"/>
    </row>
    <row r="1748" spans="1:1">
      <c r="A1748" s="56"/>
    </row>
    <row r="1749" spans="1:1">
      <c r="A1749" s="56"/>
    </row>
    <row r="1750" spans="1:1">
      <c r="A1750" s="56"/>
    </row>
    <row r="1751" spans="1:1">
      <c r="A1751" s="56"/>
    </row>
    <row r="1752" spans="1:1">
      <c r="A1752" s="56"/>
    </row>
    <row r="1753" spans="1:1">
      <c r="A1753" s="56"/>
    </row>
    <row r="1754" spans="1:1">
      <c r="A1754" s="56"/>
    </row>
    <row r="1755" spans="1:1">
      <c r="A1755" s="56"/>
    </row>
    <row r="1756" spans="1:1">
      <c r="A1756" s="56"/>
    </row>
    <row r="1757" spans="1:1">
      <c r="A1757" s="56"/>
    </row>
    <row r="1758" spans="1:1">
      <c r="A1758" s="56"/>
    </row>
    <row r="1759" spans="1:1">
      <c r="A1759" s="56"/>
    </row>
    <row r="1760" spans="1:1">
      <c r="A1760" s="56"/>
    </row>
    <row r="1761" spans="1:1">
      <c r="A1761" s="56"/>
    </row>
    <row r="1762" spans="1:1">
      <c r="A1762" s="56"/>
    </row>
    <row r="1763" spans="1:1">
      <c r="A1763" s="56"/>
    </row>
    <row r="1764" spans="1:1">
      <c r="A1764" s="56"/>
    </row>
    <row r="1765" spans="1:1">
      <c r="A1765" s="56"/>
    </row>
    <row r="1766" spans="1:1">
      <c r="A1766" s="56"/>
    </row>
    <row r="1767" spans="1:1">
      <c r="A1767" s="56"/>
    </row>
    <row r="1768" spans="1:1">
      <c r="A1768" s="56"/>
    </row>
    <row r="1769" spans="1:1">
      <c r="A1769" s="56"/>
    </row>
    <row r="1770" spans="1:1">
      <c r="A1770" s="56"/>
    </row>
    <row r="1771" spans="1:1">
      <c r="A1771" s="56"/>
    </row>
    <row r="1772" spans="1:1">
      <c r="A1772" s="56"/>
    </row>
    <row r="1773" spans="1:1">
      <c r="A1773" s="56"/>
    </row>
    <row r="1774" spans="1:1">
      <c r="A1774" s="56"/>
    </row>
    <row r="1775" spans="1:1">
      <c r="A1775" s="56"/>
    </row>
    <row r="1776" spans="1:1">
      <c r="A1776" s="56"/>
    </row>
    <row r="1777" spans="1:1">
      <c r="A1777" s="56"/>
    </row>
    <row r="1778" spans="1:1">
      <c r="A1778" s="56"/>
    </row>
    <row r="1779" spans="1:1">
      <c r="A1779" s="56"/>
    </row>
    <row r="1780" spans="1:1">
      <c r="A1780" s="56"/>
    </row>
    <row r="1781" spans="1:1">
      <c r="A1781" s="56"/>
    </row>
    <row r="1782" spans="1:1">
      <c r="A1782" s="56"/>
    </row>
    <row r="1783" spans="1:1">
      <c r="A1783" s="56"/>
    </row>
    <row r="1784" spans="1:1">
      <c r="A1784" s="56"/>
    </row>
    <row r="1785" spans="1:1">
      <c r="A1785" s="56"/>
    </row>
    <row r="1786" spans="1:1">
      <c r="A1786" s="56"/>
    </row>
    <row r="1787" spans="1:1">
      <c r="A1787" s="56"/>
    </row>
    <row r="1788" spans="1:1">
      <c r="A1788" s="56"/>
    </row>
    <row r="1789" spans="1:1">
      <c r="A1789" s="56"/>
    </row>
    <row r="1790" spans="1:1">
      <c r="A1790" s="56"/>
    </row>
    <row r="1791" spans="1:1">
      <c r="A1791" s="56"/>
    </row>
    <row r="1792" spans="1:1">
      <c r="A1792" s="56"/>
    </row>
    <row r="1793" spans="1:1">
      <c r="A1793" s="56"/>
    </row>
    <row r="1794" spans="1:1">
      <c r="A1794" s="56"/>
    </row>
    <row r="1795" spans="1:1">
      <c r="A1795" s="56"/>
    </row>
    <row r="1796" spans="1:1">
      <c r="A1796" s="56"/>
    </row>
    <row r="1797" spans="1:1">
      <c r="A1797" s="56"/>
    </row>
    <row r="1798" spans="1:1">
      <c r="A1798" s="56"/>
    </row>
    <row r="1799" spans="1:1">
      <c r="A1799" s="56"/>
    </row>
    <row r="1800" spans="1:1">
      <c r="A1800" s="56"/>
    </row>
    <row r="1801" spans="1:1">
      <c r="A1801" s="56"/>
    </row>
    <row r="1802" spans="1:1">
      <c r="A1802" s="56"/>
    </row>
    <row r="1803" spans="1:1">
      <c r="A1803" s="56"/>
    </row>
    <row r="1804" spans="1:1">
      <c r="A1804" s="56"/>
    </row>
    <row r="1805" spans="1:1">
      <c r="A1805" s="56"/>
    </row>
    <row r="1806" spans="1:1">
      <c r="A1806" s="56"/>
    </row>
    <row r="1807" spans="1:1">
      <c r="A1807" s="56"/>
    </row>
    <row r="1808" spans="1:1">
      <c r="A1808" s="56"/>
    </row>
    <row r="1809" spans="1:1">
      <c r="A1809" s="56"/>
    </row>
    <row r="1810" spans="1:1">
      <c r="A1810" s="56"/>
    </row>
    <row r="1811" spans="1:1">
      <c r="A1811" s="56"/>
    </row>
    <row r="1812" spans="1:1">
      <c r="A1812" s="56"/>
    </row>
    <row r="1813" spans="1:1">
      <c r="A1813" s="56"/>
    </row>
    <row r="1814" spans="1:1">
      <c r="A1814" s="56"/>
    </row>
    <row r="1815" spans="1:1">
      <c r="A1815" s="56"/>
    </row>
    <row r="1816" spans="1:1">
      <c r="A1816" s="56"/>
    </row>
    <row r="1817" spans="1:1">
      <c r="A1817" s="56"/>
    </row>
    <row r="1818" spans="1:1">
      <c r="A1818" s="56"/>
    </row>
    <row r="1819" spans="1:1">
      <c r="A1819" s="56"/>
    </row>
    <row r="1820" spans="1:1">
      <c r="A1820" s="56"/>
    </row>
    <row r="1821" spans="1:1">
      <c r="A1821" s="56"/>
    </row>
    <row r="1822" spans="1:1">
      <c r="A1822" s="56"/>
    </row>
    <row r="1823" spans="1:1">
      <c r="A1823" s="56"/>
    </row>
    <row r="1824" spans="1:1">
      <c r="A1824" s="56"/>
    </row>
    <row r="1825" spans="1:1">
      <c r="A1825" s="56"/>
    </row>
    <row r="1826" spans="1:1">
      <c r="A1826" s="56"/>
    </row>
    <row r="1827" spans="1:1">
      <c r="A1827" s="56"/>
    </row>
    <row r="1828" spans="1:1">
      <c r="A1828" s="56"/>
    </row>
    <row r="1829" spans="1:1">
      <c r="A1829" s="56"/>
    </row>
    <row r="1830" spans="1:1">
      <c r="A1830" s="56"/>
    </row>
    <row r="1831" spans="1:1">
      <c r="A1831" s="56"/>
    </row>
    <row r="1832" spans="1:1">
      <c r="A1832" s="56"/>
    </row>
    <row r="1833" spans="1:1">
      <c r="A1833" s="56"/>
    </row>
    <row r="1834" spans="1:1">
      <c r="A1834" s="56"/>
    </row>
    <row r="1835" spans="1:1">
      <c r="A1835" s="56"/>
    </row>
    <row r="1836" spans="1:1">
      <c r="A1836" s="56"/>
    </row>
    <row r="1837" spans="1:1">
      <c r="A1837" s="56"/>
    </row>
    <row r="1838" spans="1:1">
      <c r="A1838" s="56"/>
    </row>
    <row r="1839" spans="1:1">
      <c r="A1839" s="56"/>
    </row>
    <row r="1840" spans="1:1">
      <c r="A1840" s="56"/>
    </row>
    <row r="1841" spans="1:1">
      <c r="A1841" s="56"/>
    </row>
    <row r="1842" spans="1:1">
      <c r="A1842" s="56"/>
    </row>
    <row r="1843" spans="1:1">
      <c r="A1843" s="56"/>
    </row>
    <row r="1844" spans="1:1">
      <c r="A1844" s="56"/>
    </row>
    <row r="1845" spans="1:1">
      <c r="A1845" s="56"/>
    </row>
    <row r="1846" spans="1:1">
      <c r="A1846" s="56"/>
    </row>
    <row r="1847" spans="1:1">
      <c r="A1847" s="56"/>
    </row>
    <row r="1848" spans="1:1">
      <c r="A1848" s="56"/>
    </row>
    <row r="1849" spans="1:1">
      <c r="A1849" s="56"/>
    </row>
    <row r="1850" spans="1:1">
      <c r="A1850" s="56"/>
    </row>
    <row r="1851" spans="1:1">
      <c r="A1851" s="56"/>
    </row>
    <row r="1852" spans="1:1">
      <c r="A1852" s="56"/>
    </row>
    <row r="1853" spans="1:1">
      <c r="A1853" s="56"/>
    </row>
    <row r="1854" spans="1:1">
      <c r="A1854" s="56"/>
    </row>
    <row r="1855" spans="1:1">
      <c r="A1855" s="56"/>
    </row>
    <row r="1856" spans="1:1">
      <c r="A1856" s="56"/>
    </row>
    <row r="1857" spans="1:1">
      <c r="A1857" s="56"/>
    </row>
    <row r="1858" spans="1:1">
      <c r="A1858" s="56"/>
    </row>
    <row r="1859" spans="1:1">
      <c r="A1859" s="56"/>
    </row>
    <row r="1860" spans="1:1">
      <c r="A1860" s="56"/>
    </row>
    <row r="1861" spans="1:1">
      <c r="A1861" s="56"/>
    </row>
    <row r="1862" spans="1:1">
      <c r="A1862" s="56"/>
    </row>
    <row r="1863" spans="1:1">
      <c r="A1863" s="56"/>
    </row>
    <row r="1864" spans="1:1">
      <c r="A1864" s="56"/>
    </row>
    <row r="1865" spans="1:1">
      <c r="A1865" s="56"/>
    </row>
    <row r="1866" spans="1:1">
      <c r="A1866" s="56"/>
    </row>
    <row r="1867" spans="1:1">
      <c r="A1867" s="56"/>
    </row>
    <row r="1868" spans="1:1">
      <c r="A1868" s="56"/>
    </row>
    <row r="1869" spans="1:1">
      <c r="A1869" s="56"/>
    </row>
    <row r="1870" spans="1:1">
      <c r="A1870" s="56"/>
    </row>
    <row r="1871" spans="1:1">
      <c r="A1871" s="56"/>
    </row>
    <row r="1872" spans="1:1">
      <c r="A1872" s="56"/>
    </row>
    <row r="1873" spans="1:1">
      <c r="A1873" s="56"/>
    </row>
    <row r="1874" spans="1:1">
      <c r="A1874" s="56"/>
    </row>
    <row r="1875" spans="1:1">
      <c r="A1875" s="56"/>
    </row>
    <row r="1876" spans="1:1">
      <c r="A1876" s="56"/>
    </row>
    <row r="1877" spans="1:1">
      <c r="A1877" s="56"/>
    </row>
    <row r="1878" spans="1:1">
      <c r="A1878" s="56"/>
    </row>
    <row r="1879" spans="1:1">
      <c r="A1879" s="56"/>
    </row>
    <row r="1880" spans="1:1">
      <c r="A1880" s="56"/>
    </row>
    <row r="1881" spans="1:1">
      <c r="A1881" s="56"/>
    </row>
    <row r="1882" spans="1:1">
      <c r="A1882" s="56"/>
    </row>
    <row r="1883" spans="1:1">
      <c r="A1883" s="56"/>
    </row>
    <row r="1884" spans="1:1">
      <c r="A1884" s="56"/>
    </row>
    <row r="1885" spans="1:1">
      <c r="A1885" s="56"/>
    </row>
    <row r="1886" spans="1:1">
      <c r="A1886" s="56"/>
    </row>
    <row r="1887" spans="1:1">
      <c r="A1887" s="56"/>
    </row>
    <row r="1888" spans="1:1">
      <c r="A1888" s="56"/>
    </row>
    <row r="1889" spans="1:1">
      <c r="A1889" s="56"/>
    </row>
    <row r="1890" spans="1:1">
      <c r="A1890" s="56"/>
    </row>
    <row r="1891" spans="1:1">
      <c r="A1891" s="56"/>
    </row>
    <row r="1892" spans="1:1">
      <c r="A1892" s="56"/>
    </row>
    <row r="1893" spans="1:1">
      <c r="A1893" s="56"/>
    </row>
    <row r="1894" spans="1:1">
      <c r="A1894" s="56"/>
    </row>
    <row r="1895" spans="1:1">
      <c r="A1895" s="56"/>
    </row>
    <row r="1896" spans="1:1">
      <c r="A1896" s="56"/>
    </row>
    <row r="1897" spans="1:1">
      <c r="A1897" s="56"/>
    </row>
    <row r="1898" spans="1:1">
      <c r="A1898" s="56"/>
    </row>
    <row r="1899" spans="1:1">
      <c r="A1899" s="56"/>
    </row>
    <row r="1900" spans="1:1">
      <c r="A1900" s="56"/>
    </row>
    <row r="1901" spans="1:1">
      <c r="A1901" s="56"/>
    </row>
    <row r="1902" spans="1:1">
      <c r="A1902" s="56"/>
    </row>
    <row r="1903" spans="1:1">
      <c r="A1903" s="56"/>
    </row>
    <row r="1904" spans="1:1">
      <c r="A1904" s="56"/>
    </row>
    <row r="1905" spans="1:1">
      <c r="A1905" s="56"/>
    </row>
    <row r="1906" spans="1:1">
      <c r="A1906" s="56"/>
    </row>
    <row r="1907" spans="1:1">
      <c r="A1907" s="56"/>
    </row>
    <row r="1908" spans="1:1">
      <c r="A1908" s="56"/>
    </row>
    <row r="1909" spans="1:1">
      <c r="A1909" s="56"/>
    </row>
    <row r="1910" spans="1:1">
      <c r="A1910" s="56"/>
    </row>
    <row r="1911" spans="1:1">
      <c r="A1911" s="56"/>
    </row>
    <row r="1912" spans="1:1">
      <c r="A1912" s="56"/>
    </row>
    <row r="1913" spans="1:1">
      <c r="A1913" s="56"/>
    </row>
    <row r="1914" spans="1:1">
      <c r="A1914" s="56"/>
    </row>
    <row r="1915" spans="1:1">
      <c r="A1915" s="56"/>
    </row>
    <row r="1916" spans="1:1">
      <c r="A1916" s="56"/>
    </row>
    <row r="1917" spans="1:1">
      <c r="A1917" s="56"/>
    </row>
    <row r="1918" spans="1:1">
      <c r="A1918" s="56"/>
    </row>
    <row r="1919" spans="1:1">
      <c r="A1919" s="56"/>
    </row>
    <row r="1920" spans="1:1">
      <c r="A1920" s="56"/>
    </row>
    <row r="1921" spans="1:1">
      <c r="A1921" s="56"/>
    </row>
    <row r="1922" spans="1:1">
      <c r="A1922" s="56"/>
    </row>
    <row r="1923" spans="1:1">
      <c r="A1923" s="56"/>
    </row>
    <row r="1924" spans="1:1">
      <c r="A1924" s="56"/>
    </row>
    <row r="1925" spans="1:1">
      <c r="A1925" s="56"/>
    </row>
    <row r="1926" spans="1:1">
      <c r="A1926" s="56"/>
    </row>
    <row r="1927" spans="1:1">
      <c r="A1927" s="56"/>
    </row>
    <row r="1928" spans="1:1">
      <c r="A1928" s="56"/>
    </row>
    <row r="1929" spans="1:1">
      <c r="A1929" s="56"/>
    </row>
    <row r="1930" spans="1:1">
      <c r="A1930" s="56"/>
    </row>
    <row r="1931" spans="1:1">
      <c r="A1931" s="56"/>
    </row>
    <row r="1932" spans="1:1">
      <c r="A1932" s="56"/>
    </row>
    <row r="1933" spans="1:1">
      <c r="A1933" s="56"/>
    </row>
    <row r="1934" spans="1:1">
      <c r="A1934" s="56"/>
    </row>
    <row r="1935" spans="1:1">
      <c r="A1935" s="56"/>
    </row>
    <row r="1936" spans="1:1">
      <c r="A1936" s="56"/>
    </row>
    <row r="1937" spans="1:1">
      <c r="A1937" s="56"/>
    </row>
    <row r="1938" spans="1:1">
      <c r="A1938" s="56"/>
    </row>
    <row r="1939" spans="1:1">
      <c r="A1939" s="56"/>
    </row>
    <row r="1940" spans="1:1">
      <c r="A1940" s="56"/>
    </row>
    <row r="1941" spans="1:1">
      <c r="A1941" s="56"/>
    </row>
    <row r="1942" spans="1:1">
      <c r="A1942" s="56"/>
    </row>
    <row r="1943" spans="1:1">
      <c r="A1943" s="56"/>
    </row>
    <row r="1944" spans="1:1">
      <c r="A1944" s="56"/>
    </row>
    <row r="1945" spans="1:1">
      <c r="A1945" s="56"/>
    </row>
    <row r="1946" spans="1:1">
      <c r="A1946" s="56"/>
    </row>
    <row r="1947" spans="1:1">
      <c r="A1947" s="56"/>
    </row>
    <row r="1948" spans="1:1">
      <c r="A1948" s="56"/>
    </row>
    <row r="1949" spans="1:1">
      <c r="A1949" s="56"/>
    </row>
    <row r="1950" spans="1:1">
      <c r="A1950" s="56"/>
    </row>
    <row r="1951" spans="1:1">
      <c r="A1951" s="56"/>
    </row>
    <row r="1952" spans="1:1">
      <c r="A1952" s="56"/>
    </row>
    <row r="1953" spans="1:1">
      <c r="A1953" s="56"/>
    </row>
    <row r="1954" spans="1:1">
      <c r="A1954" s="56"/>
    </row>
    <row r="1955" spans="1:1">
      <c r="A1955" s="56"/>
    </row>
    <row r="1956" spans="1:1">
      <c r="A1956" s="56"/>
    </row>
    <row r="1957" spans="1:1">
      <c r="A1957" s="56"/>
    </row>
    <row r="1958" spans="1:1">
      <c r="A1958" s="56"/>
    </row>
    <row r="1959" spans="1:1">
      <c r="A1959" s="56"/>
    </row>
    <row r="1960" spans="1:1">
      <c r="A1960" s="56"/>
    </row>
    <row r="1961" spans="1:1">
      <c r="A1961" s="56"/>
    </row>
    <row r="1962" spans="1:1">
      <c r="A1962" s="56"/>
    </row>
    <row r="1963" spans="1:1">
      <c r="A1963" s="56"/>
    </row>
    <row r="1964" spans="1:1">
      <c r="A1964" s="56"/>
    </row>
    <row r="1965" spans="1:1">
      <c r="A1965" s="56"/>
    </row>
    <row r="1966" spans="1:1">
      <c r="A1966" s="56"/>
    </row>
    <row r="1967" spans="1:1">
      <c r="A1967" s="56"/>
    </row>
    <row r="1968" spans="1:1">
      <c r="A1968" s="56"/>
    </row>
    <row r="1969" spans="1:1">
      <c r="A1969" s="56"/>
    </row>
    <row r="1970" spans="1:1">
      <c r="A1970" s="56"/>
    </row>
    <row r="1971" spans="1:1">
      <c r="A1971" s="56"/>
    </row>
    <row r="1972" spans="1:1">
      <c r="A1972" s="56"/>
    </row>
    <row r="1973" spans="1:1">
      <c r="A1973" s="56"/>
    </row>
    <row r="1974" spans="1:1">
      <c r="A1974" s="56"/>
    </row>
    <row r="1975" spans="1:1">
      <c r="A1975" s="56"/>
    </row>
    <row r="1976" spans="1:1">
      <c r="A1976" s="56"/>
    </row>
    <row r="1977" spans="1:1">
      <c r="A1977" s="56"/>
    </row>
    <row r="1978" spans="1:1">
      <c r="A1978" s="56"/>
    </row>
    <row r="1979" spans="1:1">
      <c r="A1979" s="56"/>
    </row>
    <row r="1980" spans="1:1">
      <c r="A1980" s="56"/>
    </row>
    <row r="1981" spans="1:1">
      <c r="A1981" s="56"/>
    </row>
    <row r="1982" spans="1:1">
      <c r="A1982" s="56"/>
    </row>
    <row r="1983" spans="1:1">
      <c r="A1983" s="56"/>
    </row>
    <row r="1984" spans="1:1">
      <c r="A1984" s="56"/>
    </row>
    <row r="1985" spans="1:1">
      <c r="A1985" s="56"/>
    </row>
    <row r="1986" spans="1:1">
      <c r="A1986" s="56"/>
    </row>
    <row r="1987" spans="1:1">
      <c r="A1987" s="56"/>
    </row>
    <row r="1988" spans="1:1">
      <c r="A1988" s="56"/>
    </row>
    <row r="1989" spans="1:1">
      <c r="A1989" s="56"/>
    </row>
    <row r="1990" spans="1:1">
      <c r="A1990" s="56"/>
    </row>
    <row r="1991" spans="1:1">
      <c r="A1991" s="56"/>
    </row>
    <row r="1992" spans="1:1">
      <c r="A1992" s="56"/>
    </row>
    <row r="1993" spans="1:1">
      <c r="A1993" s="56"/>
    </row>
    <row r="1994" spans="1:1">
      <c r="A1994" s="56"/>
    </row>
    <row r="1995" spans="1:1">
      <c r="A1995" s="56"/>
    </row>
    <row r="1996" spans="1:1">
      <c r="A1996" s="56"/>
    </row>
    <row r="1997" spans="1:1">
      <c r="A1997" s="56"/>
    </row>
    <row r="1998" spans="1:1">
      <c r="A1998" s="56"/>
    </row>
    <row r="1999" spans="1:1">
      <c r="A1999" s="56"/>
    </row>
    <row r="2000" spans="1:1">
      <c r="A2000" s="56"/>
    </row>
    <row r="2001" spans="1:1">
      <c r="A2001" s="56"/>
    </row>
    <row r="2002" spans="1:1">
      <c r="A2002" s="56"/>
    </row>
    <row r="2003" spans="1:1">
      <c r="A2003" s="56"/>
    </row>
    <row r="2004" spans="1:1">
      <c r="A2004" s="56"/>
    </row>
    <row r="2005" spans="1:1">
      <c r="A2005" s="56"/>
    </row>
    <row r="2006" spans="1:1">
      <c r="A2006" s="56"/>
    </row>
    <row r="2007" spans="1:1">
      <c r="A2007" s="56"/>
    </row>
    <row r="2008" spans="1:1">
      <c r="A2008" s="56"/>
    </row>
    <row r="2009" spans="1:1">
      <c r="A2009" s="56"/>
    </row>
    <row r="2010" spans="1:1">
      <c r="A2010" s="56"/>
    </row>
    <row r="2011" spans="1:1">
      <c r="A2011" s="56"/>
    </row>
    <row r="2012" spans="1:1">
      <c r="A2012" s="56"/>
    </row>
    <row r="2013" spans="1:1">
      <c r="A2013" s="56"/>
    </row>
    <row r="2014" spans="1:1">
      <c r="A2014" s="56"/>
    </row>
    <row r="2015" spans="1:1">
      <c r="A2015" s="56"/>
    </row>
    <row r="2016" spans="1:1">
      <c r="A2016" s="56"/>
    </row>
    <row r="2017" spans="1:1">
      <c r="A2017" s="56"/>
    </row>
    <row r="2018" spans="1:1">
      <c r="A2018" s="56"/>
    </row>
    <row r="2019" spans="1:1">
      <c r="A2019" s="56"/>
    </row>
    <row r="2020" spans="1:1">
      <c r="A2020" s="56"/>
    </row>
    <row r="2021" spans="1:1">
      <c r="A2021" s="56"/>
    </row>
    <row r="2022" spans="1:1">
      <c r="A2022" s="56"/>
    </row>
    <row r="2023" spans="1:1">
      <c r="A2023" s="56"/>
    </row>
    <row r="2024" spans="1:1">
      <c r="A2024" s="56"/>
    </row>
    <row r="2025" spans="1:1">
      <c r="A2025" s="56"/>
    </row>
    <row r="2026" spans="1:1">
      <c r="A2026" s="56"/>
    </row>
    <row r="2027" spans="1:1">
      <c r="A2027" s="56"/>
    </row>
    <row r="2028" spans="1:1">
      <c r="A2028" s="56"/>
    </row>
    <row r="2029" spans="1:1">
      <c r="A2029" s="56"/>
    </row>
    <row r="2030" spans="1:1">
      <c r="A2030" s="56"/>
    </row>
    <row r="2031" spans="1:1">
      <c r="A2031" s="56"/>
    </row>
    <row r="2032" spans="1:1">
      <c r="A2032" s="56"/>
    </row>
    <row r="2033" spans="1:1">
      <c r="A2033" s="56"/>
    </row>
    <row r="2034" spans="1:1">
      <c r="A2034" s="56"/>
    </row>
    <row r="2035" spans="1:1">
      <c r="A2035" s="56"/>
    </row>
    <row r="2036" spans="1:1">
      <c r="A2036" s="56"/>
    </row>
    <row r="2037" spans="1:1">
      <c r="A2037" s="56"/>
    </row>
    <row r="2038" spans="1:1">
      <c r="A2038" s="56"/>
    </row>
    <row r="2039" spans="1:1">
      <c r="A2039" s="56"/>
    </row>
    <row r="2040" spans="1:1">
      <c r="A2040" s="56"/>
    </row>
    <row r="2041" spans="1:1">
      <c r="A2041" s="56"/>
    </row>
    <row r="2042" spans="1:1">
      <c r="A2042" s="56"/>
    </row>
    <row r="2043" spans="1:1">
      <c r="A2043" s="56"/>
    </row>
    <row r="2044" spans="1:1">
      <c r="A2044" s="56"/>
    </row>
    <row r="2045" spans="1:1">
      <c r="A2045" s="56"/>
    </row>
    <row r="2046" spans="1:1">
      <c r="A2046" s="56"/>
    </row>
    <row r="2047" spans="1:1">
      <c r="A2047" s="56"/>
    </row>
    <row r="2048" spans="1:1">
      <c r="A2048" s="56"/>
    </row>
    <row r="2049" spans="1:1">
      <c r="A2049" s="56"/>
    </row>
    <row r="2050" spans="1:1">
      <c r="A2050" s="56"/>
    </row>
    <row r="2051" spans="1:1">
      <c r="A2051" s="56"/>
    </row>
    <row r="2052" spans="1:1">
      <c r="A2052" s="56"/>
    </row>
    <row r="2053" spans="1:1">
      <c r="A2053" s="56"/>
    </row>
    <row r="2054" spans="1:1">
      <c r="A2054" s="56"/>
    </row>
    <row r="2055" spans="1:1">
      <c r="A2055" s="56"/>
    </row>
    <row r="2056" spans="1:1">
      <c r="A2056" s="56"/>
    </row>
    <row r="2057" spans="1:1">
      <c r="A2057" s="56"/>
    </row>
    <row r="2058" spans="1:1">
      <c r="A2058" s="56"/>
    </row>
    <row r="2059" spans="1:1">
      <c r="A2059" s="56"/>
    </row>
    <row r="2060" spans="1:1">
      <c r="A2060" s="56"/>
    </row>
    <row r="2061" spans="1:1">
      <c r="A2061" s="56"/>
    </row>
    <row r="2062" spans="1:1">
      <c r="A2062" s="56"/>
    </row>
    <row r="2063" spans="1:1">
      <c r="A2063" s="56"/>
    </row>
    <row r="2064" spans="1:1">
      <c r="A2064" s="56"/>
    </row>
    <row r="2065" spans="1:1">
      <c r="A2065" s="56"/>
    </row>
    <row r="2066" spans="1:1">
      <c r="A2066" s="56"/>
    </row>
    <row r="2067" spans="1:1">
      <c r="A2067" s="56"/>
    </row>
    <row r="2068" spans="1:1">
      <c r="A2068" s="56"/>
    </row>
    <row r="2069" spans="1:1">
      <c r="A2069" s="56"/>
    </row>
    <row r="2070" spans="1:1">
      <c r="A2070" s="56"/>
    </row>
    <row r="2071" spans="1:1">
      <c r="A2071" s="56"/>
    </row>
    <row r="2072" spans="1:1">
      <c r="A2072" s="56"/>
    </row>
    <row r="2073" spans="1:1">
      <c r="A2073" s="56"/>
    </row>
    <row r="2074" spans="1:1">
      <c r="A2074" s="56"/>
    </row>
    <row r="2075" spans="1:1">
      <c r="A2075" s="56"/>
    </row>
    <row r="2076" spans="1:1">
      <c r="A2076" s="56"/>
    </row>
    <row r="2077" spans="1:1">
      <c r="A2077" s="56"/>
    </row>
    <row r="2078" spans="1:1">
      <c r="A2078" s="56"/>
    </row>
    <row r="2079" spans="1:1">
      <c r="A2079" s="56"/>
    </row>
    <row r="2080" spans="1:1">
      <c r="A2080" s="56"/>
    </row>
    <row r="2081" spans="1:1">
      <c r="A2081" s="56"/>
    </row>
    <row r="2082" spans="1:1">
      <c r="A2082" s="56"/>
    </row>
    <row r="2083" spans="1:1">
      <c r="A2083" s="56"/>
    </row>
    <row r="2084" spans="1:1">
      <c r="A2084" s="56"/>
    </row>
    <row r="2085" spans="1:1">
      <c r="A2085" s="56"/>
    </row>
    <row r="2086" spans="1:1">
      <c r="A2086" s="56"/>
    </row>
    <row r="2087" spans="1:1">
      <c r="A2087" s="56"/>
    </row>
    <row r="2088" spans="1:1">
      <c r="A2088" s="56"/>
    </row>
    <row r="2089" spans="1:1">
      <c r="A2089" s="56"/>
    </row>
    <row r="2090" spans="1:1">
      <c r="A2090" s="56"/>
    </row>
    <row r="2091" spans="1:1">
      <c r="A2091" s="56"/>
    </row>
    <row r="2092" spans="1:1">
      <c r="A2092" s="56"/>
    </row>
    <row r="2093" spans="1:1">
      <c r="A2093" s="56"/>
    </row>
    <row r="2094" spans="1:1">
      <c r="A2094" s="56"/>
    </row>
    <row r="2095" spans="1:1">
      <c r="A2095" s="56"/>
    </row>
    <row r="2096" spans="1:1">
      <c r="A2096" s="56"/>
    </row>
    <row r="2097" spans="1:1">
      <c r="A2097" s="56"/>
    </row>
    <row r="2098" spans="1:1">
      <c r="A2098" s="56"/>
    </row>
    <row r="2099" spans="1:1">
      <c r="A2099" s="56"/>
    </row>
    <row r="2100" spans="1:1">
      <c r="A2100" s="56"/>
    </row>
    <row r="2101" spans="1:1">
      <c r="A2101" s="56"/>
    </row>
    <row r="2102" spans="1:1">
      <c r="A2102" s="56"/>
    </row>
    <row r="2103" spans="1:1">
      <c r="A2103" s="56"/>
    </row>
    <row r="2104" spans="1:1">
      <c r="A2104" s="56"/>
    </row>
    <row r="2105" spans="1:1">
      <c r="A2105" s="56"/>
    </row>
    <row r="2106" spans="1:1">
      <c r="A2106" s="56"/>
    </row>
    <row r="2107" spans="1:1">
      <c r="A2107" s="56"/>
    </row>
    <row r="2108" spans="1:1">
      <c r="A2108" s="56"/>
    </row>
    <row r="2109" spans="1:1">
      <c r="A2109" s="56"/>
    </row>
    <row r="2110" spans="1:1">
      <c r="A2110" s="56"/>
    </row>
    <row r="2111" spans="1:1">
      <c r="A2111" s="56"/>
    </row>
    <row r="2112" spans="1:1">
      <c r="A2112" s="56"/>
    </row>
    <row r="2113" spans="1:1">
      <c r="A2113" s="56"/>
    </row>
    <row r="2114" spans="1:1">
      <c r="A2114" s="56"/>
    </row>
    <row r="2115" spans="1:1">
      <c r="A2115" s="56"/>
    </row>
    <row r="2116" spans="1:1">
      <c r="A2116" s="56"/>
    </row>
    <row r="2117" spans="1:1">
      <c r="A2117" s="56"/>
    </row>
    <row r="2118" spans="1:1">
      <c r="A2118" s="56"/>
    </row>
    <row r="2119" spans="1:1">
      <c r="A2119" s="56"/>
    </row>
    <row r="2120" spans="1:1">
      <c r="A2120" s="56"/>
    </row>
    <row r="2121" spans="1:1">
      <c r="A2121" s="56"/>
    </row>
    <row r="2122" spans="1:1">
      <c r="A2122" s="56"/>
    </row>
    <row r="2123" spans="1:1">
      <c r="A2123" s="56"/>
    </row>
    <row r="2124" spans="1:1">
      <c r="A2124" s="56"/>
    </row>
    <row r="2125" spans="1:1">
      <c r="A2125" s="56"/>
    </row>
    <row r="2126" spans="1:1">
      <c r="A2126" s="56"/>
    </row>
    <row r="2127" spans="1:1">
      <c r="A2127" s="56"/>
    </row>
    <row r="2128" spans="1:1">
      <c r="A2128" s="56"/>
    </row>
    <row r="2129" spans="1:1">
      <c r="A2129" s="56"/>
    </row>
    <row r="2130" spans="1:1">
      <c r="A2130" s="56"/>
    </row>
    <row r="2131" spans="1:1">
      <c r="A2131" s="56"/>
    </row>
    <row r="2132" spans="1:1">
      <c r="A2132" s="56"/>
    </row>
    <row r="2133" spans="1:1">
      <c r="A2133" s="56"/>
    </row>
    <row r="2134" spans="1:1">
      <c r="A2134" s="56"/>
    </row>
    <row r="2135" spans="1:1">
      <c r="A2135" s="56"/>
    </row>
    <row r="2136" spans="1:1">
      <c r="A2136" s="56"/>
    </row>
    <row r="2137" spans="1:1">
      <c r="A2137" s="56"/>
    </row>
    <row r="2138" spans="1:1">
      <c r="A2138" s="56"/>
    </row>
    <row r="2139" spans="1:1">
      <c r="A2139" s="56"/>
    </row>
    <row r="2140" spans="1:1">
      <c r="A2140" s="56"/>
    </row>
    <row r="2141" spans="1:1">
      <c r="A2141" s="56"/>
    </row>
    <row r="2142" spans="1:1">
      <c r="A2142" s="56"/>
    </row>
    <row r="2143" spans="1:1">
      <c r="A2143" s="56"/>
    </row>
    <row r="2144" spans="1:1">
      <c r="A2144" s="56"/>
    </row>
    <row r="2145" spans="1:1">
      <c r="A2145" s="56"/>
    </row>
    <row r="2146" spans="1:1">
      <c r="A2146" s="56"/>
    </row>
    <row r="2147" spans="1:1">
      <c r="A2147" s="56"/>
    </row>
    <row r="2148" spans="1:1">
      <c r="A2148" s="56"/>
    </row>
    <row r="2149" spans="1:1">
      <c r="A2149" s="56"/>
    </row>
    <row r="2150" spans="1:1">
      <c r="A2150" s="56"/>
    </row>
    <row r="2151" spans="1:1">
      <c r="A2151" s="56"/>
    </row>
    <row r="2152" spans="1:1">
      <c r="A2152" s="56"/>
    </row>
    <row r="2153" spans="1:1">
      <c r="A2153" s="56"/>
    </row>
    <row r="2154" spans="1:1">
      <c r="A2154" s="56"/>
    </row>
    <row r="2155" spans="1:1">
      <c r="A2155" s="56"/>
    </row>
    <row r="2156" spans="1:1">
      <c r="A2156" s="56"/>
    </row>
    <row r="2157" spans="1:1">
      <c r="A2157" s="56"/>
    </row>
    <row r="2158" spans="1:1">
      <c r="A2158" s="56"/>
    </row>
    <row r="2159" spans="1:1">
      <c r="A2159" s="56"/>
    </row>
    <row r="2160" spans="1:1">
      <c r="A2160" s="56"/>
    </row>
    <row r="2161" spans="1:1">
      <c r="A2161" s="56"/>
    </row>
    <row r="2162" spans="1:1">
      <c r="A2162" s="56"/>
    </row>
    <row r="2163" spans="1:1">
      <c r="A2163" s="56"/>
    </row>
    <row r="2164" spans="1:1">
      <c r="A2164" s="56"/>
    </row>
    <row r="2165" spans="1:1">
      <c r="A2165" s="56"/>
    </row>
    <row r="2166" spans="1:1">
      <c r="A2166" s="56"/>
    </row>
    <row r="2167" spans="1:1">
      <c r="A2167" s="56"/>
    </row>
    <row r="2168" spans="1:1">
      <c r="A2168" s="56"/>
    </row>
    <row r="2169" spans="1:1">
      <c r="A2169" s="56"/>
    </row>
    <row r="2170" spans="1:1">
      <c r="A2170" s="56"/>
    </row>
    <row r="2171" spans="1:1">
      <c r="A2171" s="56"/>
    </row>
    <row r="2172" spans="1:1">
      <c r="A2172" s="56"/>
    </row>
    <row r="2173" spans="1:1">
      <c r="A2173" s="56"/>
    </row>
    <row r="2174" spans="1:1">
      <c r="A2174" s="56"/>
    </row>
    <row r="2175" spans="1:1">
      <c r="A2175" s="56"/>
    </row>
    <row r="2176" spans="1:1">
      <c r="A2176" s="56"/>
    </row>
    <row r="2177" spans="1:1">
      <c r="A2177" s="56"/>
    </row>
    <row r="2178" spans="1:1">
      <c r="A2178" s="56"/>
    </row>
    <row r="2179" spans="1:1">
      <c r="A2179" s="56"/>
    </row>
    <row r="2180" spans="1:1">
      <c r="A2180" s="56"/>
    </row>
    <row r="2181" spans="1:1">
      <c r="A2181" s="56"/>
    </row>
    <row r="2182" spans="1:1">
      <c r="A2182" s="56"/>
    </row>
    <row r="2183" spans="1:1">
      <c r="A2183" s="56"/>
    </row>
    <row r="2184" spans="1:1">
      <c r="A2184" s="56"/>
    </row>
    <row r="2185" spans="1:1">
      <c r="A2185" s="56"/>
    </row>
    <row r="2186" spans="1:1">
      <c r="A2186" s="56"/>
    </row>
    <row r="2187" spans="1:1">
      <c r="A2187" s="56"/>
    </row>
    <row r="2188" spans="1:1">
      <c r="A2188" s="56"/>
    </row>
    <row r="2189" spans="1:1">
      <c r="A2189" s="56"/>
    </row>
    <row r="2190" spans="1:1">
      <c r="A2190" s="56"/>
    </row>
    <row r="2191" spans="1:1">
      <c r="A2191" s="56"/>
    </row>
    <row r="2192" spans="1:1">
      <c r="A2192" s="56"/>
    </row>
    <row r="2193" spans="1:1">
      <c r="A2193" s="56"/>
    </row>
    <row r="2194" spans="1:1">
      <c r="A2194" s="56"/>
    </row>
    <row r="2195" spans="1:1">
      <c r="A2195" s="56"/>
    </row>
    <row r="2196" spans="1:1">
      <c r="A2196" s="56"/>
    </row>
    <row r="2197" spans="1:1">
      <c r="A2197" s="56"/>
    </row>
    <row r="2198" spans="1:1">
      <c r="A2198" s="56"/>
    </row>
    <row r="2199" spans="1:1">
      <c r="A2199" s="56"/>
    </row>
    <row r="2200" spans="1:1">
      <c r="A2200" s="56"/>
    </row>
    <row r="2201" spans="1:1">
      <c r="A2201" s="56"/>
    </row>
    <row r="2202" spans="1:1">
      <c r="A2202" s="56"/>
    </row>
    <row r="2203" spans="1:1">
      <c r="A2203" s="56"/>
    </row>
    <row r="2204" spans="1:1">
      <c r="A2204" s="56"/>
    </row>
    <row r="2205" spans="1:1">
      <c r="A2205" s="56"/>
    </row>
    <row r="2206" spans="1:1">
      <c r="A2206" s="56"/>
    </row>
    <row r="2207" spans="1:1">
      <c r="A2207" s="56"/>
    </row>
    <row r="2208" spans="1:1">
      <c r="A2208" s="56"/>
    </row>
    <row r="2209" spans="1:1">
      <c r="A2209" s="56"/>
    </row>
    <row r="2210" spans="1:1">
      <c r="A2210" s="56"/>
    </row>
    <row r="2211" spans="1:1">
      <c r="A2211" s="56"/>
    </row>
    <row r="2212" spans="1:1">
      <c r="A2212" s="56"/>
    </row>
    <row r="2213" spans="1:1">
      <c r="A2213" s="56"/>
    </row>
    <row r="2214" spans="1:1">
      <c r="A2214" s="56"/>
    </row>
    <row r="2215" spans="1:1">
      <c r="A2215" s="56"/>
    </row>
    <row r="2216" spans="1:1">
      <c r="A2216" s="56"/>
    </row>
    <row r="2217" spans="1:1">
      <c r="A2217" s="56"/>
    </row>
    <row r="2218" spans="1:1">
      <c r="A2218" s="56"/>
    </row>
    <row r="2219" spans="1:1">
      <c r="A2219" s="56"/>
    </row>
    <row r="2220" spans="1:1">
      <c r="A2220" s="56"/>
    </row>
    <row r="2221" spans="1:1">
      <c r="A2221" s="56"/>
    </row>
    <row r="2222" spans="1:1">
      <c r="A2222" s="56"/>
    </row>
    <row r="2223" spans="1:1">
      <c r="A2223" s="56"/>
    </row>
    <row r="2224" spans="1:1">
      <c r="A2224" s="56"/>
    </row>
    <row r="2225" spans="1:1">
      <c r="A2225" s="56"/>
    </row>
    <row r="2226" spans="1:1">
      <c r="A2226" s="56"/>
    </row>
    <row r="2227" spans="1:1">
      <c r="A2227" s="56"/>
    </row>
    <row r="2228" spans="1:1">
      <c r="A2228" s="56"/>
    </row>
    <row r="2229" spans="1:1">
      <c r="A2229" s="56"/>
    </row>
    <row r="2230" spans="1:1">
      <c r="A2230" s="56"/>
    </row>
    <row r="2231" spans="1:1">
      <c r="A2231" s="56"/>
    </row>
    <row r="2232" spans="1:1">
      <c r="A2232" s="56"/>
    </row>
    <row r="2233" spans="1:1">
      <c r="A2233" s="56"/>
    </row>
    <row r="2234" spans="1:1">
      <c r="A2234" s="56"/>
    </row>
    <row r="2235" spans="1:1">
      <c r="A2235" s="56"/>
    </row>
    <row r="2236" spans="1:1">
      <c r="A2236" s="56"/>
    </row>
    <row r="2237" spans="1:1">
      <c r="A2237" s="56"/>
    </row>
    <row r="2238" spans="1:1">
      <c r="A2238" s="56"/>
    </row>
    <row r="2239" spans="1:1">
      <c r="A2239" s="56"/>
    </row>
    <row r="2240" spans="1:1">
      <c r="A2240" s="56"/>
    </row>
    <row r="2241" spans="1:1">
      <c r="A2241" s="56"/>
    </row>
    <row r="2242" spans="1:1">
      <c r="A2242" s="56"/>
    </row>
    <row r="2243" spans="1:1">
      <c r="A2243" s="56"/>
    </row>
    <row r="2244" spans="1:1">
      <c r="A2244" s="56"/>
    </row>
    <row r="2245" spans="1:1">
      <c r="A2245" s="56"/>
    </row>
    <row r="2246" spans="1:1">
      <c r="A2246" s="56"/>
    </row>
    <row r="2247" spans="1:1">
      <c r="A2247" s="56"/>
    </row>
    <row r="2248" spans="1:1">
      <c r="A2248" s="56"/>
    </row>
    <row r="2249" spans="1:1">
      <c r="A2249" s="56"/>
    </row>
    <row r="2250" spans="1:1">
      <c r="A2250" s="56"/>
    </row>
    <row r="2251" spans="1:1">
      <c r="A2251" s="56"/>
    </row>
    <row r="2252" spans="1:1">
      <c r="A2252" s="56"/>
    </row>
    <row r="2253" spans="1:1">
      <c r="A2253" s="56"/>
    </row>
    <row r="2254" spans="1:1">
      <c r="A2254" s="56"/>
    </row>
    <row r="2255" spans="1:1">
      <c r="A2255" s="56"/>
    </row>
    <row r="2256" spans="1:1">
      <c r="A2256" s="56"/>
    </row>
    <row r="2257" spans="1:1">
      <c r="A2257" s="56"/>
    </row>
    <row r="2258" spans="1:1">
      <c r="A2258" s="56"/>
    </row>
    <row r="2259" spans="1:1">
      <c r="A2259" s="56"/>
    </row>
    <row r="2260" spans="1:1">
      <c r="A2260" s="56"/>
    </row>
    <row r="2261" spans="1:1">
      <c r="A2261" s="56"/>
    </row>
    <row r="2262" spans="1:1">
      <c r="A2262" s="56"/>
    </row>
    <row r="2263" spans="1:1">
      <c r="A2263" s="56"/>
    </row>
    <row r="2264" spans="1:1">
      <c r="A2264" s="56"/>
    </row>
    <row r="2265" spans="1:1">
      <c r="A2265" s="56"/>
    </row>
    <row r="2266" spans="1:1">
      <c r="A2266" s="56"/>
    </row>
    <row r="2267" spans="1:1">
      <c r="A2267" s="56"/>
    </row>
    <row r="2268" spans="1:1">
      <c r="A2268" s="56"/>
    </row>
    <row r="2269" spans="1:1">
      <c r="A2269" s="56"/>
    </row>
    <row r="2270" spans="1:1">
      <c r="A2270" s="56"/>
    </row>
    <row r="2271" spans="1:1">
      <c r="A2271" s="56"/>
    </row>
    <row r="2272" spans="1:1">
      <c r="A2272" s="56"/>
    </row>
    <row r="2273" spans="1:1">
      <c r="A2273" s="56"/>
    </row>
    <row r="2274" spans="1:1">
      <c r="A2274" s="56"/>
    </row>
    <row r="2275" spans="1:1">
      <c r="A2275" s="56"/>
    </row>
    <row r="2276" spans="1:1">
      <c r="A2276" s="56"/>
    </row>
    <row r="2277" spans="1:1">
      <c r="A2277" s="56"/>
    </row>
    <row r="2278" spans="1:1">
      <c r="A2278" s="56"/>
    </row>
    <row r="2279" spans="1:1">
      <c r="A2279" s="56"/>
    </row>
    <row r="2280" spans="1:1">
      <c r="A2280" s="56"/>
    </row>
    <row r="2281" spans="1:1">
      <c r="A2281" s="56"/>
    </row>
    <row r="2282" spans="1:1">
      <c r="A2282" s="56"/>
    </row>
    <row r="2283" spans="1:1">
      <c r="A2283" s="56"/>
    </row>
    <row r="2284" spans="1:1">
      <c r="A2284" s="56"/>
    </row>
    <row r="2285" spans="1:1">
      <c r="A2285" s="56"/>
    </row>
    <row r="2286" spans="1:1">
      <c r="A2286" s="56"/>
    </row>
    <row r="2287" spans="1:1">
      <c r="A2287" s="56"/>
    </row>
    <row r="2288" spans="1:1">
      <c r="A2288" s="56"/>
    </row>
    <row r="2289" spans="1:1">
      <c r="A2289" s="56"/>
    </row>
    <row r="2290" spans="1:1">
      <c r="A2290" s="56"/>
    </row>
    <row r="2291" spans="1:1">
      <c r="A2291" s="56"/>
    </row>
    <row r="2292" spans="1:1">
      <c r="A2292" s="56"/>
    </row>
    <row r="2293" spans="1:1">
      <c r="A2293" s="56"/>
    </row>
    <row r="2294" spans="1:1">
      <c r="A2294" s="56"/>
    </row>
    <row r="2295" spans="1:1">
      <c r="A2295" s="56"/>
    </row>
    <row r="2296" spans="1:1">
      <c r="A2296" s="56"/>
    </row>
    <row r="2297" spans="1:1">
      <c r="A2297" s="56"/>
    </row>
    <row r="2298" spans="1:1">
      <c r="A2298" s="56"/>
    </row>
    <row r="2299" spans="1:1">
      <c r="A2299" s="56"/>
    </row>
    <row r="2300" spans="1:1">
      <c r="A2300" s="56"/>
    </row>
    <row r="2301" spans="1:1">
      <c r="A2301" s="56"/>
    </row>
    <row r="2302" spans="1:1">
      <c r="A2302" s="56"/>
    </row>
    <row r="2303" spans="1:1">
      <c r="A2303" s="56"/>
    </row>
    <row r="2304" spans="1:1">
      <c r="A2304" s="56"/>
    </row>
    <row r="2305" spans="1:1">
      <c r="A2305" s="56"/>
    </row>
    <row r="2306" spans="1:1">
      <c r="A2306" s="56"/>
    </row>
    <row r="2307" spans="1:1">
      <c r="A2307" s="56"/>
    </row>
    <row r="2308" spans="1:1">
      <c r="A2308" s="56"/>
    </row>
    <row r="2309" spans="1:1">
      <c r="A2309" s="56"/>
    </row>
    <row r="2310" spans="1:1">
      <c r="A2310" s="56"/>
    </row>
    <row r="2311" spans="1:1">
      <c r="A2311" s="56"/>
    </row>
    <row r="2312" spans="1:1">
      <c r="A2312" s="56"/>
    </row>
    <row r="2313" spans="1:1">
      <c r="A2313" s="56"/>
    </row>
    <row r="2314" spans="1:1">
      <c r="A2314" s="56"/>
    </row>
    <row r="2315" spans="1:1">
      <c r="A2315" s="56"/>
    </row>
    <row r="2316" spans="1:1">
      <c r="A2316" s="56"/>
    </row>
    <row r="2317" spans="1:1">
      <c r="A2317" s="56"/>
    </row>
    <row r="2318" spans="1:1">
      <c r="A2318" s="56"/>
    </row>
    <row r="2319" spans="1:1">
      <c r="A2319" s="56"/>
    </row>
    <row r="2320" spans="1:1">
      <c r="A2320" s="56"/>
    </row>
    <row r="2321" spans="1:1">
      <c r="A2321" s="56"/>
    </row>
    <row r="2322" spans="1:1">
      <c r="A2322" s="56"/>
    </row>
    <row r="2323" spans="1:1">
      <c r="A2323" s="56"/>
    </row>
    <row r="2324" spans="1:1">
      <c r="A2324" s="56"/>
    </row>
    <row r="2325" spans="1:1">
      <c r="A2325" s="56"/>
    </row>
    <row r="2326" spans="1:1">
      <c r="A2326" s="56"/>
    </row>
    <row r="2327" spans="1:1">
      <c r="A2327" s="56"/>
    </row>
    <row r="2328" spans="1:1">
      <c r="A2328" s="56"/>
    </row>
    <row r="2329" spans="1:1">
      <c r="A2329" s="56"/>
    </row>
    <row r="2330" spans="1:1">
      <c r="A2330" s="56"/>
    </row>
    <row r="2331" spans="1:1">
      <c r="A2331" s="56"/>
    </row>
    <row r="2332" spans="1:1">
      <c r="A2332" s="56"/>
    </row>
    <row r="2333" spans="1:1">
      <c r="A2333" s="56"/>
    </row>
    <row r="2334" spans="1:1">
      <c r="A2334" s="56"/>
    </row>
    <row r="2335" spans="1:1">
      <c r="A2335" s="56"/>
    </row>
    <row r="2336" spans="1:1">
      <c r="A2336" s="56"/>
    </row>
    <row r="2337" spans="1:1">
      <c r="A2337" s="56"/>
    </row>
    <row r="2338" spans="1:1">
      <c r="A2338" s="56"/>
    </row>
    <row r="2339" spans="1:1">
      <c r="A2339" s="56"/>
    </row>
    <row r="2340" spans="1:1">
      <c r="A2340" s="56"/>
    </row>
    <row r="2341" spans="1:1">
      <c r="A2341" s="56"/>
    </row>
    <row r="2342" spans="1:1">
      <c r="A2342" s="56"/>
    </row>
    <row r="2343" spans="1:1">
      <c r="A2343" s="56"/>
    </row>
    <row r="2344" spans="1:1">
      <c r="A2344" s="56"/>
    </row>
    <row r="2345" spans="1:1">
      <c r="A2345" s="56"/>
    </row>
    <row r="2346" spans="1:1">
      <c r="A2346" s="56"/>
    </row>
    <row r="2347" spans="1:1">
      <c r="A2347" s="56"/>
    </row>
    <row r="2348" spans="1:1">
      <c r="A2348" s="56"/>
    </row>
    <row r="2349" spans="1:1">
      <c r="A2349" s="56"/>
    </row>
    <row r="2350" spans="1:1">
      <c r="A2350" s="56"/>
    </row>
    <row r="2351" spans="1:1">
      <c r="A2351" s="56"/>
    </row>
    <row r="2352" spans="1:1">
      <c r="A2352" s="56"/>
    </row>
    <row r="2353" spans="1:1">
      <c r="A2353" s="56"/>
    </row>
    <row r="2354" spans="1:1">
      <c r="A2354" s="56"/>
    </row>
    <row r="2355" spans="1:1">
      <c r="A2355" s="56"/>
    </row>
    <row r="2356" spans="1:1">
      <c r="A2356" s="56"/>
    </row>
    <row r="2357" spans="1:1">
      <c r="A2357" s="56"/>
    </row>
    <row r="2358" spans="1:1">
      <c r="A2358" s="56"/>
    </row>
    <row r="2359" spans="1:1">
      <c r="A2359" s="56"/>
    </row>
    <row r="2360" spans="1:1">
      <c r="A2360" s="56"/>
    </row>
    <row r="2361" spans="1:1">
      <c r="A2361" s="56"/>
    </row>
    <row r="2362" spans="1:1">
      <c r="A2362" s="56"/>
    </row>
    <row r="2363" spans="1:1">
      <c r="A2363" s="56"/>
    </row>
    <row r="2364" spans="1:1">
      <c r="A2364" s="56"/>
    </row>
    <row r="2365" spans="1:1">
      <c r="A2365" s="56"/>
    </row>
    <row r="2366" spans="1:1">
      <c r="A2366" s="56"/>
    </row>
    <row r="2367" spans="1:1">
      <c r="A2367" s="56"/>
    </row>
    <row r="2368" spans="1:1">
      <c r="A2368" s="56"/>
    </row>
    <row r="2369" spans="1:1">
      <c r="A2369" s="56"/>
    </row>
    <row r="2370" spans="1:1">
      <c r="A2370" s="56"/>
    </row>
    <row r="2371" spans="1:1">
      <c r="A2371" s="56"/>
    </row>
    <row r="2372" spans="1:1">
      <c r="A2372" s="56"/>
    </row>
    <row r="2373" spans="1:1">
      <c r="A2373" s="56"/>
    </row>
    <row r="2374" spans="1:1">
      <c r="A2374" s="56"/>
    </row>
    <row r="2375" spans="1:1">
      <c r="A2375" s="56"/>
    </row>
    <row r="2376" spans="1:1">
      <c r="A2376" s="56"/>
    </row>
    <row r="2377" spans="1:1">
      <c r="A2377" s="56"/>
    </row>
    <row r="2378" spans="1:1">
      <c r="A2378" s="56"/>
    </row>
    <row r="2379" spans="1:1">
      <c r="A2379" s="56"/>
    </row>
    <row r="2380" spans="1:1">
      <c r="A2380" s="56"/>
    </row>
    <row r="2381" spans="1:1">
      <c r="A2381" s="56"/>
    </row>
    <row r="2382" spans="1:1">
      <c r="A2382" s="56"/>
    </row>
    <row r="2383" spans="1:1">
      <c r="A2383" s="56"/>
    </row>
    <row r="2384" spans="1:1">
      <c r="A2384" s="56"/>
    </row>
    <row r="2385" spans="1:1">
      <c r="A2385" s="56"/>
    </row>
    <row r="2386" spans="1:1">
      <c r="A2386" s="56"/>
    </row>
    <row r="2387" spans="1:1">
      <c r="A2387" s="56"/>
    </row>
    <row r="2388" spans="1:1">
      <c r="A2388" s="56"/>
    </row>
    <row r="2389" spans="1:1">
      <c r="A2389" s="56"/>
    </row>
    <row r="2390" spans="1:1">
      <c r="A2390" s="56"/>
    </row>
    <row r="2391" spans="1:1">
      <c r="A2391" s="56"/>
    </row>
    <row r="2392" spans="1:1">
      <c r="A2392" s="56"/>
    </row>
    <row r="2393" spans="1:1">
      <c r="A2393" s="56"/>
    </row>
    <row r="2394" spans="1:1">
      <c r="A2394" s="56"/>
    </row>
    <row r="2395" spans="1:1">
      <c r="A2395" s="56"/>
    </row>
    <row r="2396" spans="1:1">
      <c r="A2396" s="56"/>
    </row>
    <row r="2397" spans="1:1">
      <c r="A2397" s="56"/>
    </row>
    <row r="2398" spans="1:1">
      <c r="A2398" s="56"/>
    </row>
    <row r="2399" spans="1:1">
      <c r="A2399" s="56"/>
    </row>
    <row r="2400" spans="1:1">
      <c r="A2400" s="56"/>
    </row>
    <row r="2401" spans="1:1">
      <c r="A2401" s="56"/>
    </row>
    <row r="2402" spans="1:1">
      <c r="A2402" s="56"/>
    </row>
    <row r="2403" spans="1:1">
      <c r="A2403" s="56"/>
    </row>
    <row r="2404" spans="1:1">
      <c r="A2404" s="56"/>
    </row>
    <row r="2405" spans="1:1">
      <c r="A2405" s="56"/>
    </row>
    <row r="2406" spans="1:1">
      <c r="A2406" s="56"/>
    </row>
    <row r="2407" spans="1:1">
      <c r="A2407" s="56"/>
    </row>
    <row r="2408" spans="1:1">
      <c r="A2408" s="56"/>
    </row>
    <row r="2409" spans="1:1">
      <c r="A2409" s="56"/>
    </row>
    <row r="2410" spans="1:1">
      <c r="A2410" s="56"/>
    </row>
    <row r="2411" spans="1:1">
      <c r="A2411" s="56"/>
    </row>
    <row r="2412" spans="1:1">
      <c r="A2412" s="56"/>
    </row>
    <row r="2413" spans="1:1">
      <c r="A2413" s="56"/>
    </row>
    <row r="2414" spans="1:1">
      <c r="A2414" s="56"/>
    </row>
    <row r="2415" spans="1:1">
      <c r="A2415" s="56"/>
    </row>
    <row r="2416" spans="1:1">
      <c r="A2416" s="56"/>
    </row>
    <row r="2417" spans="1:1">
      <c r="A2417" s="56"/>
    </row>
    <row r="2418" spans="1:1">
      <c r="A2418" s="56"/>
    </row>
    <row r="2419" spans="1:1">
      <c r="A2419" s="56"/>
    </row>
    <row r="2420" spans="1:1">
      <c r="A2420" s="56"/>
    </row>
    <row r="2421" spans="1:1">
      <c r="A2421" s="56"/>
    </row>
    <row r="2422" spans="1:1">
      <c r="A2422" s="56"/>
    </row>
    <row r="2423" spans="1:1">
      <c r="A2423" s="56"/>
    </row>
    <row r="2424" spans="1:1">
      <c r="A2424" s="56"/>
    </row>
    <row r="2425" spans="1:1">
      <c r="A2425" s="56"/>
    </row>
    <row r="2426" spans="1:1">
      <c r="A2426" s="56"/>
    </row>
    <row r="2427" spans="1:1">
      <c r="A2427" s="56"/>
    </row>
    <row r="2428" spans="1:1">
      <c r="A2428" s="56"/>
    </row>
    <row r="2429" spans="1:1">
      <c r="A2429" s="56"/>
    </row>
    <row r="2430" spans="1:1">
      <c r="A2430" s="56"/>
    </row>
    <row r="2431" spans="1:1">
      <c r="A2431" s="56"/>
    </row>
    <row r="2432" spans="1:1">
      <c r="A2432" s="56"/>
    </row>
    <row r="2433" spans="1:1">
      <c r="A2433" s="56"/>
    </row>
    <row r="2434" spans="1:1">
      <c r="A2434" s="56"/>
    </row>
    <row r="2435" spans="1:1">
      <c r="A2435" s="56"/>
    </row>
    <row r="2436" spans="1:1">
      <c r="A2436" s="56"/>
    </row>
    <row r="2437" spans="1:1">
      <c r="A2437" s="56"/>
    </row>
    <row r="2438" spans="1:1">
      <c r="A2438" s="56"/>
    </row>
    <row r="2439" spans="1:1">
      <c r="A2439" s="56"/>
    </row>
    <row r="2440" spans="1:1">
      <c r="A2440" s="56"/>
    </row>
    <row r="2441" spans="1:1">
      <c r="A2441" s="56"/>
    </row>
    <row r="2442" spans="1:1">
      <c r="A2442" s="56"/>
    </row>
    <row r="2443" spans="1:1">
      <c r="A2443" s="56"/>
    </row>
    <row r="2444" spans="1:1">
      <c r="A2444" s="56"/>
    </row>
    <row r="2445" spans="1:1">
      <c r="A2445" s="56"/>
    </row>
    <row r="2446" spans="1:1">
      <c r="A2446" s="56"/>
    </row>
    <row r="2447" spans="1:1">
      <c r="A2447" s="56"/>
    </row>
    <row r="2448" spans="1:1">
      <c r="A2448" s="56"/>
    </row>
    <row r="2449" spans="1:1">
      <c r="A2449" s="56"/>
    </row>
    <row r="2450" spans="1:1">
      <c r="A2450" s="56"/>
    </row>
    <row r="2451" spans="1:1">
      <c r="A2451" s="56"/>
    </row>
    <row r="2452" spans="1:1">
      <c r="A2452" s="56"/>
    </row>
    <row r="2453" spans="1:1">
      <c r="A2453" s="56"/>
    </row>
    <row r="2454" spans="1:1">
      <c r="A2454" s="56"/>
    </row>
    <row r="2455" spans="1:1">
      <c r="A2455" s="56"/>
    </row>
    <row r="2456" spans="1:1">
      <c r="A2456" s="56"/>
    </row>
    <row r="2457" spans="1:1">
      <c r="A2457" s="56"/>
    </row>
    <row r="2458" spans="1:1">
      <c r="A2458" s="56"/>
    </row>
    <row r="2459" spans="1:1">
      <c r="A2459" s="56"/>
    </row>
    <row r="2460" spans="1:1">
      <c r="A2460" s="56"/>
    </row>
    <row r="2461" spans="1:1">
      <c r="A2461" s="56"/>
    </row>
    <row r="2462" spans="1:1">
      <c r="A2462" s="56"/>
    </row>
    <row r="2463" spans="1:1">
      <c r="A2463" s="56"/>
    </row>
    <row r="2464" spans="1:1">
      <c r="A2464" s="56"/>
    </row>
    <row r="2465" spans="1:1">
      <c r="A2465" s="56"/>
    </row>
    <row r="2466" spans="1:1">
      <c r="A2466" s="56"/>
    </row>
    <row r="2467" spans="1:1">
      <c r="A2467" s="56"/>
    </row>
    <row r="2468" spans="1:1">
      <c r="A2468" s="56"/>
    </row>
    <row r="2469" spans="1:1">
      <c r="A2469" s="56"/>
    </row>
    <row r="2470" spans="1:1">
      <c r="A2470" s="56"/>
    </row>
    <row r="2471" spans="1:1">
      <c r="A2471" s="56"/>
    </row>
    <row r="2472" spans="1:1">
      <c r="A2472" s="56"/>
    </row>
    <row r="2473" spans="1:1">
      <c r="A2473" s="56"/>
    </row>
    <row r="2474" spans="1:1">
      <c r="A2474" s="56"/>
    </row>
    <row r="2475" spans="1:1">
      <c r="A2475" s="56"/>
    </row>
    <row r="2476" spans="1:1">
      <c r="A2476" s="56"/>
    </row>
    <row r="2477" spans="1:1">
      <c r="A2477" s="56"/>
    </row>
    <row r="2478" spans="1:1">
      <c r="A2478" s="56"/>
    </row>
    <row r="2479" spans="1:1">
      <c r="A2479" s="56"/>
    </row>
    <row r="2480" spans="1:1">
      <c r="A2480" s="56"/>
    </row>
    <row r="2481" spans="1:1">
      <c r="A2481" s="56"/>
    </row>
    <row r="2482" spans="1:1">
      <c r="A2482" s="56"/>
    </row>
    <row r="2483" spans="1:1">
      <c r="A2483" s="56"/>
    </row>
    <row r="2484" spans="1:1">
      <c r="A2484" s="56"/>
    </row>
    <row r="2485" spans="1:1">
      <c r="A2485" s="56"/>
    </row>
    <row r="2486" spans="1:1">
      <c r="A2486" s="56"/>
    </row>
    <row r="2487" spans="1:1">
      <c r="A2487" s="56"/>
    </row>
    <row r="2488" spans="1:1">
      <c r="A2488" s="56"/>
    </row>
    <row r="2489" spans="1:1">
      <c r="A2489" s="56"/>
    </row>
    <row r="2490" spans="1:1">
      <c r="A2490" s="56"/>
    </row>
    <row r="2491" spans="1:1">
      <c r="A2491" s="56"/>
    </row>
    <row r="2492" spans="1:1">
      <c r="A2492" s="56"/>
    </row>
    <row r="2493" spans="1:1">
      <c r="A2493" s="56"/>
    </row>
    <row r="2494" spans="1:1">
      <c r="A2494" s="56"/>
    </row>
    <row r="2495" spans="1:1">
      <c r="A2495" s="56"/>
    </row>
    <row r="2496" spans="1:1">
      <c r="A2496" s="56"/>
    </row>
    <row r="2497" spans="1:1">
      <c r="A2497" s="56"/>
    </row>
    <row r="2498" spans="1:1">
      <c r="A2498" s="56"/>
    </row>
    <row r="2499" spans="1:1">
      <c r="A2499" s="56"/>
    </row>
    <row r="2500" spans="1:1">
      <c r="A2500" s="56"/>
    </row>
    <row r="2501" spans="1:1">
      <c r="A2501" s="56"/>
    </row>
    <row r="2502" spans="1:1">
      <c r="A2502" s="56"/>
    </row>
    <row r="2503" spans="1:1">
      <c r="A2503" s="56"/>
    </row>
    <row r="2504" spans="1:1">
      <c r="A2504" s="56"/>
    </row>
    <row r="2505" spans="1:1">
      <c r="A2505" s="56"/>
    </row>
    <row r="2506" spans="1:1">
      <c r="A2506" s="56"/>
    </row>
    <row r="2507" spans="1:1">
      <c r="A2507" s="56"/>
    </row>
    <row r="2508" spans="1:1">
      <c r="A2508" s="56"/>
    </row>
    <row r="2509" spans="1:1">
      <c r="A2509" s="56"/>
    </row>
    <row r="2510" spans="1:1">
      <c r="A2510" s="56"/>
    </row>
    <row r="2511" spans="1:1">
      <c r="A2511" s="56"/>
    </row>
    <row r="2512" spans="1:1">
      <c r="A2512" s="56"/>
    </row>
    <row r="2513" spans="1:1">
      <c r="A2513" s="56"/>
    </row>
    <row r="2514" spans="1:1">
      <c r="A2514" s="56"/>
    </row>
    <row r="2515" spans="1:1">
      <c r="A2515" s="56"/>
    </row>
    <row r="2516" spans="1:1">
      <c r="A2516" s="56"/>
    </row>
    <row r="2517" spans="1:1">
      <c r="A2517" s="56"/>
    </row>
    <row r="2518" spans="1:1">
      <c r="A2518" s="56"/>
    </row>
    <row r="2519" spans="1:1">
      <c r="A2519" s="56"/>
    </row>
    <row r="2520" spans="1:1">
      <c r="A2520" s="56"/>
    </row>
    <row r="2521" spans="1:1">
      <c r="A2521" s="56"/>
    </row>
    <row r="2522" spans="1:1">
      <c r="A2522" s="56"/>
    </row>
    <row r="2523" spans="1:1">
      <c r="A2523" s="56"/>
    </row>
    <row r="2524" spans="1:1">
      <c r="A2524" s="56"/>
    </row>
    <row r="2525" spans="1:1">
      <c r="A2525" s="56"/>
    </row>
    <row r="2526" spans="1:1">
      <c r="A2526" s="56"/>
    </row>
    <row r="2527" spans="1:1">
      <c r="A2527" s="56"/>
    </row>
    <row r="2528" spans="1:1">
      <c r="A2528" s="56"/>
    </row>
    <row r="2529" spans="1:1">
      <c r="A2529" s="56"/>
    </row>
    <row r="2530" spans="1:1">
      <c r="A2530" s="56"/>
    </row>
    <row r="2531" spans="1:1">
      <c r="A2531" s="56"/>
    </row>
    <row r="2532" spans="1:1">
      <c r="A2532" s="56"/>
    </row>
    <row r="2533" spans="1:1">
      <c r="A2533" s="56"/>
    </row>
    <row r="2534" spans="1:1">
      <c r="A2534" s="56"/>
    </row>
    <row r="2535" spans="1:1">
      <c r="A2535" s="56"/>
    </row>
    <row r="2536" spans="1:1">
      <c r="A2536" s="56"/>
    </row>
    <row r="2537" spans="1:1">
      <c r="A2537" s="56"/>
    </row>
    <row r="2538" spans="1:1">
      <c r="A2538" s="56"/>
    </row>
    <row r="2539" spans="1:1">
      <c r="A2539" s="56"/>
    </row>
    <row r="2540" spans="1:1">
      <c r="A2540" s="56"/>
    </row>
    <row r="2541" spans="1:1">
      <c r="A2541" s="56"/>
    </row>
    <row r="2542" spans="1:1">
      <c r="A2542" s="56"/>
    </row>
    <row r="2543" spans="1:1">
      <c r="A2543" s="56"/>
    </row>
    <row r="2544" spans="1:1">
      <c r="A2544" s="56"/>
    </row>
    <row r="2545" spans="1:1">
      <c r="A2545" s="56"/>
    </row>
    <row r="2546" spans="1:1">
      <c r="A2546" s="56"/>
    </row>
    <row r="2547" spans="1:1">
      <c r="A2547" s="56"/>
    </row>
    <row r="2548" spans="1:1">
      <c r="A2548" s="56"/>
    </row>
    <row r="2549" spans="1:1">
      <c r="A2549" s="56"/>
    </row>
    <row r="2550" spans="1:1">
      <c r="A2550" s="56"/>
    </row>
    <row r="2551" spans="1:1">
      <c r="A2551" s="56"/>
    </row>
    <row r="2552" spans="1:1">
      <c r="A2552" s="56"/>
    </row>
    <row r="2553" spans="1:1">
      <c r="A2553" s="56"/>
    </row>
    <row r="2554" spans="1:1">
      <c r="A2554" s="56"/>
    </row>
    <row r="2555" spans="1:1">
      <c r="A2555" s="56"/>
    </row>
    <row r="2556" spans="1:1">
      <c r="A2556" s="56"/>
    </row>
    <row r="2557" spans="1:1">
      <c r="A2557" s="56"/>
    </row>
    <row r="2558" spans="1:1">
      <c r="A2558" s="56"/>
    </row>
    <row r="2559" spans="1:1">
      <c r="A2559" s="56"/>
    </row>
    <row r="2560" spans="1:1">
      <c r="A2560" s="56"/>
    </row>
    <row r="2561" spans="1:1">
      <c r="A2561" s="56"/>
    </row>
    <row r="2562" spans="1:1">
      <c r="A2562" s="56"/>
    </row>
    <row r="2563" spans="1:1">
      <c r="A2563" s="56"/>
    </row>
    <row r="2564" spans="1:1">
      <c r="A2564" s="56"/>
    </row>
    <row r="2565" spans="1:1">
      <c r="A2565" s="56"/>
    </row>
    <row r="2566" spans="1:1">
      <c r="A2566" s="56"/>
    </row>
    <row r="2567" spans="1:1">
      <c r="A2567" s="56"/>
    </row>
    <row r="2568" spans="1:1">
      <c r="A2568" s="56"/>
    </row>
    <row r="2569" spans="1:1">
      <c r="A2569" s="56"/>
    </row>
    <row r="2570" spans="1:1">
      <c r="A2570" s="56"/>
    </row>
    <row r="2571" spans="1:1">
      <c r="A2571" s="56"/>
    </row>
    <row r="2572" spans="1:1">
      <c r="A2572" s="56"/>
    </row>
    <row r="2573" spans="1:1">
      <c r="A2573" s="56"/>
    </row>
    <row r="2574" spans="1:1">
      <c r="A2574" s="56"/>
    </row>
    <row r="2575" spans="1:1">
      <c r="A2575" s="56"/>
    </row>
    <row r="2576" spans="1:1">
      <c r="A2576" s="56"/>
    </row>
    <row r="2577" spans="1:1">
      <c r="A2577" s="56"/>
    </row>
    <row r="2578" spans="1:1">
      <c r="A2578" s="56"/>
    </row>
    <row r="2579" spans="1:1">
      <c r="A2579" s="56"/>
    </row>
    <row r="2580" spans="1:1">
      <c r="A2580" s="56"/>
    </row>
    <row r="2581" spans="1:1">
      <c r="A2581" s="56"/>
    </row>
    <row r="2582" spans="1:1">
      <c r="A2582" s="56"/>
    </row>
    <row r="2583" spans="1:1">
      <c r="A2583" s="56"/>
    </row>
    <row r="2584" spans="1:1">
      <c r="A2584" s="56"/>
    </row>
    <row r="2585" spans="1:1">
      <c r="A2585" s="56"/>
    </row>
    <row r="2586" spans="1:1">
      <c r="A2586" s="56"/>
    </row>
    <row r="2587" spans="1:1">
      <c r="A2587" s="56"/>
    </row>
    <row r="2588" spans="1:1">
      <c r="A2588" s="56"/>
    </row>
    <row r="2589" spans="1:1">
      <c r="A2589" s="56"/>
    </row>
    <row r="2590" spans="1:1">
      <c r="A2590" s="56"/>
    </row>
    <row r="2591" spans="1:1">
      <c r="A2591" s="56"/>
    </row>
    <row r="2592" spans="1:1">
      <c r="A2592" s="56"/>
    </row>
    <row r="2593" spans="1:1">
      <c r="A2593" s="56"/>
    </row>
    <row r="2594" spans="1:1">
      <c r="A2594" s="56"/>
    </row>
    <row r="2595" spans="1:1">
      <c r="A2595" s="56"/>
    </row>
    <row r="2596" spans="1:1">
      <c r="A2596" s="56"/>
    </row>
    <row r="2597" spans="1:1">
      <c r="A2597" s="56"/>
    </row>
    <row r="2598" spans="1:1">
      <c r="A2598" s="56"/>
    </row>
    <row r="2599" spans="1:1">
      <c r="A2599" s="56"/>
    </row>
    <row r="2600" spans="1:1">
      <c r="A2600" s="56"/>
    </row>
    <row r="2601" spans="1:1">
      <c r="A2601" s="56"/>
    </row>
    <row r="2602" spans="1:1">
      <c r="A2602" s="56"/>
    </row>
    <row r="2603" spans="1:1">
      <c r="A2603" s="56"/>
    </row>
    <row r="2604" spans="1:1">
      <c r="A2604" s="56"/>
    </row>
    <row r="2605" spans="1:1">
      <c r="A2605" s="56"/>
    </row>
    <row r="2606" spans="1:1">
      <c r="A2606" s="56"/>
    </row>
    <row r="2607" spans="1:1">
      <c r="A2607" s="56"/>
    </row>
    <row r="2608" spans="1:1">
      <c r="A2608" s="56"/>
    </row>
    <row r="2609" spans="1:1">
      <c r="A2609" s="56"/>
    </row>
    <row r="2610" spans="1:1">
      <c r="A2610" s="56"/>
    </row>
    <row r="2611" spans="1:1">
      <c r="A2611" s="56"/>
    </row>
    <row r="2612" spans="1:1">
      <c r="A2612" s="56"/>
    </row>
    <row r="2613" spans="1:1">
      <c r="A2613" s="56"/>
    </row>
    <row r="2614" spans="1:1">
      <c r="A2614" s="56"/>
    </row>
    <row r="2615" spans="1:1">
      <c r="A2615" s="56"/>
    </row>
    <row r="2616" spans="1:1">
      <c r="A2616" s="56"/>
    </row>
    <row r="2617" spans="1:1">
      <c r="A2617" s="56"/>
    </row>
    <row r="2618" spans="1:1">
      <c r="A2618" s="56"/>
    </row>
    <row r="2619" spans="1:1">
      <c r="A2619" s="56"/>
    </row>
    <row r="2620" spans="1:1">
      <c r="A2620" s="56"/>
    </row>
    <row r="2621" spans="1:1">
      <c r="A2621" s="56"/>
    </row>
    <row r="2622" spans="1:1">
      <c r="A2622" s="56"/>
    </row>
    <row r="2623" spans="1:1">
      <c r="A2623" s="56"/>
    </row>
    <row r="2624" spans="1:1">
      <c r="A2624" s="56"/>
    </row>
    <row r="2625" spans="1:1">
      <c r="A2625" s="56"/>
    </row>
    <row r="2626" spans="1:1">
      <c r="A2626" s="56"/>
    </row>
    <row r="2627" spans="1:1">
      <c r="A2627" s="56"/>
    </row>
    <row r="2628" spans="1:1">
      <c r="A2628" s="56"/>
    </row>
    <row r="2629" spans="1:1">
      <c r="A2629" s="56"/>
    </row>
    <row r="2630" spans="1:1">
      <c r="A2630" s="56"/>
    </row>
    <row r="2631" spans="1:1">
      <c r="A2631" s="56"/>
    </row>
    <row r="2632" spans="1:1">
      <c r="A2632" s="56"/>
    </row>
    <row r="2633" spans="1:1">
      <c r="A2633" s="56"/>
    </row>
    <row r="2634" spans="1:1">
      <c r="A2634" s="56"/>
    </row>
    <row r="2635" spans="1:1">
      <c r="A2635" s="56"/>
    </row>
    <row r="2636" spans="1:1">
      <c r="A2636" s="56"/>
    </row>
    <row r="2637" spans="1:1">
      <c r="A2637" s="56"/>
    </row>
    <row r="2638" spans="1:1">
      <c r="A2638" s="56"/>
    </row>
    <row r="2639" spans="1:1">
      <c r="A2639" s="56"/>
    </row>
    <row r="2640" spans="1:1">
      <c r="A2640" s="56"/>
    </row>
    <row r="2641" spans="1:1">
      <c r="A2641" s="56"/>
    </row>
    <row r="2642" spans="1:1">
      <c r="A2642" s="56"/>
    </row>
    <row r="2643" spans="1:1">
      <c r="A2643" s="56"/>
    </row>
    <row r="2644" spans="1:1">
      <c r="A2644" s="56"/>
    </row>
    <row r="2645" spans="1:1">
      <c r="A2645" s="56"/>
    </row>
    <row r="2646" spans="1:1">
      <c r="A2646" s="56"/>
    </row>
    <row r="2647" spans="1:1">
      <c r="A2647" s="56"/>
    </row>
    <row r="2648" spans="1:1">
      <c r="A2648" s="56"/>
    </row>
    <row r="2649" spans="1:1">
      <c r="A2649" s="56"/>
    </row>
    <row r="2650" spans="1:1">
      <c r="A2650" s="56"/>
    </row>
    <row r="2651" spans="1:1">
      <c r="A2651" s="56"/>
    </row>
    <row r="2652" spans="1:1">
      <c r="A2652" s="56"/>
    </row>
    <row r="2653" spans="1:1">
      <c r="A2653" s="56"/>
    </row>
    <row r="2654" spans="1:1">
      <c r="A2654" s="56"/>
    </row>
    <row r="2655" spans="1:1">
      <c r="A2655" s="56"/>
    </row>
    <row r="2656" spans="1:1">
      <c r="A2656" s="56"/>
    </row>
    <row r="2657" spans="1:1">
      <c r="A2657" s="56"/>
    </row>
    <row r="2658" spans="1:1">
      <c r="A2658" s="56"/>
    </row>
    <row r="2659" spans="1:1">
      <c r="A2659" s="56"/>
    </row>
    <row r="2660" spans="1:1">
      <c r="A2660" s="56"/>
    </row>
    <row r="2661" spans="1:1">
      <c r="A2661" s="56"/>
    </row>
    <row r="2662" spans="1:1">
      <c r="A2662" s="56"/>
    </row>
    <row r="2663" spans="1:1">
      <c r="A2663" s="56"/>
    </row>
    <row r="2664" spans="1:1">
      <c r="A2664" s="56"/>
    </row>
    <row r="2665" spans="1:1">
      <c r="A2665" s="56"/>
    </row>
    <row r="2666" spans="1:1">
      <c r="A2666" s="56"/>
    </row>
    <row r="2667" spans="1:1">
      <c r="A2667" s="56"/>
    </row>
    <row r="2668" spans="1:1">
      <c r="A2668" s="56"/>
    </row>
    <row r="2669" spans="1:1">
      <c r="A2669" s="56"/>
    </row>
    <row r="2670" spans="1:1">
      <c r="A2670" s="56"/>
    </row>
    <row r="2671" spans="1:1">
      <c r="A2671" s="56"/>
    </row>
    <row r="2672" spans="1:1">
      <c r="A2672" s="56"/>
    </row>
    <row r="2673" spans="1:1">
      <c r="A2673" s="56"/>
    </row>
    <row r="2674" spans="1:1">
      <c r="A2674" s="56"/>
    </row>
    <row r="2675" spans="1:1">
      <c r="A2675" s="56"/>
    </row>
    <row r="2676" spans="1:1">
      <c r="A2676" s="56"/>
    </row>
    <row r="2677" spans="1:1">
      <c r="A2677" s="56"/>
    </row>
    <row r="2678" spans="1:1">
      <c r="A2678" s="56"/>
    </row>
    <row r="2679" spans="1:1">
      <c r="A2679" s="56"/>
    </row>
    <row r="2680" spans="1:1">
      <c r="A2680" s="56"/>
    </row>
    <row r="2681" spans="1:1">
      <c r="A2681" s="56"/>
    </row>
    <row r="2682" spans="1:1">
      <c r="A2682" s="56"/>
    </row>
    <row r="2683" spans="1:1">
      <c r="A2683" s="56"/>
    </row>
    <row r="2684" spans="1:1">
      <c r="A2684" s="56"/>
    </row>
    <row r="2685" spans="1:1">
      <c r="A2685" s="56"/>
    </row>
    <row r="2686" spans="1:1">
      <c r="A2686" s="56"/>
    </row>
    <row r="2687" spans="1:1">
      <c r="A2687" s="56"/>
    </row>
    <row r="2688" spans="1:1">
      <c r="A2688" s="56"/>
    </row>
    <row r="2689" spans="1:1">
      <c r="A2689" s="56"/>
    </row>
    <row r="2690" spans="1:1">
      <c r="A2690" s="56"/>
    </row>
    <row r="2691" spans="1:1">
      <c r="A2691" s="56"/>
    </row>
    <row r="2692" spans="1:1">
      <c r="A2692" s="56"/>
    </row>
    <row r="2693" spans="1:1">
      <c r="A2693" s="56"/>
    </row>
    <row r="2694" spans="1:1">
      <c r="A2694" s="56"/>
    </row>
    <row r="2695" spans="1:1">
      <c r="A2695" s="56"/>
    </row>
    <row r="2696" spans="1:1">
      <c r="A2696" s="56"/>
    </row>
    <row r="2697" spans="1:1">
      <c r="A2697" s="56"/>
    </row>
    <row r="2698" spans="1:1">
      <c r="A2698" s="56"/>
    </row>
    <row r="2699" spans="1:1">
      <c r="A2699" s="56"/>
    </row>
    <row r="2700" spans="1:1">
      <c r="A2700" s="56"/>
    </row>
    <row r="2701" spans="1:1">
      <c r="A2701" s="56"/>
    </row>
    <row r="2702" spans="1:1">
      <c r="A2702" s="56"/>
    </row>
    <row r="2703" spans="1:1">
      <c r="A2703" s="56"/>
    </row>
    <row r="2704" spans="1:1">
      <c r="A2704" s="56"/>
    </row>
    <row r="2705" spans="1:1">
      <c r="A2705" s="56"/>
    </row>
    <row r="2706" spans="1:1">
      <c r="A2706" s="56"/>
    </row>
    <row r="2707" spans="1:1">
      <c r="A2707" s="56"/>
    </row>
    <row r="2708" spans="1:1">
      <c r="A2708" s="56"/>
    </row>
    <row r="2709" spans="1:1">
      <c r="A2709" s="56"/>
    </row>
    <row r="2710" spans="1:1">
      <c r="A2710" s="56"/>
    </row>
    <row r="2711" spans="1:1">
      <c r="A2711" s="56"/>
    </row>
    <row r="2712" spans="1:1">
      <c r="A2712" s="56"/>
    </row>
    <row r="2713" spans="1:1">
      <c r="A2713" s="56"/>
    </row>
    <row r="2714" spans="1:1">
      <c r="A2714" s="56"/>
    </row>
    <row r="2715" spans="1:1">
      <c r="A2715" s="56"/>
    </row>
    <row r="2716" spans="1:1">
      <c r="A2716" s="56"/>
    </row>
    <row r="2717" spans="1:1">
      <c r="A2717" s="56"/>
    </row>
    <row r="2718" spans="1:1">
      <c r="A2718" s="56"/>
    </row>
    <row r="2719" spans="1:1">
      <c r="A2719" s="56"/>
    </row>
    <row r="2720" spans="1:1">
      <c r="A2720" s="56"/>
    </row>
    <row r="2721" spans="1:1">
      <c r="A2721" s="56"/>
    </row>
    <row r="2722" spans="1:1">
      <c r="A2722" s="56"/>
    </row>
    <row r="2723" spans="1:1">
      <c r="A2723" s="56"/>
    </row>
    <row r="2724" spans="1:1">
      <c r="A2724" s="56"/>
    </row>
    <row r="2725" spans="1:1">
      <c r="A2725" s="56"/>
    </row>
    <row r="2726" spans="1:1">
      <c r="A2726" s="56"/>
    </row>
    <row r="2727" spans="1:1">
      <c r="A2727" s="56"/>
    </row>
    <row r="2728" spans="1:1">
      <c r="A2728" s="56"/>
    </row>
    <row r="2729" spans="1:1">
      <c r="A2729" s="56"/>
    </row>
    <row r="2730" spans="1:1">
      <c r="A2730" s="56"/>
    </row>
    <row r="2731" spans="1:1">
      <c r="A2731" s="56"/>
    </row>
    <row r="2732" spans="1:1">
      <c r="A2732" s="56"/>
    </row>
    <row r="2733" spans="1:1">
      <c r="A2733" s="56"/>
    </row>
    <row r="2734" spans="1:1">
      <c r="A2734" s="56"/>
    </row>
    <row r="2735" spans="1:1">
      <c r="A2735" s="56"/>
    </row>
    <row r="2736" spans="1:1">
      <c r="A2736" s="56"/>
    </row>
    <row r="2737" spans="1:1">
      <c r="A2737" s="56"/>
    </row>
    <row r="2738" spans="1:1">
      <c r="A2738" s="56"/>
    </row>
    <row r="2739" spans="1:1">
      <c r="A2739" s="56"/>
    </row>
    <row r="2740" spans="1:1">
      <c r="A2740" s="56"/>
    </row>
    <row r="2741" spans="1:1">
      <c r="A2741" s="56"/>
    </row>
    <row r="2742" spans="1:1">
      <c r="A2742" s="56"/>
    </row>
    <row r="2743" spans="1:1">
      <c r="A2743" s="56"/>
    </row>
    <row r="2744" spans="1:1">
      <c r="A2744" s="56"/>
    </row>
    <row r="2745" spans="1:1">
      <c r="A2745" s="56"/>
    </row>
    <row r="2746" spans="1:1">
      <c r="A2746" s="56"/>
    </row>
    <row r="2747" spans="1:1">
      <c r="A2747" s="56"/>
    </row>
    <row r="2748" spans="1:1">
      <c r="A2748" s="56"/>
    </row>
    <row r="2749" spans="1:1">
      <c r="A2749" s="56"/>
    </row>
    <row r="2750" spans="1:1">
      <c r="A2750" s="56"/>
    </row>
    <row r="2751" spans="1:1">
      <c r="A2751" s="56"/>
    </row>
    <row r="2752" spans="1:1">
      <c r="A2752" s="56"/>
    </row>
    <row r="2753" spans="1:1">
      <c r="A2753" s="56"/>
    </row>
    <row r="2754" spans="1:1">
      <c r="A2754" s="56"/>
    </row>
    <row r="2755" spans="1:1">
      <c r="A2755" s="56"/>
    </row>
    <row r="2756" spans="1:1">
      <c r="A2756" s="56"/>
    </row>
    <row r="2757" spans="1:1">
      <c r="A2757" s="56"/>
    </row>
    <row r="2758" spans="1:1">
      <c r="A2758" s="56"/>
    </row>
    <row r="2759" spans="1:1">
      <c r="A2759" s="56"/>
    </row>
    <row r="2760" spans="1:1">
      <c r="A2760" s="56"/>
    </row>
    <row r="2761" spans="1:1">
      <c r="A2761" s="56"/>
    </row>
    <row r="2762" spans="1:1">
      <c r="A2762" s="56"/>
    </row>
    <row r="2763" spans="1:1">
      <c r="A2763" s="56"/>
    </row>
    <row r="2764" spans="1:1">
      <c r="A2764" s="56"/>
    </row>
    <row r="2765" spans="1:1">
      <c r="A2765" s="56"/>
    </row>
    <row r="2766" spans="1:1">
      <c r="A2766" s="56"/>
    </row>
    <row r="2767" spans="1:1">
      <c r="A2767" s="56"/>
    </row>
    <row r="2768" spans="1:1">
      <c r="A2768" s="56"/>
    </row>
    <row r="2769" spans="1:1">
      <c r="A2769" s="56"/>
    </row>
    <row r="2770" spans="1:1">
      <c r="A2770" s="56"/>
    </row>
    <row r="2771" spans="1:1">
      <c r="A2771" s="56"/>
    </row>
    <row r="2772" spans="1:1">
      <c r="A2772" s="56"/>
    </row>
    <row r="2773" spans="1:1">
      <c r="A2773" s="56"/>
    </row>
    <row r="2774" spans="1:1">
      <c r="A2774" s="56"/>
    </row>
    <row r="2775" spans="1:1">
      <c r="A2775" s="56"/>
    </row>
    <row r="2776" spans="1:1">
      <c r="A2776" s="56"/>
    </row>
    <row r="2777" spans="1:1">
      <c r="A2777" s="56"/>
    </row>
    <row r="2778" spans="1:1">
      <c r="A2778" s="56"/>
    </row>
    <row r="2779" spans="1:1">
      <c r="A2779" s="56"/>
    </row>
    <row r="2780" spans="1:1">
      <c r="A2780" s="56"/>
    </row>
    <row r="2781" spans="1:1">
      <c r="A2781" s="56"/>
    </row>
    <row r="2782" spans="1:1">
      <c r="A2782" s="56"/>
    </row>
    <row r="2783" spans="1:1">
      <c r="A2783" s="56"/>
    </row>
    <row r="2784" spans="1:1">
      <c r="A2784" s="56"/>
    </row>
    <row r="2785" spans="1:1">
      <c r="A2785" s="56"/>
    </row>
    <row r="2786" spans="1:1">
      <c r="A2786" s="56"/>
    </row>
    <row r="2787" spans="1:1">
      <c r="A2787" s="56"/>
    </row>
    <row r="2788" spans="1:1">
      <c r="A2788" s="56"/>
    </row>
    <row r="2789" spans="1:1">
      <c r="A2789" s="56"/>
    </row>
    <row r="2790" spans="1:1">
      <c r="A2790" s="56"/>
    </row>
    <row r="2791" spans="1:1">
      <c r="A2791" s="56"/>
    </row>
    <row r="2792" spans="1:1">
      <c r="A2792" s="56"/>
    </row>
    <row r="2793" spans="1:1">
      <c r="A2793" s="56"/>
    </row>
    <row r="2794" spans="1:1">
      <c r="A2794" s="56"/>
    </row>
    <row r="2795" spans="1:1">
      <c r="A2795" s="56"/>
    </row>
    <row r="2796" spans="1:1">
      <c r="A2796" s="56"/>
    </row>
    <row r="2797" spans="1:1">
      <c r="A2797" s="56"/>
    </row>
    <row r="2798" spans="1:1">
      <c r="A2798" s="56"/>
    </row>
    <row r="2799" spans="1:1">
      <c r="A2799" s="56"/>
    </row>
    <row r="2800" spans="1:1">
      <c r="A2800" s="56"/>
    </row>
    <row r="2801" spans="1:1">
      <c r="A2801" s="56"/>
    </row>
    <row r="2802" spans="1:1">
      <c r="A2802" s="56"/>
    </row>
    <row r="2803" spans="1:1">
      <c r="A2803" s="56"/>
    </row>
    <row r="2804" spans="1:1">
      <c r="A2804" s="56"/>
    </row>
    <row r="2805" spans="1:1">
      <c r="A2805" s="56"/>
    </row>
    <row r="2806" spans="1:1">
      <c r="A2806" s="56"/>
    </row>
    <row r="2807" spans="1:1">
      <c r="A2807" s="56"/>
    </row>
    <row r="2808" spans="1:1">
      <c r="A2808" s="56"/>
    </row>
    <row r="2809" spans="1:1">
      <c r="A2809" s="56"/>
    </row>
    <row r="2810" spans="1:1">
      <c r="A2810" s="56"/>
    </row>
    <row r="2811" spans="1:1">
      <c r="A2811" s="56"/>
    </row>
    <row r="2812" spans="1:1">
      <c r="A2812" s="56"/>
    </row>
    <row r="2813" spans="1:1">
      <c r="A2813" s="56"/>
    </row>
    <row r="2814" spans="1:1">
      <c r="A2814" s="56"/>
    </row>
    <row r="2815" spans="1:1">
      <c r="A2815" s="56"/>
    </row>
    <row r="2816" spans="1:1">
      <c r="A2816" s="56"/>
    </row>
    <row r="2817" spans="1:1">
      <c r="A2817" s="56"/>
    </row>
    <row r="2818" spans="1:1">
      <c r="A2818" s="56"/>
    </row>
    <row r="2819" spans="1:1">
      <c r="A2819" s="56"/>
    </row>
    <row r="2820" spans="1:1">
      <c r="A2820" s="56"/>
    </row>
    <row r="2821" spans="1:1">
      <c r="A2821" s="56"/>
    </row>
    <row r="2822" spans="1:1">
      <c r="A2822" s="56"/>
    </row>
    <row r="2823" spans="1:1">
      <c r="A2823" s="56"/>
    </row>
    <row r="2824" spans="1:1">
      <c r="A2824" s="56"/>
    </row>
    <row r="2825" spans="1:1">
      <c r="A2825" s="56"/>
    </row>
    <row r="2826" spans="1:1">
      <c r="A2826" s="56"/>
    </row>
    <row r="2827" spans="1:1">
      <c r="A2827" s="56"/>
    </row>
    <row r="2828" spans="1:1">
      <c r="A2828" s="56"/>
    </row>
    <row r="2829" spans="1:1">
      <c r="A2829" s="56"/>
    </row>
    <row r="2830" spans="1:1">
      <c r="A2830" s="56"/>
    </row>
    <row r="2831" spans="1:1">
      <c r="A2831" s="56"/>
    </row>
    <row r="2832" spans="1:1">
      <c r="A2832" s="56"/>
    </row>
    <row r="2833" spans="1:1">
      <c r="A2833" s="56"/>
    </row>
    <row r="2834" spans="1:1">
      <c r="A2834" s="56"/>
    </row>
    <row r="2835" spans="1:1">
      <c r="A2835" s="56"/>
    </row>
    <row r="2836" spans="1:1">
      <c r="A2836" s="56"/>
    </row>
    <row r="2837" spans="1:1">
      <c r="A2837" s="56"/>
    </row>
    <row r="2838" spans="1:1">
      <c r="A2838" s="56"/>
    </row>
    <row r="2839" spans="1:1">
      <c r="A2839" s="56"/>
    </row>
    <row r="2840" spans="1:1">
      <c r="A2840" s="56"/>
    </row>
    <row r="2841" spans="1:1">
      <c r="A2841" s="56"/>
    </row>
    <row r="2842" spans="1:1">
      <c r="A2842" s="56"/>
    </row>
    <row r="2843" spans="1:1">
      <c r="A2843" s="56"/>
    </row>
    <row r="2844" spans="1:1">
      <c r="A2844" s="56"/>
    </row>
    <row r="2845" spans="1:1">
      <c r="A2845" s="56"/>
    </row>
    <row r="2846" spans="1:1">
      <c r="A2846" s="56"/>
    </row>
    <row r="2847" spans="1:1">
      <c r="A2847" s="56"/>
    </row>
    <row r="2848" spans="1:1">
      <c r="A2848" s="56"/>
    </row>
    <row r="2849" spans="1:1">
      <c r="A2849" s="56"/>
    </row>
    <row r="2850" spans="1:1">
      <c r="A2850" s="56"/>
    </row>
    <row r="2851" spans="1:1">
      <c r="A2851" s="56"/>
    </row>
    <row r="2852" spans="1:1">
      <c r="A2852" s="56"/>
    </row>
    <row r="2853" spans="1:1">
      <c r="A2853" s="56"/>
    </row>
    <row r="2854" spans="1:1">
      <c r="A2854" s="56"/>
    </row>
    <row r="2855" spans="1:1">
      <c r="A2855" s="56"/>
    </row>
    <row r="2856" spans="1:1">
      <c r="A2856" s="56"/>
    </row>
    <row r="2857" spans="1:1">
      <c r="A2857" s="56"/>
    </row>
    <row r="2858" spans="1:1">
      <c r="A2858" s="56"/>
    </row>
    <row r="2859" spans="1:1">
      <c r="A2859" s="56"/>
    </row>
    <row r="2860" spans="1:1">
      <c r="A2860" s="56"/>
    </row>
    <row r="2861" spans="1:1">
      <c r="A2861" s="56"/>
    </row>
    <row r="2862" spans="1:1">
      <c r="A2862" s="56"/>
    </row>
    <row r="2863" spans="1:1">
      <c r="A2863" s="56"/>
    </row>
    <row r="2864" spans="1:1">
      <c r="A2864" s="56"/>
    </row>
    <row r="2865" spans="1:1">
      <c r="A2865" s="56"/>
    </row>
    <row r="2866" spans="1:1">
      <c r="A2866" s="56"/>
    </row>
    <row r="2867" spans="1:1">
      <c r="A2867" s="56"/>
    </row>
    <row r="2868" spans="1:1">
      <c r="A2868" s="56"/>
    </row>
    <row r="2869" spans="1:1">
      <c r="A2869" s="56"/>
    </row>
    <row r="2870" spans="1:1">
      <c r="A2870" s="56"/>
    </row>
    <row r="2871" spans="1:1">
      <c r="A2871" s="56"/>
    </row>
    <row r="2872" spans="1:1">
      <c r="A2872" s="56"/>
    </row>
    <row r="2873" spans="1:1">
      <c r="A2873" s="56"/>
    </row>
    <row r="2874" spans="1:1">
      <c r="A2874" s="56"/>
    </row>
    <row r="2875" spans="1:1">
      <c r="A2875" s="56"/>
    </row>
    <row r="2876" spans="1:1">
      <c r="A2876" s="56"/>
    </row>
    <row r="2877" spans="1:1">
      <c r="A2877" s="56"/>
    </row>
    <row r="2878" spans="1:1">
      <c r="A2878" s="56"/>
    </row>
    <row r="2879" spans="1:1">
      <c r="A2879" s="56"/>
    </row>
    <row r="2880" spans="1:1">
      <c r="A2880" s="56"/>
    </row>
    <row r="2881" spans="1:1">
      <c r="A2881" s="56"/>
    </row>
    <row r="2882" spans="1:1">
      <c r="A2882" s="56"/>
    </row>
    <row r="2883" spans="1:1">
      <c r="A2883" s="56"/>
    </row>
    <row r="2884" spans="1:1">
      <c r="A2884" s="56"/>
    </row>
    <row r="2885" spans="1:1">
      <c r="A2885" s="56"/>
    </row>
    <row r="2886" spans="1:1">
      <c r="A2886" s="56"/>
    </row>
    <row r="2887" spans="1:1">
      <c r="A2887" s="56"/>
    </row>
    <row r="2888" spans="1:1">
      <c r="A2888" s="56"/>
    </row>
    <row r="2889" spans="1:1">
      <c r="A2889" s="56"/>
    </row>
    <row r="2890" spans="1:1">
      <c r="A2890" s="56"/>
    </row>
    <row r="2891" spans="1:1">
      <c r="A2891" s="56"/>
    </row>
    <row r="2892" spans="1:1">
      <c r="A2892" s="56"/>
    </row>
    <row r="2893" spans="1:1">
      <c r="A2893" s="56"/>
    </row>
    <row r="2894" spans="1:1">
      <c r="A2894" s="56"/>
    </row>
    <row r="2895" spans="1:1">
      <c r="A2895" s="56"/>
    </row>
    <row r="2896" spans="1:1">
      <c r="A2896" s="56"/>
    </row>
    <row r="2897" spans="1:1">
      <c r="A2897" s="56"/>
    </row>
    <row r="2898" spans="1:1">
      <c r="A2898" s="56"/>
    </row>
    <row r="2899" spans="1:1">
      <c r="A2899" s="56"/>
    </row>
    <row r="2900" spans="1:1">
      <c r="A2900" s="56"/>
    </row>
    <row r="2901" spans="1:1">
      <c r="A2901" s="56"/>
    </row>
    <row r="2902" spans="1:1">
      <c r="A2902" s="56"/>
    </row>
    <row r="2903" spans="1:1">
      <c r="A2903" s="56"/>
    </row>
    <row r="2904" spans="1:1">
      <c r="A2904" s="56"/>
    </row>
    <row r="2905" spans="1:1">
      <c r="A2905" s="56"/>
    </row>
    <row r="2906" spans="1:1">
      <c r="A2906" s="56"/>
    </row>
    <row r="2907" spans="1:1">
      <c r="A2907" s="56"/>
    </row>
    <row r="2908" spans="1:1">
      <c r="A2908" s="56"/>
    </row>
    <row r="2909" spans="1:1">
      <c r="A2909" s="56"/>
    </row>
    <row r="2910" spans="1:1">
      <c r="A2910" s="56"/>
    </row>
    <row r="2911" spans="1:1">
      <c r="A2911" s="56"/>
    </row>
    <row r="2912" spans="1:1">
      <c r="A2912" s="56"/>
    </row>
    <row r="2913" spans="1:1">
      <c r="A2913" s="56"/>
    </row>
    <row r="2914" spans="1:1">
      <c r="A2914" s="56"/>
    </row>
    <row r="2915" spans="1:1">
      <c r="A2915" s="56"/>
    </row>
    <row r="2916" spans="1:1">
      <c r="A2916" s="56"/>
    </row>
    <row r="2917" spans="1:1">
      <c r="A2917" s="56"/>
    </row>
    <row r="2918" spans="1:1">
      <c r="A2918" s="56"/>
    </row>
    <row r="2919" spans="1:1">
      <c r="A2919" s="56"/>
    </row>
    <row r="2920" spans="1:1">
      <c r="A2920" s="56"/>
    </row>
    <row r="2921" spans="1:1">
      <c r="A2921" s="56"/>
    </row>
    <row r="2922" spans="1:1">
      <c r="A2922" s="56"/>
    </row>
    <row r="2923" spans="1:1">
      <c r="A2923" s="56"/>
    </row>
    <row r="2924" spans="1:1">
      <c r="A2924" s="56"/>
    </row>
    <row r="2925" spans="1:1">
      <c r="A2925" s="56"/>
    </row>
    <row r="2926" spans="1:1">
      <c r="A2926" s="56"/>
    </row>
    <row r="2927" spans="1:1">
      <c r="A2927" s="56"/>
    </row>
    <row r="2928" spans="1:1">
      <c r="A2928" s="56"/>
    </row>
    <row r="2929" spans="1:1">
      <c r="A2929" s="56"/>
    </row>
    <row r="2930" spans="1:1">
      <c r="A2930" s="56"/>
    </row>
    <row r="2931" spans="1:1">
      <c r="A2931" s="56"/>
    </row>
    <row r="2932" spans="1:1">
      <c r="A2932" s="56"/>
    </row>
    <row r="2933" spans="1:1">
      <c r="A2933" s="56"/>
    </row>
    <row r="2934" spans="1:1">
      <c r="A2934" s="56"/>
    </row>
    <row r="2935" spans="1:1">
      <c r="A2935" s="56"/>
    </row>
    <row r="2936" spans="1:1">
      <c r="A2936" s="56"/>
    </row>
    <row r="2937" spans="1:1">
      <c r="A2937" s="56"/>
    </row>
    <row r="2938" spans="1:1">
      <c r="A2938" s="56"/>
    </row>
    <row r="2939" spans="1:1">
      <c r="A2939" s="56"/>
    </row>
    <row r="2940" spans="1:1">
      <c r="A2940" s="56"/>
    </row>
    <row r="2941" spans="1:1">
      <c r="A2941" s="56"/>
    </row>
    <row r="2942" spans="1:1">
      <c r="A2942" s="56"/>
    </row>
    <row r="2943" spans="1:1">
      <c r="A2943" s="56"/>
    </row>
    <row r="2944" spans="1:1">
      <c r="A2944" s="56"/>
    </row>
    <row r="2945" spans="1:1">
      <c r="A2945" s="56"/>
    </row>
    <row r="2946" spans="1:1">
      <c r="A2946" s="56"/>
    </row>
    <row r="2947" spans="1:1">
      <c r="A2947" s="56"/>
    </row>
    <row r="2948" spans="1:1">
      <c r="A2948" s="56"/>
    </row>
    <row r="2949" spans="1:1">
      <c r="A2949" s="56"/>
    </row>
    <row r="2950" spans="1:1">
      <c r="A2950" s="56"/>
    </row>
    <row r="2951" spans="1:1">
      <c r="A2951" s="56"/>
    </row>
    <row r="2952" spans="1:1">
      <c r="A2952" s="56"/>
    </row>
    <row r="2953" spans="1:1">
      <c r="A2953" s="56"/>
    </row>
    <row r="2954" spans="1:1">
      <c r="A2954" s="56"/>
    </row>
    <row r="2955" spans="1:1">
      <c r="A2955" s="56"/>
    </row>
    <row r="2956" spans="1:1">
      <c r="A2956" s="56"/>
    </row>
    <row r="2957" spans="1:1">
      <c r="A2957" s="56"/>
    </row>
    <row r="2958" spans="1:1">
      <c r="A2958" s="56"/>
    </row>
    <row r="2959" spans="1:1">
      <c r="A2959" s="56"/>
    </row>
    <row r="2960" spans="1:1">
      <c r="A2960" s="56"/>
    </row>
    <row r="2961" spans="1:1">
      <c r="A2961" s="56"/>
    </row>
    <row r="2962" spans="1:1">
      <c r="A2962" s="56"/>
    </row>
    <row r="2963" spans="1:1">
      <c r="A2963" s="56"/>
    </row>
    <row r="2964" spans="1:1">
      <c r="A2964" s="56"/>
    </row>
    <row r="2965" spans="1:1">
      <c r="A2965" s="56"/>
    </row>
    <row r="2966" spans="1:1">
      <c r="A2966" s="56"/>
    </row>
    <row r="2967" spans="1:1">
      <c r="A2967" s="56"/>
    </row>
    <row r="2968" spans="1:1">
      <c r="A2968" s="56"/>
    </row>
    <row r="2969" spans="1:1">
      <c r="A2969" s="56"/>
    </row>
    <row r="2970" spans="1:1">
      <c r="A2970" s="56"/>
    </row>
    <row r="2971" spans="1:1">
      <c r="A2971" s="56"/>
    </row>
    <row r="2972" spans="1:1">
      <c r="A2972" s="56"/>
    </row>
    <row r="2973" spans="1:1">
      <c r="A2973" s="56"/>
    </row>
    <row r="2974" spans="1:1">
      <c r="A2974" s="56"/>
    </row>
    <row r="2975" spans="1:1">
      <c r="A2975" s="56"/>
    </row>
    <row r="2976" spans="1:1">
      <c r="A2976" s="56"/>
    </row>
    <row r="2977" spans="1:1">
      <c r="A2977" s="56"/>
    </row>
    <row r="2978" spans="1:1">
      <c r="A2978" s="56"/>
    </row>
    <row r="2979" spans="1:1">
      <c r="A2979" s="56"/>
    </row>
    <row r="2980" spans="1:1">
      <c r="A2980" s="56"/>
    </row>
    <row r="2981" spans="1:1">
      <c r="A2981" s="56"/>
    </row>
    <row r="2982" spans="1:1">
      <c r="A2982" s="56"/>
    </row>
    <row r="2983" spans="1:1">
      <c r="A2983" s="56"/>
    </row>
    <row r="2984" spans="1:1">
      <c r="A2984" s="56"/>
    </row>
    <row r="2985" spans="1:1">
      <c r="A2985" s="56"/>
    </row>
    <row r="2986" spans="1:1">
      <c r="A2986" s="56"/>
    </row>
    <row r="2987" spans="1:1">
      <c r="A2987" s="56"/>
    </row>
    <row r="2988" spans="1:1">
      <c r="A2988" s="56"/>
    </row>
    <row r="2989" spans="1:1">
      <c r="A2989" s="56"/>
    </row>
    <row r="2990" spans="1:1">
      <c r="A2990" s="56"/>
    </row>
    <row r="2991" spans="1:1">
      <c r="A2991" s="56"/>
    </row>
    <row r="2992" spans="1:1">
      <c r="A2992" s="56"/>
    </row>
    <row r="2993" spans="1:1">
      <c r="A2993" s="56"/>
    </row>
    <row r="2994" spans="1:1">
      <c r="A2994" s="56"/>
    </row>
    <row r="2995" spans="1:1">
      <c r="A2995" s="56"/>
    </row>
    <row r="2996" spans="1:1">
      <c r="A2996" s="56"/>
    </row>
    <row r="2997" spans="1:1">
      <c r="A2997" s="56"/>
    </row>
    <row r="2998" spans="1:1">
      <c r="A2998" s="56"/>
    </row>
    <row r="2999" spans="1:1">
      <c r="A2999" s="56"/>
    </row>
    <row r="3000" spans="1:1">
      <c r="A3000" s="56"/>
    </row>
    <row r="3001" spans="1:1">
      <c r="A3001" s="56"/>
    </row>
    <row r="3002" spans="1:1">
      <c r="A3002" s="56"/>
    </row>
    <row r="3003" spans="1:1">
      <c r="A3003" s="56"/>
    </row>
    <row r="3004" spans="1:1">
      <c r="A3004" s="56"/>
    </row>
    <row r="3005" spans="1:1">
      <c r="A3005" s="56"/>
    </row>
    <row r="3006" spans="1:1">
      <c r="A3006" s="56"/>
    </row>
    <row r="3007" spans="1:1">
      <c r="A3007" s="56"/>
    </row>
    <row r="3008" spans="1:1">
      <c r="A3008" s="56"/>
    </row>
    <row r="3009" spans="1:1">
      <c r="A3009" s="56"/>
    </row>
    <row r="3010" spans="1:1">
      <c r="A3010" s="56"/>
    </row>
    <row r="3011" spans="1:1">
      <c r="A3011" s="56"/>
    </row>
    <row r="3012" spans="1:1">
      <c r="A3012" s="56"/>
    </row>
    <row r="3013" spans="1:1">
      <c r="A3013" s="56"/>
    </row>
    <row r="3014" spans="1:1">
      <c r="A3014" s="56"/>
    </row>
    <row r="3015" spans="1:1">
      <c r="A3015" s="56"/>
    </row>
    <row r="3016" spans="1:1">
      <c r="A3016" s="56"/>
    </row>
    <row r="3017" spans="1:1">
      <c r="A3017" s="56"/>
    </row>
    <row r="3018" spans="1:1">
      <c r="A3018" s="56"/>
    </row>
    <row r="3019" spans="1:1">
      <c r="A3019" s="56"/>
    </row>
    <row r="3020" spans="1:1">
      <c r="A3020" s="56"/>
    </row>
    <row r="3021" spans="1:1">
      <c r="A3021" s="56"/>
    </row>
    <row r="3022" spans="1:1">
      <c r="A3022" s="56"/>
    </row>
    <row r="3023" spans="1:1">
      <c r="A3023" s="56"/>
    </row>
    <row r="3024" spans="1:1">
      <c r="A3024" s="56"/>
    </row>
    <row r="3025" spans="1:1">
      <c r="A3025" s="56"/>
    </row>
    <row r="3026" spans="1:1">
      <c r="A3026" s="56"/>
    </row>
    <row r="3027" spans="1:1">
      <c r="A3027" s="56"/>
    </row>
    <row r="3028" spans="1:1">
      <c r="A3028" s="56"/>
    </row>
    <row r="3029" spans="1:1">
      <c r="A3029" s="56"/>
    </row>
    <row r="3030" spans="1:1">
      <c r="A3030" s="56"/>
    </row>
    <row r="3031" spans="1:1">
      <c r="A3031" s="56"/>
    </row>
    <row r="3032" spans="1:1">
      <c r="A3032" s="56"/>
    </row>
    <row r="3033" spans="1:1">
      <c r="A3033" s="56"/>
    </row>
    <row r="3034" spans="1:1">
      <c r="A3034" s="56"/>
    </row>
    <row r="3035" spans="1:1">
      <c r="A3035" s="56"/>
    </row>
    <row r="3036" spans="1:1">
      <c r="A3036" s="56"/>
    </row>
    <row r="3037" spans="1:1">
      <c r="A3037" s="56"/>
    </row>
    <row r="3038" spans="1:1">
      <c r="A3038" s="56"/>
    </row>
    <row r="3039" spans="1:1">
      <c r="A3039" s="56"/>
    </row>
    <row r="3040" spans="1:1">
      <c r="A3040" s="56"/>
    </row>
    <row r="3041" spans="1:1">
      <c r="A3041" s="56"/>
    </row>
    <row r="3042" spans="1:1">
      <c r="A3042" s="56"/>
    </row>
    <row r="3043" spans="1:1">
      <c r="A3043" s="56"/>
    </row>
    <row r="3044" spans="1:1">
      <c r="A3044" s="56"/>
    </row>
    <row r="3045" spans="1:1">
      <c r="A3045" s="56"/>
    </row>
    <row r="3046" spans="1:1">
      <c r="A3046" s="56"/>
    </row>
    <row r="3047" spans="1:1">
      <c r="A3047" s="56"/>
    </row>
    <row r="3048" spans="1:1">
      <c r="A3048" s="56"/>
    </row>
    <row r="3049" spans="1:1">
      <c r="A3049" s="56"/>
    </row>
    <row r="3050" spans="1:1">
      <c r="A3050" s="56"/>
    </row>
    <row r="3051" spans="1:1">
      <c r="A3051" s="56"/>
    </row>
    <row r="3052" spans="1:1">
      <c r="A3052" s="56"/>
    </row>
    <row r="3053" spans="1:1">
      <c r="A3053" s="56"/>
    </row>
    <row r="3054" spans="1:1">
      <c r="A3054" s="56"/>
    </row>
    <row r="3055" spans="1:1">
      <c r="A3055" s="56"/>
    </row>
    <row r="3056" spans="1:1">
      <c r="A3056" s="56"/>
    </row>
    <row r="3057" spans="1:1">
      <c r="A3057" s="56"/>
    </row>
    <row r="3058" spans="1:1">
      <c r="A3058" s="56"/>
    </row>
    <row r="3059" spans="1:1">
      <c r="A3059" s="56"/>
    </row>
    <row r="3060" spans="1:1">
      <c r="A3060" s="56"/>
    </row>
    <row r="3061" spans="1:1">
      <c r="A3061" s="56"/>
    </row>
    <row r="3062" spans="1:1">
      <c r="A3062" s="56"/>
    </row>
    <row r="3063" spans="1:1">
      <c r="A3063" s="56"/>
    </row>
    <row r="3064" spans="1:1">
      <c r="A3064" s="56"/>
    </row>
    <row r="3065" spans="1:1">
      <c r="A3065" s="56"/>
    </row>
    <row r="3066" spans="1:1">
      <c r="A3066" s="56"/>
    </row>
    <row r="3067" spans="1:1">
      <c r="A3067" s="56"/>
    </row>
    <row r="3068" spans="1:1">
      <c r="A3068" s="56"/>
    </row>
    <row r="3069" spans="1:1">
      <c r="A3069" s="56"/>
    </row>
    <row r="3070" spans="1:1">
      <c r="A3070" s="56"/>
    </row>
    <row r="3071" spans="1:1">
      <c r="A3071" s="56"/>
    </row>
    <row r="3072" spans="1:1">
      <c r="A3072" s="56"/>
    </row>
    <row r="3073" spans="1:1">
      <c r="A3073" s="56"/>
    </row>
    <row r="3074" spans="1:1">
      <c r="A3074" s="56"/>
    </row>
    <row r="3075" spans="1:1">
      <c r="A3075" s="56"/>
    </row>
    <row r="3076" spans="1:1">
      <c r="A3076" s="56"/>
    </row>
    <row r="3077" spans="1:1">
      <c r="A3077" s="56"/>
    </row>
    <row r="3078" spans="1:1">
      <c r="A3078" s="56"/>
    </row>
    <row r="3079" spans="1:1">
      <c r="A3079" s="56"/>
    </row>
    <row r="3080" spans="1:1">
      <c r="A3080" s="56"/>
    </row>
    <row r="3081" spans="1:1">
      <c r="A3081" s="56"/>
    </row>
    <row r="3082" spans="1:1">
      <c r="A3082" s="56"/>
    </row>
    <row r="3083" spans="1:1">
      <c r="A3083" s="56"/>
    </row>
    <row r="3084" spans="1:1">
      <c r="A3084" s="56"/>
    </row>
    <row r="3085" spans="1:1">
      <c r="A3085" s="56"/>
    </row>
    <row r="3086" spans="1:1">
      <c r="A3086" s="56"/>
    </row>
    <row r="3087" spans="1:1">
      <c r="A3087" s="56"/>
    </row>
    <row r="3088" spans="1:1">
      <c r="A3088" s="56"/>
    </row>
    <row r="3089" spans="1:1">
      <c r="A3089" s="56"/>
    </row>
    <row r="3090" spans="1:1">
      <c r="A3090" s="56"/>
    </row>
    <row r="3091" spans="1:1">
      <c r="A3091" s="56"/>
    </row>
    <row r="3092" spans="1:1">
      <c r="A3092" s="56"/>
    </row>
    <row r="3093" spans="1:1">
      <c r="A3093" s="56"/>
    </row>
    <row r="3094" spans="1:1">
      <c r="A3094" s="56"/>
    </row>
    <row r="3095" spans="1:1">
      <c r="A3095" s="56"/>
    </row>
    <row r="3096" spans="1:1">
      <c r="A3096" s="56"/>
    </row>
    <row r="3097" spans="1:1">
      <c r="A3097" s="56"/>
    </row>
    <row r="3098" spans="1:1">
      <c r="A3098" s="56"/>
    </row>
    <row r="3099" spans="1:1">
      <c r="A3099" s="56"/>
    </row>
    <row r="3100" spans="1:1">
      <c r="A3100" s="56"/>
    </row>
    <row r="3101" spans="1:1">
      <c r="A3101" s="56"/>
    </row>
    <row r="3102" spans="1:1">
      <c r="A3102" s="56"/>
    </row>
    <row r="3103" spans="1:1">
      <c r="A3103" s="56"/>
    </row>
    <row r="3104" spans="1:1">
      <c r="A3104" s="56"/>
    </row>
    <row r="3105" spans="1:1">
      <c r="A3105" s="56"/>
    </row>
    <row r="3106" spans="1:1">
      <c r="A3106" s="56"/>
    </row>
    <row r="3107" spans="1:1">
      <c r="A3107" s="56"/>
    </row>
    <row r="3108" spans="1:1">
      <c r="A3108" s="56"/>
    </row>
    <row r="3109" spans="1:1">
      <c r="A3109" s="56"/>
    </row>
    <row r="3110" spans="1:1">
      <c r="A3110" s="56"/>
    </row>
    <row r="3111" spans="1:1">
      <c r="A3111" s="56"/>
    </row>
    <row r="3112" spans="1:1">
      <c r="A3112" s="56"/>
    </row>
    <row r="3113" spans="1:1">
      <c r="A3113" s="56"/>
    </row>
    <row r="3114" spans="1:1">
      <c r="A3114" s="56"/>
    </row>
    <row r="3115" spans="1:1">
      <c r="A3115" s="56"/>
    </row>
    <row r="3116" spans="1:1">
      <c r="A3116" s="56"/>
    </row>
    <row r="3117" spans="1:1">
      <c r="A3117" s="56"/>
    </row>
    <row r="3118" spans="1:1">
      <c r="A3118" s="56"/>
    </row>
    <row r="3119" spans="1:1">
      <c r="A3119" s="56"/>
    </row>
    <row r="3120" spans="1:1">
      <c r="A3120" s="56"/>
    </row>
    <row r="3121" spans="1:1">
      <c r="A3121" s="56"/>
    </row>
    <row r="3122" spans="1:1">
      <c r="A3122" s="56"/>
    </row>
    <row r="3123" spans="1:1">
      <c r="A3123" s="56"/>
    </row>
    <row r="3124" spans="1:1">
      <c r="A3124" s="56"/>
    </row>
    <row r="3125" spans="1:1">
      <c r="A3125" s="56"/>
    </row>
    <row r="3126" spans="1:1">
      <c r="A3126" s="56"/>
    </row>
    <row r="3127" spans="1:1">
      <c r="A3127" s="56"/>
    </row>
    <row r="3128" spans="1:1">
      <c r="A3128" s="56"/>
    </row>
    <row r="3129" spans="1:1">
      <c r="A3129" s="56"/>
    </row>
    <row r="3130" spans="1:1">
      <c r="A3130" s="56"/>
    </row>
    <row r="3131" spans="1:1">
      <c r="A3131" s="56"/>
    </row>
    <row r="3132" spans="1:1">
      <c r="A3132" s="56"/>
    </row>
    <row r="3133" spans="1:1">
      <c r="A3133" s="56"/>
    </row>
    <row r="3134" spans="1:1">
      <c r="A3134" s="56"/>
    </row>
    <row r="3135" spans="1:1">
      <c r="A3135" s="56"/>
    </row>
    <row r="3136" spans="1:1">
      <c r="A3136" s="56"/>
    </row>
    <row r="3137" spans="1:1">
      <c r="A3137" s="56"/>
    </row>
    <row r="3138" spans="1:1">
      <c r="A3138" s="56"/>
    </row>
    <row r="3139" spans="1:1">
      <c r="A3139" s="56"/>
    </row>
    <row r="3140" spans="1:1">
      <c r="A3140" s="56"/>
    </row>
    <row r="3141" spans="1:1">
      <c r="A3141" s="56"/>
    </row>
    <row r="3142" spans="1:1">
      <c r="A3142" s="56"/>
    </row>
    <row r="3143" spans="1:1">
      <c r="A3143" s="56"/>
    </row>
    <row r="3144" spans="1:1">
      <c r="A3144" s="56"/>
    </row>
    <row r="3145" spans="1:1">
      <c r="A3145" s="56"/>
    </row>
    <row r="3146" spans="1:1">
      <c r="A3146" s="56"/>
    </row>
    <row r="3147" spans="1:1">
      <c r="A3147" s="56"/>
    </row>
    <row r="3148" spans="1:1">
      <c r="A3148" s="56"/>
    </row>
    <row r="3149" spans="1:1">
      <c r="A3149" s="56"/>
    </row>
    <row r="3150" spans="1:1">
      <c r="A3150" s="56"/>
    </row>
    <row r="3151" spans="1:1">
      <c r="A3151" s="56"/>
    </row>
    <row r="3152" spans="1:1">
      <c r="A3152" s="56"/>
    </row>
    <row r="3153" spans="1:1">
      <c r="A3153" s="56"/>
    </row>
    <row r="3154" spans="1:1">
      <c r="A3154" s="56"/>
    </row>
    <row r="3155" spans="1:1">
      <c r="A3155" s="56"/>
    </row>
    <row r="3156" spans="1:1">
      <c r="A3156" s="56"/>
    </row>
    <row r="3157" spans="1:1">
      <c r="A3157" s="56"/>
    </row>
    <row r="3158" spans="1:1">
      <c r="A3158" s="56"/>
    </row>
    <row r="3159" spans="1:1">
      <c r="A3159" s="56"/>
    </row>
    <row r="3160" spans="1:1">
      <c r="A3160" s="56"/>
    </row>
    <row r="3161" spans="1:1">
      <c r="A3161" s="56"/>
    </row>
    <row r="3162" spans="1:1">
      <c r="A3162" s="56"/>
    </row>
    <row r="3163" spans="1:1">
      <c r="A3163" s="56"/>
    </row>
    <row r="3164" spans="1:1">
      <c r="A3164" s="56"/>
    </row>
    <row r="3165" spans="1:1">
      <c r="A3165" s="56"/>
    </row>
    <row r="3166" spans="1:1">
      <c r="A3166" s="56"/>
    </row>
    <row r="3167" spans="1:1">
      <c r="A3167" s="56"/>
    </row>
    <row r="3168" spans="1:1">
      <c r="A3168" s="56"/>
    </row>
    <row r="3169" spans="1:1">
      <c r="A3169" s="56"/>
    </row>
    <row r="3170" spans="1:1">
      <c r="A3170" s="56"/>
    </row>
    <row r="3171" spans="1:1">
      <c r="A3171" s="56"/>
    </row>
    <row r="3172" spans="1:1">
      <c r="A3172" s="56"/>
    </row>
    <row r="3173" spans="1:1">
      <c r="A3173" s="56"/>
    </row>
    <row r="3174" spans="1:1">
      <c r="A3174" s="56"/>
    </row>
    <row r="3175" spans="1:1">
      <c r="A3175" s="56"/>
    </row>
    <row r="3176" spans="1:1">
      <c r="A3176" s="56"/>
    </row>
    <row r="3177" spans="1:1">
      <c r="A3177" s="56"/>
    </row>
    <row r="3178" spans="1:1">
      <c r="A3178" s="56"/>
    </row>
    <row r="3179" spans="1:1">
      <c r="A3179" s="56"/>
    </row>
    <row r="3180" spans="1:1">
      <c r="A3180" s="56"/>
    </row>
    <row r="3181" spans="1:1">
      <c r="A3181" s="56"/>
    </row>
    <row r="3182" spans="1:1">
      <c r="A3182" s="56"/>
    </row>
    <row r="3183" spans="1:1">
      <c r="A3183" s="56"/>
    </row>
    <row r="3184" spans="1:1">
      <c r="A3184" s="56"/>
    </row>
    <row r="3185" spans="1:1">
      <c r="A3185" s="56"/>
    </row>
    <row r="3186" spans="1:1">
      <c r="A3186" s="56"/>
    </row>
    <row r="3187" spans="1:1">
      <c r="A3187" s="56"/>
    </row>
    <row r="3188" spans="1:1">
      <c r="A3188" s="56"/>
    </row>
    <row r="3189" spans="1:1">
      <c r="A3189" s="56"/>
    </row>
    <row r="3190" spans="1:1">
      <c r="A3190" s="56"/>
    </row>
    <row r="3191" spans="1:1">
      <c r="A3191" s="56"/>
    </row>
    <row r="3192" spans="1:1">
      <c r="A3192" s="56"/>
    </row>
    <row r="3193" spans="1:1">
      <c r="A3193" s="56"/>
    </row>
    <row r="3194" spans="1:1">
      <c r="A3194" s="56"/>
    </row>
    <row r="3195" spans="1:1">
      <c r="A3195" s="56"/>
    </row>
    <row r="3196" spans="1:1">
      <c r="A3196" s="56"/>
    </row>
    <row r="3197" spans="1:1">
      <c r="A3197" s="56"/>
    </row>
    <row r="3198" spans="1:1">
      <c r="A3198" s="56"/>
    </row>
    <row r="3199" spans="1:1">
      <c r="A3199" s="56"/>
    </row>
    <row r="3200" spans="1:1">
      <c r="A3200" s="56"/>
    </row>
    <row r="3201" spans="1:1">
      <c r="A3201" s="56"/>
    </row>
    <row r="3202" spans="1:1">
      <c r="A3202" s="56"/>
    </row>
    <row r="3203" spans="1:1">
      <c r="A3203" s="56"/>
    </row>
    <row r="3204" spans="1:1">
      <c r="A3204" s="56"/>
    </row>
    <row r="3205" spans="1:1">
      <c r="A3205" s="56"/>
    </row>
    <row r="3206" spans="1:1">
      <c r="A3206" s="56"/>
    </row>
    <row r="3207" spans="1:1">
      <c r="A3207" s="56"/>
    </row>
    <row r="3208" spans="1:1">
      <c r="A3208" s="56"/>
    </row>
    <row r="3209" spans="1:1">
      <c r="A3209" s="56"/>
    </row>
    <row r="3210" spans="1:1">
      <c r="A3210" s="56"/>
    </row>
    <row r="3211" spans="1:1">
      <c r="A3211" s="56"/>
    </row>
    <row r="3212" spans="1:1">
      <c r="A3212" s="56"/>
    </row>
    <row r="3213" spans="1:1">
      <c r="A3213" s="56"/>
    </row>
    <row r="3214" spans="1:1">
      <c r="A3214" s="56"/>
    </row>
    <row r="3215" spans="1:1">
      <c r="A3215" s="56"/>
    </row>
    <row r="3216" spans="1:1">
      <c r="A3216" s="56"/>
    </row>
    <row r="3217" spans="1:1">
      <c r="A3217" s="56"/>
    </row>
    <row r="3218" spans="1:1">
      <c r="A3218" s="56"/>
    </row>
    <row r="3219" spans="1:1">
      <c r="A3219" s="56"/>
    </row>
    <row r="3220" spans="1:1">
      <c r="A3220" s="56"/>
    </row>
    <row r="3221" spans="1:1">
      <c r="A3221" s="56"/>
    </row>
    <row r="3222" spans="1:1">
      <c r="A3222" s="56"/>
    </row>
    <row r="3223" spans="1:1">
      <c r="A3223" s="56"/>
    </row>
    <row r="3224" spans="1:1">
      <c r="A3224" s="56"/>
    </row>
    <row r="3225" spans="1:1">
      <c r="A3225" s="56"/>
    </row>
    <row r="3226" spans="1:1">
      <c r="A3226" s="56"/>
    </row>
    <row r="3227" spans="1:1">
      <c r="A3227" s="56"/>
    </row>
    <row r="3228" spans="1:1">
      <c r="A3228" s="56"/>
    </row>
    <row r="3229" spans="1:1">
      <c r="A3229" s="56"/>
    </row>
    <row r="3230" spans="1:1">
      <c r="A3230" s="56"/>
    </row>
    <row r="3231" spans="1:1">
      <c r="A3231" s="56"/>
    </row>
    <row r="3232" spans="1:1">
      <c r="A3232" s="56"/>
    </row>
    <row r="3233" spans="1:1">
      <c r="A3233" s="56"/>
    </row>
    <row r="3234" spans="1:1">
      <c r="A3234" s="56"/>
    </row>
    <row r="3235" spans="1:1">
      <c r="A3235" s="56"/>
    </row>
    <row r="3236" spans="1:1">
      <c r="A3236" s="56"/>
    </row>
    <row r="3237" spans="1:1">
      <c r="A3237" s="56"/>
    </row>
    <row r="3238" spans="1:1">
      <c r="A3238" s="56"/>
    </row>
    <row r="3239" spans="1:1">
      <c r="A3239" s="56"/>
    </row>
    <row r="3240" spans="1:1">
      <c r="A3240" s="56"/>
    </row>
    <row r="3241" spans="1:1">
      <c r="A3241" s="56"/>
    </row>
    <row r="3242" spans="1:1">
      <c r="A3242" s="56"/>
    </row>
    <row r="3243" spans="1:1">
      <c r="A3243" s="56"/>
    </row>
    <row r="3244" spans="1:1">
      <c r="A3244" s="56"/>
    </row>
    <row r="3245" spans="1:1">
      <c r="A3245" s="56"/>
    </row>
    <row r="3246" spans="1:1">
      <c r="A3246" s="56"/>
    </row>
    <row r="3247" spans="1:1">
      <c r="A3247" s="56"/>
    </row>
    <row r="3248" spans="1:1">
      <c r="A3248" s="56"/>
    </row>
    <row r="3249" spans="1:1">
      <c r="A3249" s="56"/>
    </row>
    <row r="3250" spans="1:1">
      <c r="A3250" s="56"/>
    </row>
    <row r="3251" spans="1:1">
      <c r="A3251" s="56"/>
    </row>
    <row r="3252" spans="1:1">
      <c r="A3252" s="56"/>
    </row>
    <row r="3253" spans="1:1">
      <c r="A3253" s="56"/>
    </row>
    <row r="3254" spans="1:1">
      <c r="A3254" s="56"/>
    </row>
    <row r="3255" spans="1:1">
      <c r="A3255" s="56"/>
    </row>
    <row r="3256" spans="1:1">
      <c r="A3256" s="56"/>
    </row>
    <row r="3257" spans="1:1">
      <c r="A3257" s="56"/>
    </row>
    <row r="3258" spans="1:1">
      <c r="A3258" s="56"/>
    </row>
    <row r="3259" spans="1:1">
      <c r="A3259" s="56"/>
    </row>
    <row r="3260" spans="1:1">
      <c r="A3260" s="56"/>
    </row>
    <row r="3261" spans="1:1">
      <c r="A3261" s="56"/>
    </row>
    <row r="3262" spans="1:1">
      <c r="A3262" s="56"/>
    </row>
    <row r="3263" spans="1:1">
      <c r="A3263" s="56"/>
    </row>
    <row r="3264" spans="1:1">
      <c r="A3264" s="56"/>
    </row>
    <row r="3265" spans="1:1">
      <c r="A3265" s="56"/>
    </row>
    <row r="3266" spans="1:1">
      <c r="A3266" s="56"/>
    </row>
    <row r="3267" spans="1:1">
      <c r="A3267" s="56"/>
    </row>
    <row r="3268" spans="1:1">
      <c r="A3268" s="56"/>
    </row>
    <row r="3269" spans="1:1">
      <c r="A3269" s="56"/>
    </row>
    <row r="3270" spans="1:1">
      <c r="A3270" s="56"/>
    </row>
    <row r="3271" spans="1:1">
      <c r="A3271" s="56"/>
    </row>
    <row r="3272" spans="1:1">
      <c r="A3272" s="56"/>
    </row>
    <row r="3273" spans="1:1">
      <c r="A3273" s="56"/>
    </row>
    <row r="3274" spans="1:1">
      <c r="A3274" s="56"/>
    </row>
    <row r="3275" spans="1:1">
      <c r="A3275" s="56"/>
    </row>
    <row r="3276" spans="1:1">
      <c r="A3276" s="56"/>
    </row>
    <row r="3277" spans="1:1">
      <c r="A3277" s="56"/>
    </row>
    <row r="3278" spans="1:1">
      <c r="A3278" s="56"/>
    </row>
    <row r="3279" spans="1:1">
      <c r="A3279" s="56"/>
    </row>
    <row r="3280" spans="1:1">
      <c r="A3280" s="56"/>
    </row>
    <row r="3281" spans="1:1">
      <c r="A3281" s="56"/>
    </row>
    <row r="3282" spans="1:1">
      <c r="A3282" s="56"/>
    </row>
    <row r="3283" spans="1:1">
      <c r="A3283" s="56"/>
    </row>
    <row r="3284" spans="1:1">
      <c r="A3284" s="56"/>
    </row>
    <row r="3285" spans="1:1">
      <c r="A3285" s="56"/>
    </row>
    <row r="3286" spans="1:1">
      <c r="A3286" s="56"/>
    </row>
    <row r="3287" spans="1:1">
      <c r="A3287" s="56"/>
    </row>
    <row r="3288" spans="1:1">
      <c r="A3288" s="56"/>
    </row>
    <row r="3289" spans="1:1">
      <c r="A3289" s="56"/>
    </row>
    <row r="3290" spans="1:1">
      <c r="A3290" s="56"/>
    </row>
    <row r="3291" spans="1:1">
      <c r="A3291" s="56"/>
    </row>
    <row r="3292" spans="1:1">
      <c r="A3292" s="56"/>
    </row>
    <row r="3293" spans="1:1">
      <c r="A3293" s="56"/>
    </row>
    <row r="3294" spans="1:1">
      <c r="A3294" s="56"/>
    </row>
    <row r="3295" spans="1:1">
      <c r="A3295" s="56"/>
    </row>
    <row r="3296" spans="1:1">
      <c r="A3296" s="56"/>
    </row>
    <row r="3297" spans="1:1">
      <c r="A3297" s="56"/>
    </row>
    <row r="3298" spans="1:1">
      <c r="A3298" s="56"/>
    </row>
    <row r="3299" spans="1:1">
      <c r="A3299" s="56"/>
    </row>
    <row r="3300" spans="1:1">
      <c r="A3300" s="56"/>
    </row>
    <row r="3301" spans="1:1">
      <c r="A3301" s="56"/>
    </row>
    <row r="3302" spans="1:1">
      <c r="A3302" s="56"/>
    </row>
    <row r="3303" spans="1:1">
      <c r="A3303" s="56"/>
    </row>
    <row r="3304" spans="1:1">
      <c r="A3304" s="56"/>
    </row>
    <row r="3305" spans="1:1">
      <c r="A3305" s="56"/>
    </row>
    <row r="3306" spans="1:1">
      <c r="A3306" s="56"/>
    </row>
    <row r="3307" spans="1:1">
      <c r="A3307" s="56"/>
    </row>
    <row r="3308" spans="1:1">
      <c r="A3308" s="56"/>
    </row>
    <row r="3309" spans="1:1">
      <c r="A3309" s="56"/>
    </row>
    <row r="3310" spans="1:1">
      <c r="A3310" s="56"/>
    </row>
    <row r="3311" spans="1:1">
      <c r="A3311" s="56"/>
    </row>
    <row r="3312" spans="1:1">
      <c r="A3312" s="56"/>
    </row>
    <row r="3313" spans="1:1">
      <c r="A3313" s="56"/>
    </row>
    <row r="3314" spans="1:1">
      <c r="A3314" s="56"/>
    </row>
    <row r="3315" spans="1:1">
      <c r="A3315" s="56"/>
    </row>
    <row r="3316" spans="1:1">
      <c r="A3316" s="56"/>
    </row>
    <row r="3317" spans="1:1">
      <c r="A3317" s="56"/>
    </row>
    <row r="3318" spans="1:1">
      <c r="A3318" s="56"/>
    </row>
    <row r="3319" spans="1:1">
      <c r="A3319" s="56"/>
    </row>
    <row r="3320" spans="1:1">
      <c r="A3320" s="56"/>
    </row>
    <row r="3321" spans="1:1">
      <c r="A3321" s="56"/>
    </row>
    <row r="3322" spans="1:1">
      <c r="A3322" s="56"/>
    </row>
    <row r="3323" spans="1:1">
      <c r="A3323" s="56"/>
    </row>
    <row r="3324" spans="1:1">
      <c r="A3324" s="56"/>
    </row>
    <row r="3325" spans="1:1">
      <c r="A3325" s="56"/>
    </row>
    <row r="3326" spans="1:1">
      <c r="A3326" s="56"/>
    </row>
    <row r="3327" spans="1:1">
      <c r="A3327" s="56"/>
    </row>
    <row r="3328" spans="1:1">
      <c r="A3328" s="56"/>
    </row>
    <row r="3329" spans="1:1">
      <c r="A3329" s="56"/>
    </row>
    <row r="3330" spans="1:1">
      <c r="A3330" s="56"/>
    </row>
    <row r="3331" spans="1:1">
      <c r="A3331" s="56"/>
    </row>
    <row r="3332" spans="1:1">
      <c r="A3332" s="56"/>
    </row>
    <row r="3333" spans="1:1">
      <c r="A3333" s="56"/>
    </row>
    <row r="3334" spans="1:1">
      <c r="A3334" s="56"/>
    </row>
    <row r="3335" spans="1:1">
      <c r="A3335" s="56"/>
    </row>
    <row r="3336" spans="1:1">
      <c r="A3336" s="56"/>
    </row>
    <row r="3337" spans="1:1">
      <c r="A3337" s="56"/>
    </row>
    <row r="3338" spans="1:1">
      <c r="A3338" s="56"/>
    </row>
    <row r="3339" spans="1:1">
      <c r="A3339" s="56"/>
    </row>
    <row r="3340" spans="1:1">
      <c r="A3340" s="56"/>
    </row>
    <row r="3341" spans="1:1">
      <c r="A3341" s="56"/>
    </row>
    <row r="3342" spans="1:1">
      <c r="A3342" s="56"/>
    </row>
    <row r="3343" spans="1:1">
      <c r="A3343" s="56"/>
    </row>
    <row r="3344" spans="1:1">
      <c r="A3344" s="56"/>
    </row>
    <row r="3345" spans="1:1">
      <c r="A3345" s="56"/>
    </row>
    <row r="3346" spans="1:1">
      <c r="A3346" s="56"/>
    </row>
    <row r="3347" spans="1:1">
      <c r="A3347" s="56"/>
    </row>
    <row r="3348" spans="1:1">
      <c r="A3348" s="56"/>
    </row>
    <row r="3349" spans="1:1">
      <c r="A3349" s="56"/>
    </row>
    <row r="3350" spans="1:1">
      <c r="A3350" s="56"/>
    </row>
    <row r="3351" spans="1:1">
      <c r="A3351" s="56"/>
    </row>
    <row r="3352" spans="1:1">
      <c r="A3352" s="56"/>
    </row>
    <row r="3353" spans="1:1">
      <c r="A3353" s="56"/>
    </row>
    <row r="3354" spans="1:1">
      <c r="A3354" s="56"/>
    </row>
    <row r="3355" spans="1:1">
      <c r="A3355" s="56"/>
    </row>
    <row r="3356" spans="1:1">
      <c r="A3356" s="56"/>
    </row>
    <row r="3357" spans="1:1">
      <c r="A3357" s="56"/>
    </row>
    <row r="3358" spans="1:1">
      <c r="A3358" s="56"/>
    </row>
    <row r="3359" spans="1:1">
      <c r="A3359" s="56"/>
    </row>
    <row r="3360" spans="1:1">
      <c r="A3360" s="56"/>
    </row>
    <row r="3361" spans="1:1">
      <c r="A3361" s="56"/>
    </row>
    <row r="3362" spans="1:1">
      <c r="A3362" s="56"/>
    </row>
    <row r="3363" spans="1:1">
      <c r="A3363" s="56"/>
    </row>
    <row r="3364" spans="1:1">
      <c r="A3364" s="56"/>
    </row>
    <row r="3365" spans="1:1">
      <c r="A3365" s="56"/>
    </row>
    <row r="3366" spans="1:1">
      <c r="A3366" s="56"/>
    </row>
    <row r="3367" spans="1:1">
      <c r="A3367" s="56"/>
    </row>
    <row r="3368" spans="1:1">
      <c r="A3368" s="56"/>
    </row>
    <row r="3369" spans="1:1">
      <c r="A3369" s="56"/>
    </row>
    <row r="3370" spans="1:1">
      <c r="A3370" s="56"/>
    </row>
    <row r="3371" spans="1:1">
      <c r="A3371" s="56"/>
    </row>
    <row r="3372" spans="1:1">
      <c r="A3372" s="56"/>
    </row>
    <row r="3373" spans="1:1">
      <c r="A3373" s="56"/>
    </row>
    <row r="3374" spans="1:1">
      <c r="A3374" s="56"/>
    </row>
    <row r="3375" spans="1:1">
      <c r="A3375" s="56"/>
    </row>
    <row r="3376" spans="1:1">
      <c r="A3376" s="56"/>
    </row>
    <row r="3377" spans="1:1">
      <c r="A3377" s="56"/>
    </row>
    <row r="3378" spans="1:1">
      <c r="A3378" s="56"/>
    </row>
    <row r="3379" spans="1:1">
      <c r="A3379" s="56"/>
    </row>
    <row r="3380" spans="1:1">
      <c r="A3380" s="56"/>
    </row>
    <row r="3381" spans="1:1">
      <c r="A3381" s="56"/>
    </row>
    <row r="3382" spans="1:1">
      <c r="A3382" s="56"/>
    </row>
    <row r="3383" spans="1:1">
      <c r="A3383" s="56"/>
    </row>
    <row r="3384" spans="1:1">
      <c r="A3384" s="56"/>
    </row>
    <row r="3385" spans="1:1">
      <c r="A3385" s="56"/>
    </row>
    <row r="3386" spans="1:1">
      <c r="A3386" s="56"/>
    </row>
    <row r="3387" spans="1:1">
      <c r="A3387" s="56"/>
    </row>
    <row r="3388" spans="1:1">
      <c r="A3388" s="56"/>
    </row>
    <row r="3389" spans="1:1">
      <c r="A3389" s="56"/>
    </row>
    <row r="3390" spans="1:1">
      <c r="A3390" s="56"/>
    </row>
    <row r="3391" spans="1:1">
      <c r="A3391" s="56"/>
    </row>
    <row r="3392" spans="1:1">
      <c r="A3392" s="56"/>
    </row>
    <row r="3393" spans="1:1">
      <c r="A3393" s="56"/>
    </row>
    <row r="3394" spans="1:1">
      <c r="A3394" s="56"/>
    </row>
    <row r="3395" spans="1:1">
      <c r="A3395" s="56"/>
    </row>
    <row r="3396" spans="1:1">
      <c r="A3396" s="56"/>
    </row>
    <row r="3397" spans="1:1">
      <c r="A3397" s="56"/>
    </row>
    <row r="3398" spans="1:1">
      <c r="A3398" s="56"/>
    </row>
    <row r="3399" spans="1:1">
      <c r="A3399" s="56"/>
    </row>
    <row r="3400" spans="1:1">
      <c r="A3400" s="56"/>
    </row>
    <row r="3401" spans="1:1">
      <c r="A3401" s="56"/>
    </row>
    <row r="3402" spans="1:1">
      <c r="A3402" s="56"/>
    </row>
    <row r="3403" spans="1:1">
      <c r="A3403" s="56"/>
    </row>
    <row r="3404" spans="1:1">
      <c r="A3404" s="56"/>
    </row>
    <row r="3405" spans="1:1">
      <c r="A3405" s="56"/>
    </row>
    <row r="3406" spans="1:1">
      <c r="A3406" s="56"/>
    </row>
    <row r="3407" spans="1:1">
      <c r="A3407" s="56"/>
    </row>
    <row r="3408" spans="1:1">
      <c r="A3408" s="56"/>
    </row>
    <row r="3409" spans="1:1">
      <c r="A3409" s="56"/>
    </row>
    <row r="3410" spans="1:1">
      <c r="A3410" s="56"/>
    </row>
    <row r="3411" spans="1:1">
      <c r="A3411" s="56"/>
    </row>
    <row r="3412" spans="1:1">
      <c r="A3412" s="56"/>
    </row>
    <row r="3413" spans="1:1">
      <c r="A3413" s="56"/>
    </row>
    <row r="3414" spans="1:1">
      <c r="A3414" s="56"/>
    </row>
    <row r="3415" spans="1:1">
      <c r="A3415" s="56"/>
    </row>
    <row r="3416" spans="1:1">
      <c r="A3416" s="56"/>
    </row>
    <row r="3417" spans="1:1">
      <c r="A3417" s="56"/>
    </row>
    <row r="3418" spans="1:1">
      <c r="A3418" s="56"/>
    </row>
    <row r="3419" spans="1:1">
      <c r="A3419" s="56"/>
    </row>
    <row r="3420" spans="1:1">
      <c r="A3420" s="56"/>
    </row>
    <row r="3421" spans="1:1">
      <c r="A3421" s="56"/>
    </row>
    <row r="3422" spans="1:1">
      <c r="A3422" s="56"/>
    </row>
    <row r="3423" spans="1:1">
      <c r="A3423" s="56"/>
    </row>
    <row r="3424" spans="1:1">
      <c r="A3424" s="56"/>
    </row>
    <row r="3425" spans="1:1">
      <c r="A3425" s="56"/>
    </row>
    <row r="3426" spans="1:1">
      <c r="A3426" s="56"/>
    </row>
    <row r="3427" spans="1:1">
      <c r="A3427" s="56"/>
    </row>
    <row r="3428" spans="1:1">
      <c r="A3428" s="56"/>
    </row>
    <row r="3429" spans="1:1">
      <c r="A3429" s="56"/>
    </row>
    <row r="3430" spans="1:1">
      <c r="A3430" s="56"/>
    </row>
    <row r="3431" spans="1:1">
      <c r="A3431" s="56"/>
    </row>
    <row r="3432" spans="1:1">
      <c r="A3432" s="56"/>
    </row>
    <row r="3433" spans="1:1">
      <c r="A3433" s="56"/>
    </row>
    <row r="3434" spans="1:1">
      <c r="A3434" s="56"/>
    </row>
    <row r="3435" spans="1:1">
      <c r="A3435" s="56"/>
    </row>
    <row r="3436" spans="1:1">
      <c r="A3436" s="56"/>
    </row>
    <row r="3437" spans="1:1">
      <c r="A3437" s="56"/>
    </row>
    <row r="3438" spans="1:1">
      <c r="A3438" s="56"/>
    </row>
    <row r="3439" spans="1:1">
      <c r="A3439" s="56"/>
    </row>
    <row r="3440" spans="1:1">
      <c r="A3440" s="56"/>
    </row>
    <row r="3441" spans="1:1">
      <c r="A3441" s="56"/>
    </row>
    <row r="3442" spans="1:1">
      <c r="A3442" s="56"/>
    </row>
    <row r="3443" spans="1:1">
      <c r="A3443" s="56"/>
    </row>
    <row r="3444" spans="1:1">
      <c r="A3444" s="56"/>
    </row>
    <row r="3445" spans="1:1">
      <c r="A3445" s="56"/>
    </row>
    <row r="3446" spans="1:1">
      <c r="A3446" s="56"/>
    </row>
    <row r="3447" spans="1:1">
      <c r="A3447" s="56"/>
    </row>
    <row r="3448" spans="1:1">
      <c r="A3448" s="56"/>
    </row>
    <row r="3449" spans="1:1">
      <c r="A3449" s="56"/>
    </row>
    <row r="3450" spans="1:1">
      <c r="A3450" s="56"/>
    </row>
    <row r="3451" spans="1:1">
      <c r="A3451" s="56"/>
    </row>
    <row r="3452" spans="1:1">
      <c r="A3452" s="56"/>
    </row>
    <row r="3453" spans="1:1">
      <c r="A3453" s="56"/>
    </row>
    <row r="3454" spans="1:1">
      <c r="A3454" s="56"/>
    </row>
    <row r="3455" spans="1:1">
      <c r="A3455" s="56"/>
    </row>
    <row r="3456" spans="1:1">
      <c r="A3456" s="56"/>
    </row>
    <row r="3457" spans="1:1">
      <c r="A3457" s="56"/>
    </row>
    <row r="3458" spans="1:1">
      <c r="A3458" s="56"/>
    </row>
    <row r="3459" spans="1:1">
      <c r="A3459" s="56"/>
    </row>
    <row r="3460" spans="1:1">
      <c r="A3460" s="56"/>
    </row>
    <row r="3461" spans="1:1">
      <c r="A3461" s="56"/>
    </row>
    <row r="3462" spans="1:1">
      <c r="A3462" s="56"/>
    </row>
    <row r="3463" spans="1:1">
      <c r="A3463" s="56"/>
    </row>
    <row r="3464" spans="1:1">
      <c r="A3464" s="56"/>
    </row>
    <row r="3465" spans="1:1">
      <c r="A3465" s="56"/>
    </row>
    <row r="3466" spans="1:1">
      <c r="A3466" s="56"/>
    </row>
    <row r="3467" spans="1:1">
      <c r="A3467" s="56"/>
    </row>
    <row r="3468" spans="1:1">
      <c r="A3468" s="56"/>
    </row>
    <row r="3469" spans="1:1">
      <c r="A3469" s="56"/>
    </row>
    <row r="3470" spans="1:1">
      <c r="A3470" s="56"/>
    </row>
    <row r="3471" spans="1:1">
      <c r="A3471" s="56"/>
    </row>
    <row r="3472" spans="1:1">
      <c r="A3472" s="56"/>
    </row>
    <row r="3473" spans="1:1">
      <c r="A3473" s="56"/>
    </row>
    <row r="3474" spans="1:1">
      <c r="A3474" s="56"/>
    </row>
    <row r="3475" spans="1:1">
      <c r="A3475" s="56"/>
    </row>
    <row r="3476" spans="1:1">
      <c r="A3476" s="56"/>
    </row>
    <row r="3477" spans="1:1">
      <c r="A3477" s="56"/>
    </row>
    <row r="3478" spans="1:1">
      <c r="A3478" s="56"/>
    </row>
    <row r="3479" spans="1:1">
      <c r="A3479" s="56"/>
    </row>
    <row r="3480" spans="1:1">
      <c r="A3480" s="56"/>
    </row>
    <row r="3481" spans="1:1">
      <c r="A3481" s="56"/>
    </row>
    <row r="3482" spans="1:1">
      <c r="A3482" s="56"/>
    </row>
    <row r="3483" spans="1:1">
      <c r="A3483" s="56"/>
    </row>
    <row r="3484" spans="1:1">
      <c r="A3484" s="56"/>
    </row>
    <row r="3485" spans="1:1">
      <c r="A3485" s="56"/>
    </row>
    <row r="3486" spans="1:1">
      <c r="A3486" s="56"/>
    </row>
    <row r="3487" spans="1:1">
      <c r="A3487" s="56"/>
    </row>
    <row r="3488" spans="1:1">
      <c r="A3488" s="56"/>
    </row>
    <row r="3489" spans="1:1">
      <c r="A3489" s="56"/>
    </row>
    <row r="3490" spans="1:1">
      <c r="A3490" s="56"/>
    </row>
    <row r="3491" spans="1:1">
      <c r="A3491" s="56"/>
    </row>
    <row r="3492" spans="1:1">
      <c r="A3492" s="56"/>
    </row>
    <row r="3493" spans="1:1">
      <c r="A3493" s="56"/>
    </row>
    <row r="3494" spans="1:1">
      <c r="A3494" s="56"/>
    </row>
    <row r="3495" spans="1:1">
      <c r="A3495" s="56"/>
    </row>
    <row r="3496" spans="1:1">
      <c r="A3496" s="56"/>
    </row>
    <row r="3497" spans="1:1">
      <c r="A3497" s="56"/>
    </row>
    <row r="3498" spans="1:1">
      <c r="A3498" s="56"/>
    </row>
    <row r="3499" spans="1:1">
      <c r="A3499" s="56"/>
    </row>
    <row r="3500" spans="1:1">
      <c r="A3500" s="56"/>
    </row>
    <row r="3501" spans="1:1">
      <c r="A3501" s="56"/>
    </row>
    <row r="3502" spans="1:1">
      <c r="A3502" s="56"/>
    </row>
    <row r="3503" spans="1:1">
      <c r="A3503" s="56"/>
    </row>
    <row r="3504" spans="1:1">
      <c r="A3504" s="56"/>
    </row>
    <row r="3505" spans="1:1">
      <c r="A3505" s="56"/>
    </row>
    <row r="3506" spans="1:1">
      <c r="A3506" s="56"/>
    </row>
    <row r="3507" spans="1:1">
      <c r="A3507" s="56"/>
    </row>
    <row r="3508" spans="1:1">
      <c r="A3508" s="56"/>
    </row>
    <row r="3509" spans="1:1">
      <c r="A3509" s="56"/>
    </row>
    <row r="3510" spans="1:1">
      <c r="A3510" s="56"/>
    </row>
    <row r="3511" spans="1:1">
      <c r="A3511" s="56"/>
    </row>
    <row r="3512" spans="1:1">
      <c r="A3512" s="56"/>
    </row>
    <row r="3513" spans="1:1">
      <c r="A3513" s="56"/>
    </row>
    <row r="3514" spans="1:1">
      <c r="A3514" s="56"/>
    </row>
    <row r="3515" spans="1:1">
      <c r="A3515" s="56"/>
    </row>
    <row r="3516" spans="1:1">
      <c r="A3516" s="56"/>
    </row>
    <row r="3517" spans="1:1">
      <c r="A3517" s="56"/>
    </row>
    <row r="3518" spans="1:1">
      <c r="A3518" s="56"/>
    </row>
    <row r="3519" spans="1:1">
      <c r="A3519" s="56"/>
    </row>
    <row r="3520" spans="1:1">
      <c r="A3520" s="56"/>
    </row>
    <row r="3521" spans="1:1">
      <c r="A3521" s="56"/>
    </row>
    <row r="3522" spans="1:1">
      <c r="A3522" s="56"/>
    </row>
    <row r="3523" spans="1:1">
      <c r="A3523" s="56"/>
    </row>
    <row r="3524" spans="1:1">
      <c r="A3524" s="56"/>
    </row>
    <row r="3525" spans="1:1">
      <c r="A3525" s="56"/>
    </row>
    <row r="3526" spans="1:1">
      <c r="A3526" s="56"/>
    </row>
    <row r="3527" spans="1:1">
      <c r="A3527" s="56"/>
    </row>
    <row r="3528" spans="1:1">
      <c r="A3528" s="56"/>
    </row>
    <row r="3529" spans="1:1">
      <c r="A3529" s="56"/>
    </row>
    <row r="3530" spans="1:1">
      <c r="A3530" s="56"/>
    </row>
    <row r="3531" spans="1:1">
      <c r="A3531" s="56"/>
    </row>
    <row r="3532" spans="1:1">
      <c r="A3532" s="56"/>
    </row>
    <row r="3533" spans="1:1">
      <c r="A3533" s="56"/>
    </row>
    <row r="3534" spans="1:1">
      <c r="A3534" s="56"/>
    </row>
    <row r="3535" spans="1:1">
      <c r="A3535" s="56"/>
    </row>
    <row r="3536" spans="1:1">
      <c r="A3536" s="56"/>
    </row>
    <row r="3537" spans="1:1">
      <c r="A3537" s="56"/>
    </row>
    <row r="3538" spans="1:1">
      <c r="A3538" s="56"/>
    </row>
    <row r="3539" spans="1:1">
      <c r="A3539" s="56"/>
    </row>
    <row r="3540" spans="1:1">
      <c r="A3540" s="56"/>
    </row>
    <row r="3541" spans="1:1">
      <c r="A3541" s="56"/>
    </row>
    <row r="3542" spans="1:1">
      <c r="A3542" s="56"/>
    </row>
    <row r="3543" spans="1:1">
      <c r="A3543" s="56"/>
    </row>
    <row r="3544" spans="1:1">
      <c r="A3544" s="56"/>
    </row>
    <row r="3545" spans="1:1">
      <c r="A3545" s="56"/>
    </row>
    <row r="3546" spans="1:1">
      <c r="A3546" s="56"/>
    </row>
    <row r="3547" spans="1:1">
      <c r="A3547" s="56"/>
    </row>
    <row r="3548" spans="1:1">
      <c r="A3548" s="56"/>
    </row>
    <row r="3549" spans="1:1">
      <c r="A3549" s="56"/>
    </row>
    <row r="3550" spans="1:1">
      <c r="A3550" s="56"/>
    </row>
    <row r="3551" spans="1:1">
      <c r="A3551" s="56"/>
    </row>
    <row r="3552" spans="1:1">
      <c r="A3552" s="56"/>
    </row>
    <row r="3553" spans="1:1">
      <c r="A3553" s="56"/>
    </row>
    <row r="3554" spans="1:1">
      <c r="A3554" s="56"/>
    </row>
    <row r="3555" spans="1:1">
      <c r="A3555" s="56"/>
    </row>
    <row r="3556" spans="1:1">
      <c r="A3556" s="56"/>
    </row>
    <row r="3557" spans="1:1">
      <c r="A3557" s="56"/>
    </row>
    <row r="3558" spans="1:1">
      <c r="A3558" s="56"/>
    </row>
    <row r="3559" spans="1:1">
      <c r="A3559" s="56"/>
    </row>
    <row r="3560" spans="1:1">
      <c r="A3560" s="56"/>
    </row>
    <row r="3561" spans="1:1">
      <c r="A3561" s="56"/>
    </row>
    <row r="3562" spans="1:1">
      <c r="A3562" s="56"/>
    </row>
    <row r="3563" spans="1:1">
      <c r="A3563" s="56"/>
    </row>
    <row r="3564" spans="1:1">
      <c r="A3564" s="56"/>
    </row>
    <row r="3565" spans="1:1">
      <c r="A3565" s="56"/>
    </row>
    <row r="3566" spans="1:1">
      <c r="A3566" s="56"/>
    </row>
    <row r="3567" spans="1:1">
      <c r="A3567" s="56"/>
    </row>
    <row r="3568" spans="1:1">
      <c r="A3568" s="56"/>
    </row>
    <row r="3569" spans="1:1">
      <c r="A3569" s="56"/>
    </row>
    <row r="3570" spans="1:1">
      <c r="A3570" s="56"/>
    </row>
    <row r="3571" spans="1:1">
      <c r="A3571" s="56"/>
    </row>
    <row r="3572" spans="1:1">
      <c r="A3572" s="56"/>
    </row>
    <row r="3573" spans="1:1">
      <c r="A3573" s="56"/>
    </row>
    <row r="3574" spans="1:1">
      <c r="A3574" s="56"/>
    </row>
    <row r="3575" spans="1:1">
      <c r="A3575" s="56"/>
    </row>
    <row r="3576" spans="1:1">
      <c r="A3576" s="56"/>
    </row>
    <row r="3577" spans="1:1">
      <c r="A3577" s="56"/>
    </row>
    <row r="3578" spans="1:1">
      <c r="A3578" s="56"/>
    </row>
    <row r="3579" spans="1:1">
      <c r="A3579" s="56"/>
    </row>
    <row r="3580" spans="1:1">
      <c r="A3580" s="56"/>
    </row>
    <row r="3581" spans="1:1">
      <c r="A3581" s="56"/>
    </row>
    <row r="3582" spans="1:1">
      <c r="A3582" s="56"/>
    </row>
    <row r="3583" spans="1:1">
      <c r="A3583" s="56"/>
    </row>
    <row r="3584" spans="1:1">
      <c r="A3584" s="56"/>
    </row>
    <row r="3585" spans="1:1">
      <c r="A3585" s="56"/>
    </row>
    <row r="3586" spans="1:1">
      <c r="A3586" s="56"/>
    </row>
    <row r="3587" spans="1:1">
      <c r="A3587" s="56"/>
    </row>
    <row r="3588" spans="1:1">
      <c r="A3588" s="56"/>
    </row>
    <row r="3589" spans="1:1">
      <c r="A3589" s="56"/>
    </row>
    <row r="3590" spans="1:1">
      <c r="A3590" s="56"/>
    </row>
    <row r="3591" spans="1:1">
      <c r="A3591" s="56"/>
    </row>
    <row r="3592" spans="1:1">
      <c r="A3592" s="56"/>
    </row>
    <row r="3593" spans="1:1">
      <c r="A3593" s="56"/>
    </row>
    <row r="3594" spans="1:1">
      <c r="A3594" s="56"/>
    </row>
    <row r="3595" spans="1:1">
      <c r="A3595" s="56"/>
    </row>
    <row r="3596" spans="1:1">
      <c r="A3596" s="56"/>
    </row>
    <row r="3597" spans="1:1">
      <c r="A3597" s="56"/>
    </row>
    <row r="3598" spans="1:1">
      <c r="A3598" s="56"/>
    </row>
    <row r="3599" spans="1:1">
      <c r="A3599" s="56"/>
    </row>
    <row r="3600" spans="1:1">
      <c r="A3600" s="56"/>
    </row>
    <row r="3601" spans="1:1">
      <c r="A3601" s="56"/>
    </row>
    <row r="3602" spans="1:1">
      <c r="A3602" s="56"/>
    </row>
    <row r="3603" spans="1:1">
      <c r="A3603" s="56"/>
    </row>
    <row r="3604" spans="1:1">
      <c r="A3604" s="56"/>
    </row>
    <row r="3605" spans="1:1">
      <c r="A3605" s="56"/>
    </row>
    <row r="3606" spans="1:1">
      <c r="A3606" s="56"/>
    </row>
    <row r="3607" spans="1:1">
      <c r="A3607" s="56"/>
    </row>
    <row r="3608" spans="1:1">
      <c r="A3608" s="56"/>
    </row>
    <row r="3609" spans="1:1">
      <c r="A3609" s="56"/>
    </row>
    <row r="3610" spans="1:1">
      <c r="A3610" s="56"/>
    </row>
    <row r="3611" spans="1:1">
      <c r="A3611" s="56"/>
    </row>
    <row r="3612" spans="1:1">
      <c r="A3612" s="56"/>
    </row>
    <row r="3613" spans="1:1">
      <c r="A3613" s="56"/>
    </row>
    <row r="3614" spans="1:1">
      <c r="A3614" s="56"/>
    </row>
    <row r="3615" spans="1:1">
      <c r="A3615" s="56"/>
    </row>
    <row r="3616" spans="1:1">
      <c r="A3616" s="56"/>
    </row>
    <row r="3617" spans="1:1">
      <c r="A3617" s="56"/>
    </row>
    <row r="3618" spans="1:1">
      <c r="A3618" s="56"/>
    </row>
    <row r="3619" spans="1:1">
      <c r="A3619" s="56"/>
    </row>
    <row r="3620" spans="1:1">
      <c r="A3620" s="56"/>
    </row>
    <row r="3621" spans="1:1">
      <c r="A3621" s="56"/>
    </row>
    <row r="3622" spans="1:1">
      <c r="A3622" s="56"/>
    </row>
    <row r="3623" spans="1:1">
      <c r="A3623" s="56"/>
    </row>
    <row r="3624" spans="1:1">
      <c r="A3624" s="56"/>
    </row>
    <row r="3625" spans="1:1">
      <c r="A3625" s="56"/>
    </row>
    <row r="3626" spans="1:1">
      <c r="A3626" s="56"/>
    </row>
    <row r="3627" spans="1:1">
      <c r="A3627" s="56"/>
    </row>
    <row r="3628" spans="1:1">
      <c r="A3628" s="56"/>
    </row>
    <row r="3629" spans="1:1">
      <c r="A3629" s="56"/>
    </row>
    <row r="3630" spans="1:1">
      <c r="A3630" s="56"/>
    </row>
    <row r="3631" spans="1:1">
      <c r="A3631" s="56"/>
    </row>
    <row r="3632" spans="1:1">
      <c r="A3632" s="56"/>
    </row>
    <row r="3633" spans="1:1">
      <c r="A3633" s="56"/>
    </row>
    <row r="3634" spans="1:1">
      <c r="A3634" s="56"/>
    </row>
    <row r="3635" spans="1:1">
      <c r="A3635" s="56"/>
    </row>
    <row r="3636" spans="1:1">
      <c r="A3636" s="56"/>
    </row>
    <row r="3637" spans="1:1">
      <c r="A3637" s="56"/>
    </row>
    <row r="3638" spans="1:1">
      <c r="A3638" s="56"/>
    </row>
    <row r="3639" spans="1:1">
      <c r="A3639" s="56"/>
    </row>
    <row r="3640" spans="1:1">
      <c r="A3640" s="56"/>
    </row>
    <row r="3641" spans="1:1">
      <c r="A3641" s="56"/>
    </row>
    <row r="3642" spans="1:1">
      <c r="A3642" s="56"/>
    </row>
    <row r="3643" spans="1:1">
      <c r="A3643" s="56"/>
    </row>
    <row r="3644" spans="1:1">
      <c r="A3644" s="56"/>
    </row>
    <row r="3645" spans="1:1">
      <c r="A3645" s="56"/>
    </row>
    <row r="3646" spans="1:1">
      <c r="A3646" s="56"/>
    </row>
    <row r="3647" spans="1:1">
      <c r="A3647" s="56"/>
    </row>
    <row r="3648" spans="1:1">
      <c r="A3648" s="56"/>
    </row>
    <row r="3649" spans="1:1">
      <c r="A3649" s="56"/>
    </row>
    <row r="3650" spans="1:1">
      <c r="A3650" s="56"/>
    </row>
    <row r="3651" spans="1:1">
      <c r="A3651" s="56"/>
    </row>
    <row r="3652" spans="1:1">
      <c r="A3652" s="56"/>
    </row>
    <row r="3653" spans="1:1">
      <c r="A3653" s="56"/>
    </row>
    <row r="3654" spans="1:1">
      <c r="A3654" s="56"/>
    </row>
    <row r="3655" spans="1:1">
      <c r="A3655" s="56"/>
    </row>
    <row r="3656" spans="1:1">
      <c r="A3656" s="56"/>
    </row>
    <row r="3657" spans="1:1">
      <c r="A3657" s="56"/>
    </row>
    <row r="3658" spans="1:1">
      <c r="A3658" s="56"/>
    </row>
    <row r="3659" spans="1:1">
      <c r="A3659" s="56"/>
    </row>
    <row r="3660" spans="1:1">
      <c r="A3660" s="56"/>
    </row>
    <row r="3661" spans="1:1">
      <c r="A3661" s="56"/>
    </row>
    <row r="3662" spans="1:1">
      <c r="A3662" s="56"/>
    </row>
    <row r="3663" spans="1:1">
      <c r="A3663" s="56"/>
    </row>
    <row r="3664" spans="1:1">
      <c r="A3664" s="56"/>
    </row>
    <row r="3665" spans="1:1">
      <c r="A3665" s="56"/>
    </row>
    <row r="3666" spans="1:1">
      <c r="A3666" s="56"/>
    </row>
    <row r="3667" spans="1:1">
      <c r="A3667" s="56"/>
    </row>
    <row r="3668" spans="1:1">
      <c r="A3668" s="56"/>
    </row>
    <row r="3669" spans="1:1">
      <c r="A3669" s="56"/>
    </row>
    <row r="3670" spans="1:1">
      <c r="A3670" s="56"/>
    </row>
    <row r="3671" spans="1:1">
      <c r="A3671" s="56"/>
    </row>
    <row r="3672" spans="1:1">
      <c r="A3672" s="56"/>
    </row>
    <row r="3673" spans="1:1">
      <c r="A3673" s="56"/>
    </row>
    <row r="3674" spans="1:1">
      <c r="A3674" s="56"/>
    </row>
    <row r="3675" spans="1:1">
      <c r="A3675" s="56"/>
    </row>
    <row r="3676" spans="1:1">
      <c r="A3676" s="56"/>
    </row>
    <row r="3677" spans="1:1">
      <c r="A3677" s="56"/>
    </row>
    <row r="3678" spans="1:1">
      <c r="A3678" s="56"/>
    </row>
    <row r="3679" spans="1:1">
      <c r="A3679" s="56"/>
    </row>
    <row r="3680" spans="1:1">
      <c r="A3680" s="56"/>
    </row>
    <row r="3681" spans="1:1">
      <c r="A3681" s="56"/>
    </row>
    <row r="3682" spans="1:1">
      <c r="A3682" s="56"/>
    </row>
    <row r="3683" spans="1:1">
      <c r="A3683" s="56"/>
    </row>
    <row r="3684" spans="1:1">
      <c r="A3684" s="56"/>
    </row>
    <row r="3685" spans="1:1">
      <c r="A3685" s="56"/>
    </row>
    <row r="3686" spans="1:1">
      <c r="A3686" s="56"/>
    </row>
    <row r="3687" spans="1:1">
      <c r="A3687" s="56"/>
    </row>
    <row r="3688" spans="1:1">
      <c r="A3688" s="56"/>
    </row>
    <row r="3689" spans="1:1">
      <c r="A3689" s="56"/>
    </row>
    <row r="3690" spans="1:1">
      <c r="A3690" s="56"/>
    </row>
    <row r="3691" spans="1:1">
      <c r="A3691" s="56"/>
    </row>
    <row r="3692" spans="1:1">
      <c r="A3692" s="56"/>
    </row>
    <row r="3693" spans="1:1">
      <c r="A3693" s="56"/>
    </row>
    <row r="3694" spans="1:1">
      <c r="A3694" s="56"/>
    </row>
    <row r="3695" spans="1:1">
      <c r="A3695" s="56"/>
    </row>
    <row r="3696" spans="1:1">
      <c r="A3696" s="56"/>
    </row>
    <row r="3697" spans="1:1">
      <c r="A3697" s="56"/>
    </row>
    <row r="3698" spans="1:1">
      <c r="A3698" s="56"/>
    </row>
    <row r="3699" spans="1:1">
      <c r="A3699" s="56"/>
    </row>
    <row r="3700" spans="1:1">
      <c r="A3700" s="56"/>
    </row>
    <row r="3701" spans="1:1">
      <c r="A3701" s="56"/>
    </row>
    <row r="3702" spans="1:1">
      <c r="A3702" s="56"/>
    </row>
    <row r="3703" spans="1:1">
      <c r="A3703" s="56"/>
    </row>
    <row r="3704" spans="1:1">
      <c r="A3704" s="56"/>
    </row>
    <row r="3705" spans="1:1">
      <c r="A3705" s="56"/>
    </row>
    <row r="3706" spans="1:1">
      <c r="A3706" s="56"/>
    </row>
    <row r="3707" spans="1:1">
      <c r="A3707" s="56"/>
    </row>
    <row r="3708" spans="1:1">
      <c r="A3708" s="56"/>
    </row>
    <row r="3709" spans="1:1">
      <c r="A3709" s="56"/>
    </row>
    <row r="3710" spans="1:1">
      <c r="A3710" s="56"/>
    </row>
    <row r="3711" spans="1:1">
      <c r="A3711" s="56"/>
    </row>
    <row r="3712" spans="1:1">
      <c r="A3712" s="56"/>
    </row>
    <row r="3713" spans="1:1">
      <c r="A3713" s="56"/>
    </row>
    <row r="3714" spans="1:1">
      <c r="A3714" s="56"/>
    </row>
    <row r="3715" spans="1:1">
      <c r="A3715" s="56"/>
    </row>
    <row r="3716" spans="1:1">
      <c r="A3716" s="56"/>
    </row>
    <row r="3717" spans="1:1">
      <c r="A3717" s="56"/>
    </row>
    <row r="3718" spans="1:1">
      <c r="A3718" s="56"/>
    </row>
    <row r="3719" spans="1:1">
      <c r="A3719" s="56"/>
    </row>
    <row r="3720" spans="1:1">
      <c r="A3720" s="56"/>
    </row>
    <row r="3721" spans="1:1">
      <c r="A3721" s="56"/>
    </row>
    <row r="3722" spans="1:1">
      <c r="A3722" s="56"/>
    </row>
    <row r="3723" spans="1:1">
      <c r="A3723" s="56"/>
    </row>
    <row r="3724" spans="1:1">
      <c r="A3724" s="56"/>
    </row>
    <row r="3725" spans="1:1">
      <c r="A3725" s="56"/>
    </row>
    <row r="3726" spans="1:1">
      <c r="A3726" s="56"/>
    </row>
    <row r="3727" spans="1:1">
      <c r="A3727" s="56"/>
    </row>
    <row r="3728" spans="1:1">
      <c r="A3728" s="56"/>
    </row>
    <row r="3729" spans="1:1">
      <c r="A3729" s="56"/>
    </row>
    <row r="3730" spans="1:1">
      <c r="A3730" s="56"/>
    </row>
    <row r="3731" spans="1:1">
      <c r="A3731" s="56"/>
    </row>
    <row r="3732" spans="1:1">
      <c r="A3732" s="56"/>
    </row>
    <row r="3733" spans="1:1">
      <c r="A3733" s="56"/>
    </row>
    <row r="3734" spans="1:1">
      <c r="A3734" s="56"/>
    </row>
    <row r="3735" spans="1:1">
      <c r="A3735" s="56"/>
    </row>
    <row r="3736" spans="1:1">
      <c r="A3736" s="56"/>
    </row>
    <row r="3737" spans="1:1">
      <c r="A3737" s="56"/>
    </row>
    <row r="3738" spans="1:1">
      <c r="A3738" s="56"/>
    </row>
    <row r="3739" spans="1:1">
      <c r="A3739" s="56"/>
    </row>
    <row r="3740" spans="1:1">
      <c r="A3740" s="56"/>
    </row>
    <row r="3741" spans="1:1">
      <c r="A3741" s="56"/>
    </row>
    <row r="3742" spans="1:1">
      <c r="A3742" s="56"/>
    </row>
    <row r="3743" spans="1:1">
      <c r="A3743" s="56"/>
    </row>
    <row r="3744" spans="1:1">
      <c r="A3744" s="56"/>
    </row>
    <row r="3745" spans="1:1">
      <c r="A3745" s="56"/>
    </row>
    <row r="3746" spans="1:1">
      <c r="A3746" s="56"/>
    </row>
    <row r="3747" spans="1:1">
      <c r="A3747" s="56"/>
    </row>
    <row r="3748" spans="1:1">
      <c r="A3748" s="56"/>
    </row>
    <row r="3749" spans="1:1">
      <c r="A3749" s="56"/>
    </row>
    <row r="3750" spans="1:1">
      <c r="A3750" s="56"/>
    </row>
    <row r="3751" spans="1:1">
      <c r="A3751" s="56"/>
    </row>
    <row r="3752" spans="1:1">
      <c r="A3752" s="56"/>
    </row>
    <row r="3753" spans="1:1">
      <c r="A3753" s="56"/>
    </row>
    <row r="3754" spans="1:1">
      <c r="A3754" s="56"/>
    </row>
    <row r="3755" spans="1:1">
      <c r="A3755" s="56"/>
    </row>
    <row r="3756" spans="1:1">
      <c r="A3756" s="56"/>
    </row>
    <row r="3757" spans="1:1">
      <c r="A3757" s="56"/>
    </row>
    <row r="3758" spans="1:1">
      <c r="A3758" s="56"/>
    </row>
    <row r="3759" spans="1:1">
      <c r="A3759" s="56"/>
    </row>
    <row r="3760" spans="1:1">
      <c r="A3760" s="56"/>
    </row>
    <row r="3761" spans="1:1">
      <c r="A3761" s="56"/>
    </row>
    <row r="3762" spans="1:1">
      <c r="A3762" s="56"/>
    </row>
    <row r="3763" spans="1:1">
      <c r="A3763" s="56"/>
    </row>
    <row r="3764" spans="1:1">
      <c r="A3764" s="56"/>
    </row>
    <row r="3765" spans="1:1">
      <c r="A3765" s="56"/>
    </row>
    <row r="3766" spans="1:1">
      <c r="A3766" s="56"/>
    </row>
    <row r="3767" spans="1:1">
      <c r="A3767" s="56"/>
    </row>
    <row r="3768" spans="1:1">
      <c r="A3768" s="56"/>
    </row>
    <row r="3769" spans="1:1">
      <c r="A3769" s="56"/>
    </row>
    <row r="3770" spans="1:1">
      <c r="A3770" s="56"/>
    </row>
    <row r="3771" spans="1:1">
      <c r="A3771" s="56"/>
    </row>
    <row r="3772" spans="1:1">
      <c r="A3772" s="56"/>
    </row>
    <row r="3773" spans="1:1">
      <c r="A3773" s="56"/>
    </row>
    <row r="3774" spans="1:1">
      <c r="A3774" s="56"/>
    </row>
    <row r="3775" spans="1:1">
      <c r="A3775" s="56"/>
    </row>
    <row r="3776" spans="1:1">
      <c r="A3776" s="56"/>
    </row>
    <row r="3777" spans="1:1">
      <c r="A3777" s="56"/>
    </row>
    <row r="3778" spans="1:1">
      <c r="A3778" s="56"/>
    </row>
    <row r="3779" spans="1:1">
      <c r="A3779" s="56"/>
    </row>
    <row r="3780" spans="1:1">
      <c r="A3780" s="56"/>
    </row>
    <row r="3781" spans="1:1">
      <c r="A3781" s="56"/>
    </row>
    <row r="3782" spans="1:1">
      <c r="A3782" s="56"/>
    </row>
    <row r="3783" spans="1:1">
      <c r="A3783" s="56"/>
    </row>
    <row r="3784" spans="1:1">
      <c r="A3784" s="56"/>
    </row>
    <row r="3785" spans="1:1">
      <c r="A3785" s="56"/>
    </row>
    <row r="3786" spans="1:1">
      <c r="A3786" s="56"/>
    </row>
    <row r="3787" spans="1:1">
      <c r="A3787" s="56"/>
    </row>
    <row r="3788" spans="1:1">
      <c r="A3788" s="56"/>
    </row>
    <row r="3789" spans="1:1">
      <c r="A3789" s="56"/>
    </row>
    <row r="3790" spans="1:1">
      <c r="A3790" s="56"/>
    </row>
    <row r="3791" spans="1:1">
      <c r="A3791" s="56"/>
    </row>
    <row r="3792" spans="1:1">
      <c r="A3792" s="56"/>
    </row>
    <row r="3793" spans="1:1">
      <c r="A3793" s="56"/>
    </row>
    <row r="3794" spans="1:1">
      <c r="A3794" s="56"/>
    </row>
    <row r="3795" spans="1:1">
      <c r="A3795" s="56"/>
    </row>
    <row r="3796" spans="1:1">
      <c r="A3796" s="56"/>
    </row>
    <row r="3797" spans="1:1">
      <c r="A3797" s="56"/>
    </row>
    <row r="3798" spans="1:1">
      <c r="A3798" s="56"/>
    </row>
    <row r="3799" spans="1:1">
      <c r="A3799" s="56"/>
    </row>
    <row r="3800" spans="1:1">
      <c r="A3800" s="56"/>
    </row>
    <row r="3801" spans="1:1">
      <c r="A3801" s="56"/>
    </row>
    <row r="3802" spans="1:1">
      <c r="A3802" s="56"/>
    </row>
    <row r="3803" spans="1:1">
      <c r="A3803" s="56"/>
    </row>
    <row r="3804" spans="1:1">
      <c r="A3804" s="56"/>
    </row>
    <row r="3805" spans="1:1">
      <c r="A3805" s="56"/>
    </row>
    <row r="3806" spans="1:1">
      <c r="A3806" s="56"/>
    </row>
    <row r="3807" spans="1:1">
      <c r="A3807" s="56"/>
    </row>
    <row r="3808" spans="1:1">
      <c r="A3808" s="56"/>
    </row>
    <row r="3809" spans="1:1">
      <c r="A3809" s="56"/>
    </row>
    <row r="3810" spans="1:1">
      <c r="A3810" s="56"/>
    </row>
    <row r="3811" spans="1:1">
      <c r="A3811" s="56"/>
    </row>
    <row r="3812" spans="1:1">
      <c r="A3812" s="56"/>
    </row>
    <row r="3813" spans="1:1">
      <c r="A3813" s="56"/>
    </row>
    <row r="3814" spans="1:1">
      <c r="A3814" s="56"/>
    </row>
    <row r="3815" spans="1:1">
      <c r="A3815" s="56"/>
    </row>
    <row r="3816" spans="1:1">
      <c r="A3816" s="56"/>
    </row>
    <row r="3817" spans="1:1">
      <c r="A3817" s="56"/>
    </row>
    <row r="3818" spans="1:1">
      <c r="A3818" s="56"/>
    </row>
    <row r="3819" spans="1:1">
      <c r="A3819" s="56"/>
    </row>
    <row r="3820" spans="1:1">
      <c r="A3820" s="56"/>
    </row>
    <row r="3821" spans="1:1">
      <c r="A3821" s="56"/>
    </row>
    <row r="3822" spans="1:1">
      <c r="A3822" s="56"/>
    </row>
    <row r="3823" spans="1:1">
      <c r="A3823" s="56"/>
    </row>
    <row r="3824" spans="1:1">
      <c r="A3824" s="56"/>
    </row>
    <row r="3825" spans="1:1">
      <c r="A3825" s="56"/>
    </row>
    <row r="3826" spans="1:1">
      <c r="A3826" s="56"/>
    </row>
    <row r="3827" spans="1:1">
      <c r="A3827" s="56"/>
    </row>
    <row r="3828" spans="1:1">
      <c r="A3828" s="56"/>
    </row>
    <row r="3829" spans="1:1">
      <c r="A3829" s="56"/>
    </row>
    <row r="3830" spans="1:1">
      <c r="A3830" s="56"/>
    </row>
    <row r="3831" spans="1:1">
      <c r="A3831" s="56"/>
    </row>
    <row r="3832" spans="1:1">
      <c r="A3832" s="56"/>
    </row>
    <row r="3833" spans="1:1">
      <c r="A3833" s="56"/>
    </row>
    <row r="3834" spans="1:1">
      <c r="A3834" s="56"/>
    </row>
    <row r="3835" spans="1:1">
      <c r="A3835" s="56"/>
    </row>
    <row r="3836" spans="1:1">
      <c r="A3836" s="56"/>
    </row>
    <row r="3837" spans="1:1">
      <c r="A3837" s="56"/>
    </row>
    <row r="3838" spans="1:1">
      <c r="A3838" s="56"/>
    </row>
    <row r="3839" spans="1:1">
      <c r="A3839" s="56"/>
    </row>
    <row r="3840" spans="1:1">
      <c r="A3840" s="56"/>
    </row>
    <row r="3841" spans="1:1">
      <c r="A3841" s="56"/>
    </row>
    <row r="3842" spans="1:1">
      <c r="A3842" s="56"/>
    </row>
    <row r="3843" spans="1:1">
      <c r="A3843" s="56"/>
    </row>
    <row r="3844" spans="1:1">
      <c r="A3844" s="56"/>
    </row>
    <row r="3845" spans="1:1">
      <c r="A3845" s="56"/>
    </row>
    <row r="3846" spans="1:1">
      <c r="A3846" s="56"/>
    </row>
    <row r="3847" spans="1:1">
      <c r="A3847" s="56"/>
    </row>
    <row r="3848" spans="1:1">
      <c r="A3848" s="56"/>
    </row>
    <row r="3849" spans="1:1">
      <c r="A3849" s="56"/>
    </row>
    <row r="3850" spans="1:1">
      <c r="A3850" s="56"/>
    </row>
    <row r="3851" spans="1:1">
      <c r="A3851" s="56"/>
    </row>
    <row r="3852" spans="1:1">
      <c r="A3852" s="56"/>
    </row>
    <row r="3853" spans="1:1">
      <c r="A3853" s="56"/>
    </row>
    <row r="3854" spans="1:1">
      <c r="A3854" s="56"/>
    </row>
    <row r="3855" spans="1:1">
      <c r="A3855" s="56"/>
    </row>
    <row r="3856" spans="1:1">
      <c r="A3856" s="56"/>
    </row>
    <row r="3857" spans="1:1">
      <c r="A3857" s="56"/>
    </row>
    <row r="3858" spans="1:1">
      <c r="A3858" s="56"/>
    </row>
    <row r="3859" spans="1:1">
      <c r="A3859" s="56"/>
    </row>
    <row r="3860" spans="1:1">
      <c r="A3860" s="56"/>
    </row>
    <row r="3861" spans="1:1">
      <c r="A3861" s="56"/>
    </row>
    <row r="3862" spans="1:1">
      <c r="A3862" s="56"/>
    </row>
    <row r="3863" spans="1:1">
      <c r="A3863" s="56"/>
    </row>
    <row r="3864" spans="1:1">
      <c r="A3864" s="56"/>
    </row>
    <row r="3865" spans="1:1">
      <c r="A3865" s="56"/>
    </row>
    <row r="3866" spans="1:1">
      <c r="A3866" s="56"/>
    </row>
    <row r="3867" spans="1:1">
      <c r="A3867" s="56"/>
    </row>
    <row r="3868" spans="1:1">
      <c r="A3868" s="56"/>
    </row>
    <row r="3869" spans="1:1">
      <c r="A3869" s="56"/>
    </row>
    <row r="3870" spans="1:1">
      <c r="A3870" s="56"/>
    </row>
    <row r="3871" spans="1:1">
      <c r="A3871" s="56"/>
    </row>
    <row r="3872" spans="1:1">
      <c r="A3872" s="56"/>
    </row>
    <row r="3873" spans="1:1">
      <c r="A3873" s="56"/>
    </row>
    <row r="3874" spans="1:1">
      <c r="A3874" s="56"/>
    </row>
    <row r="3875" spans="1:1">
      <c r="A3875" s="56"/>
    </row>
    <row r="3876" spans="1:1">
      <c r="A3876" s="56"/>
    </row>
    <row r="3877" spans="1:1">
      <c r="A3877" s="56"/>
    </row>
    <row r="3878" spans="1:1">
      <c r="A3878" s="56"/>
    </row>
    <row r="3879" spans="1:1">
      <c r="A3879" s="56"/>
    </row>
    <row r="3880" spans="1:1">
      <c r="A3880" s="56"/>
    </row>
    <row r="3881" spans="1:1">
      <c r="A3881" s="56"/>
    </row>
    <row r="3882" spans="1:1">
      <c r="A3882" s="56"/>
    </row>
    <row r="3883" spans="1:1">
      <c r="A3883" s="56"/>
    </row>
    <row r="3884" spans="1:1">
      <c r="A3884" s="56"/>
    </row>
    <row r="3885" spans="1:1">
      <c r="A3885" s="56"/>
    </row>
    <row r="3886" spans="1:1">
      <c r="A3886" s="56"/>
    </row>
    <row r="3887" spans="1:1">
      <c r="A3887" s="56"/>
    </row>
    <row r="3888" spans="1:1">
      <c r="A3888" s="56"/>
    </row>
    <row r="3889" spans="1:1">
      <c r="A3889" s="56"/>
    </row>
    <row r="3890" spans="1:1">
      <c r="A3890" s="56"/>
    </row>
    <row r="3891" spans="1:1">
      <c r="A3891" s="56"/>
    </row>
    <row r="3892" spans="1:1">
      <c r="A3892" s="56"/>
    </row>
    <row r="3893" spans="1:1">
      <c r="A3893" s="56"/>
    </row>
    <row r="3894" spans="1:1">
      <c r="A3894" s="56"/>
    </row>
    <row r="3895" spans="1:1">
      <c r="A3895" s="56"/>
    </row>
    <row r="3896" spans="1:1">
      <c r="A3896" s="56"/>
    </row>
    <row r="3897" spans="1:1">
      <c r="A3897" s="56"/>
    </row>
    <row r="3898" spans="1:1">
      <c r="A3898" s="56"/>
    </row>
    <row r="3899" spans="1:1">
      <c r="A3899" s="56"/>
    </row>
    <row r="3900" spans="1:1">
      <c r="A3900" s="56"/>
    </row>
    <row r="3901" spans="1:1">
      <c r="A3901" s="56"/>
    </row>
    <row r="3902" spans="1:1">
      <c r="A3902" s="56"/>
    </row>
    <row r="3903" spans="1:1">
      <c r="A3903" s="56"/>
    </row>
    <row r="3904" spans="1:1">
      <c r="A3904" s="56"/>
    </row>
    <row r="3905" spans="1:1">
      <c r="A3905" s="56"/>
    </row>
    <row r="3906" spans="1:1">
      <c r="A3906" s="56"/>
    </row>
    <row r="3907" spans="1:1">
      <c r="A3907" s="56"/>
    </row>
    <row r="3908" spans="1:1">
      <c r="A3908" s="56"/>
    </row>
    <row r="3909" spans="1:1">
      <c r="A3909" s="56"/>
    </row>
    <row r="3910" spans="1:1">
      <c r="A3910" s="56"/>
    </row>
    <row r="3911" spans="1:1">
      <c r="A3911" s="56"/>
    </row>
    <row r="3912" spans="1:1">
      <c r="A3912" s="56"/>
    </row>
    <row r="3913" spans="1:1">
      <c r="A3913" s="56"/>
    </row>
    <row r="3914" spans="1:1">
      <c r="A3914" s="56"/>
    </row>
    <row r="3915" spans="1:1">
      <c r="A3915" s="56"/>
    </row>
    <row r="3916" spans="1:1">
      <c r="A3916" s="56"/>
    </row>
    <row r="3917" spans="1:1">
      <c r="A3917" s="56"/>
    </row>
    <row r="3918" spans="1:1">
      <c r="A3918" s="56"/>
    </row>
    <row r="3919" spans="1:1">
      <c r="A3919" s="56"/>
    </row>
    <row r="3920" spans="1:1">
      <c r="A3920" s="56"/>
    </row>
    <row r="3921" spans="1:1">
      <c r="A3921" s="56"/>
    </row>
    <row r="3922" spans="1:1">
      <c r="A3922" s="56"/>
    </row>
    <row r="3923" spans="1:1">
      <c r="A3923" s="56"/>
    </row>
    <row r="3924" spans="1:1">
      <c r="A3924" s="56"/>
    </row>
    <row r="3925" spans="1:1">
      <c r="A3925" s="56"/>
    </row>
    <row r="3926" spans="1:1">
      <c r="A3926" s="56"/>
    </row>
    <row r="3927" spans="1:1">
      <c r="A3927" s="56"/>
    </row>
    <row r="3928" spans="1:1">
      <c r="A3928" s="56"/>
    </row>
    <row r="3929" spans="1:1">
      <c r="A3929" s="56"/>
    </row>
    <row r="3930" spans="1:1">
      <c r="A3930" s="56"/>
    </row>
    <row r="3931" spans="1:1">
      <c r="A3931" s="56"/>
    </row>
    <row r="3932" spans="1:1">
      <c r="A3932" s="56"/>
    </row>
    <row r="3933" spans="1:1">
      <c r="A3933" s="56"/>
    </row>
    <row r="3934" spans="1:1">
      <c r="A3934" s="56"/>
    </row>
    <row r="3935" spans="1:1">
      <c r="A3935" s="56"/>
    </row>
    <row r="3936" spans="1:1">
      <c r="A3936" s="56"/>
    </row>
    <row r="3937" spans="1:1">
      <c r="A3937" s="56"/>
    </row>
    <row r="3938" spans="1:1">
      <c r="A3938" s="56"/>
    </row>
    <row r="3939" spans="1:1">
      <c r="A3939" s="56"/>
    </row>
    <row r="3940" spans="1:1">
      <c r="A3940" s="56"/>
    </row>
    <row r="3941" spans="1:1">
      <c r="A3941" s="56"/>
    </row>
    <row r="3942" spans="1:1">
      <c r="A3942" s="56"/>
    </row>
    <row r="3943" spans="1:1">
      <c r="A3943" s="56"/>
    </row>
    <row r="3944" spans="1:1">
      <c r="A3944" s="56"/>
    </row>
    <row r="3945" spans="1:1">
      <c r="A3945" s="56"/>
    </row>
    <row r="3946" spans="1:1">
      <c r="A3946" s="56"/>
    </row>
    <row r="3947" spans="1:1">
      <c r="A3947" s="56"/>
    </row>
    <row r="3948" spans="1:1">
      <c r="A3948" s="56"/>
    </row>
    <row r="3949" spans="1:1">
      <c r="A3949" s="56"/>
    </row>
    <row r="3950" spans="1:1">
      <c r="A3950" s="56"/>
    </row>
    <row r="3951" spans="1:1">
      <c r="A3951" s="56"/>
    </row>
    <row r="3952" spans="1:1">
      <c r="A3952" s="56"/>
    </row>
    <row r="3953" spans="1:1">
      <c r="A3953" s="56"/>
    </row>
    <row r="3954" spans="1:1">
      <c r="A3954" s="56"/>
    </row>
    <row r="3955" spans="1:1">
      <c r="A3955" s="56"/>
    </row>
    <row r="3956" spans="1:1">
      <c r="A3956" s="56"/>
    </row>
    <row r="3957" spans="1:1">
      <c r="A3957" s="56"/>
    </row>
    <row r="3958" spans="1:1">
      <c r="A3958" s="56"/>
    </row>
    <row r="3959" spans="1:1">
      <c r="A3959" s="56"/>
    </row>
    <row r="3960" spans="1:1">
      <c r="A3960" s="56"/>
    </row>
    <row r="3961" spans="1:1">
      <c r="A3961" s="56"/>
    </row>
    <row r="3962" spans="1:1">
      <c r="A3962" s="56"/>
    </row>
    <row r="3963" spans="1:1">
      <c r="A3963" s="56"/>
    </row>
    <row r="3964" spans="1:1">
      <c r="A3964" s="56"/>
    </row>
    <row r="3965" spans="1:1">
      <c r="A3965" s="56"/>
    </row>
    <row r="3966" spans="1:1">
      <c r="A3966" s="56"/>
    </row>
    <row r="3967" spans="1:1">
      <c r="A3967" s="56"/>
    </row>
    <row r="3968" spans="1:1">
      <c r="A3968" s="56"/>
    </row>
    <row r="3969" spans="1:1">
      <c r="A3969" s="56"/>
    </row>
    <row r="3970" spans="1:1">
      <c r="A3970" s="56"/>
    </row>
    <row r="3971" spans="1:1">
      <c r="A3971" s="56"/>
    </row>
    <row r="3972" spans="1:1">
      <c r="A3972" s="56"/>
    </row>
    <row r="3973" spans="1:1">
      <c r="A3973" s="56"/>
    </row>
    <row r="3974" spans="1:1">
      <c r="A3974" s="56"/>
    </row>
    <row r="3975" spans="1:1">
      <c r="A3975" s="56"/>
    </row>
    <row r="3976" spans="1:1">
      <c r="A3976" s="56"/>
    </row>
    <row r="3977" spans="1:1">
      <c r="A3977" s="56"/>
    </row>
    <row r="3978" spans="1:1">
      <c r="A3978" s="56"/>
    </row>
    <row r="3979" spans="1:1">
      <c r="A3979" s="56"/>
    </row>
    <row r="3980" spans="1:1">
      <c r="A3980" s="56"/>
    </row>
    <row r="3981" spans="1:1">
      <c r="A3981" s="56"/>
    </row>
    <row r="3982" spans="1:1">
      <c r="A3982" s="56"/>
    </row>
    <row r="3983" spans="1:1">
      <c r="A3983" s="56"/>
    </row>
    <row r="3984" spans="1:1">
      <c r="A3984" s="56"/>
    </row>
    <row r="3985" spans="1:1">
      <c r="A3985" s="56"/>
    </row>
    <row r="3986" spans="1:1">
      <c r="A3986" s="56"/>
    </row>
    <row r="3987" spans="1:1">
      <c r="A3987" s="56"/>
    </row>
    <row r="3988" spans="1:1">
      <c r="A3988" s="56"/>
    </row>
    <row r="3989" spans="1:1">
      <c r="A3989" s="56"/>
    </row>
    <row r="3990" spans="1:1">
      <c r="A3990" s="56"/>
    </row>
    <row r="3991" spans="1:1">
      <c r="A3991" s="56"/>
    </row>
    <row r="3992" spans="1:1">
      <c r="A3992" s="56"/>
    </row>
    <row r="3993" spans="1:1">
      <c r="A3993" s="56"/>
    </row>
    <row r="3994" spans="1:1">
      <c r="A3994" s="56"/>
    </row>
    <row r="3995" spans="1:1">
      <c r="A3995" s="56"/>
    </row>
    <row r="3996" spans="1:1">
      <c r="A3996" s="56"/>
    </row>
    <row r="3997" spans="1:1">
      <c r="A3997" s="56"/>
    </row>
    <row r="3998" spans="1:1">
      <c r="A3998" s="56"/>
    </row>
    <row r="3999" spans="1:1">
      <c r="A3999" s="56"/>
    </row>
    <row r="4000" spans="1:1">
      <c r="A4000" s="56"/>
    </row>
    <row r="4001" spans="1:1">
      <c r="A4001" s="56"/>
    </row>
    <row r="4002" spans="1:1">
      <c r="A4002" s="56"/>
    </row>
    <row r="4003" spans="1:1">
      <c r="A4003" s="56"/>
    </row>
    <row r="4004" spans="1:1">
      <c r="A4004" s="56"/>
    </row>
    <row r="4005" spans="1:1">
      <c r="A4005" s="56"/>
    </row>
    <row r="4006" spans="1:1">
      <c r="A4006" s="56"/>
    </row>
    <row r="4007" spans="1:1">
      <c r="A4007" s="56"/>
    </row>
    <row r="4008" spans="1:1">
      <c r="A4008" s="56"/>
    </row>
    <row r="4009" spans="1:1">
      <c r="A4009" s="56"/>
    </row>
    <row r="4010" spans="1:1">
      <c r="A4010" s="56"/>
    </row>
    <row r="4011" spans="1:1">
      <c r="A4011" s="56"/>
    </row>
    <row r="4012" spans="1:1">
      <c r="A4012" s="56"/>
    </row>
    <row r="4013" spans="1:1">
      <c r="A4013" s="56"/>
    </row>
    <row r="4014" spans="1:1">
      <c r="A4014" s="56"/>
    </row>
    <row r="4015" spans="1:1">
      <c r="A4015" s="56"/>
    </row>
    <row r="4016" spans="1:1">
      <c r="A4016" s="56"/>
    </row>
    <row r="4017" spans="1:1">
      <c r="A4017" s="56"/>
    </row>
    <row r="4018" spans="1:1">
      <c r="A4018" s="56"/>
    </row>
    <row r="4019" spans="1:1">
      <c r="A4019" s="56"/>
    </row>
    <row r="4020" spans="1:1">
      <c r="A4020" s="56"/>
    </row>
    <row r="4021" spans="1:1">
      <c r="A4021" s="56"/>
    </row>
    <row r="4022" spans="1:1">
      <c r="A4022" s="56"/>
    </row>
    <row r="4023" spans="1:1">
      <c r="A4023" s="56"/>
    </row>
    <row r="4024" spans="1:1">
      <c r="A4024" s="56"/>
    </row>
    <row r="4025" spans="1:1">
      <c r="A4025" s="56"/>
    </row>
    <row r="4026" spans="1:1">
      <c r="A4026" s="56"/>
    </row>
    <row r="4027" spans="1:1">
      <c r="A4027" s="56"/>
    </row>
    <row r="4028" spans="1:1">
      <c r="A4028" s="56"/>
    </row>
    <row r="4029" spans="1:1">
      <c r="A4029" s="56"/>
    </row>
    <row r="4030" spans="1:1">
      <c r="A4030" s="56"/>
    </row>
    <row r="4031" spans="1:1">
      <c r="A4031" s="56"/>
    </row>
    <row r="4032" spans="1:1">
      <c r="A4032" s="56"/>
    </row>
    <row r="4033" spans="1:1">
      <c r="A4033" s="56"/>
    </row>
    <row r="4034" spans="1:1">
      <c r="A4034" s="56"/>
    </row>
    <row r="4035" spans="1:1">
      <c r="A4035" s="56"/>
    </row>
    <row r="4036" spans="1:1">
      <c r="A4036" s="56"/>
    </row>
    <row r="4037" spans="1:1">
      <c r="A4037" s="56"/>
    </row>
    <row r="4038" spans="1:1">
      <c r="A4038" s="56"/>
    </row>
    <row r="4039" spans="1:1">
      <c r="A4039" s="56"/>
    </row>
    <row r="4040" spans="1:1">
      <c r="A4040" s="56"/>
    </row>
    <row r="4041" spans="1:1">
      <c r="A4041" s="56"/>
    </row>
    <row r="4042" spans="1:1">
      <c r="A4042" s="56"/>
    </row>
    <row r="4043" spans="1:1">
      <c r="A4043" s="56"/>
    </row>
    <row r="4044" spans="1:1">
      <c r="A4044" s="56"/>
    </row>
    <row r="4045" spans="1:1">
      <c r="A4045" s="56"/>
    </row>
    <row r="4046" spans="1:1">
      <c r="A4046" s="56"/>
    </row>
    <row r="4047" spans="1:1">
      <c r="A4047" s="56"/>
    </row>
    <row r="4048" spans="1:1">
      <c r="A4048" s="56"/>
    </row>
    <row r="4049" spans="1:1">
      <c r="A4049" s="56"/>
    </row>
    <row r="4050" spans="1:1">
      <c r="A4050" s="56"/>
    </row>
    <row r="4051" spans="1:1">
      <c r="A4051" s="56"/>
    </row>
    <row r="4052" spans="1:1">
      <c r="A4052" s="56"/>
    </row>
    <row r="4053" spans="1:1">
      <c r="A4053" s="56"/>
    </row>
    <row r="4054" spans="1:1">
      <c r="A4054" s="56"/>
    </row>
    <row r="4055" spans="1:1">
      <c r="A4055" s="56"/>
    </row>
    <row r="4056" spans="1:1">
      <c r="A4056" s="56"/>
    </row>
    <row r="4057" spans="1:1">
      <c r="A4057" s="56"/>
    </row>
    <row r="4058" spans="1:1">
      <c r="A4058" s="56"/>
    </row>
    <row r="4059" spans="1:1">
      <c r="A4059" s="56"/>
    </row>
    <row r="4060" spans="1:1">
      <c r="A4060" s="56"/>
    </row>
    <row r="4061" spans="1:1">
      <c r="A4061" s="56"/>
    </row>
    <row r="4062" spans="1:1">
      <c r="A4062" s="56"/>
    </row>
    <row r="4063" spans="1:1">
      <c r="A4063" s="56"/>
    </row>
    <row r="4064" spans="1:1">
      <c r="A4064" s="56"/>
    </row>
    <row r="4065" spans="1:1">
      <c r="A4065" s="56"/>
    </row>
    <row r="4066" spans="1:1">
      <c r="A4066" s="56"/>
    </row>
    <row r="4067" spans="1:1">
      <c r="A4067" s="56"/>
    </row>
    <row r="4068" spans="1:1">
      <c r="A4068" s="56"/>
    </row>
    <row r="4069" spans="1:1">
      <c r="A4069" s="56"/>
    </row>
    <row r="4070" spans="1:1">
      <c r="A4070" s="56"/>
    </row>
    <row r="4071" spans="1:1">
      <c r="A4071" s="56"/>
    </row>
    <row r="4072" spans="1:1">
      <c r="A4072" s="56"/>
    </row>
    <row r="4073" spans="1:1">
      <c r="A4073" s="56"/>
    </row>
    <row r="4074" spans="1:1">
      <c r="A4074" s="56"/>
    </row>
    <row r="4075" spans="1:1">
      <c r="A4075" s="56"/>
    </row>
    <row r="4076" spans="1:1">
      <c r="A4076" s="56"/>
    </row>
    <row r="4077" spans="1:1">
      <c r="A4077" s="56"/>
    </row>
    <row r="4078" spans="1:1">
      <c r="A4078" s="56"/>
    </row>
    <row r="4079" spans="1:1">
      <c r="A4079" s="56"/>
    </row>
    <row r="4080" spans="1:1">
      <c r="A4080" s="56"/>
    </row>
    <row r="4081" spans="1:1">
      <c r="A4081" s="56"/>
    </row>
    <row r="4082" spans="1:1">
      <c r="A4082" s="56"/>
    </row>
    <row r="4083" spans="1:1">
      <c r="A4083" s="56"/>
    </row>
    <row r="4084" spans="1:1">
      <c r="A4084" s="56"/>
    </row>
    <row r="4085" spans="1:1">
      <c r="A4085" s="56"/>
    </row>
    <row r="4086" spans="1:1">
      <c r="A4086" s="56"/>
    </row>
    <row r="4087" spans="1:1">
      <c r="A4087" s="56"/>
    </row>
    <row r="4088" spans="1:1">
      <c r="A4088" s="56"/>
    </row>
    <row r="4089" spans="1:1">
      <c r="A4089" s="56"/>
    </row>
    <row r="4090" spans="1:1">
      <c r="A4090" s="56"/>
    </row>
    <row r="4091" spans="1:1">
      <c r="A4091" s="56"/>
    </row>
    <row r="4092" spans="1:1">
      <c r="A4092" s="56"/>
    </row>
    <row r="4093" spans="1:1">
      <c r="A4093" s="56"/>
    </row>
    <row r="4094" spans="1:1">
      <c r="A4094" s="56"/>
    </row>
    <row r="4095" spans="1:1">
      <c r="A4095" s="56"/>
    </row>
    <row r="4096" spans="1:1">
      <c r="A4096" s="56"/>
    </row>
    <row r="4097" spans="1:1">
      <c r="A4097" s="56"/>
    </row>
    <row r="4098" spans="1:1">
      <c r="A4098" s="56"/>
    </row>
    <row r="4099" spans="1:1">
      <c r="A4099" s="56"/>
    </row>
    <row r="4100" spans="1:1">
      <c r="A4100" s="56"/>
    </row>
    <row r="4101" spans="1:1">
      <c r="A4101" s="56"/>
    </row>
    <row r="4102" spans="1:1">
      <c r="A4102" s="56"/>
    </row>
    <row r="4103" spans="1:1">
      <c r="A4103" s="56"/>
    </row>
    <row r="4104" spans="1:1">
      <c r="A4104" s="56"/>
    </row>
    <row r="4105" spans="1:1">
      <c r="A4105" s="56"/>
    </row>
    <row r="4106" spans="1:1">
      <c r="A4106" s="56"/>
    </row>
    <row r="4107" spans="1:1">
      <c r="A4107" s="56"/>
    </row>
    <row r="4108" spans="1:1">
      <c r="A4108" s="56"/>
    </row>
    <row r="4109" spans="1:1">
      <c r="A4109" s="56"/>
    </row>
    <row r="4110" spans="1:1">
      <c r="A4110" s="56"/>
    </row>
    <row r="4111" spans="1:1">
      <c r="A4111" s="56"/>
    </row>
    <row r="4112" spans="1:1">
      <c r="A4112" s="56"/>
    </row>
    <row r="4113" spans="1:1">
      <c r="A4113" s="56"/>
    </row>
    <row r="4114" spans="1:1">
      <c r="A4114" s="56"/>
    </row>
    <row r="4115" spans="1:1">
      <c r="A4115" s="56"/>
    </row>
    <row r="4116" spans="1:1">
      <c r="A4116" s="56"/>
    </row>
    <row r="4117" spans="1:1">
      <c r="A4117" s="56"/>
    </row>
    <row r="4118" spans="1:1">
      <c r="A4118" s="56"/>
    </row>
    <row r="4119" spans="1:1">
      <c r="A4119" s="56"/>
    </row>
    <row r="4120" spans="1:1">
      <c r="A4120" s="56"/>
    </row>
    <row r="4121" spans="1:1">
      <c r="A4121" s="56"/>
    </row>
    <row r="4122" spans="1:1">
      <c r="A4122" s="56"/>
    </row>
    <row r="4123" spans="1:1">
      <c r="A4123" s="56"/>
    </row>
    <row r="4124" spans="1:1">
      <c r="A4124" s="56"/>
    </row>
    <row r="4125" spans="1:1">
      <c r="A4125" s="56"/>
    </row>
    <row r="4126" spans="1:1">
      <c r="A4126" s="56"/>
    </row>
    <row r="4127" spans="1:1">
      <c r="A4127" s="56"/>
    </row>
    <row r="4128" spans="1:1">
      <c r="A4128" s="56"/>
    </row>
    <row r="4129" spans="1:1">
      <c r="A4129" s="56"/>
    </row>
    <row r="4130" spans="1:1">
      <c r="A4130" s="56"/>
    </row>
    <row r="4131" spans="1:1">
      <c r="A4131" s="56"/>
    </row>
    <row r="4132" spans="1:1">
      <c r="A4132" s="56"/>
    </row>
    <row r="4133" spans="1:1">
      <c r="A4133" s="56"/>
    </row>
    <row r="4134" spans="1:1">
      <c r="A4134" s="56"/>
    </row>
    <row r="4135" spans="1:1">
      <c r="A4135" s="56"/>
    </row>
    <row r="4136" spans="1:1">
      <c r="A4136" s="56"/>
    </row>
    <row r="4137" spans="1:1">
      <c r="A4137" s="56"/>
    </row>
    <row r="4138" spans="1:1">
      <c r="A4138" s="56"/>
    </row>
    <row r="4139" spans="1:1">
      <c r="A4139" s="56"/>
    </row>
    <row r="4140" spans="1:1">
      <c r="A4140" s="56"/>
    </row>
    <row r="4141" spans="1:1">
      <c r="A4141" s="56"/>
    </row>
    <row r="4142" spans="1:1">
      <c r="A4142" s="56"/>
    </row>
    <row r="4143" spans="1:1">
      <c r="A4143" s="56"/>
    </row>
    <row r="4144" spans="1:1">
      <c r="A4144" s="56"/>
    </row>
    <row r="4145" spans="1:1">
      <c r="A4145" s="56"/>
    </row>
    <row r="4146" spans="1:1">
      <c r="A4146" s="56"/>
    </row>
    <row r="4147" spans="1:1">
      <c r="A4147" s="56"/>
    </row>
    <row r="4148" spans="1:1">
      <c r="A4148" s="56"/>
    </row>
    <row r="4149" spans="1:1">
      <c r="A4149" s="56"/>
    </row>
    <row r="4150" spans="1:1">
      <c r="A4150" s="56"/>
    </row>
    <row r="4151" spans="1:1">
      <c r="A4151" s="56"/>
    </row>
    <row r="4152" spans="1:1">
      <c r="A4152" s="56"/>
    </row>
    <row r="4153" spans="1:1">
      <c r="A4153" s="56"/>
    </row>
    <row r="4154" spans="1:1">
      <c r="A4154" s="56"/>
    </row>
    <row r="4155" spans="1:1">
      <c r="A4155" s="56"/>
    </row>
    <row r="4156" spans="1:1">
      <c r="A4156" s="56"/>
    </row>
    <row r="4157" spans="1:1">
      <c r="A4157" s="56"/>
    </row>
    <row r="4158" spans="1:1">
      <c r="A4158" s="56"/>
    </row>
    <row r="4159" spans="1:1">
      <c r="A4159" s="56"/>
    </row>
    <row r="4160" spans="1:1">
      <c r="A4160" s="56"/>
    </row>
    <row r="4161" spans="1:1">
      <c r="A4161" s="56"/>
    </row>
    <row r="4162" spans="1:1">
      <c r="A4162" s="56"/>
    </row>
    <row r="4163" spans="1:1">
      <c r="A4163" s="56"/>
    </row>
    <row r="4164" spans="1:1">
      <c r="A4164" s="56"/>
    </row>
    <row r="4165" spans="1:1">
      <c r="A4165" s="56"/>
    </row>
    <row r="4166" spans="1:1">
      <c r="A4166" s="56"/>
    </row>
    <row r="4167" spans="1:1">
      <c r="A4167" s="56"/>
    </row>
    <row r="4168" spans="1:1">
      <c r="A4168" s="56"/>
    </row>
    <row r="4169" spans="1:1">
      <c r="A4169" s="56"/>
    </row>
    <row r="4170" spans="1:1">
      <c r="A4170" s="56"/>
    </row>
    <row r="4171" spans="1:1">
      <c r="A4171" s="56"/>
    </row>
    <row r="4172" spans="1:1">
      <c r="A4172" s="56"/>
    </row>
    <row r="4173" spans="1:1">
      <c r="A4173" s="56"/>
    </row>
    <row r="4174" spans="1:1">
      <c r="A4174" s="56"/>
    </row>
    <row r="4175" spans="1:1">
      <c r="A4175" s="56"/>
    </row>
    <row r="4176" spans="1:1">
      <c r="A4176" s="56"/>
    </row>
    <row r="4177" spans="1:1">
      <c r="A4177" s="56"/>
    </row>
    <row r="4178" spans="1:1">
      <c r="A4178" s="56"/>
    </row>
    <row r="4179" spans="1:1">
      <c r="A4179" s="56"/>
    </row>
    <row r="4180" spans="1:1">
      <c r="A4180" s="56"/>
    </row>
    <row r="4181" spans="1:1">
      <c r="A4181" s="56"/>
    </row>
    <row r="4182" spans="1:1">
      <c r="A4182" s="56"/>
    </row>
    <row r="4183" spans="1:1">
      <c r="A4183" s="56"/>
    </row>
    <row r="4184" spans="1:1">
      <c r="A4184" s="56"/>
    </row>
    <row r="4185" spans="1:1">
      <c r="A4185" s="56"/>
    </row>
    <row r="4186" spans="1:1">
      <c r="A4186" s="56"/>
    </row>
    <row r="4187" spans="1:1">
      <c r="A4187" s="56"/>
    </row>
    <row r="4188" spans="1:1">
      <c r="A4188" s="56"/>
    </row>
    <row r="4189" spans="1:1">
      <c r="A4189" s="56"/>
    </row>
    <row r="4190" spans="1:1">
      <c r="A4190" s="56"/>
    </row>
    <row r="4191" spans="1:1">
      <c r="A4191" s="56"/>
    </row>
    <row r="4192" spans="1:1">
      <c r="A4192" s="56"/>
    </row>
    <row r="4193" spans="1:1">
      <c r="A4193" s="56"/>
    </row>
    <row r="4194" spans="1:1">
      <c r="A4194" s="56"/>
    </row>
    <row r="4195" spans="1:1">
      <c r="A4195" s="56"/>
    </row>
    <row r="4196" spans="1:1">
      <c r="A4196" s="56"/>
    </row>
    <row r="4197" spans="1:1">
      <c r="A4197" s="56"/>
    </row>
    <row r="4198" spans="1:1">
      <c r="A4198" s="56"/>
    </row>
    <row r="4199" spans="1:1">
      <c r="A4199" s="56"/>
    </row>
    <row r="4200" spans="1:1">
      <c r="A4200" s="56"/>
    </row>
    <row r="4201" spans="1:1">
      <c r="A4201" s="56"/>
    </row>
    <row r="4202" spans="1:1">
      <c r="A4202" s="56"/>
    </row>
    <row r="4203" spans="1:1">
      <c r="A4203" s="56"/>
    </row>
    <row r="4204" spans="1:1">
      <c r="A4204" s="56"/>
    </row>
    <row r="4205" spans="1:1">
      <c r="A4205" s="56"/>
    </row>
    <row r="4206" spans="1:1">
      <c r="A4206" s="56"/>
    </row>
    <row r="4207" spans="1:1">
      <c r="A4207" s="56"/>
    </row>
    <row r="4208" spans="1:1">
      <c r="A4208" s="56"/>
    </row>
    <row r="4209" spans="1:1">
      <c r="A4209" s="56"/>
    </row>
    <row r="4210" spans="1:1">
      <c r="A4210" s="56"/>
    </row>
    <row r="4211" spans="1:1">
      <c r="A4211" s="56"/>
    </row>
    <row r="4212" spans="1:1">
      <c r="A4212" s="56"/>
    </row>
    <row r="4213" spans="1:1">
      <c r="A4213" s="56"/>
    </row>
    <row r="4214" spans="1:1">
      <c r="A4214" s="56"/>
    </row>
    <row r="4215" spans="1:1">
      <c r="A4215" s="56"/>
    </row>
    <row r="4216" spans="1:1">
      <c r="A4216" s="56"/>
    </row>
    <row r="4217" spans="1:1">
      <c r="A4217" s="56"/>
    </row>
    <row r="4218" spans="1:1">
      <c r="A4218" s="56"/>
    </row>
    <row r="4219" spans="1:1">
      <c r="A4219" s="56"/>
    </row>
    <row r="4220" spans="1:1">
      <c r="A4220" s="56"/>
    </row>
    <row r="4221" spans="1:1">
      <c r="A4221" s="56"/>
    </row>
    <row r="4222" spans="1:1">
      <c r="A4222" s="56"/>
    </row>
    <row r="4223" spans="1:1">
      <c r="A4223" s="56"/>
    </row>
    <row r="4224" spans="1:1">
      <c r="A4224" s="56"/>
    </row>
    <row r="4225" spans="1:1">
      <c r="A4225" s="56"/>
    </row>
    <row r="4226" spans="1:1">
      <c r="A4226" s="56"/>
    </row>
    <row r="4227" spans="1:1">
      <c r="A4227" s="56"/>
    </row>
    <row r="4228" spans="1:1">
      <c r="A4228" s="56"/>
    </row>
    <row r="4229" spans="1:1">
      <c r="A4229" s="56"/>
    </row>
    <row r="4230" spans="1:1">
      <c r="A4230" s="56"/>
    </row>
    <row r="4231" spans="1:1">
      <c r="A4231" s="56"/>
    </row>
    <row r="4232" spans="1:1">
      <c r="A4232" s="56"/>
    </row>
    <row r="4233" spans="1:1">
      <c r="A4233" s="56"/>
    </row>
    <row r="4234" spans="1:1">
      <c r="A4234" s="56"/>
    </row>
    <row r="4235" spans="1:1">
      <c r="A4235" s="56"/>
    </row>
    <row r="4236" spans="1:1">
      <c r="A4236" s="56"/>
    </row>
    <row r="4237" spans="1:1">
      <c r="A4237" s="56"/>
    </row>
    <row r="4238" spans="1:1">
      <c r="A4238" s="56"/>
    </row>
    <row r="4239" spans="1:1">
      <c r="A4239" s="56"/>
    </row>
    <row r="4240" spans="1:1">
      <c r="A4240" s="56"/>
    </row>
    <row r="4241" spans="1:1">
      <c r="A4241" s="56"/>
    </row>
    <row r="4242" spans="1:1">
      <c r="A4242" s="56"/>
    </row>
    <row r="4243" spans="1:1">
      <c r="A4243" s="56"/>
    </row>
    <row r="4244" spans="1:1">
      <c r="A4244" s="56"/>
    </row>
    <row r="4245" spans="1:1">
      <c r="A4245" s="56"/>
    </row>
    <row r="4246" spans="1:1">
      <c r="A4246" s="56"/>
    </row>
    <row r="4247" spans="1:1">
      <c r="A4247" s="56"/>
    </row>
    <row r="4248" spans="1:1">
      <c r="A4248" s="56"/>
    </row>
    <row r="4249" spans="1:1">
      <c r="A4249" s="56"/>
    </row>
    <row r="4250" spans="1:1">
      <c r="A4250" s="56"/>
    </row>
    <row r="4251" spans="1:1">
      <c r="A4251" s="56"/>
    </row>
    <row r="4252" spans="1:1">
      <c r="A4252" s="56"/>
    </row>
    <row r="4253" spans="1:1">
      <c r="A4253" s="56"/>
    </row>
    <row r="4254" spans="1:1">
      <c r="A4254" s="56"/>
    </row>
    <row r="4255" spans="1:1">
      <c r="A4255" s="56"/>
    </row>
    <row r="4256" spans="1:1">
      <c r="A4256" s="56"/>
    </row>
    <row r="4257" spans="1:1">
      <c r="A4257" s="56"/>
    </row>
    <row r="4258" spans="1:1">
      <c r="A4258" s="56"/>
    </row>
    <row r="4259" spans="1:1">
      <c r="A4259" s="56"/>
    </row>
    <row r="4260" spans="1:1">
      <c r="A4260" s="56"/>
    </row>
    <row r="4261" spans="1:1">
      <c r="A4261" s="56"/>
    </row>
    <row r="4262" spans="1:1">
      <c r="A4262" s="56"/>
    </row>
    <row r="4263" spans="1:1">
      <c r="A4263" s="56"/>
    </row>
    <row r="4264" spans="1:1">
      <c r="A4264" s="56"/>
    </row>
    <row r="4265" spans="1:1">
      <c r="A4265" s="56"/>
    </row>
    <row r="4266" spans="1:1">
      <c r="A4266" s="56"/>
    </row>
    <row r="4267" spans="1:1">
      <c r="A4267" s="56"/>
    </row>
    <row r="4268" spans="1:1">
      <c r="A4268" s="56"/>
    </row>
    <row r="4269" spans="1:1">
      <c r="A4269" s="56"/>
    </row>
    <row r="4270" spans="1:1">
      <c r="A4270" s="56"/>
    </row>
    <row r="4271" spans="1:1">
      <c r="A4271" s="56"/>
    </row>
    <row r="4272" spans="1:1">
      <c r="A4272" s="56"/>
    </row>
    <row r="4273" spans="1:1">
      <c r="A4273" s="56"/>
    </row>
    <row r="4274" spans="1:1">
      <c r="A4274" s="56"/>
    </row>
    <row r="4275" spans="1:1">
      <c r="A4275" s="56"/>
    </row>
    <row r="4276" spans="1:1">
      <c r="A4276" s="56"/>
    </row>
    <row r="4277" spans="1:1">
      <c r="A4277" s="56"/>
    </row>
    <row r="4278" spans="1:1">
      <c r="A4278" s="56"/>
    </row>
    <row r="4279" spans="1:1">
      <c r="A4279" s="56"/>
    </row>
    <row r="4280" spans="1:1">
      <c r="A4280" s="56"/>
    </row>
    <row r="4281" spans="1:1">
      <c r="A4281" s="56"/>
    </row>
    <row r="4282" spans="1:1">
      <c r="A4282" s="56"/>
    </row>
    <row r="4283" spans="1:1">
      <c r="A4283" s="56"/>
    </row>
    <row r="4284" spans="1:1">
      <c r="A4284" s="56"/>
    </row>
    <row r="4285" spans="1:1">
      <c r="A4285" s="56"/>
    </row>
    <row r="4286" spans="1:1">
      <c r="A4286" s="56"/>
    </row>
    <row r="4287" spans="1:1">
      <c r="A4287" s="56"/>
    </row>
    <row r="4288" spans="1:1">
      <c r="A4288" s="56"/>
    </row>
    <row r="4289" spans="1:1">
      <c r="A4289" s="56"/>
    </row>
    <row r="4290" spans="1:1">
      <c r="A4290" s="56"/>
    </row>
    <row r="4291" spans="1:1">
      <c r="A4291" s="56"/>
    </row>
    <row r="4292" spans="1:1">
      <c r="A4292" s="56"/>
    </row>
    <row r="4293" spans="1:1">
      <c r="A4293" s="56"/>
    </row>
    <row r="4294" spans="1:1">
      <c r="A4294" s="56"/>
    </row>
    <row r="4295" spans="1:1">
      <c r="A4295" s="56"/>
    </row>
    <row r="4296" spans="1:1">
      <c r="A4296" s="56"/>
    </row>
    <row r="4297" spans="1:1">
      <c r="A4297" s="56"/>
    </row>
    <row r="4298" spans="1:1">
      <c r="A4298" s="56"/>
    </row>
    <row r="4299" spans="1:1">
      <c r="A4299" s="56"/>
    </row>
    <row r="4300" spans="1:1">
      <c r="A4300" s="56"/>
    </row>
    <row r="4301" spans="1:1">
      <c r="A4301" s="56"/>
    </row>
    <row r="4302" spans="1:1">
      <c r="A4302" s="56"/>
    </row>
    <row r="4303" spans="1:1">
      <c r="A4303" s="56"/>
    </row>
    <row r="4304" spans="1:1">
      <c r="A4304" s="56"/>
    </row>
    <row r="4305" spans="1:1">
      <c r="A4305" s="56"/>
    </row>
    <row r="4306" spans="1:1">
      <c r="A4306" s="56"/>
    </row>
    <row r="4307" spans="1:1">
      <c r="A4307" s="56"/>
    </row>
    <row r="4308" spans="1:1">
      <c r="A4308" s="56"/>
    </row>
    <row r="4309" spans="1:1">
      <c r="A4309" s="56"/>
    </row>
    <row r="4310" spans="1:1">
      <c r="A4310" s="56"/>
    </row>
    <row r="4311" spans="1:1">
      <c r="A4311" s="56"/>
    </row>
    <row r="4312" spans="1:1">
      <c r="A4312" s="56"/>
    </row>
    <row r="4313" spans="1:1">
      <c r="A4313" s="56"/>
    </row>
    <row r="4314" spans="1:1">
      <c r="A4314" s="56"/>
    </row>
    <row r="4315" spans="1:1">
      <c r="A4315" s="56"/>
    </row>
    <row r="4316" spans="1:1">
      <c r="A4316" s="56"/>
    </row>
    <row r="4317" spans="1:1">
      <c r="A4317" s="56"/>
    </row>
    <row r="4318" spans="1:1">
      <c r="A4318" s="56"/>
    </row>
    <row r="4319" spans="1:1">
      <c r="A4319" s="56"/>
    </row>
    <row r="4320" spans="1:1">
      <c r="A4320" s="56"/>
    </row>
    <row r="4321" spans="1:1">
      <c r="A4321" s="56"/>
    </row>
    <row r="4322" spans="1:1">
      <c r="A4322" s="56"/>
    </row>
    <row r="4323" spans="1:1">
      <c r="A4323" s="56"/>
    </row>
    <row r="4324" spans="1:1">
      <c r="A4324" s="56"/>
    </row>
    <row r="4325" spans="1:1">
      <c r="A4325" s="56"/>
    </row>
    <row r="4326" spans="1:1">
      <c r="A4326" s="56"/>
    </row>
    <row r="4327" spans="1:1">
      <c r="A4327" s="56"/>
    </row>
    <row r="4328" spans="1:1">
      <c r="A4328" s="56"/>
    </row>
    <row r="4329" spans="1:1">
      <c r="A4329" s="56"/>
    </row>
    <row r="4330" spans="1:1">
      <c r="A4330" s="56"/>
    </row>
    <row r="4331" spans="1:1">
      <c r="A4331" s="56"/>
    </row>
    <row r="4332" spans="1:1">
      <c r="A4332" s="56"/>
    </row>
    <row r="4333" spans="1:1">
      <c r="A4333" s="56"/>
    </row>
    <row r="4334" spans="1:1">
      <c r="A4334" s="56"/>
    </row>
    <row r="4335" spans="1:1">
      <c r="A4335" s="56"/>
    </row>
    <row r="4336" spans="1:1">
      <c r="A4336" s="56"/>
    </row>
    <row r="4337" spans="1:1">
      <c r="A4337" s="56"/>
    </row>
    <row r="4338" spans="1:1">
      <c r="A4338" s="56"/>
    </row>
    <row r="4339" spans="1:1">
      <c r="A4339" s="56"/>
    </row>
    <row r="4340" spans="1:1">
      <c r="A4340" s="56"/>
    </row>
    <row r="4341" spans="1:1">
      <c r="A4341" s="56"/>
    </row>
    <row r="4342" spans="1:1">
      <c r="A4342" s="56"/>
    </row>
    <row r="4343" spans="1:1">
      <c r="A4343" s="56"/>
    </row>
    <row r="4344" spans="1:1">
      <c r="A4344" s="56"/>
    </row>
    <row r="4345" spans="1:1">
      <c r="A4345" s="56"/>
    </row>
    <row r="4346" spans="1:1">
      <c r="A4346" s="56"/>
    </row>
    <row r="4347" spans="1:1">
      <c r="A4347" s="56"/>
    </row>
    <row r="4348" spans="1:1">
      <c r="A4348" s="56"/>
    </row>
    <row r="4349" spans="1:1">
      <c r="A4349" s="56"/>
    </row>
    <row r="4350" spans="1:1">
      <c r="A4350" s="56"/>
    </row>
    <row r="4351" spans="1:1">
      <c r="A4351" s="56"/>
    </row>
    <row r="4352" spans="1:1">
      <c r="A4352" s="56"/>
    </row>
    <row r="4353" spans="1:1">
      <c r="A4353" s="56"/>
    </row>
    <row r="4354" spans="1:1">
      <c r="A4354" s="56"/>
    </row>
    <row r="4355" spans="1:1">
      <c r="A4355" s="56"/>
    </row>
    <row r="4356" spans="1:1">
      <c r="A4356" s="56"/>
    </row>
    <row r="4357" spans="1:1">
      <c r="A4357" s="56"/>
    </row>
    <row r="4358" spans="1:1">
      <c r="A4358" s="56"/>
    </row>
    <row r="4359" spans="1:1">
      <c r="A4359" s="56"/>
    </row>
    <row r="4360" spans="1:1">
      <c r="A4360" s="56"/>
    </row>
    <row r="4361" spans="1:1">
      <c r="A4361" s="56"/>
    </row>
    <row r="4362" spans="1:1">
      <c r="A4362" s="56"/>
    </row>
    <row r="4363" spans="1:1">
      <c r="A4363" s="56"/>
    </row>
    <row r="4364" spans="1:1">
      <c r="A4364" s="56"/>
    </row>
    <row r="4365" spans="1:1">
      <c r="A4365" s="56"/>
    </row>
    <row r="4366" spans="1:1">
      <c r="A4366" s="56"/>
    </row>
    <row r="4367" spans="1:1">
      <c r="A4367" s="56"/>
    </row>
    <row r="4368" spans="1:1">
      <c r="A4368" s="56"/>
    </row>
    <row r="4369" spans="1:1">
      <c r="A4369" s="56"/>
    </row>
    <row r="4370" spans="1:1">
      <c r="A4370" s="56"/>
    </row>
    <row r="4371" spans="1:1">
      <c r="A4371" s="56"/>
    </row>
    <row r="4372" spans="1:1">
      <c r="A4372" s="56"/>
    </row>
    <row r="4373" spans="1:1">
      <c r="A4373" s="56"/>
    </row>
    <row r="4374" spans="1:1">
      <c r="A4374" s="56"/>
    </row>
    <row r="4375" spans="1:1">
      <c r="A4375" s="56"/>
    </row>
    <row r="4376" spans="1:1">
      <c r="A4376" s="56"/>
    </row>
    <row r="4377" spans="1:1">
      <c r="A4377" s="56"/>
    </row>
    <row r="4378" spans="1:1">
      <c r="A4378" s="56"/>
    </row>
    <row r="4379" spans="1:1">
      <c r="A4379" s="56"/>
    </row>
    <row r="4380" spans="1:1">
      <c r="A4380" s="56"/>
    </row>
    <row r="4381" spans="1:1">
      <c r="A4381" s="56"/>
    </row>
    <row r="4382" spans="1:1">
      <c r="A4382" s="56"/>
    </row>
    <row r="4383" spans="1:1">
      <c r="A4383" s="56"/>
    </row>
    <row r="4384" spans="1:1">
      <c r="A4384" s="56"/>
    </row>
    <row r="4385" spans="1:1">
      <c r="A4385" s="56"/>
    </row>
    <row r="4386" spans="1:1">
      <c r="A4386" s="56"/>
    </row>
    <row r="4387" spans="1:1">
      <c r="A4387" s="56"/>
    </row>
    <row r="4388" spans="1:1">
      <c r="A4388" s="56"/>
    </row>
    <row r="4389" spans="1:1">
      <c r="A4389" s="56"/>
    </row>
    <row r="4390" spans="1:1">
      <c r="A4390" s="56"/>
    </row>
    <row r="4391" spans="1:1">
      <c r="A4391" s="56"/>
    </row>
    <row r="4392" spans="1:1">
      <c r="A4392" s="56"/>
    </row>
    <row r="4393" spans="1:1">
      <c r="A4393" s="56"/>
    </row>
    <row r="4394" spans="1:1">
      <c r="A4394" s="56"/>
    </row>
    <row r="4395" spans="1:1">
      <c r="A4395" s="56"/>
    </row>
    <row r="4396" spans="1:1">
      <c r="A4396" s="56"/>
    </row>
    <row r="4397" spans="1:1">
      <c r="A4397" s="56"/>
    </row>
    <row r="4398" spans="1:1">
      <c r="A4398" s="56"/>
    </row>
    <row r="4399" spans="1:1">
      <c r="A4399" s="56"/>
    </row>
    <row r="4400" spans="1:1">
      <c r="A4400" s="56"/>
    </row>
    <row r="4401" spans="1:1">
      <c r="A4401" s="56"/>
    </row>
    <row r="4402" spans="1:1">
      <c r="A4402" s="56"/>
    </row>
    <row r="4403" spans="1:1">
      <c r="A4403" s="56"/>
    </row>
    <row r="4404" spans="1:1">
      <c r="A4404" s="56"/>
    </row>
    <row r="4405" spans="1:1">
      <c r="A4405" s="56"/>
    </row>
    <row r="4406" spans="1:1">
      <c r="A4406" s="56"/>
    </row>
    <row r="4407" spans="1:1">
      <c r="A4407" s="56"/>
    </row>
    <row r="4408" spans="1:1">
      <c r="A4408" s="56"/>
    </row>
    <row r="4409" spans="1:1">
      <c r="A4409" s="56"/>
    </row>
    <row r="4410" spans="1:1">
      <c r="A4410" s="56"/>
    </row>
    <row r="4411" spans="1:1">
      <c r="A4411" s="56"/>
    </row>
    <row r="4412" spans="1:1">
      <c r="A4412" s="56"/>
    </row>
    <row r="4413" spans="1:1">
      <c r="A4413" s="56"/>
    </row>
    <row r="4414" spans="1:1">
      <c r="A4414" s="56"/>
    </row>
    <row r="4415" spans="1:1">
      <c r="A4415" s="56"/>
    </row>
    <row r="4416" spans="1:1">
      <c r="A4416" s="56"/>
    </row>
    <row r="4417" spans="1:1">
      <c r="A4417" s="56"/>
    </row>
    <row r="4418" spans="1:1">
      <c r="A4418" s="56"/>
    </row>
    <row r="4419" spans="1:1">
      <c r="A4419" s="56"/>
    </row>
    <row r="4420" spans="1:1">
      <c r="A4420" s="56"/>
    </row>
    <row r="4421" spans="1:1">
      <c r="A4421" s="56"/>
    </row>
    <row r="4422" spans="1:1">
      <c r="A4422" s="56"/>
    </row>
    <row r="4423" spans="1:1">
      <c r="A4423" s="56"/>
    </row>
    <row r="4424" spans="1:1">
      <c r="A4424" s="56"/>
    </row>
    <row r="4425" spans="1:1">
      <c r="A4425" s="56"/>
    </row>
    <row r="4426" spans="1:1">
      <c r="A4426" s="56"/>
    </row>
    <row r="4427" spans="1:1">
      <c r="A4427" s="56"/>
    </row>
    <row r="4428" spans="1:1">
      <c r="A4428" s="56"/>
    </row>
    <row r="4429" spans="1:1">
      <c r="A4429" s="56"/>
    </row>
    <row r="4430" spans="1:1">
      <c r="A4430" s="56"/>
    </row>
    <row r="4431" spans="1:1">
      <c r="A4431" s="56"/>
    </row>
    <row r="4432" spans="1:1">
      <c r="A4432" s="56"/>
    </row>
    <row r="4433" spans="1:1">
      <c r="A4433" s="56"/>
    </row>
    <row r="4434" spans="1:1">
      <c r="A4434" s="56"/>
    </row>
    <row r="4435" spans="1:1">
      <c r="A4435" s="56"/>
    </row>
    <row r="4436" spans="1:1">
      <c r="A4436" s="56"/>
    </row>
    <row r="4437" spans="1:1">
      <c r="A4437" s="56"/>
    </row>
    <row r="4438" spans="1:1">
      <c r="A4438" s="56"/>
    </row>
    <row r="4439" spans="1:1">
      <c r="A4439" s="56"/>
    </row>
    <row r="4440" spans="1:1">
      <c r="A4440" s="56"/>
    </row>
    <row r="4441" spans="1:1">
      <c r="A4441" s="56"/>
    </row>
    <row r="4442" spans="1:1">
      <c r="A4442" s="56"/>
    </row>
    <row r="4443" spans="1:1">
      <c r="A4443" s="56"/>
    </row>
    <row r="4444" spans="1:1">
      <c r="A4444" s="56"/>
    </row>
    <row r="4445" spans="1:1">
      <c r="A4445" s="56"/>
    </row>
    <row r="4446" spans="1:1">
      <c r="A4446" s="56"/>
    </row>
    <row r="4447" spans="1:1">
      <c r="A4447" s="56"/>
    </row>
    <row r="4448" spans="1:1">
      <c r="A4448" s="56"/>
    </row>
    <row r="4449" spans="1:1">
      <c r="A4449" s="56"/>
    </row>
    <row r="4450" spans="1:1">
      <c r="A4450" s="56"/>
    </row>
    <row r="4451" spans="1:1">
      <c r="A4451" s="56"/>
    </row>
    <row r="4452" spans="1:1">
      <c r="A4452" s="56"/>
    </row>
    <row r="4453" spans="1:1">
      <c r="A4453" s="56"/>
    </row>
    <row r="4454" spans="1:1">
      <c r="A4454" s="56"/>
    </row>
    <row r="4455" spans="1:1">
      <c r="A4455" s="56"/>
    </row>
    <row r="4456" spans="1:1">
      <c r="A4456" s="56"/>
    </row>
    <row r="4457" spans="1:1">
      <c r="A4457" s="56"/>
    </row>
    <row r="4458" spans="1:1">
      <c r="A4458" s="56"/>
    </row>
    <row r="4459" spans="1:1">
      <c r="A4459" s="56"/>
    </row>
    <row r="4460" spans="1:1">
      <c r="A4460" s="56"/>
    </row>
    <row r="4461" spans="1:1">
      <c r="A4461" s="56"/>
    </row>
    <row r="4462" spans="1:1">
      <c r="A4462" s="56"/>
    </row>
    <row r="4463" spans="1:1">
      <c r="A4463" s="56"/>
    </row>
    <row r="4464" spans="1:1">
      <c r="A4464" s="56"/>
    </row>
    <row r="4465" spans="1:1">
      <c r="A4465" s="56"/>
    </row>
    <row r="4466" spans="1:1">
      <c r="A4466" s="56"/>
    </row>
    <row r="4467" spans="1:1">
      <c r="A4467" s="56"/>
    </row>
    <row r="4468" spans="1:1">
      <c r="A4468" s="56"/>
    </row>
    <row r="4469" spans="1:1">
      <c r="A4469" s="56"/>
    </row>
    <row r="4470" spans="1:1">
      <c r="A4470" s="56"/>
    </row>
    <row r="4471" spans="1:1">
      <c r="A4471" s="56"/>
    </row>
    <row r="4472" spans="1:1">
      <c r="A4472" s="56"/>
    </row>
    <row r="4473" spans="1:1">
      <c r="A4473" s="56"/>
    </row>
    <row r="4474" spans="1:1">
      <c r="A4474" s="56"/>
    </row>
    <row r="4475" spans="1:1">
      <c r="A4475" s="56"/>
    </row>
    <row r="4476" spans="1:1">
      <c r="A4476" s="56"/>
    </row>
    <row r="4477" spans="1:1">
      <c r="A4477" s="56"/>
    </row>
    <row r="4478" spans="1:1">
      <c r="A4478" s="56"/>
    </row>
    <row r="4479" spans="1:1">
      <c r="A4479" s="56"/>
    </row>
    <row r="4480" spans="1:1">
      <c r="A4480" s="56"/>
    </row>
    <row r="4481" spans="1:1">
      <c r="A4481" s="56"/>
    </row>
    <row r="4482" spans="1:1">
      <c r="A4482" s="56"/>
    </row>
    <row r="4483" spans="1:1">
      <c r="A4483" s="56"/>
    </row>
    <row r="4484" spans="1:1">
      <c r="A4484" s="56"/>
    </row>
    <row r="4485" spans="1:1">
      <c r="A4485" s="56"/>
    </row>
    <row r="4486" spans="1:1">
      <c r="A4486" s="56"/>
    </row>
    <row r="4487" spans="1:1">
      <c r="A4487" s="56"/>
    </row>
    <row r="4488" spans="1:1">
      <c r="A4488" s="56"/>
    </row>
    <row r="4489" spans="1:1">
      <c r="A4489" s="56"/>
    </row>
    <row r="4490" spans="1:1">
      <c r="A4490" s="56"/>
    </row>
    <row r="4491" spans="1:1">
      <c r="A4491" s="56"/>
    </row>
    <row r="4492" spans="1:1">
      <c r="A4492" s="56"/>
    </row>
    <row r="4493" spans="1:1">
      <c r="A4493" s="56"/>
    </row>
    <row r="4494" spans="1:1">
      <c r="A4494" s="56"/>
    </row>
    <row r="4495" spans="1:1">
      <c r="A4495" s="56"/>
    </row>
    <row r="4496" spans="1:1">
      <c r="A4496" s="56"/>
    </row>
    <row r="4497" spans="1:1">
      <c r="A4497" s="56"/>
    </row>
    <row r="4498" spans="1:1">
      <c r="A4498" s="56"/>
    </row>
    <row r="4499" spans="1:1">
      <c r="A4499" s="56"/>
    </row>
    <row r="4500" spans="1:1">
      <c r="A4500" s="56"/>
    </row>
    <row r="4501" spans="1:1">
      <c r="A4501" s="56"/>
    </row>
    <row r="4502" spans="1:1">
      <c r="A4502" s="56"/>
    </row>
    <row r="4503" spans="1:1">
      <c r="A4503" s="56"/>
    </row>
    <row r="4504" spans="1:1">
      <c r="A4504" s="56"/>
    </row>
    <row r="4505" spans="1:1">
      <c r="A4505" s="56"/>
    </row>
    <row r="4506" spans="1:1">
      <c r="A4506" s="56"/>
    </row>
    <row r="4507" spans="1:1">
      <c r="A4507" s="56"/>
    </row>
    <row r="4508" spans="1:1">
      <c r="A4508" s="56"/>
    </row>
    <row r="4509" spans="1:1">
      <c r="A4509" s="56"/>
    </row>
    <row r="4510" spans="1:1">
      <c r="A4510" s="56"/>
    </row>
    <row r="4511" spans="1:1">
      <c r="A4511" s="56"/>
    </row>
    <row r="4512" spans="1:1">
      <c r="A4512" s="56"/>
    </row>
    <row r="4513" spans="1:1">
      <c r="A4513" s="56"/>
    </row>
    <row r="4514" spans="1:1">
      <c r="A4514" s="56"/>
    </row>
    <row r="4515" spans="1:1">
      <c r="A4515" s="56"/>
    </row>
    <row r="4516" spans="1:1">
      <c r="A4516" s="56"/>
    </row>
    <row r="4517" spans="1:1">
      <c r="A4517" s="56"/>
    </row>
    <row r="4518" spans="1:1">
      <c r="A4518" s="56"/>
    </row>
    <row r="4519" spans="1:1">
      <c r="A4519" s="56"/>
    </row>
    <row r="4520" spans="1:1">
      <c r="A4520" s="56"/>
    </row>
    <row r="4521" spans="1:1">
      <c r="A4521" s="56"/>
    </row>
    <row r="4522" spans="1:1">
      <c r="A4522" s="56"/>
    </row>
    <row r="4523" spans="1:1">
      <c r="A4523" s="56"/>
    </row>
    <row r="4524" spans="1:1">
      <c r="A4524" s="56"/>
    </row>
    <row r="4525" spans="1:1">
      <c r="A4525" s="56"/>
    </row>
    <row r="4526" spans="1:1">
      <c r="A4526" s="56"/>
    </row>
    <row r="4527" spans="1:1">
      <c r="A4527" s="56"/>
    </row>
    <row r="4528" spans="1:1">
      <c r="A4528" s="56"/>
    </row>
    <row r="4529" spans="1:1">
      <c r="A4529" s="56"/>
    </row>
    <row r="4530" spans="1:1">
      <c r="A4530" s="56"/>
    </row>
    <row r="4531" spans="1:1">
      <c r="A4531" s="56"/>
    </row>
    <row r="4532" spans="1:1">
      <c r="A4532" s="56"/>
    </row>
    <row r="4533" spans="1:1">
      <c r="A4533" s="56"/>
    </row>
    <row r="4534" spans="1:1">
      <c r="A4534" s="56"/>
    </row>
    <row r="4535" spans="1:1">
      <c r="A4535" s="56"/>
    </row>
    <row r="4536" spans="1:1">
      <c r="A4536" s="56"/>
    </row>
    <row r="4537" spans="1:1">
      <c r="A4537" s="56"/>
    </row>
    <row r="4538" spans="1:1">
      <c r="A4538" s="56"/>
    </row>
    <row r="4539" spans="1:1">
      <c r="A4539" s="56"/>
    </row>
    <row r="4540" spans="1:1">
      <c r="A4540" s="56"/>
    </row>
    <row r="4541" spans="1:1">
      <c r="A4541" s="56"/>
    </row>
    <row r="4542" spans="1:1">
      <c r="A4542" s="56"/>
    </row>
    <row r="4543" spans="1:1">
      <c r="A4543" s="56"/>
    </row>
    <row r="4544" spans="1:1">
      <c r="A4544" s="56"/>
    </row>
    <row r="4545" spans="1:1">
      <c r="A4545" s="56"/>
    </row>
    <row r="4546" spans="1:1">
      <c r="A4546" s="56"/>
    </row>
    <row r="4547" spans="1:1">
      <c r="A4547" s="56"/>
    </row>
    <row r="4548" spans="1:1">
      <c r="A4548" s="56"/>
    </row>
    <row r="4549" spans="1:1">
      <c r="A4549" s="56"/>
    </row>
    <row r="4550" spans="1:1">
      <c r="A4550" s="56"/>
    </row>
    <row r="4551" spans="1:1">
      <c r="A4551" s="56"/>
    </row>
    <row r="4552" spans="1:1">
      <c r="A4552" s="56"/>
    </row>
    <row r="4553" spans="1:1">
      <c r="A4553" s="56"/>
    </row>
    <row r="4554" spans="1:1">
      <c r="A4554" s="56"/>
    </row>
    <row r="4555" spans="1:1">
      <c r="A4555" s="56"/>
    </row>
    <row r="4556" spans="1:1">
      <c r="A4556" s="56"/>
    </row>
    <row r="4557" spans="1:1">
      <c r="A4557" s="56"/>
    </row>
    <row r="4558" spans="1:1">
      <c r="A4558" s="56"/>
    </row>
    <row r="4559" spans="1:1">
      <c r="A4559" s="56"/>
    </row>
    <row r="4560" spans="1:1">
      <c r="A4560" s="56"/>
    </row>
    <row r="4561" spans="1:1">
      <c r="A4561" s="56"/>
    </row>
    <row r="4562" spans="1:1">
      <c r="A4562" s="56"/>
    </row>
    <row r="4563" spans="1:1">
      <c r="A4563" s="56"/>
    </row>
    <row r="4564" spans="1:1">
      <c r="A4564" s="56"/>
    </row>
    <row r="4565" spans="1:1">
      <c r="A4565" s="56"/>
    </row>
    <row r="4566" spans="1:1">
      <c r="A4566" s="56"/>
    </row>
    <row r="4567" spans="1:1">
      <c r="A4567" s="56"/>
    </row>
    <row r="4568" spans="1:1">
      <c r="A4568" s="56"/>
    </row>
    <row r="4569" spans="1:1">
      <c r="A4569" s="56"/>
    </row>
    <row r="4570" spans="1:1">
      <c r="A4570" s="56"/>
    </row>
    <row r="4571" spans="1:1">
      <c r="A4571" s="56"/>
    </row>
    <row r="4572" spans="1:1">
      <c r="A4572" s="56"/>
    </row>
    <row r="4573" spans="1:1">
      <c r="A4573" s="56"/>
    </row>
    <row r="4574" spans="1:1">
      <c r="A4574" s="56"/>
    </row>
    <row r="4575" spans="1:1">
      <c r="A4575" s="56"/>
    </row>
    <row r="4576" spans="1:1">
      <c r="A4576" s="56"/>
    </row>
    <row r="4577" spans="1:1">
      <c r="A4577" s="56"/>
    </row>
    <row r="4578" spans="1:1">
      <c r="A4578" s="56"/>
    </row>
    <row r="4579" spans="1:1">
      <c r="A4579" s="56"/>
    </row>
    <row r="4580" spans="1:1">
      <c r="A4580" s="56"/>
    </row>
    <row r="4581" spans="1:1">
      <c r="A4581" s="56"/>
    </row>
    <row r="4582" spans="1:1">
      <c r="A4582" s="56"/>
    </row>
    <row r="4583" spans="1:1">
      <c r="A4583" s="56"/>
    </row>
    <row r="4584" spans="1:1">
      <c r="A4584" s="56"/>
    </row>
    <row r="4585" spans="1:1">
      <c r="A4585" s="56"/>
    </row>
    <row r="4586" spans="1:1">
      <c r="A4586" s="56"/>
    </row>
    <row r="4587" spans="1:1">
      <c r="A4587" s="56"/>
    </row>
    <row r="4588" spans="1:1">
      <c r="A4588" s="56"/>
    </row>
    <row r="4589" spans="1:1">
      <c r="A4589" s="56"/>
    </row>
    <row r="4590" spans="1:1">
      <c r="A4590" s="56"/>
    </row>
    <row r="4591" spans="1:1">
      <c r="A4591" s="56"/>
    </row>
    <row r="4592" spans="1:1">
      <c r="A4592" s="56"/>
    </row>
    <row r="4593" spans="1:1">
      <c r="A4593" s="56"/>
    </row>
    <row r="4594" spans="1:1">
      <c r="A4594" s="56"/>
    </row>
    <row r="4595" spans="1:1">
      <c r="A4595" s="56"/>
    </row>
    <row r="4596" spans="1:1">
      <c r="A4596" s="56"/>
    </row>
    <row r="4597" spans="1:1">
      <c r="A4597" s="56"/>
    </row>
    <row r="4598" spans="1:1">
      <c r="A4598" s="56"/>
    </row>
    <row r="4599" spans="1:1">
      <c r="A4599" s="56"/>
    </row>
    <row r="4600" spans="1:1">
      <c r="A4600" s="56"/>
    </row>
    <row r="4601" spans="1:1">
      <c r="A4601" s="56"/>
    </row>
    <row r="4602" spans="1:1">
      <c r="A4602" s="56"/>
    </row>
    <row r="4603" spans="1:1">
      <c r="A4603" s="56"/>
    </row>
    <row r="4604" spans="1:1">
      <c r="A4604" s="56"/>
    </row>
    <row r="4605" spans="1:1">
      <c r="A4605" s="56"/>
    </row>
    <row r="4606" spans="1:1">
      <c r="A4606" s="56"/>
    </row>
    <row r="4607" spans="1:1">
      <c r="A4607" s="56"/>
    </row>
    <row r="4608" spans="1:1">
      <c r="A4608" s="56"/>
    </row>
    <row r="4609" spans="1:1">
      <c r="A4609" s="56"/>
    </row>
    <row r="4610" spans="1:1">
      <c r="A4610" s="56"/>
    </row>
    <row r="4611" spans="1:1">
      <c r="A4611" s="56"/>
    </row>
    <row r="4612" spans="1:1">
      <c r="A4612" s="56"/>
    </row>
    <row r="4613" spans="1:1">
      <c r="A4613" s="56"/>
    </row>
    <row r="4614" spans="1:1">
      <c r="A4614" s="56"/>
    </row>
    <row r="4615" spans="1:1">
      <c r="A4615" s="56"/>
    </row>
    <row r="4616" spans="1:1">
      <c r="A4616" s="56"/>
    </row>
    <row r="4617" spans="1:1">
      <c r="A4617" s="56"/>
    </row>
    <row r="4618" spans="1:1">
      <c r="A4618" s="56"/>
    </row>
    <row r="4619" spans="1:1">
      <c r="A4619" s="56"/>
    </row>
    <row r="4620" spans="1:1">
      <c r="A4620" s="56"/>
    </row>
    <row r="4621" spans="1:1">
      <c r="A4621" s="56"/>
    </row>
    <row r="4622" spans="1:1">
      <c r="A4622" s="56"/>
    </row>
    <row r="4623" spans="1:1">
      <c r="A4623" s="56"/>
    </row>
    <row r="4624" spans="1:1">
      <c r="A4624" s="56"/>
    </row>
    <row r="4625" spans="1:1">
      <c r="A4625" s="56"/>
    </row>
    <row r="4626" spans="1:1">
      <c r="A4626" s="56"/>
    </row>
    <row r="4627" spans="1:1">
      <c r="A4627" s="56"/>
    </row>
    <row r="4628" spans="1:1">
      <c r="A4628" s="56"/>
    </row>
    <row r="4629" spans="1:1">
      <c r="A4629" s="56"/>
    </row>
    <row r="4630" spans="1:1">
      <c r="A4630" s="56"/>
    </row>
    <row r="4631" spans="1:1">
      <c r="A4631" s="56"/>
    </row>
    <row r="4632" spans="1:1">
      <c r="A4632" s="56"/>
    </row>
    <row r="4633" spans="1:1">
      <c r="A4633" s="56"/>
    </row>
    <row r="4634" spans="1:1">
      <c r="A4634" s="56"/>
    </row>
    <row r="4635" spans="1:1">
      <c r="A4635" s="56"/>
    </row>
    <row r="4636" spans="1:1">
      <c r="A4636" s="56"/>
    </row>
    <row r="4637" spans="1:1">
      <c r="A4637" s="56"/>
    </row>
    <row r="4638" spans="1:1">
      <c r="A4638" s="56"/>
    </row>
    <row r="4639" spans="1:1">
      <c r="A4639" s="56"/>
    </row>
    <row r="4640" spans="1:1">
      <c r="A4640" s="56"/>
    </row>
    <row r="4641" spans="1:1">
      <c r="A4641" s="56"/>
    </row>
    <row r="4642" spans="1:1">
      <c r="A4642" s="56"/>
    </row>
    <row r="4643" spans="1:1">
      <c r="A4643" s="56"/>
    </row>
    <row r="4644" spans="1:1">
      <c r="A4644" s="56"/>
    </row>
    <row r="4645" spans="1:1">
      <c r="A4645" s="56"/>
    </row>
    <row r="4646" spans="1:1">
      <c r="A4646" s="56"/>
    </row>
    <row r="4647" spans="1:1">
      <c r="A4647" s="56"/>
    </row>
    <row r="4648" spans="1:1">
      <c r="A4648" s="56"/>
    </row>
    <row r="4649" spans="1:1">
      <c r="A4649" s="56"/>
    </row>
    <row r="4650" spans="1:1">
      <c r="A4650" s="56"/>
    </row>
    <row r="4651" spans="1:1">
      <c r="A4651" s="56"/>
    </row>
    <row r="4652" spans="1:1">
      <c r="A4652" s="56"/>
    </row>
    <row r="4653" spans="1:1">
      <c r="A4653" s="56"/>
    </row>
    <row r="4654" spans="1:1">
      <c r="A4654" s="56"/>
    </row>
    <row r="4655" spans="1:1">
      <c r="A4655" s="56"/>
    </row>
    <row r="4656" spans="1:1">
      <c r="A4656" s="56"/>
    </row>
    <row r="4657" spans="1:1">
      <c r="A4657" s="56"/>
    </row>
    <row r="4658" spans="1:1">
      <c r="A4658" s="56"/>
    </row>
    <row r="4659" spans="1:1">
      <c r="A4659" s="56"/>
    </row>
    <row r="4660" spans="1:1">
      <c r="A4660" s="56"/>
    </row>
    <row r="4661" spans="1:1">
      <c r="A4661" s="56"/>
    </row>
    <row r="4662" spans="1:1">
      <c r="A4662" s="56"/>
    </row>
    <row r="4663" spans="1:1">
      <c r="A4663" s="56"/>
    </row>
    <row r="4664" spans="1:1">
      <c r="A4664" s="56"/>
    </row>
    <row r="4665" spans="1:1">
      <c r="A4665" s="56"/>
    </row>
    <row r="4666" spans="1:1">
      <c r="A4666" s="56"/>
    </row>
    <row r="4667" spans="1:1">
      <c r="A4667" s="56"/>
    </row>
    <row r="4668" spans="1:1">
      <c r="A4668" s="56"/>
    </row>
    <row r="4669" spans="1:1">
      <c r="A4669" s="56"/>
    </row>
    <row r="4670" spans="1:1">
      <c r="A4670" s="56"/>
    </row>
    <row r="4671" spans="1:1">
      <c r="A4671" s="56"/>
    </row>
    <row r="4672" spans="1:1">
      <c r="A4672" s="56"/>
    </row>
    <row r="4673" spans="1:1">
      <c r="A4673" s="56"/>
    </row>
    <row r="4674" spans="1:1">
      <c r="A4674" s="56"/>
    </row>
    <row r="4675" spans="1:1">
      <c r="A4675" s="56"/>
    </row>
    <row r="4676" spans="1:1">
      <c r="A4676" s="56"/>
    </row>
    <row r="4677" spans="1:1">
      <c r="A4677" s="56"/>
    </row>
    <row r="4678" spans="1:1">
      <c r="A4678" s="56"/>
    </row>
    <row r="4679" spans="1:1">
      <c r="A4679" s="56"/>
    </row>
    <row r="4680" spans="1:1">
      <c r="A4680" s="56"/>
    </row>
    <row r="4681" spans="1:1">
      <c r="A4681" s="56"/>
    </row>
    <row r="4682" spans="1:1">
      <c r="A4682" s="56"/>
    </row>
    <row r="4683" spans="1:1">
      <c r="A4683" s="56"/>
    </row>
    <row r="4684" spans="1:1">
      <c r="A4684" s="56"/>
    </row>
    <row r="4685" spans="1:1">
      <c r="A4685" s="56"/>
    </row>
    <row r="4686" spans="1:1">
      <c r="A4686" s="56"/>
    </row>
    <row r="4687" spans="1:1">
      <c r="A4687" s="56"/>
    </row>
    <row r="4688" spans="1:1">
      <c r="A4688" s="56"/>
    </row>
    <row r="4689" spans="1:1">
      <c r="A4689" s="56"/>
    </row>
    <row r="4690" spans="1:1">
      <c r="A4690" s="56"/>
    </row>
    <row r="4691" spans="1:1">
      <c r="A4691" s="56"/>
    </row>
    <row r="4692" spans="1:1">
      <c r="A4692" s="56"/>
    </row>
    <row r="4693" spans="1:1">
      <c r="A4693" s="56"/>
    </row>
    <row r="4694" spans="1:1">
      <c r="A4694" s="56"/>
    </row>
    <row r="4695" spans="1:1">
      <c r="A4695" s="56"/>
    </row>
    <row r="4696" spans="1:1">
      <c r="A4696" s="56"/>
    </row>
    <row r="4697" spans="1:1">
      <c r="A4697" s="56"/>
    </row>
    <row r="4698" spans="1:1">
      <c r="A4698" s="56"/>
    </row>
    <row r="4699" spans="1:1">
      <c r="A4699" s="56"/>
    </row>
    <row r="4700" spans="1:1">
      <c r="A4700" s="56"/>
    </row>
    <row r="4701" spans="1:1">
      <c r="A4701" s="56"/>
    </row>
    <row r="4702" spans="1:1">
      <c r="A4702" s="56"/>
    </row>
    <row r="4703" spans="1:1">
      <c r="A4703" s="56"/>
    </row>
    <row r="4704" spans="1:1">
      <c r="A4704" s="56"/>
    </row>
    <row r="4705" spans="1:1">
      <c r="A4705" s="56"/>
    </row>
    <row r="4706" spans="1:1">
      <c r="A4706" s="56"/>
    </row>
    <row r="4707" spans="1:1">
      <c r="A4707" s="56"/>
    </row>
    <row r="4708" spans="1:1">
      <c r="A4708" s="56"/>
    </row>
    <row r="4709" spans="1:1">
      <c r="A4709" s="56"/>
    </row>
    <row r="4710" spans="1:1">
      <c r="A4710" s="56"/>
    </row>
    <row r="4711" spans="1:1">
      <c r="A4711" s="56"/>
    </row>
    <row r="4712" spans="1:1">
      <c r="A4712" s="56"/>
    </row>
    <row r="4713" spans="1:1">
      <c r="A4713" s="56"/>
    </row>
    <row r="4714" spans="1:1">
      <c r="A4714" s="56"/>
    </row>
    <row r="4715" spans="1:1">
      <c r="A4715" s="56"/>
    </row>
    <row r="4716" spans="1:1">
      <c r="A4716" s="56"/>
    </row>
    <row r="4717" spans="1:1">
      <c r="A4717" s="56"/>
    </row>
    <row r="4718" spans="1:1">
      <c r="A4718" s="56"/>
    </row>
    <row r="4719" spans="1:1">
      <c r="A4719" s="56"/>
    </row>
    <row r="4720" spans="1:1">
      <c r="A4720" s="56"/>
    </row>
    <row r="4721" spans="1:1">
      <c r="A4721" s="56"/>
    </row>
    <row r="4722" spans="1:1">
      <c r="A4722" s="56"/>
    </row>
    <row r="4723" spans="1:1">
      <c r="A4723" s="56"/>
    </row>
    <row r="4724" spans="1:1">
      <c r="A4724" s="56"/>
    </row>
    <row r="4725" spans="1:1">
      <c r="A4725" s="56"/>
    </row>
    <row r="4726" spans="1:1">
      <c r="A4726" s="56"/>
    </row>
    <row r="4727" spans="1:1">
      <c r="A4727" s="56"/>
    </row>
    <row r="4728" spans="1:1">
      <c r="A4728" s="56"/>
    </row>
    <row r="4729" spans="1:1">
      <c r="A4729" s="56"/>
    </row>
    <row r="4730" spans="1:1">
      <c r="A4730" s="56"/>
    </row>
    <row r="4731" spans="1:1">
      <c r="A4731" s="56"/>
    </row>
    <row r="4732" spans="1:1">
      <c r="A4732" s="56"/>
    </row>
    <row r="4733" spans="1:1">
      <c r="A4733" s="56"/>
    </row>
    <row r="4734" spans="1:1">
      <c r="A4734" s="56"/>
    </row>
    <row r="4735" spans="1:1">
      <c r="A4735" s="56"/>
    </row>
    <row r="4736" spans="1:1">
      <c r="A4736" s="56"/>
    </row>
    <row r="4737" spans="1:1">
      <c r="A4737" s="56"/>
    </row>
    <row r="4738" spans="1:1">
      <c r="A4738" s="56"/>
    </row>
    <row r="4739" spans="1:1">
      <c r="A4739" s="56"/>
    </row>
    <row r="4740" spans="1:1">
      <c r="A4740" s="56"/>
    </row>
    <row r="4741" spans="1:1">
      <c r="A4741" s="56"/>
    </row>
    <row r="4742" spans="1:1">
      <c r="A4742" s="56"/>
    </row>
    <row r="4743" spans="1:1">
      <c r="A4743" s="56"/>
    </row>
    <row r="4744" spans="1:1">
      <c r="A4744" s="56"/>
    </row>
    <row r="4745" spans="1:1">
      <c r="A4745" s="56"/>
    </row>
    <row r="4746" spans="1:1">
      <c r="A4746" s="56"/>
    </row>
    <row r="4747" spans="1:1">
      <c r="A4747" s="56"/>
    </row>
    <row r="4748" spans="1:1">
      <c r="A4748" s="56"/>
    </row>
    <row r="4749" spans="1:1">
      <c r="A4749" s="56"/>
    </row>
    <row r="4750" spans="1:1">
      <c r="A4750" s="56"/>
    </row>
    <row r="4751" spans="1:1">
      <c r="A4751" s="56"/>
    </row>
    <row r="4752" spans="1:1">
      <c r="A4752" s="56"/>
    </row>
    <row r="4753" spans="1:1">
      <c r="A4753" s="56"/>
    </row>
    <row r="4754" spans="1:1">
      <c r="A4754" s="56"/>
    </row>
    <row r="4755" spans="1:1">
      <c r="A4755" s="56"/>
    </row>
    <row r="4756" spans="1:1">
      <c r="A4756" s="56"/>
    </row>
    <row r="4757" spans="1:1">
      <c r="A4757" s="56"/>
    </row>
    <row r="4758" spans="1:1">
      <c r="A4758" s="56"/>
    </row>
    <row r="4759" spans="1:1">
      <c r="A4759" s="56"/>
    </row>
    <row r="4760" spans="1:1">
      <c r="A4760" s="56"/>
    </row>
    <row r="4761" spans="1:1">
      <c r="A4761" s="56"/>
    </row>
    <row r="4762" spans="1:1">
      <c r="A4762" s="56"/>
    </row>
    <row r="4763" spans="1:1">
      <c r="A4763" s="56"/>
    </row>
    <row r="4764" spans="1:1">
      <c r="A4764" s="56"/>
    </row>
    <row r="4765" spans="1:1">
      <c r="A4765" s="56"/>
    </row>
    <row r="4766" spans="1:1">
      <c r="A4766" s="56"/>
    </row>
    <row r="4767" spans="1:1">
      <c r="A4767" s="56"/>
    </row>
    <row r="4768" spans="1:1">
      <c r="A4768" s="56"/>
    </row>
    <row r="4769" spans="1:1">
      <c r="A4769" s="56"/>
    </row>
    <row r="4770" spans="1:1">
      <c r="A4770" s="56"/>
    </row>
    <row r="4771" spans="1:1">
      <c r="A4771" s="56"/>
    </row>
    <row r="4772" spans="1:1">
      <c r="A4772" s="56"/>
    </row>
    <row r="4773" spans="1:1">
      <c r="A4773" s="56"/>
    </row>
    <row r="4774" spans="1:1">
      <c r="A4774" s="56"/>
    </row>
    <row r="4775" spans="1:1">
      <c r="A4775" s="56"/>
    </row>
    <row r="4776" spans="1:1">
      <c r="A4776" s="56"/>
    </row>
    <row r="4777" spans="1:1">
      <c r="A4777" s="56"/>
    </row>
    <row r="4778" spans="1:1">
      <c r="A4778" s="56"/>
    </row>
    <row r="4779" spans="1:1">
      <c r="A4779" s="56"/>
    </row>
    <row r="4780" spans="1:1">
      <c r="A4780" s="56"/>
    </row>
    <row r="4781" spans="1:1">
      <c r="A4781" s="56"/>
    </row>
    <row r="4782" spans="1:1">
      <c r="A4782" s="56"/>
    </row>
    <row r="4783" spans="1:1">
      <c r="A4783" s="56"/>
    </row>
    <row r="4784" spans="1:1">
      <c r="A4784" s="56"/>
    </row>
    <row r="4785" spans="1:1">
      <c r="A4785" s="56"/>
    </row>
    <row r="4786" spans="1:1">
      <c r="A4786" s="56"/>
    </row>
    <row r="4787" spans="1:1">
      <c r="A4787" s="56"/>
    </row>
    <row r="4788" spans="1:1">
      <c r="A4788" s="56"/>
    </row>
    <row r="4789" spans="1:1">
      <c r="A4789" s="56"/>
    </row>
    <row r="4790" spans="1:1">
      <c r="A4790" s="56"/>
    </row>
    <row r="4791" spans="1:1">
      <c r="A4791" s="56"/>
    </row>
    <row r="4792" spans="1:1">
      <c r="A4792" s="56"/>
    </row>
    <row r="4793" spans="1:1">
      <c r="A4793" s="56"/>
    </row>
    <row r="4794" spans="1:1">
      <c r="A4794" s="56"/>
    </row>
    <row r="4795" spans="1:1">
      <c r="A4795" s="56"/>
    </row>
    <row r="4796" spans="1:1">
      <c r="A4796" s="56"/>
    </row>
    <row r="4797" spans="1:1">
      <c r="A4797" s="56"/>
    </row>
    <row r="4798" spans="1:1">
      <c r="A4798" s="56"/>
    </row>
    <row r="4799" spans="1:1">
      <c r="A4799" s="56"/>
    </row>
    <row r="4800" spans="1:1">
      <c r="A4800" s="56"/>
    </row>
    <row r="4801" spans="1:1">
      <c r="A4801" s="56"/>
    </row>
    <row r="4802" spans="1:1">
      <c r="A4802" s="56"/>
    </row>
    <row r="4803" spans="1:1">
      <c r="A4803" s="56"/>
    </row>
    <row r="4804" spans="1:1">
      <c r="A4804" s="56"/>
    </row>
    <row r="4805" spans="1:1">
      <c r="A4805" s="56"/>
    </row>
    <row r="4806" spans="1:1">
      <c r="A4806" s="56"/>
    </row>
    <row r="4807" spans="1:1">
      <c r="A4807" s="56"/>
    </row>
    <row r="4808" spans="1:1">
      <c r="A4808" s="56"/>
    </row>
    <row r="4809" spans="1:1">
      <c r="A4809" s="56"/>
    </row>
    <row r="4810" spans="1:1">
      <c r="A4810" s="56"/>
    </row>
    <row r="4811" spans="1:1">
      <c r="A4811" s="56"/>
    </row>
    <row r="4812" spans="1:1">
      <c r="A4812" s="56"/>
    </row>
    <row r="4813" spans="1:1">
      <c r="A4813" s="56"/>
    </row>
    <row r="4814" spans="1:1">
      <c r="A4814" s="56"/>
    </row>
    <row r="4815" spans="1:1">
      <c r="A4815" s="56"/>
    </row>
    <row r="4816" spans="1:1">
      <c r="A4816" s="56"/>
    </row>
    <row r="4817" spans="1:1">
      <c r="A4817" s="56"/>
    </row>
    <row r="4818" spans="1:1">
      <c r="A4818" s="56"/>
    </row>
    <row r="4819" spans="1:1">
      <c r="A4819" s="56"/>
    </row>
    <row r="4820" spans="1:1">
      <c r="A4820" s="56"/>
    </row>
    <row r="4821" spans="1:1">
      <c r="A4821" s="56"/>
    </row>
    <row r="4822" spans="1:1">
      <c r="A4822" s="56"/>
    </row>
    <row r="4823" spans="1:1">
      <c r="A4823" s="56"/>
    </row>
    <row r="4824" spans="1:1">
      <c r="A4824" s="56"/>
    </row>
    <row r="4825" spans="1:1">
      <c r="A4825" s="56"/>
    </row>
    <row r="4826" spans="1:1">
      <c r="A4826" s="56"/>
    </row>
    <row r="4827" spans="1:1">
      <c r="A4827" s="56"/>
    </row>
    <row r="4828" spans="1:1">
      <c r="A4828" s="56"/>
    </row>
    <row r="4829" spans="1:1">
      <c r="A4829" s="56"/>
    </row>
    <row r="4830" spans="1:1">
      <c r="A4830" s="56"/>
    </row>
    <row r="4831" spans="1:1">
      <c r="A4831" s="56"/>
    </row>
    <row r="4832" spans="1:1">
      <c r="A4832" s="56"/>
    </row>
    <row r="4833" spans="1:1">
      <c r="A4833" s="56"/>
    </row>
    <row r="4834" spans="1:1">
      <c r="A4834" s="56"/>
    </row>
    <row r="4835" spans="1:1">
      <c r="A4835" s="56"/>
    </row>
    <row r="4836" spans="1:1">
      <c r="A4836" s="56"/>
    </row>
    <row r="4837" spans="1:1">
      <c r="A4837" s="56"/>
    </row>
    <row r="4838" spans="1:1">
      <c r="A4838" s="56"/>
    </row>
    <row r="4839" spans="1:1">
      <c r="A4839" s="56"/>
    </row>
    <row r="4840" spans="1:1">
      <c r="A4840" s="56"/>
    </row>
    <row r="4841" spans="1:1">
      <c r="A4841" s="56"/>
    </row>
    <row r="4842" spans="1:1">
      <c r="A4842" s="56"/>
    </row>
    <row r="4843" spans="1:1">
      <c r="A4843" s="56"/>
    </row>
    <row r="4844" spans="1:1">
      <c r="A4844" s="56"/>
    </row>
    <row r="4845" spans="1:1">
      <c r="A4845" s="56"/>
    </row>
    <row r="4846" spans="1:1">
      <c r="A4846" s="56"/>
    </row>
    <row r="4847" spans="1:1">
      <c r="A4847" s="56"/>
    </row>
    <row r="4848" spans="1:1">
      <c r="A4848" s="56"/>
    </row>
    <row r="4849" spans="1:1">
      <c r="A4849" s="56"/>
    </row>
    <row r="4850" spans="1:1">
      <c r="A4850" s="56"/>
    </row>
    <row r="4851" spans="1:1">
      <c r="A4851" s="56"/>
    </row>
    <row r="4852" spans="1:1">
      <c r="A4852" s="56"/>
    </row>
    <row r="4853" spans="1:1">
      <c r="A4853" s="56"/>
    </row>
    <row r="4854" spans="1:1">
      <c r="A4854" s="56"/>
    </row>
    <row r="4855" spans="1:1">
      <c r="A4855" s="56"/>
    </row>
    <row r="4856" spans="1:1">
      <c r="A4856" s="56"/>
    </row>
    <row r="4857" spans="1:1">
      <c r="A4857" s="56"/>
    </row>
    <row r="4858" spans="1:1">
      <c r="A4858" s="56"/>
    </row>
    <row r="4859" spans="1:1">
      <c r="A4859" s="56"/>
    </row>
    <row r="4860" spans="1:1">
      <c r="A4860" s="56"/>
    </row>
    <row r="4861" spans="1:1">
      <c r="A4861" s="56"/>
    </row>
    <row r="4862" spans="1:1">
      <c r="A4862" s="56"/>
    </row>
    <row r="4863" spans="1:1">
      <c r="A4863" s="56"/>
    </row>
    <row r="4864" spans="1:1">
      <c r="A4864" s="56"/>
    </row>
    <row r="4865" spans="1:1">
      <c r="A4865" s="56"/>
    </row>
    <row r="4866" spans="1:1">
      <c r="A4866" s="56"/>
    </row>
    <row r="4867" spans="1:1">
      <c r="A4867" s="56"/>
    </row>
    <row r="4868" spans="1:1">
      <c r="A4868" s="56"/>
    </row>
    <row r="4869" spans="1:1">
      <c r="A4869" s="56"/>
    </row>
    <row r="4870" spans="1:1">
      <c r="A4870" s="56"/>
    </row>
    <row r="4871" spans="1:1">
      <c r="A4871" s="56"/>
    </row>
    <row r="4872" spans="1:1">
      <c r="A4872" s="56"/>
    </row>
    <row r="4873" spans="1:1">
      <c r="A4873" s="56"/>
    </row>
    <row r="4874" spans="1:1">
      <c r="A4874" s="56"/>
    </row>
    <row r="4875" spans="1:1">
      <c r="A4875" s="56"/>
    </row>
    <row r="4876" spans="1:1">
      <c r="A4876" s="56"/>
    </row>
    <row r="4877" spans="1:1">
      <c r="A4877" s="56"/>
    </row>
    <row r="4878" spans="1:1">
      <c r="A4878" s="56"/>
    </row>
    <row r="4879" spans="1:1">
      <c r="A4879" s="56"/>
    </row>
    <row r="4880" spans="1:1">
      <c r="A4880" s="56"/>
    </row>
    <row r="4881" spans="1:1">
      <c r="A4881" s="56"/>
    </row>
    <row r="4882" spans="1:1">
      <c r="A4882" s="56"/>
    </row>
    <row r="4883" spans="1:1">
      <c r="A4883" s="56"/>
    </row>
    <row r="4884" spans="1:1">
      <c r="A4884" s="56"/>
    </row>
    <row r="4885" spans="1:1">
      <c r="A4885" s="56"/>
    </row>
    <row r="4886" spans="1:1">
      <c r="A4886" s="56"/>
    </row>
    <row r="4887" spans="1:1">
      <c r="A4887" s="56"/>
    </row>
    <row r="4888" spans="1:1">
      <c r="A4888" s="56"/>
    </row>
    <row r="4889" spans="1:1">
      <c r="A4889" s="56"/>
    </row>
    <row r="4890" spans="1:1">
      <c r="A4890" s="56"/>
    </row>
    <row r="4891" spans="1:1">
      <c r="A4891" s="56"/>
    </row>
    <row r="4892" spans="1:1">
      <c r="A4892" s="56"/>
    </row>
    <row r="4893" spans="1:1">
      <c r="A4893" s="56"/>
    </row>
    <row r="4894" spans="1:1">
      <c r="A4894" s="56"/>
    </row>
    <row r="4895" spans="1:1">
      <c r="A4895" s="56"/>
    </row>
    <row r="4896" spans="1:1">
      <c r="A4896" s="56"/>
    </row>
    <row r="4897" spans="1:1">
      <c r="A4897" s="56"/>
    </row>
    <row r="4898" spans="1:1">
      <c r="A4898" s="56"/>
    </row>
    <row r="4899" spans="1:1">
      <c r="A4899" s="56"/>
    </row>
    <row r="4900" spans="1:1">
      <c r="A4900" s="56"/>
    </row>
    <row r="4901" spans="1:1">
      <c r="A4901" s="56"/>
    </row>
    <row r="4902" spans="1:1">
      <c r="A4902" s="56"/>
    </row>
    <row r="4903" spans="1:1">
      <c r="A4903" s="56"/>
    </row>
    <row r="4904" spans="1:1">
      <c r="A4904" s="56"/>
    </row>
    <row r="4905" spans="1:1">
      <c r="A4905" s="56"/>
    </row>
    <row r="4906" spans="1:1">
      <c r="A4906" s="56"/>
    </row>
    <row r="4907" spans="1:1">
      <c r="A4907" s="56"/>
    </row>
    <row r="4908" spans="1:1">
      <c r="A4908" s="56"/>
    </row>
    <row r="4909" spans="1:1">
      <c r="A4909" s="56"/>
    </row>
    <row r="4910" spans="1:1">
      <c r="A4910" s="56"/>
    </row>
    <row r="4911" spans="1:1">
      <c r="A4911" s="56"/>
    </row>
    <row r="4912" spans="1:1">
      <c r="A4912" s="56"/>
    </row>
    <row r="4913" spans="1:1">
      <c r="A4913" s="56"/>
    </row>
    <row r="4914" spans="1:1">
      <c r="A4914" s="56"/>
    </row>
    <row r="4915" spans="1:1">
      <c r="A4915" s="56"/>
    </row>
    <row r="4916" spans="1:1">
      <c r="A4916" s="56"/>
    </row>
    <row r="4917" spans="1:1">
      <c r="A4917" s="56"/>
    </row>
    <row r="4918" spans="1:1">
      <c r="A4918" s="56"/>
    </row>
    <row r="4919" spans="1:1">
      <c r="A4919" s="56"/>
    </row>
    <row r="4920" spans="1:1">
      <c r="A4920" s="56"/>
    </row>
    <row r="4921" spans="1:1">
      <c r="A4921" s="56"/>
    </row>
    <row r="4922" spans="1:1">
      <c r="A4922" s="56"/>
    </row>
    <row r="4923" spans="1:1">
      <c r="A4923" s="56"/>
    </row>
    <row r="4924" spans="1:1">
      <c r="A4924" s="56"/>
    </row>
    <row r="4925" spans="1:1">
      <c r="A4925" s="56"/>
    </row>
    <row r="4926" spans="1:1">
      <c r="A4926" s="56"/>
    </row>
    <row r="4927" spans="1:1">
      <c r="A4927" s="56"/>
    </row>
    <row r="4928" spans="1:1">
      <c r="A4928" s="56"/>
    </row>
    <row r="4929" spans="1:1">
      <c r="A4929" s="56"/>
    </row>
    <row r="4930" spans="1:1">
      <c r="A4930" s="56"/>
    </row>
    <row r="4931" spans="1:1">
      <c r="A4931" s="56"/>
    </row>
    <row r="4932" spans="1:1">
      <c r="A4932" s="56"/>
    </row>
    <row r="4933" spans="1:1">
      <c r="A4933" s="56"/>
    </row>
    <row r="4934" spans="1:1">
      <c r="A4934" s="56"/>
    </row>
    <row r="4935" spans="1:1">
      <c r="A4935" s="56"/>
    </row>
    <row r="4936" spans="1:1">
      <c r="A4936" s="56"/>
    </row>
    <row r="4937" spans="1:1">
      <c r="A4937" s="56"/>
    </row>
    <row r="4938" spans="1:1">
      <c r="A4938" s="56"/>
    </row>
    <row r="4939" spans="1:1">
      <c r="A4939" s="56"/>
    </row>
    <row r="4940" spans="1:1">
      <c r="A4940" s="56"/>
    </row>
    <row r="4941" spans="1:1">
      <c r="A4941" s="56"/>
    </row>
    <row r="4942" spans="1:1">
      <c r="A4942" s="56"/>
    </row>
    <row r="4943" spans="1:1">
      <c r="A4943" s="56"/>
    </row>
    <row r="4944" spans="1:1">
      <c r="A4944" s="56"/>
    </row>
    <row r="4945" spans="1:1">
      <c r="A4945" s="56"/>
    </row>
    <row r="4946" spans="1:1">
      <c r="A4946" s="56"/>
    </row>
    <row r="4947" spans="1:1">
      <c r="A4947" s="56"/>
    </row>
    <row r="4948" spans="1:1">
      <c r="A4948" s="56"/>
    </row>
    <row r="4949" spans="1:1">
      <c r="A4949" s="56"/>
    </row>
    <row r="4950" spans="1:1">
      <c r="A4950" s="56"/>
    </row>
    <row r="4951" spans="1:1">
      <c r="A4951" s="56"/>
    </row>
    <row r="4952" spans="1:1">
      <c r="A4952" s="56"/>
    </row>
    <row r="4953" spans="1:1">
      <c r="A4953" s="56"/>
    </row>
    <row r="4954" spans="1:1">
      <c r="A4954" s="56"/>
    </row>
    <row r="4955" spans="1:1">
      <c r="A4955" s="56"/>
    </row>
    <row r="4956" spans="1:1">
      <c r="A4956" s="56"/>
    </row>
    <row r="4957" spans="1:1">
      <c r="A4957" s="56"/>
    </row>
    <row r="4958" spans="1:1">
      <c r="A4958" s="56"/>
    </row>
    <row r="4959" spans="1:1">
      <c r="A4959" s="56"/>
    </row>
    <row r="4960" spans="1:1">
      <c r="A4960" s="56"/>
    </row>
    <row r="4961" spans="1:1">
      <c r="A4961" s="56"/>
    </row>
    <row r="4962" spans="1:1">
      <c r="A4962" s="56"/>
    </row>
    <row r="4963" spans="1:1">
      <c r="A4963" s="56"/>
    </row>
    <row r="4964" spans="1:1">
      <c r="A4964" s="56"/>
    </row>
    <row r="4965" spans="1:1">
      <c r="A4965" s="56"/>
    </row>
    <row r="4966" spans="1:1">
      <c r="A4966" s="56"/>
    </row>
    <row r="4967" spans="1:1">
      <c r="A4967" s="56"/>
    </row>
    <row r="4968" spans="1:1">
      <c r="A4968" s="56"/>
    </row>
    <row r="4969" spans="1:1">
      <c r="A4969" s="56"/>
    </row>
    <row r="4970" spans="1:1">
      <c r="A4970" s="56"/>
    </row>
    <row r="4971" spans="1:1">
      <c r="A4971" s="56"/>
    </row>
    <row r="4972" spans="1:1">
      <c r="A4972" s="56"/>
    </row>
    <row r="4973" spans="1:1">
      <c r="A4973" s="56"/>
    </row>
    <row r="4974" spans="1:1">
      <c r="A4974" s="56"/>
    </row>
    <row r="4975" spans="1:1">
      <c r="A4975" s="56"/>
    </row>
    <row r="4976" spans="1:1">
      <c r="A4976" s="56"/>
    </row>
    <row r="4977" spans="1:1">
      <c r="A4977" s="56"/>
    </row>
    <row r="4978" spans="1:1">
      <c r="A4978" s="56"/>
    </row>
    <row r="4979" spans="1:1">
      <c r="A4979" s="56"/>
    </row>
    <row r="4980" spans="1:1">
      <c r="A4980" s="56"/>
    </row>
    <row r="4981" spans="1:1">
      <c r="A4981" s="56"/>
    </row>
    <row r="4982" spans="1:1">
      <c r="A4982" s="56"/>
    </row>
    <row r="4983" spans="1:1">
      <c r="A4983" s="56"/>
    </row>
    <row r="4984" spans="1:1">
      <c r="A4984" s="56"/>
    </row>
    <row r="4985" spans="1:1">
      <c r="A4985" s="56"/>
    </row>
    <row r="4986" spans="1:1">
      <c r="A4986" s="56"/>
    </row>
    <row r="4987" spans="1:1">
      <c r="A4987" s="56"/>
    </row>
    <row r="4988" spans="1:1">
      <c r="A4988" s="56"/>
    </row>
    <row r="4989" spans="1:1">
      <c r="A4989" s="56"/>
    </row>
    <row r="4990" spans="1:1">
      <c r="A4990" s="56"/>
    </row>
    <row r="4991" spans="1:1">
      <c r="A4991" s="56"/>
    </row>
    <row r="4992" spans="1:1">
      <c r="A4992" s="56"/>
    </row>
    <row r="4993" spans="1:1">
      <c r="A4993" s="56"/>
    </row>
    <row r="4994" spans="1:1">
      <c r="A4994" s="56"/>
    </row>
    <row r="4995" spans="1:1">
      <c r="A4995" s="56"/>
    </row>
    <row r="4996" spans="1:1">
      <c r="A4996" s="56"/>
    </row>
    <row r="4997" spans="1:1">
      <c r="A4997" s="56"/>
    </row>
    <row r="4998" spans="1:1">
      <c r="A4998" s="56"/>
    </row>
    <row r="4999" spans="1:1">
      <c r="A4999" s="56"/>
    </row>
    <row r="5000" spans="1:1">
      <c r="A5000" s="56"/>
    </row>
    <row r="5001" spans="1:1">
      <c r="A5001" s="56"/>
    </row>
    <row r="5002" spans="1:1">
      <c r="A5002" s="56"/>
    </row>
    <row r="5003" spans="1:1">
      <c r="A5003" s="56"/>
    </row>
    <row r="5004" spans="1:1">
      <c r="A5004" s="56"/>
    </row>
    <row r="5005" spans="1:1">
      <c r="A5005" s="56"/>
    </row>
    <row r="5006" spans="1:1">
      <c r="A5006" s="56"/>
    </row>
    <row r="5007" spans="1:1">
      <c r="A5007" s="56"/>
    </row>
    <row r="5008" spans="1:1">
      <c r="A5008" s="56"/>
    </row>
    <row r="5009" spans="1:1">
      <c r="A5009" s="56"/>
    </row>
    <row r="5010" spans="1:1">
      <c r="A5010" s="56"/>
    </row>
    <row r="5011" spans="1:1">
      <c r="A5011" s="56"/>
    </row>
    <row r="5012" spans="1:1">
      <c r="A5012" s="56"/>
    </row>
    <row r="5013" spans="1:1">
      <c r="A5013" s="56"/>
    </row>
    <row r="5014" spans="1:1">
      <c r="A5014" s="56"/>
    </row>
    <row r="5015" spans="1:1">
      <c r="A5015" s="56"/>
    </row>
    <row r="5016" spans="1:1">
      <c r="A5016" s="56"/>
    </row>
    <row r="5017" spans="1:1">
      <c r="A5017" s="56"/>
    </row>
    <row r="5018" spans="1:1">
      <c r="A5018" s="56"/>
    </row>
    <row r="5019" spans="1:1">
      <c r="A5019" s="56"/>
    </row>
    <row r="5020" spans="1:1">
      <c r="A5020" s="56"/>
    </row>
    <row r="5021" spans="1:1">
      <c r="A5021" s="56"/>
    </row>
    <row r="5022" spans="1:1">
      <c r="A5022" s="56"/>
    </row>
    <row r="5023" spans="1:1">
      <c r="A5023" s="56"/>
    </row>
    <row r="5024" spans="1:1">
      <c r="A5024" s="56"/>
    </row>
    <row r="5025" spans="1:1">
      <c r="A5025" s="56"/>
    </row>
    <row r="5026" spans="1:1">
      <c r="A5026" s="56"/>
    </row>
    <row r="5027" spans="1:1">
      <c r="A5027" s="56"/>
    </row>
    <row r="5028" spans="1:1">
      <c r="A5028" s="56"/>
    </row>
    <row r="5029" spans="1:1">
      <c r="A5029" s="56"/>
    </row>
    <row r="5030" spans="1:1">
      <c r="A5030" s="56"/>
    </row>
    <row r="5031" spans="1:1">
      <c r="A5031" s="56"/>
    </row>
    <row r="5032" spans="1:1">
      <c r="A5032" s="56"/>
    </row>
    <row r="5033" spans="1:1">
      <c r="A5033" s="56"/>
    </row>
    <row r="5034" spans="1:1">
      <c r="A5034" s="56"/>
    </row>
    <row r="5035" spans="1:1">
      <c r="A5035" s="56"/>
    </row>
    <row r="5036" spans="1:1">
      <c r="A5036" s="56"/>
    </row>
    <row r="5037" spans="1:1">
      <c r="A5037" s="56"/>
    </row>
    <row r="5038" spans="1:1">
      <c r="A5038" s="56"/>
    </row>
    <row r="5039" spans="1:1">
      <c r="A5039" s="56"/>
    </row>
    <row r="5040" spans="1:1">
      <c r="A5040" s="56"/>
    </row>
    <row r="5041" spans="1:1">
      <c r="A5041" s="56"/>
    </row>
    <row r="5042" spans="1:1">
      <c r="A5042" s="56"/>
    </row>
    <row r="5043" spans="1:1">
      <c r="A5043" s="56"/>
    </row>
    <row r="5044" spans="1:1">
      <c r="A5044" s="56"/>
    </row>
    <row r="5045" spans="1:1">
      <c r="A5045" s="56"/>
    </row>
    <row r="5046" spans="1:1">
      <c r="A5046" s="56"/>
    </row>
    <row r="5047" spans="1:1">
      <c r="A5047" s="56"/>
    </row>
    <row r="5048" spans="1:1">
      <c r="A5048" s="56"/>
    </row>
    <row r="5049" spans="1:1">
      <c r="A5049" s="56"/>
    </row>
    <row r="5050" spans="1:1">
      <c r="A5050" s="56"/>
    </row>
    <row r="5051" spans="1:1">
      <c r="A5051" s="56"/>
    </row>
    <row r="5052" spans="1:1">
      <c r="A5052" s="56"/>
    </row>
    <row r="5053" spans="1:1">
      <c r="A5053" s="56"/>
    </row>
    <row r="5054" spans="1:1">
      <c r="A5054" s="56"/>
    </row>
    <row r="5055" spans="1:1">
      <c r="A5055" s="56"/>
    </row>
    <row r="5056" spans="1:1">
      <c r="A5056" s="56"/>
    </row>
    <row r="5057" spans="1:1">
      <c r="A5057" s="56"/>
    </row>
    <row r="5058" spans="1:1">
      <c r="A5058" s="56"/>
    </row>
    <row r="5059" spans="1:1">
      <c r="A5059" s="56"/>
    </row>
    <row r="5060" spans="1:1">
      <c r="A5060" s="56"/>
    </row>
    <row r="5061" spans="1:1">
      <c r="A5061" s="56"/>
    </row>
    <row r="5062" spans="1:1">
      <c r="A5062" s="56"/>
    </row>
    <row r="5063" spans="1:1">
      <c r="A5063" s="56"/>
    </row>
    <row r="5064" spans="1:1">
      <c r="A5064" s="56"/>
    </row>
    <row r="5065" spans="1:1">
      <c r="A5065" s="56"/>
    </row>
    <row r="5066" spans="1:1">
      <c r="A5066" s="56"/>
    </row>
    <row r="5067" spans="1:1">
      <c r="A5067" s="56"/>
    </row>
    <row r="5068" spans="1:1">
      <c r="A5068" s="56"/>
    </row>
    <row r="5069" spans="1:1">
      <c r="A5069" s="56"/>
    </row>
    <row r="5070" spans="1:1">
      <c r="A5070" s="56"/>
    </row>
    <row r="5071" spans="1:1">
      <c r="A5071" s="56"/>
    </row>
    <row r="5072" spans="1:1">
      <c r="A5072" s="56"/>
    </row>
    <row r="5073" spans="1:1">
      <c r="A5073" s="56"/>
    </row>
    <row r="5074" spans="1:1">
      <c r="A5074" s="56"/>
    </row>
    <row r="5075" spans="1:1">
      <c r="A5075" s="56"/>
    </row>
    <row r="5076" spans="1:1">
      <c r="A5076" s="56"/>
    </row>
    <row r="5077" spans="1:1">
      <c r="A5077" s="56"/>
    </row>
    <row r="5078" spans="1:1">
      <c r="A5078" s="56"/>
    </row>
    <row r="5079" spans="1:1">
      <c r="A5079" s="56"/>
    </row>
    <row r="5080" spans="1:1">
      <c r="A5080" s="56"/>
    </row>
    <row r="5081" spans="1:1">
      <c r="A5081" s="56"/>
    </row>
    <row r="5082" spans="1:1">
      <c r="A5082" s="56"/>
    </row>
    <row r="5083" spans="1:1">
      <c r="A5083" s="56"/>
    </row>
    <row r="5084" spans="1:1">
      <c r="A5084" s="56"/>
    </row>
    <row r="5085" spans="1:1">
      <c r="A5085" s="56"/>
    </row>
    <row r="5086" spans="1:1">
      <c r="A5086" s="56"/>
    </row>
    <row r="5087" spans="1:1">
      <c r="A5087" s="56"/>
    </row>
    <row r="5088" spans="1:1">
      <c r="A5088" s="56"/>
    </row>
    <row r="5089" spans="1:1">
      <c r="A5089" s="56"/>
    </row>
    <row r="5090" spans="1:1">
      <c r="A5090" s="56"/>
    </row>
    <row r="5091" spans="1:1">
      <c r="A5091" s="56"/>
    </row>
    <row r="5092" spans="1:1">
      <c r="A5092" s="56"/>
    </row>
    <row r="5093" spans="1:1">
      <c r="A5093" s="56"/>
    </row>
    <row r="5094" spans="1:1">
      <c r="A5094" s="56"/>
    </row>
    <row r="5095" spans="1:1">
      <c r="A5095" s="56"/>
    </row>
    <row r="5096" spans="1:1">
      <c r="A5096" s="56"/>
    </row>
    <row r="5097" spans="1:1">
      <c r="A5097" s="56"/>
    </row>
    <row r="5098" spans="1:1">
      <c r="A5098" s="56"/>
    </row>
    <row r="5099" spans="1:1">
      <c r="A5099" s="56"/>
    </row>
    <row r="5100" spans="1:1">
      <c r="A5100" s="56"/>
    </row>
    <row r="5101" spans="1:1">
      <c r="A5101" s="56"/>
    </row>
    <row r="5102" spans="1:1">
      <c r="A5102" s="56"/>
    </row>
    <row r="5103" spans="1:1">
      <c r="A5103" s="56"/>
    </row>
    <row r="5104" spans="1:1">
      <c r="A5104" s="56"/>
    </row>
    <row r="5105" spans="1:1">
      <c r="A5105" s="56"/>
    </row>
    <row r="5106" spans="1:1">
      <c r="A5106" s="56"/>
    </row>
    <row r="5107" spans="1:1">
      <c r="A5107" s="56"/>
    </row>
    <row r="5108" spans="1:1">
      <c r="A5108" s="56"/>
    </row>
    <row r="5109" spans="1:1">
      <c r="A5109" s="56"/>
    </row>
    <row r="5110" spans="1:1">
      <c r="A5110" s="56"/>
    </row>
    <row r="5111" spans="1:1">
      <c r="A5111" s="56"/>
    </row>
    <row r="5112" spans="1:1">
      <c r="A5112" s="56"/>
    </row>
    <row r="5113" spans="1:1">
      <c r="A5113" s="56"/>
    </row>
    <row r="5114" spans="1:1">
      <c r="A5114" s="56"/>
    </row>
    <row r="5115" spans="1:1">
      <c r="A5115" s="56"/>
    </row>
    <row r="5116" spans="1:1">
      <c r="A5116" s="56"/>
    </row>
    <row r="5117" spans="1:1">
      <c r="A5117" s="56"/>
    </row>
    <row r="5118" spans="1:1">
      <c r="A5118" s="56"/>
    </row>
    <row r="5119" spans="1:1">
      <c r="A5119" s="56"/>
    </row>
    <row r="5120" spans="1:1">
      <c r="A5120" s="56"/>
    </row>
    <row r="5121" spans="1:1">
      <c r="A5121" s="56"/>
    </row>
    <row r="5122" spans="1:1">
      <c r="A5122" s="56"/>
    </row>
    <row r="5123" spans="1:1">
      <c r="A5123" s="56"/>
    </row>
    <row r="5124" spans="1:1">
      <c r="A5124" s="56"/>
    </row>
    <row r="5125" spans="1:1">
      <c r="A5125" s="56"/>
    </row>
    <row r="5126" spans="1:1">
      <c r="A5126" s="56"/>
    </row>
    <row r="5127" spans="1:1">
      <c r="A5127" s="56"/>
    </row>
    <row r="5128" spans="1:1">
      <c r="A5128" s="56"/>
    </row>
    <row r="5129" spans="1:1">
      <c r="A5129" s="56"/>
    </row>
    <row r="5130" spans="1:1">
      <c r="A5130" s="56"/>
    </row>
    <row r="5131" spans="1:1">
      <c r="A5131" s="56"/>
    </row>
    <row r="5132" spans="1:1">
      <c r="A5132" s="56"/>
    </row>
    <row r="5133" spans="1:1">
      <c r="A5133" s="56"/>
    </row>
    <row r="5134" spans="1:1">
      <c r="A5134" s="56"/>
    </row>
    <row r="5135" spans="1:1">
      <c r="A5135" s="56"/>
    </row>
    <row r="5136" spans="1:1">
      <c r="A5136" s="56"/>
    </row>
    <row r="5137" spans="1:1">
      <c r="A5137" s="56"/>
    </row>
    <row r="5138" spans="1:1">
      <c r="A5138" s="56"/>
    </row>
    <row r="5139" spans="1:1">
      <c r="A5139" s="56"/>
    </row>
    <row r="5140" spans="1:1">
      <c r="A5140" s="56"/>
    </row>
    <row r="5141" spans="1:1">
      <c r="A5141" s="56"/>
    </row>
    <row r="5142" spans="1:1">
      <c r="A5142" s="56"/>
    </row>
    <row r="5143" spans="1:1">
      <c r="A5143" s="56"/>
    </row>
    <row r="5144" spans="1:1">
      <c r="A5144" s="56"/>
    </row>
    <row r="5145" spans="1:1">
      <c r="A5145" s="56"/>
    </row>
    <row r="5146" spans="1:1">
      <c r="A5146" s="56"/>
    </row>
    <row r="5147" spans="1:1">
      <c r="A5147" s="56"/>
    </row>
    <row r="5148" spans="1:1">
      <c r="A5148" s="56"/>
    </row>
    <row r="5149" spans="1:1">
      <c r="A5149" s="56"/>
    </row>
    <row r="5150" spans="1:1">
      <c r="A5150" s="56"/>
    </row>
    <row r="5151" spans="1:1">
      <c r="A5151" s="56"/>
    </row>
    <row r="5152" spans="1:1">
      <c r="A5152" s="56"/>
    </row>
    <row r="5153" spans="1:1">
      <c r="A5153" s="56"/>
    </row>
    <row r="5154" spans="1:1">
      <c r="A5154" s="56"/>
    </row>
    <row r="5155" spans="1:1">
      <c r="A5155" s="56"/>
    </row>
    <row r="5156" spans="1:1">
      <c r="A5156" s="56"/>
    </row>
    <row r="5157" spans="1:1">
      <c r="A5157" s="56"/>
    </row>
    <row r="5158" spans="1:1">
      <c r="A5158" s="56"/>
    </row>
    <row r="5159" spans="1:1">
      <c r="A5159" s="56"/>
    </row>
    <row r="5160" spans="1:1">
      <c r="A5160" s="56"/>
    </row>
    <row r="5161" spans="1:1">
      <c r="A5161" s="56"/>
    </row>
    <row r="5162" spans="1:1">
      <c r="A5162" s="56"/>
    </row>
    <row r="5163" spans="1:1">
      <c r="A5163" s="56"/>
    </row>
    <row r="5164" spans="1:1">
      <c r="A5164" s="56"/>
    </row>
    <row r="5165" spans="1:1">
      <c r="A5165" s="56"/>
    </row>
    <row r="5166" spans="1:1">
      <c r="A5166" s="56"/>
    </row>
    <row r="5167" spans="1:1">
      <c r="A5167" s="56"/>
    </row>
    <row r="5168" spans="1:1">
      <c r="A5168" s="56"/>
    </row>
    <row r="5169" spans="1:1">
      <c r="A5169" s="56"/>
    </row>
    <row r="5170" spans="1:1">
      <c r="A5170" s="56"/>
    </row>
    <row r="5171" spans="1:1">
      <c r="A5171" s="56"/>
    </row>
    <row r="5172" spans="1:1">
      <c r="A5172" s="56"/>
    </row>
    <row r="5173" spans="1:1">
      <c r="A5173" s="56"/>
    </row>
    <row r="5174" spans="1:1">
      <c r="A5174" s="56"/>
    </row>
    <row r="5175" spans="1:1">
      <c r="A5175" s="56"/>
    </row>
    <row r="5176" spans="1:1">
      <c r="A5176" s="56"/>
    </row>
    <row r="5177" spans="1:1">
      <c r="A5177" s="56"/>
    </row>
    <row r="5178" spans="1:1">
      <c r="A5178" s="56"/>
    </row>
    <row r="5179" spans="1:1">
      <c r="A5179" s="56"/>
    </row>
    <row r="5180" spans="1:1">
      <c r="A5180" s="56"/>
    </row>
    <row r="5181" spans="1:1">
      <c r="A5181" s="56"/>
    </row>
    <row r="5182" spans="1:1">
      <c r="A5182" s="56"/>
    </row>
    <row r="5183" spans="1:1">
      <c r="A5183" s="56"/>
    </row>
    <row r="5184" spans="1:1">
      <c r="A5184" s="56"/>
    </row>
    <row r="5185" spans="1:1">
      <c r="A5185" s="56"/>
    </row>
    <row r="5186" spans="1:1">
      <c r="A5186" s="56"/>
    </row>
    <row r="5187" spans="1:1">
      <c r="A5187" s="56"/>
    </row>
    <row r="5188" spans="1:1">
      <c r="A5188" s="56"/>
    </row>
    <row r="5189" spans="1:1">
      <c r="A5189" s="56"/>
    </row>
    <row r="5190" spans="1:1">
      <c r="A5190" s="56"/>
    </row>
    <row r="5191" spans="1:1">
      <c r="A5191" s="56"/>
    </row>
    <row r="5192" spans="1:1">
      <c r="A5192" s="56"/>
    </row>
    <row r="5193" spans="1:1">
      <c r="A5193" s="56"/>
    </row>
    <row r="5194" spans="1:1">
      <c r="A5194" s="56"/>
    </row>
    <row r="5195" spans="1:1">
      <c r="A5195" s="56"/>
    </row>
    <row r="5196" spans="1:1">
      <c r="A5196" s="56"/>
    </row>
    <row r="5197" spans="1:1">
      <c r="A5197" s="56"/>
    </row>
    <row r="5198" spans="1:1">
      <c r="A5198" s="56"/>
    </row>
    <row r="5199" spans="1:1">
      <c r="A5199" s="56"/>
    </row>
    <row r="5200" spans="1:1">
      <c r="A5200" s="56"/>
    </row>
    <row r="5201" spans="1:1">
      <c r="A5201" s="56"/>
    </row>
    <row r="5202" spans="1:1">
      <c r="A5202" s="56"/>
    </row>
    <row r="5203" spans="1:1">
      <c r="A5203" s="56"/>
    </row>
    <row r="5204" spans="1:1">
      <c r="A5204" s="56"/>
    </row>
    <row r="5205" spans="1:1">
      <c r="A5205" s="56"/>
    </row>
    <row r="5206" spans="1:1">
      <c r="A5206" s="56"/>
    </row>
    <row r="5207" spans="1:1">
      <c r="A5207" s="56"/>
    </row>
    <row r="5208" spans="1:1">
      <c r="A5208" s="56"/>
    </row>
    <row r="5209" spans="1:1">
      <c r="A5209" s="56"/>
    </row>
    <row r="5210" spans="1:1">
      <c r="A5210" s="56"/>
    </row>
    <row r="5211" spans="1:1">
      <c r="A5211" s="56"/>
    </row>
    <row r="5212" spans="1:1">
      <c r="A5212" s="56"/>
    </row>
    <row r="5213" spans="1:1">
      <c r="A5213" s="56"/>
    </row>
    <row r="5214" spans="1:1">
      <c r="A5214" s="56"/>
    </row>
    <row r="5215" spans="1:1">
      <c r="A5215" s="56"/>
    </row>
    <row r="5216" spans="1:1">
      <c r="A5216" s="56"/>
    </row>
    <row r="5217" spans="1:1">
      <c r="A5217" s="56"/>
    </row>
    <row r="5218" spans="1:1">
      <c r="A5218" s="56"/>
    </row>
    <row r="5219" spans="1:1">
      <c r="A5219" s="56"/>
    </row>
    <row r="5220" spans="1:1">
      <c r="A5220" s="56"/>
    </row>
    <row r="5221" spans="1:1">
      <c r="A5221" s="56"/>
    </row>
    <row r="5222" spans="1:1">
      <c r="A5222" s="56"/>
    </row>
    <row r="5223" spans="1:1">
      <c r="A5223" s="56"/>
    </row>
    <row r="5224" spans="1:1">
      <c r="A5224" s="56"/>
    </row>
    <row r="5225" spans="1:1">
      <c r="A5225" s="56"/>
    </row>
    <row r="5226" spans="1:1">
      <c r="A5226" s="56"/>
    </row>
    <row r="5227" spans="1:1">
      <c r="A5227" s="56"/>
    </row>
    <row r="5228" spans="1:1">
      <c r="A5228" s="56"/>
    </row>
    <row r="5229" spans="1:1">
      <c r="A5229" s="56"/>
    </row>
    <row r="5230" spans="1:1">
      <c r="A5230" s="56"/>
    </row>
    <row r="5231" spans="1:1">
      <c r="A5231" s="56"/>
    </row>
    <row r="5232" spans="1:1">
      <c r="A5232" s="56"/>
    </row>
    <row r="5233" spans="1:1">
      <c r="A5233" s="56"/>
    </row>
    <row r="5234" spans="1:1">
      <c r="A5234" s="56"/>
    </row>
    <row r="5235" spans="1:1">
      <c r="A5235" s="56"/>
    </row>
    <row r="5236" spans="1:1">
      <c r="A5236" s="56"/>
    </row>
    <row r="5237" spans="1:1">
      <c r="A5237" s="56"/>
    </row>
    <row r="5238" spans="1:1">
      <c r="A5238" s="56"/>
    </row>
    <row r="5239" spans="1:1">
      <c r="A5239" s="56"/>
    </row>
    <row r="5240" spans="1:1">
      <c r="A5240" s="56"/>
    </row>
    <row r="5241" spans="1:1">
      <c r="A5241" s="56"/>
    </row>
    <row r="5242" spans="1:1">
      <c r="A5242" s="56"/>
    </row>
    <row r="5243" spans="1:1">
      <c r="A5243" s="56"/>
    </row>
    <row r="5244" spans="1:1">
      <c r="A5244" s="56"/>
    </row>
    <row r="5245" spans="1:1">
      <c r="A5245" s="56"/>
    </row>
    <row r="5246" spans="1:1">
      <c r="A5246" s="56"/>
    </row>
    <row r="5247" spans="1:1">
      <c r="A5247" s="56"/>
    </row>
    <row r="5248" spans="1:1">
      <c r="A5248" s="56"/>
    </row>
    <row r="5249" spans="1:1">
      <c r="A5249" s="56"/>
    </row>
    <row r="5250" spans="1:1">
      <c r="A5250" s="56"/>
    </row>
    <row r="5251" spans="1:1">
      <c r="A5251" s="56"/>
    </row>
    <row r="5252" spans="1:1">
      <c r="A5252" s="56"/>
    </row>
    <row r="5253" spans="1:1">
      <c r="A5253" s="56"/>
    </row>
    <row r="5254" spans="1:1">
      <c r="A5254" s="56"/>
    </row>
    <row r="5255" spans="1:1">
      <c r="A5255" s="56"/>
    </row>
    <row r="5256" spans="1:1">
      <c r="A5256" s="56"/>
    </row>
    <row r="5257" spans="1:1">
      <c r="A5257" s="56"/>
    </row>
    <row r="5258" spans="1:1">
      <c r="A5258" s="56"/>
    </row>
    <row r="5259" spans="1:1">
      <c r="A5259" s="56"/>
    </row>
    <row r="5260" spans="1:1">
      <c r="A5260" s="56"/>
    </row>
    <row r="5261" spans="1:1">
      <c r="A5261" s="56"/>
    </row>
    <row r="5262" spans="1:1">
      <c r="A5262" s="56"/>
    </row>
    <row r="5263" spans="1:1">
      <c r="A5263" s="56"/>
    </row>
    <row r="5264" spans="1:1">
      <c r="A5264" s="56"/>
    </row>
    <row r="5265" spans="1:1">
      <c r="A5265" s="56"/>
    </row>
    <row r="5266" spans="1:1">
      <c r="A5266" s="56"/>
    </row>
    <row r="5267" spans="1:1">
      <c r="A5267" s="56"/>
    </row>
    <row r="5268" spans="1:1">
      <c r="A5268" s="56"/>
    </row>
    <row r="5269" spans="1:1">
      <c r="A5269" s="56"/>
    </row>
    <row r="5270" spans="1:1">
      <c r="A5270" s="56"/>
    </row>
    <row r="5271" spans="1:1">
      <c r="A5271" s="56"/>
    </row>
    <row r="5272" spans="1:1">
      <c r="A5272" s="56"/>
    </row>
    <row r="5273" spans="1:1">
      <c r="A5273" s="56"/>
    </row>
    <row r="5274" spans="1:1">
      <c r="A5274" s="56"/>
    </row>
    <row r="5275" spans="1:1">
      <c r="A5275" s="56"/>
    </row>
    <row r="5276" spans="1:1">
      <c r="A5276" s="56"/>
    </row>
    <row r="5277" spans="1:1">
      <c r="A5277" s="56"/>
    </row>
    <row r="5278" spans="1:1">
      <c r="A5278" s="56"/>
    </row>
    <row r="5279" spans="1:1">
      <c r="A5279" s="56"/>
    </row>
    <row r="5280" spans="1:1">
      <c r="A5280" s="56"/>
    </row>
    <row r="5281" spans="1:1">
      <c r="A5281" s="56"/>
    </row>
    <row r="5282" spans="1:1">
      <c r="A5282" s="56"/>
    </row>
    <row r="5283" spans="1:1">
      <c r="A5283" s="56"/>
    </row>
    <row r="5284" spans="1:1">
      <c r="A5284" s="56"/>
    </row>
    <row r="5285" spans="1:1">
      <c r="A5285" s="56"/>
    </row>
    <row r="5286" spans="1:1">
      <c r="A5286" s="56"/>
    </row>
    <row r="5287" spans="1:1">
      <c r="A5287" s="56"/>
    </row>
    <row r="5288" spans="1:1">
      <c r="A5288" s="56"/>
    </row>
    <row r="5289" spans="1:1">
      <c r="A5289" s="56"/>
    </row>
    <row r="5290" spans="1:1">
      <c r="A5290" s="56"/>
    </row>
    <row r="5291" spans="1:1">
      <c r="A5291" s="56"/>
    </row>
    <row r="5292" spans="1:1">
      <c r="A5292" s="56"/>
    </row>
    <row r="5293" spans="1:1">
      <c r="A5293" s="56"/>
    </row>
    <row r="5294" spans="1:1">
      <c r="A5294" s="56"/>
    </row>
    <row r="5295" spans="1:1">
      <c r="A5295" s="56"/>
    </row>
    <row r="5296" spans="1:1">
      <c r="A5296" s="56"/>
    </row>
    <row r="5297" spans="1:1">
      <c r="A5297" s="56"/>
    </row>
    <row r="5298" spans="1:1">
      <c r="A5298" s="56"/>
    </row>
    <row r="5299" spans="1:1">
      <c r="A5299" s="56"/>
    </row>
    <row r="5300" spans="1:1">
      <c r="A5300" s="56"/>
    </row>
    <row r="5301" spans="1:1">
      <c r="A5301" s="56"/>
    </row>
    <row r="5302" spans="1:1">
      <c r="A5302" s="56"/>
    </row>
    <row r="5303" spans="1:1">
      <c r="A5303" s="56"/>
    </row>
    <row r="5304" spans="1:1">
      <c r="A5304" s="56"/>
    </row>
    <row r="5305" spans="1:1">
      <c r="A5305" s="56"/>
    </row>
    <row r="5306" spans="1:1">
      <c r="A5306" s="56"/>
    </row>
    <row r="5307" spans="1:1">
      <c r="A5307" s="56"/>
    </row>
    <row r="5308" spans="1:1">
      <c r="A5308" s="56"/>
    </row>
    <row r="5309" spans="1:1">
      <c r="A5309" s="56"/>
    </row>
    <row r="5310" spans="1:1">
      <c r="A5310" s="56"/>
    </row>
    <row r="5311" spans="1:1">
      <c r="A5311" s="56"/>
    </row>
    <row r="5312" spans="1:1">
      <c r="A5312" s="56"/>
    </row>
    <row r="5313" spans="1:1">
      <c r="A5313" s="56"/>
    </row>
    <row r="5314" spans="1:1">
      <c r="A5314" s="56"/>
    </row>
    <row r="5315" spans="1:1">
      <c r="A5315" s="56"/>
    </row>
    <row r="5316" spans="1:1">
      <c r="A5316" s="56"/>
    </row>
    <row r="5317" spans="1:1">
      <c r="A5317" s="56"/>
    </row>
    <row r="5318" spans="1:1">
      <c r="A5318" s="56"/>
    </row>
    <row r="5319" spans="1:1">
      <c r="A5319" s="56"/>
    </row>
    <row r="5320" spans="1:1">
      <c r="A5320" s="56"/>
    </row>
    <row r="5321" spans="1:1">
      <c r="A5321" s="56"/>
    </row>
    <row r="5322" spans="1:1">
      <c r="A5322" s="56"/>
    </row>
    <row r="5323" spans="1:1">
      <c r="A5323" s="56"/>
    </row>
    <row r="5324" spans="1:1">
      <c r="A5324" s="56"/>
    </row>
    <row r="5325" spans="1:1">
      <c r="A5325" s="56"/>
    </row>
    <row r="5326" spans="1:1">
      <c r="A5326" s="56"/>
    </row>
    <row r="5327" spans="1:1">
      <c r="A5327" s="56"/>
    </row>
    <row r="5328" spans="1:1">
      <c r="A5328" s="56"/>
    </row>
    <row r="5329" spans="1:1">
      <c r="A5329" s="56"/>
    </row>
    <row r="5330" spans="1:1">
      <c r="A5330" s="56"/>
    </row>
    <row r="5331" spans="1:1">
      <c r="A5331" s="56"/>
    </row>
    <row r="5332" spans="1:1">
      <c r="A5332" s="56"/>
    </row>
    <row r="5333" spans="1:1">
      <c r="A5333" s="56"/>
    </row>
    <row r="5334" spans="1:1">
      <c r="A5334" s="56"/>
    </row>
    <row r="5335" spans="1:1">
      <c r="A5335" s="56"/>
    </row>
    <row r="5336" spans="1:1">
      <c r="A5336" s="56"/>
    </row>
    <row r="5337" spans="1:1">
      <c r="A5337" s="56"/>
    </row>
    <row r="5338" spans="1:1">
      <c r="A5338" s="56"/>
    </row>
    <row r="5339" spans="1:1">
      <c r="A5339" s="56"/>
    </row>
    <row r="5340" spans="1:1">
      <c r="A5340" s="56"/>
    </row>
    <row r="5341" spans="1:1">
      <c r="A5341" s="56"/>
    </row>
    <row r="5342" spans="1:1">
      <c r="A5342" s="56"/>
    </row>
    <row r="5343" spans="1:1">
      <c r="A5343" s="56"/>
    </row>
    <row r="5344" spans="1:1">
      <c r="A5344" s="56"/>
    </row>
    <row r="5345" spans="1:1">
      <c r="A5345" s="56"/>
    </row>
    <row r="5346" spans="1:1">
      <c r="A5346" s="56"/>
    </row>
    <row r="5347" spans="1:1">
      <c r="A5347" s="56"/>
    </row>
    <row r="5348" spans="1:1">
      <c r="A5348" s="56"/>
    </row>
    <row r="5349" spans="1:1">
      <c r="A5349" s="56"/>
    </row>
    <row r="5350" spans="1:1">
      <c r="A5350" s="56"/>
    </row>
    <row r="5351" spans="1:1">
      <c r="A5351" s="56"/>
    </row>
    <row r="5352" spans="1:1">
      <c r="A5352" s="56"/>
    </row>
    <row r="5353" spans="1:1">
      <c r="A5353" s="56"/>
    </row>
    <row r="5354" spans="1:1">
      <c r="A5354" s="56"/>
    </row>
    <row r="5355" spans="1:1">
      <c r="A5355" s="56"/>
    </row>
    <row r="5356" spans="1:1">
      <c r="A5356" s="56"/>
    </row>
    <row r="5357" spans="1:1">
      <c r="A5357" s="56"/>
    </row>
    <row r="5358" spans="1:1">
      <c r="A5358" s="56"/>
    </row>
    <row r="5359" spans="1:1">
      <c r="A5359" s="56"/>
    </row>
    <row r="5360" spans="1:1">
      <c r="A5360" s="56"/>
    </row>
    <row r="5361" spans="1:1">
      <c r="A5361" s="56"/>
    </row>
    <row r="5362" spans="1:1">
      <c r="A5362" s="56"/>
    </row>
    <row r="5363" spans="1:1">
      <c r="A5363" s="56"/>
    </row>
    <row r="5364" spans="1:1">
      <c r="A5364" s="56"/>
    </row>
    <row r="5365" spans="1:1">
      <c r="A5365" s="56"/>
    </row>
    <row r="5366" spans="1:1">
      <c r="A5366" s="56"/>
    </row>
    <row r="5367" spans="1:1">
      <c r="A5367" s="56"/>
    </row>
    <row r="5368" spans="1:1">
      <c r="A5368" s="56"/>
    </row>
    <row r="5369" spans="1:1">
      <c r="A5369" s="56"/>
    </row>
    <row r="5370" spans="1:1">
      <c r="A5370" s="56"/>
    </row>
    <row r="5371" spans="1:1">
      <c r="A5371" s="56"/>
    </row>
    <row r="5372" spans="1:1">
      <c r="A5372" s="56"/>
    </row>
    <row r="5373" spans="1:1">
      <c r="A5373" s="56"/>
    </row>
    <row r="5374" spans="1:1">
      <c r="A5374" s="56"/>
    </row>
    <row r="5375" spans="1:1">
      <c r="A5375" s="56"/>
    </row>
    <row r="5376" spans="1:1">
      <c r="A5376" s="56"/>
    </row>
    <row r="5377" spans="1:1">
      <c r="A5377" s="56"/>
    </row>
    <row r="5378" spans="1:1">
      <c r="A5378" s="56"/>
    </row>
    <row r="5379" spans="1:1">
      <c r="A5379" s="56"/>
    </row>
    <row r="5380" spans="1:1">
      <c r="A5380" s="56"/>
    </row>
    <row r="5381" spans="1:1">
      <c r="A5381" s="56"/>
    </row>
    <row r="5382" spans="1:1">
      <c r="A5382" s="56"/>
    </row>
    <row r="5383" spans="1:1">
      <c r="A5383" s="56"/>
    </row>
    <row r="5384" spans="1:1">
      <c r="A5384" s="56"/>
    </row>
    <row r="5385" spans="1:1">
      <c r="A5385" s="56"/>
    </row>
    <row r="5386" spans="1:1">
      <c r="A5386" s="56"/>
    </row>
    <row r="5387" spans="1:1">
      <c r="A5387" s="56"/>
    </row>
    <row r="5388" spans="1:1">
      <c r="A5388" s="56"/>
    </row>
    <row r="5389" spans="1:1">
      <c r="A5389" s="56"/>
    </row>
    <row r="5390" spans="1:1">
      <c r="A5390" s="56"/>
    </row>
    <row r="5391" spans="1:1">
      <c r="A5391" s="56"/>
    </row>
    <row r="5392" spans="1:1">
      <c r="A5392" s="56"/>
    </row>
    <row r="5393" spans="1:1">
      <c r="A5393" s="56"/>
    </row>
    <row r="5394" spans="1:1">
      <c r="A5394" s="56"/>
    </row>
    <row r="5395" spans="1:1">
      <c r="A5395" s="56"/>
    </row>
    <row r="5396" spans="1:1">
      <c r="A5396" s="56"/>
    </row>
    <row r="5397" spans="1:1">
      <c r="A5397" s="56"/>
    </row>
    <row r="5398" spans="1:1">
      <c r="A5398" s="56"/>
    </row>
    <row r="5399" spans="1:1">
      <c r="A5399" s="56"/>
    </row>
    <row r="5400" spans="1:1">
      <c r="A5400" s="56"/>
    </row>
    <row r="5401" spans="1:1">
      <c r="A5401" s="56"/>
    </row>
    <row r="5402" spans="1:1">
      <c r="A5402" s="56"/>
    </row>
    <row r="5403" spans="1:1">
      <c r="A5403" s="56"/>
    </row>
    <row r="5404" spans="1:1">
      <c r="A5404" s="56"/>
    </row>
    <row r="5405" spans="1:1">
      <c r="A5405" s="56"/>
    </row>
    <row r="5406" spans="1:1">
      <c r="A5406" s="56"/>
    </row>
    <row r="5407" spans="1:1">
      <c r="A5407" s="56"/>
    </row>
    <row r="5408" spans="1:1">
      <c r="A5408" s="56"/>
    </row>
    <row r="5409" spans="1:1">
      <c r="A5409" s="56"/>
    </row>
    <row r="5410" spans="1:1">
      <c r="A5410" s="56"/>
    </row>
    <row r="5411" spans="1:1">
      <c r="A5411" s="56"/>
    </row>
    <row r="5412" spans="1:1">
      <c r="A5412" s="56"/>
    </row>
    <row r="5413" spans="1:1">
      <c r="A5413" s="56"/>
    </row>
    <row r="5414" spans="1:1">
      <c r="A5414" s="56"/>
    </row>
    <row r="5415" spans="1:1">
      <c r="A5415" s="56"/>
    </row>
    <row r="5416" spans="1:1">
      <c r="A5416" s="56"/>
    </row>
    <row r="5417" spans="1:1">
      <c r="A5417" s="56"/>
    </row>
    <row r="5418" spans="1:1">
      <c r="A5418" s="56"/>
    </row>
    <row r="5419" spans="1:1">
      <c r="A5419" s="56"/>
    </row>
    <row r="5420" spans="1:1">
      <c r="A5420" s="56"/>
    </row>
    <row r="5421" spans="1:1">
      <c r="A5421" s="56"/>
    </row>
    <row r="5422" spans="1:1">
      <c r="A5422" s="56"/>
    </row>
    <row r="5423" spans="1:1">
      <c r="A5423" s="56"/>
    </row>
    <row r="5424" spans="1:1">
      <c r="A5424" s="56"/>
    </row>
    <row r="5425" spans="1:1">
      <c r="A5425" s="56"/>
    </row>
    <row r="5426" spans="1:1">
      <c r="A5426" s="56"/>
    </row>
    <row r="5427" spans="1:1">
      <c r="A5427" s="56"/>
    </row>
    <row r="5428" spans="1:1">
      <c r="A5428" s="56"/>
    </row>
    <row r="5429" spans="1:1">
      <c r="A5429" s="56"/>
    </row>
    <row r="5430" spans="1:1">
      <c r="A5430" s="56"/>
    </row>
    <row r="5431" spans="1:1">
      <c r="A5431" s="56"/>
    </row>
    <row r="5432" spans="1:1">
      <c r="A5432" s="56"/>
    </row>
    <row r="5433" spans="1:1">
      <c r="A5433" s="56"/>
    </row>
    <row r="5434" spans="1:1">
      <c r="A5434" s="56"/>
    </row>
    <row r="5435" spans="1:1">
      <c r="A5435" s="56"/>
    </row>
    <row r="5436" spans="1:1">
      <c r="A5436" s="56"/>
    </row>
    <row r="5437" spans="1:1">
      <c r="A5437" s="56"/>
    </row>
    <row r="5438" spans="1:1">
      <c r="A5438" s="56"/>
    </row>
    <row r="5439" spans="1:1">
      <c r="A5439" s="56"/>
    </row>
    <row r="5440" spans="1:1">
      <c r="A5440" s="56"/>
    </row>
    <row r="5441" spans="1:1">
      <c r="A5441" s="56"/>
    </row>
    <row r="5442" spans="1:1">
      <c r="A5442" s="56"/>
    </row>
    <row r="5443" spans="1:1">
      <c r="A5443" s="56"/>
    </row>
    <row r="5444" spans="1:1">
      <c r="A5444" s="56"/>
    </row>
    <row r="5445" spans="1:1">
      <c r="A5445" s="56"/>
    </row>
    <row r="5446" spans="1:1">
      <c r="A5446" s="56"/>
    </row>
    <row r="5447" spans="1:1">
      <c r="A5447" s="56"/>
    </row>
    <row r="5448" spans="1:1">
      <c r="A5448" s="56"/>
    </row>
    <row r="5449" spans="1:1">
      <c r="A5449" s="56"/>
    </row>
    <row r="5450" spans="1:1">
      <c r="A5450" s="56"/>
    </row>
    <row r="5451" spans="1:1">
      <c r="A5451" s="56"/>
    </row>
    <row r="5452" spans="1:1">
      <c r="A5452" s="56"/>
    </row>
    <row r="5453" spans="1:1">
      <c r="A5453" s="56"/>
    </row>
    <row r="5454" spans="1:1">
      <c r="A5454" s="56"/>
    </row>
    <row r="5455" spans="1:1">
      <c r="A5455" s="56"/>
    </row>
    <row r="5456" spans="1:1">
      <c r="A5456" s="56"/>
    </row>
    <row r="5457" spans="1:1">
      <c r="A5457" s="56"/>
    </row>
    <row r="5458" spans="1:1">
      <c r="A5458" s="56"/>
    </row>
    <row r="5459" spans="1:1">
      <c r="A5459" s="56"/>
    </row>
    <row r="5460" spans="1:1">
      <c r="A5460" s="56"/>
    </row>
    <row r="5461" spans="1:1">
      <c r="A5461" s="56"/>
    </row>
    <row r="5462" spans="1:1">
      <c r="A5462" s="56"/>
    </row>
    <row r="5463" spans="1:1">
      <c r="A5463" s="56"/>
    </row>
    <row r="5464" spans="1:1">
      <c r="A5464" s="56"/>
    </row>
    <row r="5465" spans="1:1">
      <c r="A5465" s="56"/>
    </row>
    <row r="5466" spans="1:1">
      <c r="A5466" s="56"/>
    </row>
    <row r="5467" spans="1:1">
      <c r="A5467" s="56"/>
    </row>
    <row r="5468" spans="1:1">
      <c r="A5468" s="56"/>
    </row>
    <row r="5469" spans="1:1">
      <c r="A5469" s="56"/>
    </row>
    <row r="5470" spans="1:1">
      <c r="A5470" s="56"/>
    </row>
    <row r="5471" spans="1:1">
      <c r="A5471" s="56"/>
    </row>
    <row r="5472" spans="1:1">
      <c r="A5472" s="56"/>
    </row>
    <row r="5473" spans="1:1">
      <c r="A5473" s="56"/>
    </row>
    <row r="5474" spans="1:1">
      <c r="A5474" s="56"/>
    </row>
    <row r="5475" spans="1:1">
      <c r="A5475" s="56"/>
    </row>
    <row r="5476" spans="1:1">
      <c r="A5476" s="56"/>
    </row>
    <row r="5477" spans="1:1">
      <c r="A5477" s="56"/>
    </row>
    <row r="5478" spans="1:1">
      <c r="A5478" s="56"/>
    </row>
    <row r="5479" spans="1:1">
      <c r="A5479" s="56"/>
    </row>
    <row r="5480" spans="1:1">
      <c r="A5480" s="56"/>
    </row>
    <row r="5481" spans="1:1">
      <c r="A5481" s="56"/>
    </row>
    <row r="5482" spans="1:1">
      <c r="A5482" s="56"/>
    </row>
    <row r="5483" spans="1:1">
      <c r="A5483" s="56"/>
    </row>
    <row r="5484" spans="1:1">
      <c r="A5484" s="56"/>
    </row>
    <row r="5485" spans="1:1">
      <c r="A5485" s="56"/>
    </row>
    <row r="5486" spans="1:1">
      <c r="A5486" s="56"/>
    </row>
    <row r="5487" spans="1:1">
      <c r="A5487" s="56"/>
    </row>
    <row r="5488" spans="1:1">
      <c r="A5488" s="56"/>
    </row>
    <row r="5489" spans="1:1">
      <c r="A5489" s="56"/>
    </row>
    <row r="5490" spans="1:1">
      <c r="A5490" s="56"/>
    </row>
    <row r="5491" spans="1:1">
      <c r="A5491" s="56"/>
    </row>
    <row r="5492" spans="1:1">
      <c r="A5492" s="56"/>
    </row>
    <row r="5493" spans="1:1">
      <c r="A5493" s="56"/>
    </row>
    <row r="5494" spans="1:1">
      <c r="A5494" s="56"/>
    </row>
    <row r="5495" spans="1:1">
      <c r="A5495" s="56"/>
    </row>
    <row r="5496" spans="1:1">
      <c r="A5496" s="56"/>
    </row>
    <row r="5497" spans="1:1">
      <c r="A5497" s="56"/>
    </row>
    <row r="5498" spans="1:1">
      <c r="A5498" s="56"/>
    </row>
    <row r="5499" spans="1:1">
      <c r="A5499" s="56"/>
    </row>
    <row r="5500" spans="1:1">
      <c r="A5500" s="56"/>
    </row>
    <row r="5501" spans="1:1">
      <c r="A5501" s="56"/>
    </row>
    <row r="5502" spans="1:1">
      <c r="A5502" s="56"/>
    </row>
    <row r="5503" spans="1:1">
      <c r="A5503" s="56"/>
    </row>
    <row r="5504" spans="1:1">
      <c r="A5504" s="56"/>
    </row>
    <row r="5505" spans="1:1">
      <c r="A5505" s="56"/>
    </row>
    <row r="5506" spans="1:1">
      <c r="A5506" s="56"/>
    </row>
    <row r="5507" spans="1:1">
      <c r="A5507" s="56"/>
    </row>
    <row r="5508" spans="1:1">
      <c r="A5508" s="56"/>
    </row>
    <row r="5509" spans="1:1">
      <c r="A5509" s="56"/>
    </row>
    <row r="5510" spans="1:1">
      <c r="A5510" s="56"/>
    </row>
    <row r="5511" spans="1:1">
      <c r="A5511" s="56"/>
    </row>
    <row r="5512" spans="1:1">
      <c r="A5512" s="56"/>
    </row>
    <row r="5513" spans="1:1">
      <c r="A5513" s="56"/>
    </row>
    <row r="5514" spans="1:1">
      <c r="A5514" s="56"/>
    </row>
    <row r="5515" spans="1:1">
      <c r="A5515" s="56"/>
    </row>
    <row r="5516" spans="1:1">
      <c r="A5516" s="56"/>
    </row>
    <row r="5517" spans="1:1">
      <c r="A5517" s="56"/>
    </row>
    <row r="5518" spans="1:1">
      <c r="A5518" s="56"/>
    </row>
    <row r="5519" spans="1:1">
      <c r="A5519" s="56"/>
    </row>
    <row r="5520" spans="1:1">
      <c r="A5520" s="56"/>
    </row>
    <row r="5521" spans="1:1">
      <c r="A5521" s="56"/>
    </row>
    <row r="5522" spans="1:1">
      <c r="A5522" s="56"/>
    </row>
    <row r="5523" spans="1:1">
      <c r="A5523" s="56"/>
    </row>
    <row r="5524" spans="1:1">
      <c r="A5524" s="56"/>
    </row>
    <row r="5525" spans="1:1">
      <c r="A5525" s="56"/>
    </row>
    <row r="5526" spans="1:1">
      <c r="A5526" s="56"/>
    </row>
    <row r="5527" spans="1:1">
      <c r="A5527" s="56"/>
    </row>
    <row r="5528" spans="1:1">
      <c r="A5528" s="56"/>
    </row>
    <row r="5529" spans="1:1">
      <c r="A5529" s="56"/>
    </row>
    <row r="5530" spans="1:1">
      <c r="A5530" s="56"/>
    </row>
    <row r="5531" spans="1:1">
      <c r="A5531" s="56"/>
    </row>
    <row r="5532" spans="1:1">
      <c r="A5532" s="56"/>
    </row>
    <row r="5533" spans="1:1">
      <c r="A5533" s="56"/>
    </row>
    <row r="5534" spans="1:1">
      <c r="A5534" s="56"/>
    </row>
    <row r="5535" spans="1:1">
      <c r="A5535" s="56"/>
    </row>
    <row r="5536" spans="1:1">
      <c r="A5536" s="56"/>
    </row>
    <row r="5537" spans="1:1">
      <c r="A5537" s="56"/>
    </row>
    <row r="5538" spans="1:1">
      <c r="A5538" s="56"/>
    </row>
    <row r="5539" spans="1:1">
      <c r="A5539" s="56"/>
    </row>
    <row r="5540" spans="1:1">
      <c r="A5540" s="56"/>
    </row>
    <row r="5541" spans="1:1">
      <c r="A5541" s="56"/>
    </row>
    <row r="5542" spans="1:1">
      <c r="A5542" s="56"/>
    </row>
    <row r="5543" spans="1:1">
      <c r="A5543" s="56"/>
    </row>
    <row r="5544" spans="1:1">
      <c r="A5544" s="56"/>
    </row>
    <row r="5545" spans="1:1">
      <c r="A5545" s="56"/>
    </row>
    <row r="5546" spans="1:1">
      <c r="A5546" s="56"/>
    </row>
    <row r="5547" spans="1:1">
      <c r="A5547" s="56"/>
    </row>
    <row r="5548" spans="1:1">
      <c r="A5548" s="56"/>
    </row>
    <row r="5549" spans="1:1">
      <c r="A5549" s="56"/>
    </row>
    <row r="5550" spans="1:1">
      <c r="A5550" s="56"/>
    </row>
    <row r="5551" spans="1:1">
      <c r="A5551" s="56"/>
    </row>
    <row r="5552" spans="1:1">
      <c r="A5552" s="56"/>
    </row>
    <row r="5553" spans="1:1">
      <c r="A5553" s="56"/>
    </row>
    <row r="5554" spans="1:1">
      <c r="A5554" s="56"/>
    </row>
    <row r="5555" spans="1:1">
      <c r="A5555" s="56"/>
    </row>
    <row r="5556" spans="1:1">
      <c r="A5556" s="56"/>
    </row>
    <row r="5557" spans="1:1">
      <c r="A5557" s="56"/>
    </row>
    <row r="5558" spans="1:1">
      <c r="A5558" s="56"/>
    </row>
    <row r="5559" spans="1:1">
      <c r="A5559" s="56"/>
    </row>
    <row r="5560" spans="1:1">
      <c r="A5560" s="56"/>
    </row>
    <row r="5561" spans="1:1">
      <c r="A5561" s="56"/>
    </row>
    <row r="5562" spans="1:1">
      <c r="A5562" s="56"/>
    </row>
    <row r="5563" spans="1:1">
      <c r="A5563" s="56"/>
    </row>
    <row r="5564" spans="1:1">
      <c r="A5564" s="56"/>
    </row>
    <row r="5565" spans="1:1">
      <c r="A5565" s="56"/>
    </row>
    <row r="5566" spans="1:1">
      <c r="A5566" s="56"/>
    </row>
    <row r="5567" spans="1:1">
      <c r="A5567" s="56"/>
    </row>
    <row r="5568" spans="1:1">
      <c r="A5568" s="56"/>
    </row>
    <row r="5569" spans="1:1">
      <c r="A5569" s="56"/>
    </row>
    <row r="5570" spans="1:1">
      <c r="A5570" s="56"/>
    </row>
    <row r="5571" spans="1:1">
      <c r="A5571" s="56"/>
    </row>
    <row r="5572" spans="1:1">
      <c r="A5572" s="56"/>
    </row>
    <row r="5573" spans="1:1">
      <c r="A5573" s="56"/>
    </row>
    <row r="5574" spans="1:1">
      <c r="A5574" s="56"/>
    </row>
    <row r="5575" spans="1:1">
      <c r="A5575" s="56"/>
    </row>
    <row r="5576" spans="1:1">
      <c r="A5576" s="56"/>
    </row>
    <row r="5577" spans="1:1">
      <c r="A5577" s="56"/>
    </row>
    <row r="5578" spans="1:1">
      <c r="A5578" s="56"/>
    </row>
    <row r="5579" spans="1:1">
      <c r="A5579" s="56"/>
    </row>
    <row r="5580" spans="1:1">
      <c r="A5580" s="56"/>
    </row>
    <row r="5581" spans="1:1">
      <c r="A5581" s="56"/>
    </row>
    <row r="5582" spans="1:1">
      <c r="A5582" s="56"/>
    </row>
    <row r="5583" spans="1:1">
      <c r="A5583" s="56"/>
    </row>
    <row r="5584" spans="1:1">
      <c r="A5584" s="56"/>
    </row>
    <row r="5585" spans="1:1">
      <c r="A5585" s="56"/>
    </row>
    <row r="5586" spans="1:1">
      <c r="A5586" s="56"/>
    </row>
    <row r="5587" spans="1:1">
      <c r="A5587" s="56"/>
    </row>
    <row r="5588" spans="1:1">
      <c r="A5588" s="56"/>
    </row>
    <row r="5589" spans="1:1">
      <c r="A5589" s="56"/>
    </row>
    <row r="5590" spans="1:1">
      <c r="A5590" s="56"/>
    </row>
    <row r="5591" spans="1:1">
      <c r="A5591" s="56"/>
    </row>
    <row r="5592" spans="1:1">
      <c r="A5592" s="56"/>
    </row>
    <row r="5593" spans="1:1">
      <c r="A5593" s="56"/>
    </row>
    <row r="5594" spans="1:1">
      <c r="A5594" s="56"/>
    </row>
    <row r="5595" spans="1:1">
      <c r="A5595" s="56"/>
    </row>
    <row r="5596" spans="1:1">
      <c r="A5596" s="56"/>
    </row>
    <row r="5597" spans="1:1">
      <c r="A5597" s="56"/>
    </row>
    <row r="5598" spans="1:1">
      <c r="A5598" s="56"/>
    </row>
    <row r="5599" spans="1:1">
      <c r="A5599" s="56"/>
    </row>
    <row r="5600" spans="1:1">
      <c r="A5600" s="56"/>
    </row>
    <row r="5601" spans="1:1">
      <c r="A5601" s="56"/>
    </row>
    <row r="5602" spans="1:1">
      <c r="A5602" s="56"/>
    </row>
    <row r="5603" spans="1:1">
      <c r="A5603" s="56"/>
    </row>
    <row r="5604" spans="1:1">
      <c r="A5604" s="56"/>
    </row>
    <row r="5605" spans="1:1">
      <c r="A5605" s="56"/>
    </row>
    <row r="5606" spans="1:1">
      <c r="A5606" s="56"/>
    </row>
    <row r="5607" spans="1:1">
      <c r="A5607" s="56"/>
    </row>
    <row r="5608" spans="1:1">
      <c r="A5608" s="56"/>
    </row>
    <row r="5609" spans="1:1">
      <c r="A5609" s="56"/>
    </row>
    <row r="5610" spans="1:1">
      <c r="A5610" s="56"/>
    </row>
    <row r="5611" spans="1:1">
      <c r="A5611" s="56"/>
    </row>
    <row r="5612" spans="1:1">
      <c r="A5612" s="56"/>
    </row>
    <row r="5613" spans="1:1">
      <c r="A5613" s="56"/>
    </row>
    <row r="5614" spans="1:1">
      <c r="A5614" s="56"/>
    </row>
    <row r="5615" spans="1:1">
      <c r="A5615" s="56"/>
    </row>
    <row r="5616" spans="1:1">
      <c r="A5616" s="56"/>
    </row>
    <row r="5617" spans="1:1">
      <c r="A5617" s="56"/>
    </row>
    <row r="5618" spans="1:1">
      <c r="A5618" s="56"/>
    </row>
    <row r="5619" spans="1:1">
      <c r="A5619" s="56"/>
    </row>
    <row r="5620" spans="1:1">
      <c r="A5620" s="56"/>
    </row>
    <row r="5621" spans="1:1">
      <c r="A5621" s="56"/>
    </row>
    <row r="5622" spans="1:1">
      <c r="A5622" s="56"/>
    </row>
    <row r="5623" spans="1:1">
      <c r="A5623" s="56"/>
    </row>
    <row r="5624" spans="1:1">
      <c r="A5624" s="56"/>
    </row>
    <row r="5625" spans="1:1">
      <c r="A5625" s="56"/>
    </row>
    <row r="5626" spans="1:1">
      <c r="A5626" s="56"/>
    </row>
    <row r="5627" spans="1:1">
      <c r="A5627" s="56"/>
    </row>
    <row r="5628" spans="1:1">
      <c r="A5628" s="56"/>
    </row>
    <row r="5629" spans="1:1">
      <c r="A5629" s="56"/>
    </row>
    <row r="5630" spans="1:1">
      <c r="A5630" s="56"/>
    </row>
    <row r="5631" spans="1:1">
      <c r="A5631" s="56"/>
    </row>
    <row r="5632" spans="1:1">
      <c r="A5632" s="56"/>
    </row>
    <row r="5633" spans="1:1">
      <c r="A5633" s="56"/>
    </row>
    <row r="5634" spans="1:1">
      <c r="A5634" s="56"/>
    </row>
    <row r="5635" spans="1:1">
      <c r="A5635" s="56"/>
    </row>
    <row r="5636" spans="1:1">
      <c r="A5636" s="56"/>
    </row>
    <row r="5637" spans="1:1">
      <c r="A5637" s="56"/>
    </row>
    <row r="5638" spans="1:1">
      <c r="A5638" s="56"/>
    </row>
    <row r="5639" spans="1:1">
      <c r="A5639" s="56"/>
    </row>
    <row r="5640" spans="1:1">
      <c r="A5640" s="56"/>
    </row>
    <row r="5641" spans="1:1">
      <c r="A5641" s="56"/>
    </row>
    <row r="5642" spans="1:1">
      <c r="A5642" s="56"/>
    </row>
    <row r="5643" spans="1:1">
      <c r="A5643" s="56"/>
    </row>
    <row r="5644" spans="1:1">
      <c r="A5644" s="56"/>
    </row>
    <row r="5645" spans="1:1">
      <c r="A5645" s="56"/>
    </row>
    <row r="5646" spans="1:1">
      <c r="A5646" s="56"/>
    </row>
    <row r="5647" spans="1:1">
      <c r="A5647" s="56"/>
    </row>
    <row r="5648" spans="1:1">
      <c r="A5648" s="56"/>
    </row>
    <row r="5649" spans="1:1">
      <c r="A5649" s="56"/>
    </row>
    <row r="5650" spans="1:1">
      <c r="A5650" s="56"/>
    </row>
    <row r="5651" spans="1:1">
      <c r="A5651" s="56"/>
    </row>
    <row r="5652" spans="1:1">
      <c r="A5652" s="56"/>
    </row>
    <row r="5653" spans="1:1">
      <c r="A5653" s="56"/>
    </row>
    <row r="5654" spans="1:1">
      <c r="A5654" s="56"/>
    </row>
    <row r="5655" spans="1:1">
      <c r="A5655" s="56"/>
    </row>
    <row r="5656" spans="1:1">
      <c r="A5656" s="56"/>
    </row>
    <row r="5657" spans="1:1">
      <c r="A5657" s="56"/>
    </row>
    <row r="5658" spans="1:1">
      <c r="A5658" s="56"/>
    </row>
    <row r="5659" spans="1:1">
      <c r="A5659" s="56"/>
    </row>
    <row r="5660" spans="1:1">
      <c r="A5660" s="56"/>
    </row>
    <row r="5661" spans="1:1">
      <c r="A5661" s="56"/>
    </row>
    <row r="5662" spans="1:1">
      <c r="A5662" s="56"/>
    </row>
    <row r="5663" spans="1:1">
      <c r="A5663" s="56"/>
    </row>
    <row r="5664" spans="1:1">
      <c r="A5664" s="56"/>
    </row>
    <row r="5665" spans="1:1">
      <c r="A5665" s="56"/>
    </row>
    <row r="5666" spans="1:1">
      <c r="A5666" s="56"/>
    </row>
    <row r="5667" spans="1:1">
      <c r="A5667" s="56"/>
    </row>
    <row r="5668" spans="1:1">
      <c r="A5668" s="56"/>
    </row>
    <row r="5669" spans="1:1">
      <c r="A5669" s="56"/>
    </row>
    <row r="5670" spans="1:1">
      <c r="A5670" s="56"/>
    </row>
    <row r="5671" spans="1:1">
      <c r="A5671" s="56"/>
    </row>
    <row r="5672" spans="1:1">
      <c r="A5672" s="56"/>
    </row>
    <row r="5673" spans="1:1">
      <c r="A5673" s="56"/>
    </row>
    <row r="5674" spans="1:1">
      <c r="A5674" s="56"/>
    </row>
    <row r="5675" spans="1:1">
      <c r="A5675" s="56"/>
    </row>
    <row r="5676" spans="1:1">
      <c r="A5676" s="56"/>
    </row>
    <row r="5677" spans="1:1">
      <c r="A5677" s="56"/>
    </row>
    <row r="5678" spans="1:1">
      <c r="A5678" s="56"/>
    </row>
    <row r="5679" spans="1:1">
      <c r="A5679" s="56"/>
    </row>
    <row r="5680" spans="1:1">
      <c r="A5680" s="56"/>
    </row>
    <row r="5681" spans="1:1">
      <c r="A5681" s="56"/>
    </row>
    <row r="5682" spans="1:1">
      <c r="A5682" s="56"/>
    </row>
    <row r="5683" spans="1:1">
      <c r="A5683" s="56"/>
    </row>
    <row r="5684" spans="1:1">
      <c r="A5684" s="56"/>
    </row>
    <row r="5685" spans="1:1">
      <c r="A5685" s="56"/>
    </row>
    <row r="5686" spans="1:1">
      <c r="A5686" s="56"/>
    </row>
    <row r="5687" spans="1:1">
      <c r="A5687" s="56"/>
    </row>
    <row r="5688" spans="1:1">
      <c r="A5688" s="56"/>
    </row>
    <row r="5689" spans="1:1">
      <c r="A5689" s="56"/>
    </row>
    <row r="5690" spans="1:1">
      <c r="A5690" s="56"/>
    </row>
    <row r="5691" spans="1:1">
      <c r="A5691" s="56"/>
    </row>
    <row r="5692" spans="1:1">
      <c r="A5692" s="56"/>
    </row>
    <row r="5693" spans="1:1">
      <c r="A5693" s="56"/>
    </row>
    <row r="5694" spans="1:1">
      <c r="A5694" s="56"/>
    </row>
    <row r="5695" spans="1:1">
      <c r="A5695" s="56"/>
    </row>
    <row r="5696" spans="1:1">
      <c r="A5696" s="56"/>
    </row>
    <row r="5697" spans="1:1">
      <c r="A5697" s="56"/>
    </row>
    <row r="5698" spans="1:1">
      <c r="A5698" s="56"/>
    </row>
    <row r="5699" spans="1:1">
      <c r="A5699" s="56"/>
    </row>
    <row r="5700" spans="1:1">
      <c r="A5700" s="56"/>
    </row>
    <row r="5701" spans="1:1">
      <c r="A5701" s="56"/>
    </row>
    <row r="5702" spans="1:1">
      <c r="A5702" s="56"/>
    </row>
    <row r="5703" spans="1:1">
      <c r="A5703" s="56"/>
    </row>
    <row r="5704" spans="1:1">
      <c r="A5704" s="56"/>
    </row>
    <row r="5705" spans="1:1">
      <c r="A5705" s="56"/>
    </row>
    <row r="5706" spans="1:1">
      <c r="A5706" s="56"/>
    </row>
    <row r="5707" spans="1:1">
      <c r="A5707" s="56"/>
    </row>
    <row r="5708" spans="1:1">
      <c r="A5708" s="56"/>
    </row>
    <row r="5709" spans="1:1">
      <c r="A5709" s="56"/>
    </row>
    <row r="5710" spans="1:1">
      <c r="A5710" s="56"/>
    </row>
    <row r="5711" spans="1:1">
      <c r="A5711" s="56"/>
    </row>
    <row r="5712" spans="1:1">
      <c r="A5712" s="56"/>
    </row>
    <row r="5713" spans="1:1">
      <c r="A5713" s="56"/>
    </row>
    <row r="5714" spans="1:1">
      <c r="A5714" s="56"/>
    </row>
    <row r="5715" spans="1:1">
      <c r="A5715" s="56"/>
    </row>
    <row r="5716" spans="1:1">
      <c r="A5716" s="56"/>
    </row>
    <row r="5717" spans="1:1">
      <c r="A5717" s="56"/>
    </row>
    <row r="5718" spans="1:1">
      <c r="A5718" s="56"/>
    </row>
    <row r="5719" spans="1:1">
      <c r="A5719" s="56"/>
    </row>
    <row r="5720" spans="1:1">
      <c r="A5720" s="56"/>
    </row>
    <row r="5721" spans="1:1">
      <c r="A5721" s="56"/>
    </row>
    <row r="5722" spans="1:1">
      <c r="A5722" s="56"/>
    </row>
    <row r="5723" spans="1:1">
      <c r="A5723" s="56"/>
    </row>
    <row r="5724" spans="1:1">
      <c r="A5724" s="56"/>
    </row>
    <row r="5725" spans="1:1">
      <c r="A5725" s="56"/>
    </row>
    <row r="5726" spans="1:1">
      <c r="A5726" s="56"/>
    </row>
    <row r="5727" spans="1:1">
      <c r="A5727" s="56"/>
    </row>
    <row r="5728" spans="1:1">
      <c r="A5728" s="56"/>
    </row>
    <row r="5729" spans="1:1">
      <c r="A5729" s="56"/>
    </row>
    <row r="5730" spans="1:1">
      <c r="A5730" s="56"/>
    </row>
    <row r="5731" spans="1:1">
      <c r="A5731" s="56"/>
    </row>
    <row r="5732" spans="1:1">
      <c r="A5732" s="56"/>
    </row>
    <row r="5733" spans="1:1">
      <c r="A5733" s="56"/>
    </row>
    <row r="5734" spans="1:1">
      <c r="A5734" s="56"/>
    </row>
    <row r="5735" spans="1:1">
      <c r="A5735" s="56"/>
    </row>
    <row r="5736" spans="1:1">
      <c r="A5736" s="56"/>
    </row>
    <row r="5737" spans="1:1">
      <c r="A5737" s="56"/>
    </row>
    <row r="5738" spans="1:1">
      <c r="A5738" s="56"/>
    </row>
    <row r="5739" spans="1:1">
      <c r="A5739" s="56"/>
    </row>
    <row r="5740" spans="1:1">
      <c r="A5740" s="56"/>
    </row>
    <row r="5741" spans="1:1">
      <c r="A5741" s="56"/>
    </row>
    <row r="5742" spans="1:1">
      <c r="A5742" s="56"/>
    </row>
    <row r="5743" spans="1:1">
      <c r="A5743" s="56"/>
    </row>
    <row r="5744" spans="1:1">
      <c r="A5744" s="56"/>
    </row>
    <row r="5745" spans="1:1">
      <c r="A5745" s="56"/>
    </row>
    <row r="5746" spans="1:1">
      <c r="A5746" s="56"/>
    </row>
    <row r="5747" spans="1:1">
      <c r="A5747" s="56"/>
    </row>
    <row r="5748" spans="1:1">
      <c r="A5748" s="56"/>
    </row>
    <row r="5749" spans="1:1">
      <c r="A5749" s="56"/>
    </row>
    <row r="5750" spans="1:1">
      <c r="A5750" s="56"/>
    </row>
    <row r="5751" spans="1:1">
      <c r="A5751" s="56"/>
    </row>
    <row r="5752" spans="1:1">
      <c r="A5752" s="56"/>
    </row>
    <row r="5753" spans="1:1">
      <c r="A5753" s="56"/>
    </row>
    <row r="5754" spans="1:1">
      <c r="A5754" s="56"/>
    </row>
    <row r="5755" spans="1:1">
      <c r="A5755" s="56"/>
    </row>
    <row r="5756" spans="1:1">
      <c r="A5756" s="56"/>
    </row>
    <row r="5757" spans="1:1">
      <c r="A5757" s="56"/>
    </row>
    <row r="5758" spans="1:1">
      <c r="A5758" s="56"/>
    </row>
    <row r="5759" spans="1:1">
      <c r="A5759" s="56"/>
    </row>
    <row r="5760" spans="1:1">
      <c r="A5760" s="56"/>
    </row>
    <row r="5761" spans="1:1">
      <c r="A5761" s="56"/>
    </row>
    <row r="5762" spans="1:1">
      <c r="A5762" s="56"/>
    </row>
    <row r="5763" spans="1:1">
      <c r="A5763" s="56"/>
    </row>
    <row r="5764" spans="1:1">
      <c r="A5764" s="56"/>
    </row>
    <row r="5765" spans="1:1">
      <c r="A5765" s="56"/>
    </row>
    <row r="5766" spans="1:1">
      <c r="A5766" s="56"/>
    </row>
    <row r="5767" spans="1:1">
      <c r="A5767" s="56"/>
    </row>
    <row r="5768" spans="1:1">
      <c r="A5768" s="56"/>
    </row>
    <row r="5769" spans="1:1">
      <c r="A5769" s="56"/>
    </row>
    <row r="5770" spans="1:1">
      <c r="A5770" s="56"/>
    </row>
    <row r="5771" spans="1:1">
      <c r="A5771" s="56"/>
    </row>
    <row r="5772" spans="1:1">
      <c r="A5772" s="56"/>
    </row>
    <row r="5773" spans="1:1">
      <c r="A5773" s="56"/>
    </row>
    <row r="5774" spans="1:1">
      <c r="A5774" s="56"/>
    </row>
    <row r="5775" spans="1:1">
      <c r="A5775" s="56"/>
    </row>
    <row r="5776" spans="1:1">
      <c r="A5776" s="56"/>
    </row>
    <row r="5777" spans="1:1">
      <c r="A5777" s="56"/>
    </row>
    <row r="5778" spans="1:1">
      <c r="A5778" s="56"/>
    </row>
    <row r="5779" spans="1:1">
      <c r="A5779" s="56"/>
    </row>
    <row r="5780" spans="1:1">
      <c r="A5780" s="56"/>
    </row>
    <row r="5781" spans="1:1">
      <c r="A5781" s="56"/>
    </row>
    <row r="5782" spans="1:1">
      <c r="A5782" s="56"/>
    </row>
    <row r="5783" spans="1:1">
      <c r="A5783" s="56"/>
    </row>
    <row r="5784" spans="1:1">
      <c r="A5784" s="56"/>
    </row>
    <row r="5785" spans="1:1">
      <c r="A5785" s="56"/>
    </row>
    <row r="5786" spans="1:1">
      <c r="A5786" s="56"/>
    </row>
    <row r="5787" spans="1:1">
      <c r="A5787" s="56"/>
    </row>
    <row r="5788" spans="1:1">
      <c r="A5788" s="56"/>
    </row>
    <row r="5789" spans="1:1">
      <c r="A5789" s="56"/>
    </row>
    <row r="5790" spans="1:1">
      <c r="A5790" s="56"/>
    </row>
    <row r="5791" spans="1:1">
      <c r="A5791" s="56"/>
    </row>
    <row r="5792" spans="1:1">
      <c r="A5792" s="56"/>
    </row>
    <row r="5793" spans="1:1">
      <c r="A5793" s="56"/>
    </row>
    <row r="5794" spans="1:1">
      <c r="A5794" s="56"/>
    </row>
    <row r="5795" spans="1:1">
      <c r="A5795" s="56"/>
    </row>
    <row r="5796" spans="1:1">
      <c r="A5796" s="56"/>
    </row>
    <row r="5797" spans="1:1">
      <c r="A5797" s="56"/>
    </row>
    <row r="5798" spans="1:1">
      <c r="A5798" s="56"/>
    </row>
    <row r="5799" spans="1:1">
      <c r="A5799" s="56"/>
    </row>
    <row r="5800" spans="1:1">
      <c r="A5800" s="56"/>
    </row>
    <row r="5801" spans="1:1">
      <c r="A5801" s="56"/>
    </row>
    <row r="5802" spans="1:1">
      <c r="A5802" s="56"/>
    </row>
    <row r="5803" spans="1:1">
      <c r="A5803" s="56"/>
    </row>
    <row r="5804" spans="1:1">
      <c r="A5804" s="56"/>
    </row>
    <row r="5805" spans="1:1">
      <c r="A5805" s="56"/>
    </row>
    <row r="5806" spans="1:1">
      <c r="A5806" s="56"/>
    </row>
    <row r="5807" spans="1:1">
      <c r="A5807" s="56"/>
    </row>
    <row r="5808" spans="1:1">
      <c r="A5808" s="56"/>
    </row>
    <row r="5809" spans="1:1">
      <c r="A5809" s="56"/>
    </row>
    <row r="5810" spans="1:1">
      <c r="A5810" s="56"/>
    </row>
    <row r="5811" spans="1:1">
      <c r="A5811" s="56"/>
    </row>
    <row r="5812" spans="1:1">
      <c r="A5812" s="56"/>
    </row>
    <row r="5813" spans="1:1">
      <c r="A5813" s="56"/>
    </row>
    <row r="5814" spans="1:1">
      <c r="A5814" s="56"/>
    </row>
    <row r="5815" spans="1:1">
      <c r="A5815" s="56"/>
    </row>
    <row r="5816" spans="1:1">
      <c r="A5816" s="56"/>
    </row>
    <row r="5817" spans="1:1">
      <c r="A5817" s="56"/>
    </row>
    <row r="5818" spans="1:1">
      <c r="A5818" s="56"/>
    </row>
    <row r="5819" spans="1:1">
      <c r="A5819" s="56"/>
    </row>
    <row r="5820" spans="1:1">
      <c r="A5820" s="56"/>
    </row>
    <row r="5821" spans="1:1">
      <c r="A5821" s="56"/>
    </row>
    <row r="5822" spans="1:1">
      <c r="A5822" s="56"/>
    </row>
    <row r="5823" spans="1:1">
      <c r="A5823" s="56"/>
    </row>
    <row r="5824" spans="1:1">
      <c r="A5824" s="56"/>
    </row>
    <row r="5825" spans="1:1">
      <c r="A5825" s="56"/>
    </row>
    <row r="5826" spans="1:1">
      <c r="A5826" s="56"/>
    </row>
    <row r="5827" spans="1:1">
      <c r="A5827" s="56"/>
    </row>
    <row r="5828" spans="1:1">
      <c r="A5828" s="56"/>
    </row>
    <row r="5829" spans="1:1">
      <c r="A5829" s="56"/>
    </row>
    <row r="5830" spans="1:1">
      <c r="A5830" s="56"/>
    </row>
    <row r="5831" spans="1:1">
      <c r="A5831" s="56"/>
    </row>
    <row r="5832" spans="1:1">
      <c r="A5832" s="56"/>
    </row>
    <row r="5833" spans="1:1">
      <c r="A5833" s="56"/>
    </row>
    <row r="5834" spans="1:1">
      <c r="A5834" s="56"/>
    </row>
    <row r="5835" spans="1:1">
      <c r="A5835" s="56"/>
    </row>
    <row r="5836" spans="1:1">
      <c r="A5836" s="56"/>
    </row>
    <row r="5837" spans="1:1">
      <c r="A5837" s="56"/>
    </row>
    <row r="5838" spans="1:1">
      <c r="A5838" s="56"/>
    </row>
    <row r="5839" spans="1:1">
      <c r="A5839" s="56"/>
    </row>
    <row r="5840" spans="1:1">
      <c r="A5840" s="56"/>
    </row>
    <row r="5841" spans="1:1">
      <c r="A5841" s="56"/>
    </row>
    <row r="5842" spans="1:1">
      <c r="A5842" s="56"/>
    </row>
    <row r="5843" spans="1:1">
      <c r="A5843" s="56"/>
    </row>
    <row r="5844" spans="1:1">
      <c r="A5844" s="56"/>
    </row>
    <row r="5845" spans="1:1">
      <c r="A5845" s="56"/>
    </row>
    <row r="5846" spans="1:1">
      <c r="A5846" s="56"/>
    </row>
    <row r="5847" spans="1:1">
      <c r="A5847" s="56"/>
    </row>
    <row r="5848" spans="1:1">
      <c r="A5848" s="56"/>
    </row>
    <row r="5849" spans="1:1">
      <c r="A5849" s="56"/>
    </row>
    <row r="5850" spans="1:1">
      <c r="A5850" s="56"/>
    </row>
    <row r="5851" spans="1:1">
      <c r="A5851" s="56"/>
    </row>
    <row r="5852" spans="1:1">
      <c r="A5852" s="56"/>
    </row>
    <row r="5853" spans="1:1">
      <c r="A5853" s="56"/>
    </row>
    <row r="5854" spans="1:1">
      <c r="A5854" s="56"/>
    </row>
    <row r="5855" spans="1:1">
      <c r="A5855" s="56"/>
    </row>
    <row r="5856" spans="1:1">
      <c r="A5856" s="56"/>
    </row>
    <row r="5857" spans="1:1">
      <c r="A5857" s="56"/>
    </row>
    <row r="5858" spans="1:1">
      <c r="A5858" s="56"/>
    </row>
    <row r="5859" spans="1:1">
      <c r="A5859" s="56"/>
    </row>
    <row r="5860" spans="1:1">
      <c r="A5860" s="56"/>
    </row>
    <row r="5861" spans="1:1">
      <c r="A5861" s="56"/>
    </row>
    <row r="5862" spans="1:1">
      <c r="A5862" s="56"/>
    </row>
    <row r="5863" spans="1:1">
      <c r="A5863" s="56"/>
    </row>
    <row r="5864" spans="1:1">
      <c r="A5864" s="56"/>
    </row>
    <row r="5865" spans="1:1">
      <c r="A5865" s="56"/>
    </row>
    <row r="5866" spans="1:1">
      <c r="A5866" s="56"/>
    </row>
    <row r="5867" spans="1:1">
      <c r="A5867" s="56"/>
    </row>
    <row r="5868" spans="1:1">
      <c r="A5868" s="56"/>
    </row>
    <row r="5869" spans="1:1">
      <c r="A5869" s="56"/>
    </row>
    <row r="5870" spans="1:1">
      <c r="A5870" s="56"/>
    </row>
    <row r="5871" spans="1:1">
      <c r="A5871" s="56"/>
    </row>
    <row r="5872" spans="1:1">
      <c r="A5872" s="56"/>
    </row>
    <row r="5873" spans="1:1">
      <c r="A5873" s="56"/>
    </row>
    <row r="5874" spans="1:1">
      <c r="A5874" s="56"/>
    </row>
    <row r="5875" spans="1:1">
      <c r="A5875" s="56"/>
    </row>
    <row r="5876" spans="1:1">
      <c r="A5876" s="56"/>
    </row>
    <row r="5877" spans="1:1">
      <c r="A5877" s="56"/>
    </row>
    <row r="5878" spans="1:1">
      <c r="A5878" s="56"/>
    </row>
    <row r="5879" spans="1:1">
      <c r="A5879" s="56"/>
    </row>
    <row r="5880" spans="1:1">
      <c r="A5880" s="56"/>
    </row>
    <row r="5881" spans="1:1">
      <c r="A5881" s="56"/>
    </row>
    <row r="5882" spans="1:1">
      <c r="A5882" s="56"/>
    </row>
    <row r="5883" spans="1:1">
      <c r="A5883" s="56"/>
    </row>
    <row r="5884" spans="1:1">
      <c r="A5884" s="56"/>
    </row>
    <row r="5885" spans="1:1">
      <c r="A5885" s="56"/>
    </row>
    <row r="5886" spans="1:1">
      <c r="A5886" s="56"/>
    </row>
    <row r="5887" spans="1:1">
      <c r="A5887" s="56"/>
    </row>
    <row r="5888" spans="1:1">
      <c r="A5888" s="56"/>
    </row>
    <row r="5889" spans="1:1">
      <c r="A5889" s="56"/>
    </row>
    <row r="5890" spans="1:1">
      <c r="A5890" s="56"/>
    </row>
    <row r="5891" spans="1:1">
      <c r="A5891" s="56"/>
    </row>
    <row r="5892" spans="1:1">
      <c r="A5892" s="56"/>
    </row>
    <row r="5893" spans="1:1">
      <c r="A5893" s="56"/>
    </row>
    <row r="5894" spans="1:1">
      <c r="A5894" s="56"/>
    </row>
    <row r="5895" spans="1:1">
      <c r="A5895" s="56"/>
    </row>
    <row r="5896" spans="1:1">
      <c r="A5896" s="56"/>
    </row>
    <row r="5897" spans="1:1">
      <c r="A5897" s="56"/>
    </row>
    <row r="5898" spans="1:1">
      <c r="A5898" s="56"/>
    </row>
    <row r="5899" spans="1:1">
      <c r="A5899" s="56"/>
    </row>
    <row r="5900" spans="1:1">
      <c r="A5900" s="56"/>
    </row>
    <row r="5901" spans="1:1">
      <c r="A5901" s="56"/>
    </row>
    <row r="5902" spans="1:1">
      <c r="A5902" s="56"/>
    </row>
    <row r="5903" spans="1:1">
      <c r="A5903" s="56"/>
    </row>
    <row r="5904" spans="1:1">
      <c r="A5904" s="56"/>
    </row>
    <row r="5905" spans="1:1">
      <c r="A5905" s="56"/>
    </row>
    <row r="5906" spans="1:1">
      <c r="A5906" s="56"/>
    </row>
    <row r="5907" spans="1:1">
      <c r="A5907" s="56"/>
    </row>
    <row r="5908" spans="1:1">
      <c r="A5908" s="56"/>
    </row>
    <row r="5909" spans="1:1">
      <c r="A5909" s="56"/>
    </row>
    <row r="5910" spans="1:1">
      <c r="A5910" s="56"/>
    </row>
    <row r="5911" spans="1:1">
      <c r="A5911" s="56"/>
    </row>
    <row r="5912" spans="1:1">
      <c r="A5912" s="56"/>
    </row>
    <row r="5913" spans="1:1">
      <c r="A5913" s="56"/>
    </row>
    <row r="5914" spans="1:1">
      <c r="A5914" s="56"/>
    </row>
    <row r="5915" spans="1:1">
      <c r="A5915" s="56"/>
    </row>
    <row r="5916" spans="1:1">
      <c r="A5916" s="56"/>
    </row>
    <row r="5917" spans="1:1">
      <c r="A5917" s="56"/>
    </row>
    <row r="5918" spans="1:1">
      <c r="A5918" s="56"/>
    </row>
    <row r="5919" spans="1:1">
      <c r="A5919" s="56"/>
    </row>
    <row r="5920" spans="1:1">
      <c r="A5920" s="56"/>
    </row>
    <row r="5921" spans="1:1">
      <c r="A5921" s="56"/>
    </row>
    <row r="5922" spans="1:1">
      <c r="A5922" s="56"/>
    </row>
    <row r="5923" spans="1:1">
      <c r="A5923" s="56"/>
    </row>
    <row r="5924" spans="1:1">
      <c r="A5924" s="56"/>
    </row>
    <row r="5925" spans="1:1">
      <c r="A5925" s="56"/>
    </row>
    <row r="5926" spans="1:1">
      <c r="A5926" s="56"/>
    </row>
    <row r="5927" spans="1:1">
      <c r="A5927" s="56"/>
    </row>
    <row r="5928" spans="1:1">
      <c r="A5928" s="56"/>
    </row>
    <row r="5929" spans="1:1">
      <c r="A5929" s="56"/>
    </row>
    <row r="5930" spans="1:1">
      <c r="A5930" s="56"/>
    </row>
    <row r="5931" spans="1:1">
      <c r="A5931" s="56"/>
    </row>
    <row r="5932" spans="1:1">
      <c r="A5932" s="56"/>
    </row>
    <row r="5933" spans="1:1">
      <c r="A5933" s="56"/>
    </row>
    <row r="5934" spans="1:1">
      <c r="A5934" s="56"/>
    </row>
    <row r="5935" spans="1:1">
      <c r="A5935" s="56"/>
    </row>
    <row r="5936" spans="1:1">
      <c r="A5936" s="56"/>
    </row>
    <row r="5937" spans="1:1">
      <c r="A5937" s="56"/>
    </row>
    <row r="5938" spans="1:1">
      <c r="A5938" s="56"/>
    </row>
    <row r="5939" spans="1:1">
      <c r="A5939" s="56"/>
    </row>
    <row r="5940" spans="1:1">
      <c r="A5940" s="56"/>
    </row>
    <row r="5941" spans="1:1">
      <c r="A5941" s="56"/>
    </row>
    <row r="5942" spans="1:1">
      <c r="A5942" s="56"/>
    </row>
    <row r="5943" spans="1:1">
      <c r="A5943" s="56"/>
    </row>
    <row r="5944" spans="1:1">
      <c r="A5944" s="56"/>
    </row>
    <row r="5945" spans="1:1">
      <c r="A5945" s="56"/>
    </row>
    <row r="5946" spans="1:1">
      <c r="A5946" s="56"/>
    </row>
    <row r="5947" spans="1:1">
      <c r="A5947" s="56"/>
    </row>
    <row r="5948" spans="1:1">
      <c r="A5948" s="56"/>
    </row>
    <row r="5949" spans="1:1">
      <c r="A5949" s="56"/>
    </row>
    <row r="5950" spans="1:1">
      <c r="A5950" s="56"/>
    </row>
    <row r="5951" spans="1:1">
      <c r="A5951" s="56"/>
    </row>
    <row r="5952" spans="1:1">
      <c r="A5952" s="56"/>
    </row>
    <row r="5953" spans="1:1">
      <c r="A5953" s="56"/>
    </row>
    <row r="5954" spans="1:1">
      <c r="A5954" s="56"/>
    </row>
    <row r="5955" spans="1:1">
      <c r="A5955" s="56"/>
    </row>
    <row r="5956" spans="1:1">
      <c r="A5956" s="56"/>
    </row>
    <row r="5957" spans="1:1">
      <c r="A5957" s="56"/>
    </row>
    <row r="5958" spans="1:1">
      <c r="A5958" s="56"/>
    </row>
    <row r="5959" spans="1:1">
      <c r="A5959" s="56"/>
    </row>
    <row r="5960" spans="1:1">
      <c r="A5960" s="56"/>
    </row>
    <row r="5961" spans="1:1">
      <c r="A5961" s="56"/>
    </row>
    <row r="5962" spans="1:1">
      <c r="A5962" s="56"/>
    </row>
    <row r="5963" spans="1:1">
      <c r="A5963" s="56"/>
    </row>
    <row r="5964" spans="1:1">
      <c r="A5964" s="56"/>
    </row>
    <row r="5965" spans="1:1">
      <c r="A5965" s="56"/>
    </row>
    <row r="5966" spans="1:1">
      <c r="A5966" s="56"/>
    </row>
    <row r="5967" spans="1:1">
      <c r="A5967" s="56"/>
    </row>
    <row r="5968" spans="1:1">
      <c r="A5968" s="56"/>
    </row>
    <row r="5969" spans="1:1">
      <c r="A5969" s="56"/>
    </row>
    <row r="5970" spans="1:1">
      <c r="A5970" s="56"/>
    </row>
    <row r="5971" spans="1:1">
      <c r="A5971" s="56"/>
    </row>
    <row r="5972" spans="1:1">
      <c r="A5972" s="56"/>
    </row>
    <row r="5973" spans="1:1">
      <c r="A5973" s="56"/>
    </row>
    <row r="5974" spans="1:1">
      <c r="A5974" s="56"/>
    </row>
    <row r="5975" spans="1:1">
      <c r="A5975" s="56"/>
    </row>
    <row r="5976" spans="1:1">
      <c r="A5976" s="56"/>
    </row>
    <row r="5977" spans="1:1">
      <c r="A5977" s="56"/>
    </row>
    <row r="5978" spans="1:1">
      <c r="A5978" s="56"/>
    </row>
    <row r="5979" spans="1:1">
      <c r="A5979" s="56"/>
    </row>
    <row r="5980" spans="1:1">
      <c r="A5980" s="56"/>
    </row>
    <row r="5981" spans="1:1">
      <c r="A5981" s="56"/>
    </row>
    <row r="5982" spans="1:1">
      <c r="A5982" s="56"/>
    </row>
    <row r="5983" spans="1:1">
      <c r="A5983" s="56"/>
    </row>
    <row r="5984" spans="1:1">
      <c r="A5984" s="56"/>
    </row>
    <row r="5985" spans="1:1">
      <c r="A5985" s="56"/>
    </row>
    <row r="5986" spans="1:1">
      <c r="A5986" s="56"/>
    </row>
    <row r="5987" spans="1:1">
      <c r="A5987" s="56"/>
    </row>
    <row r="5988" spans="1:1">
      <c r="A5988" s="56"/>
    </row>
    <row r="5989" spans="1:1">
      <c r="A5989" s="56"/>
    </row>
    <row r="5990" spans="1:1">
      <c r="A5990" s="56"/>
    </row>
    <row r="5991" spans="1:1">
      <c r="A5991" s="56"/>
    </row>
    <row r="5992" spans="1:1">
      <c r="A5992" s="56"/>
    </row>
    <row r="5993" spans="1:1">
      <c r="A5993" s="56"/>
    </row>
    <row r="5994" spans="1:1">
      <c r="A5994" s="56"/>
    </row>
    <row r="5995" spans="1:1">
      <c r="A5995" s="56"/>
    </row>
    <row r="5996" spans="1:1">
      <c r="A5996" s="56"/>
    </row>
    <row r="5997" spans="1:1">
      <c r="A5997" s="56"/>
    </row>
    <row r="5998" spans="1:1">
      <c r="A5998" s="56"/>
    </row>
    <row r="5999" spans="1:1">
      <c r="A5999" s="56"/>
    </row>
    <row r="6000" spans="1:1">
      <c r="A6000" s="56"/>
    </row>
    <row r="6001" spans="1:1">
      <c r="A6001" s="56"/>
    </row>
    <row r="6002" spans="1:1">
      <c r="A6002" s="56"/>
    </row>
    <row r="6003" spans="1:1">
      <c r="A6003" s="56"/>
    </row>
    <row r="6004" spans="1:1">
      <c r="A6004" s="56"/>
    </row>
    <row r="6005" spans="1:1">
      <c r="A6005" s="56"/>
    </row>
    <row r="6006" spans="1:1">
      <c r="A6006" s="56"/>
    </row>
    <row r="6007" spans="1:1">
      <c r="A6007" s="56"/>
    </row>
    <row r="6008" spans="1:1">
      <c r="A6008" s="56"/>
    </row>
    <row r="6009" spans="1:1">
      <c r="A6009" s="56"/>
    </row>
    <row r="6010" spans="1:1">
      <c r="A6010" s="56"/>
    </row>
    <row r="6011" spans="1:1">
      <c r="A6011" s="56"/>
    </row>
    <row r="6012" spans="1:1">
      <c r="A6012" s="56"/>
    </row>
    <row r="6013" spans="1:1">
      <c r="A6013" s="56"/>
    </row>
    <row r="6014" spans="1:1">
      <c r="A6014" s="56"/>
    </row>
    <row r="6015" spans="1:1">
      <c r="A6015" s="56"/>
    </row>
    <row r="6016" spans="1:1">
      <c r="A6016" s="56"/>
    </row>
    <row r="6017" spans="1:1">
      <c r="A6017" s="56"/>
    </row>
    <row r="6018" spans="1:1">
      <c r="A6018" s="56"/>
    </row>
    <row r="6019" spans="1:1">
      <c r="A6019" s="56"/>
    </row>
    <row r="6020" spans="1:1">
      <c r="A6020" s="56"/>
    </row>
    <row r="6021" spans="1:1">
      <c r="A6021" s="56"/>
    </row>
    <row r="6022" spans="1:1">
      <c r="A6022" s="56"/>
    </row>
    <row r="6023" spans="1:1">
      <c r="A6023" s="56"/>
    </row>
    <row r="6024" spans="1:1">
      <c r="A6024" s="56"/>
    </row>
    <row r="6025" spans="1:1">
      <c r="A6025" s="56"/>
    </row>
    <row r="6026" spans="1:1">
      <c r="A6026" s="56"/>
    </row>
    <row r="6027" spans="1:1">
      <c r="A6027" s="56"/>
    </row>
    <row r="6028" spans="1:1">
      <c r="A6028" s="56"/>
    </row>
    <row r="6029" spans="1:1">
      <c r="A6029" s="56"/>
    </row>
    <row r="6030" spans="1:1">
      <c r="A6030" s="56"/>
    </row>
    <row r="6031" spans="1:1">
      <c r="A6031" s="56"/>
    </row>
    <row r="6032" spans="1:1">
      <c r="A6032" s="56"/>
    </row>
    <row r="6033" spans="1:1">
      <c r="A6033" s="56"/>
    </row>
    <row r="6034" spans="1:1">
      <c r="A6034" s="56"/>
    </row>
    <row r="6035" spans="1:1">
      <c r="A6035" s="56"/>
    </row>
    <row r="6036" spans="1:1">
      <c r="A6036" s="56"/>
    </row>
    <row r="6037" spans="1:1">
      <c r="A6037" s="56"/>
    </row>
    <row r="6038" spans="1:1">
      <c r="A6038" s="56"/>
    </row>
    <row r="6039" spans="1:1">
      <c r="A6039" s="56"/>
    </row>
    <row r="6040" spans="1:1">
      <c r="A6040" s="56"/>
    </row>
    <row r="6041" spans="1:1">
      <c r="A6041" s="56"/>
    </row>
    <row r="6042" spans="1:1">
      <c r="A6042" s="56"/>
    </row>
    <row r="6043" spans="1:1">
      <c r="A6043" s="56"/>
    </row>
    <row r="6044" spans="1:1">
      <c r="A6044" s="56"/>
    </row>
    <row r="6045" spans="1:1">
      <c r="A6045" s="56"/>
    </row>
    <row r="6046" spans="1:1">
      <c r="A6046" s="56"/>
    </row>
    <row r="6047" spans="1:1">
      <c r="A6047" s="56"/>
    </row>
    <row r="6048" spans="1:1">
      <c r="A6048" s="56"/>
    </row>
    <row r="6049" spans="1:1">
      <c r="A6049" s="56"/>
    </row>
    <row r="6050" spans="1:1">
      <c r="A6050" s="56"/>
    </row>
    <row r="6051" spans="1:1">
      <c r="A6051" s="56"/>
    </row>
    <row r="6052" spans="1:1">
      <c r="A6052" s="56"/>
    </row>
    <row r="6053" spans="1:1">
      <c r="A6053" s="56"/>
    </row>
    <row r="6054" spans="1:1">
      <c r="A6054" s="56"/>
    </row>
    <row r="6055" spans="1:1">
      <c r="A6055" s="56"/>
    </row>
    <row r="6056" spans="1:1">
      <c r="A6056" s="56"/>
    </row>
    <row r="6057" spans="1:1">
      <c r="A6057" s="56"/>
    </row>
    <row r="6058" spans="1:1">
      <c r="A6058" s="56"/>
    </row>
    <row r="6059" spans="1:1">
      <c r="A6059" s="56"/>
    </row>
    <row r="6060" spans="1:1">
      <c r="A6060" s="56"/>
    </row>
    <row r="6061" spans="1:1">
      <c r="A6061" s="56"/>
    </row>
    <row r="6062" spans="1:1">
      <c r="A6062" s="56"/>
    </row>
    <row r="6063" spans="1:1">
      <c r="A6063" s="56"/>
    </row>
    <row r="6064" spans="1:1">
      <c r="A6064" s="56"/>
    </row>
    <row r="6065" spans="1:1">
      <c r="A6065" s="56"/>
    </row>
    <row r="6066" spans="1:1">
      <c r="A6066" s="56"/>
    </row>
    <row r="6067" spans="1:1">
      <c r="A6067" s="56"/>
    </row>
    <row r="6068" spans="1:1">
      <c r="A6068" s="56"/>
    </row>
    <row r="6069" spans="1:1">
      <c r="A6069" s="56"/>
    </row>
    <row r="6070" spans="1:1">
      <c r="A6070" s="56"/>
    </row>
    <row r="6071" spans="1:1">
      <c r="A6071" s="56"/>
    </row>
    <row r="6072" spans="1:1">
      <c r="A6072" s="56"/>
    </row>
    <row r="6073" spans="1:1">
      <c r="A6073" s="56"/>
    </row>
    <row r="6074" spans="1:1">
      <c r="A6074" s="56"/>
    </row>
    <row r="6075" spans="1:1">
      <c r="A6075" s="56"/>
    </row>
    <row r="6076" spans="1:1">
      <c r="A6076" s="56"/>
    </row>
    <row r="6077" spans="1:1">
      <c r="A6077" s="56"/>
    </row>
    <row r="6078" spans="1:1">
      <c r="A6078" s="56"/>
    </row>
    <row r="6079" spans="1:1">
      <c r="A6079" s="56"/>
    </row>
    <row r="6080" spans="1:1">
      <c r="A6080" s="56"/>
    </row>
    <row r="6081" spans="1:1">
      <c r="A6081" s="56"/>
    </row>
    <row r="6082" spans="1:1">
      <c r="A6082" s="56"/>
    </row>
    <row r="6083" spans="1:1">
      <c r="A6083" s="56"/>
    </row>
    <row r="6084" spans="1:1">
      <c r="A6084" s="56"/>
    </row>
    <row r="6085" spans="1:1">
      <c r="A6085" s="56"/>
    </row>
    <row r="6086" spans="1:1">
      <c r="A6086" s="56"/>
    </row>
    <row r="6087" spans="1:1">
      <c r="A6087" s="56"/>
    </row>
    <row r="6088" spans="1:1">
      <c r="A6088" s="56"/>
    </row>
    <row r="6089" spans="1:1">
      <c r="A6089" s="56"/>
    </row>
    <row r="6090" spans="1:1">
      <c r="A6090" s="56"/>
    </row>
    <row r="6091" spans="1:1">
      <c r="A6091" s="56"/>
    </row>
    <row r="6092" spans="1:1">
      <c r="A6092" s="56"/>
    </row>
    <row r="6093" spans="1:1">
      <c r="A6093" s="56"/>
    </row>
    <row r="6094" spans="1:1">
      <c r="A6094" s="56"/>
    </row>
    <row r="6095" spans="1:1">
      <c r="A6095" s="56"/>
    </row>
    <row r="6096" spans="1:1">
      <c r="A6096" s="56"/>
    </row>
    <row r="6097" spans="1:1">
      <c r="A6097" s="56"/>
    </row>
    <row r="6098" spans="1:1">
      <c r="A6098" s="56"/>
    </row>
    <row r="6099" spans="1:1">
      <c r="A6099" s="56"/>
    </row>
    <row r="6100" spans="1:1">
      <c r="A6100" s="56"/>
    </row>
    <row r="6101" spans="1:1">
      <c r="A6101" s="56"/>
    </row>
    <row r="6102" spans="1:1">
      <c r="A6102" s="56"/>
    </row>
    <row r="6103" spans="1:1">
      <c r="A6103" s="56"/>
    </row>
    <row r="6104" spans="1:1">
      <c r="A6104" s="56"/>
    </row>
    <row r="6105" spans="1:1">
      <c r="A6105" s="56"/>
    </row>
    <row r="6106" spans="1:1">
      <c r="A6106" s="56"/>
    </row>
    <row r="6107" spans="1:1">
      <c r="A6107" s="56"/>
    </row>
    <row r="6108" spans="1:1">
      <c r="A6108" s="56"/>
    </row>
    <row r="6109" spans="1:1">
      <c r="A6109" s="56"/>
    </row>
    <row r="6110" spans="1:1">
      <c r="A6110" s="56"/>
    </row>
    <row r="6111" spans="1:1">
      <c r="A6111" s="56"/>
    </row>
    <row r="6112" spans="1:1">
      <c r="A6112" s="56"/>
    </row>
    <row r="6113" spans="1:1">
      <c r="A6113" s="56"/>
    </row>
    <row r="6114" spans="1:1">
      <c r="A6114" s="56"/>
    </row>
    <row r="6115" spans="1:1">
      <c r="A6115" s="56"/>
    </row>
    <row r="6116" spans="1:1">
      <c r="A6116" s="56"/>
    </row>
    <row r="6117" spans="1:1">
      <c r="A6117" s="56"/>
    </row>
    <row r="6118" spans="1:1">
      <c r="A6118" s="56"/>
    </row>
    <row r="6119" spans="1:1">
      <c r="A6119" s="56"/>
    </row>
    <row r="6120" spans="1:1">
      <c r="A6120" s="56"/>
    </row>
    <row r="6121" spans="1:1">
      <c r="A6121" s="56"/>
    </row>
    <row r="6122" spans="1:1">
      <c r="A6122" s="56"/>
    </row>
    <row r="6123" spans="1:1">
      <c r="A6123" s="56"/>
    </row>
    <row r="6124" spans="1:1">
      <c r="A6124" s="56"/>
    </row>
    <row r="6125" spans="1:1">
      <c r="A6125" s="56"/>
    </row>
    <row r="6126" spans="1:1">
      <c r="A6126" s="56"/>
    </row>
    <row r="6127" spans="1:1">
      <c r="A6127" s="56"/>
    </row>
    <row r="6128" spans="1:1">
      <c r="A6128" s="56"/>
    </row>
    <row r="6129" spans="1:1">
      <c r="A6129" s="56"/>
    </row>
    <row r="6130" spans="1:1">
      <c r="A6130" s="56"/>
    </row>
    <row r="6131" spans="1:1">
      <c r="A6131" s="56"/>
    </row>
    <row r="6132" spans="1:1">
      <c r="A6132" s="56"/>
    </row>
    <row r="6133" spans="1:1">
      <c r="A6133" s="56"/>
    </row>
    <row r="6134" spans="1:1">
      <c r="A6134" s="56"/>
    </row>
    <row r="6135" spans="1:1">
      <c r="A6135" s="56"/>
    </row>
    <row r="6136" spans="1:1">
      <c r="A6136" s="56"/>
    </row>
    <row r="6137" spans="1:1">
      <c r="A6137" s="56"/>
    </row>
    <row r="6138" spans="1:1">
      <c r="A6138" s="56"/>
    </row>
    <row r="6139" spans="1:1">
      <c r="A6139" s="56"/>
    </row>
    <row r="6140" spans="1:1">
      <c r="A6140" s="56"/>
    </row>
    <row r="6141" spans="1:1">
      <c r="A6141" s="56"/>
    </row>
    <row r="6142" spans="1:1">
      <c r="A6142" s="56"/>
    </row>
    <row r="6143" spans="1:1">
      <c r="A6143" s="56"/>
    </row>
    <row r="6144" spans="1:1">
      <c r="A6144" s="56"/>
    </row>
    <row r="6145" spans="1:1">
      <c r="A6145" s="56"/>
    </row>
    <row r="6146" spans="1:1">
      <c r="A6146" s="56"/>
    </row>
    <row r="6147" spans="1:1">
      <c r="A6147" s="56"/>
    </row>
    <row r="6148" spans="1:1">
      <c r="A6148" s="56"/>
    </row>
    <row r="6149" spans="1:1">
      <c r="A6149" s="56"/>
    </row>
    <row r="6150" spans="1:1">
      <c r="A6150" s="56"/>
    </row>
    <row r="6151" spans="1:1">
      <c r="A6151" s="56"/>
    </row>
    <row r="6152" spans="1:1">
      <c r="A6152" s="56"/>
    </row>
    <row r="6153" spans="1:1">
      <c r="A6153" s="56"/>
    </row>
    <row r="6154" spans="1:1">
      <c r="A6154" s="56"/>
    </row>
    <row r="6155" spans="1:1">
      <c r="A6155" s="56"/>
    </row>
    <row r="6156" spans="1:1">
      <c r="A6156" s="56"/>
    </row>
    <row r="6157" spans="1:1">
      <c r="A6157" s="56"/>
    </row>
    <row r="6158" spans="1:1">
      <c r="A6158" s="56"/>
    </row>
    <row r="6159" spans="1:1">
      <c r="A6159" s="56"/>
    </row>
    <row r="6160" spans="1:1">
      <c r="A6160" s="56"/>
    </row>
    <row r="6161" spans="1:1">
      <c r="A6161" s="56"/>
    </row>
    <row r="6162" spans="1:1">
      <c r="A6162" s="56"/>
    </row>
    <row r="6163" spans="1:1">
      <c r="A6163" s="56"/>
    </row>
    <row r="6164" spans="1:1">
      <c r="A6164" s="56"/>
    </row>
    <row r="6165" spans="1:1">
      <c r="A6165" s="56"/>
    </row>
    <row r="6166" spans="1:1">
      <c r="A6166" s="56"/>
    </row>
    <row r="6167" spans="1:1">
      <c r="A6167" s="56"/>
    </row>
    <row r="6168" spans="1:1">
      <c r="A6168" s="56"/>
    </row>
    <row r="6169" spans="1:1">
      <c r="A6169" s="56"/>
    </row>
    <row r="6170" spans="1:1">
      <c r="A6170" s="56"/>
    </row>
    <row r="6171" spans="1:1">
      <c r="A6171" s="56"/>
    </row>
    <row r="6172" spans="1:1">
      <c r="A6172" s="56"/>
    </row>
    <row r="6173" spans="1:1">
      <c r="A6173" s="56"/>
    </row>
    <row r="6174" spans="1:1">
      <c r="A6174" s="56"/>
    </row>
    <row r="6175" spans="1:1">
      <c r="A6175" s="56"/>
    </row>
    <row r="6176" spans="1:1">
      <c r="A6176" s="56"/>
    </row>
    <row r="6177" spans="1:1">
      <c r="A6177" s="56"/>
    </row>
    <row r="6178" spans="1:1">
      <c r="A6178" s="56"/>
    </row>
    <row r="6179" spans="1:1">
      <c r="A6179" s="56"/>
    </row>
    <row r="6180" spans="1:1">
      <c r="A6180" s="56"/>
    </row>
    <row r="6181" spans="1:1">
      <c r="A6181" s="56"/>
    </row>
    <row r="6182" spans="1:1">
      <c r="A6182" s="56"/>
    </row>
    <row r="6183" spans="1:1">
      <c r="A6183" s="56"/>
    </row>
    <row r="6184" spans="1:1">
      <c r="A6184" s="56"/>
    </row>
    <row r="6185" spans="1:1">
      <c r="A6185" s="56"/>
    </row>
    <row r="6186" spans="1:1">
      <c r="A6186" s="56"/>
    </row>
    <row r="6187" spans="1:1">
      <c r="A6187" s="56"/>
    </row>
    <row r="6188" spans="1:1">
      <c r="A6188" s="56"/>
    </row>
    <row r="6189" spans="1:1">
      <c r="A6189" s="56"/>
    </row>
    <row r="6190" spans="1:1">
      <c r="A6190" s="56"/>
    </row>
    <row r="6191" spans="1:1">
      <c r="A6191" s="56"/>
    </row>
    <row r="6192" spans="1:1">
      <c r="A6192" s="56"/>
    </row>
    <row r="6193" spans="1:1">
      <c r="A6193" s="56"/>
    </row>
    <row r="6194" spans="1:1">
      <c r="A6194" s="56"/>
    </row>
    <row r="6195" spans="1:1">
      <c r="A6195" s="56"/>
    </row>
    <row r="6196" spans="1:1">
      <c r="A6196" s="56"/>
    </row>
    <row r="6197" spans="1:1">
      <c r="A6197" s="56"/>
    </row>
    <row r="6198" spans="1:1">
      <c r="A6198" s="56"/>
    </row>
    <row r="6199" spans="1:1">
      <c r="A6199" s="56"/>
    </row>
    <row r="6200" spans="1:1">
      <c r="A6200" s="56"/>
    </row>
    <row r="6201" spans="1:1">
      <c r="A6201" s="56"/>
    </row>
    <row r="6202" spans="1:1">
      <c r="A6202" s="56"/>
    </row>
    <row r="6203" spans="1:1">
      <c r="A6203" s="56"/>
    </row>
    <row r="6204" spans="1:1">
      <c r="A6204" s="56"/>
    </row>
    <row r="6205" spans="1:1">
      <c r="A6205" s="56"/>
    </row>
    <row r="6206" spans="1:1">
      <c r="A6206" s="56"/>
    </row>
    <row r="6207" spans="1:1">
      <c r="A6207" s="56"/>
    </row>
    <row r="6208" spans="1:1">
      <c r="A6208" s="56"/>
    </row>
    <row r="6209" spans="1:1">
      <c r="A6209" s="56"/>
    </row>
    <row r="6210" spans="1:1">
      <c r="A6210" s="56"/>
    </row>
    <row r="6211" spans="1:1">
      <c r="A6211" s="56"/>
    </row>
    <row r="6212" spans="1:1">
      <c r="A6212" s="56"/>
    </row>
    <row r="6213" spans="1:1">
      <c r="A6213" s="56"/>
    </row>
    <row r="6214" spans="1:1">
      <c r="A6214" s="56"/>
    </row>
    <row r="6215" spans="1:1">
      <c r="A6215" s="56"/>
    </row>
    <row r="6216" spans="1:1">
      <c r="A6216" s="56"/>
    </row>
    <row r="6217" spans="1:1">
      <c r="A6217" s="56"/>
    </row>
    <row r="6218" spans="1:1">
      <c r="A6218" s="56"/>
    </row>
    <row r="6219" spans="1:1">
      <c r="A6219" s="56"/>
    </row>
    <row r="6220" spans="1:1">
      <c r="A6220" s="56"/>
    </row>
    <row r="6221" spans="1:1">
      <c r="A6221" s="56"/>
    </row>
    <row r="6222" spans="1:1">
      <c r="A6222" s="56"/>
    </row>
    <row r="6223" spans="1:1">
      <c r="A6223" s="56"/>
    </row>
    <row r="6224" spans="1:1">
      <c r="A6224" s="56"/>
    </row>
    <row r="6225" spans="1:1">
      <c r="A6225" s="56"/>
    </row>
    <row r="6226" spans="1:1">
      <c r="A6226" s="56"/>
    </row>
    <row r="6227" spans="1:1">
      <c r="A6227" s="56"/>
    </row>
    <row r="6228" spans="1:1">
      <c r="A6228" s="56"/>
    </row>
    <row r="6229" spans="1:1">
      <c r="A6229" s="56"/>
    </row>
    <row r="6230" spans="1:1">
      <c r="A6230" s="56"/>
    </row>
    <row r="6231" spans="1:1">
      <c r="A6231" s="56"/>
    </row>
    <row r="6232" spans="1:1">
      <c r="A6232" s="56"/>
    </row>
    <row r="6233" spans="1:1">
      <c r="A6233" s="56"/>
    </row>
    <row r="6234" spans="1:1">
      <c r="A6234" s="56"/>
    </row>
    <row r="6235" spans="1:1">
      <c r="A6235" s="56"/>
    </row>
    <row r="6236" spans="1:1">
      <c r="A6236" s="56"/>
    </row>
    <row r="6237" spans="1:1">
      <c r="A6237" s="56"/>
    </row>
    <row r="6238" spans="1:1">
      <c r="A6238" s="56"/>
    </row>
    <row r="6239" spans="1:1">
      <c r="A6239" s="56"/>
    </row>
    <row r="6240" spans="1:1">
      <c r="A6240" s="56"/>
    </row>
    <row r="6241" spans="1:1">
      <c r="A6241" s="56"/>
    </row>
    <row r="6242" spans="1:1">
      <c r="A6242" s="56"/>
    </row>
    <row r="6243" spans="1:1">
      <c r="A6243" s="56"/>
    </row>
    <row r="6244" spans="1:1">
      <c r="A6244" s="56"/>
    </row>
    <row r="6245" spans="1:1">
      <c r="A6245" s="56"/>
    </row>
    <row r="6246" spans="1:1">
      <c r="A6246" s="56"/>
    </row>
    <row r="6247" spans="1:1">
      <c r="A6247" s="56"/>
    </row>
    <row r="6248" spans="1:1">
      <c r="A6248" s="56"/>
    </row>
    <row r="6249" spans="1:1">
      <c r="A6249" s="56"/>
    </row>
    <row r="6250" spans="1:1">
      <c r="A6250" s="56"/>
    </row>
    <row r="6251" spans="1:1">
      <c r="A6251" s="56"/>
    </row>
    <row r="6252" spans="1:1">
      <c r="A6252" s="56"/>
    </row>
    <row r="6253" spans="1:1">
      <c r="A6253" s="56"/>
    </row>
    <row r="6254" spans="1:1">
      <c r="A6254" s="56"/>
    </row>
    <row r="6255" spans="1:1">
      <c r="A6255" s="56"/>
    </row>
    <row r="6256" spans="1:1">
      <c r="A6256" s="56"/>
    </row>
    <row r="6257" spans="1:1">
      <c r="A6257" s="56"/>
    </row>
    <row r="6258" spans="1:1">
      <c r="A6258" s="56"/>
    </row>
    <row r="6259" spans="1:1">
      <c r="A6259" s="56"/>
    </row>
    <row r="6260" spans="1:1">
      <c r="A6260" s="56"/>
    </row>
    <row r="6261" spans="1:1">
      <c r="A6261" s="56"/>
    </row>
    <row r="6262" spans="1:1">
      <c r="A6262" s="56"/>
    </row>
    <row r="6263" spans="1:1">
      <c r="A6263" s="56"/>
    </row>
    <row r="6264" spans="1:1">
      <c r="A6264" s="56"/>
    </row>
    <row r="6265" spans="1:1">
      <c r="A6265" s="56"/>
    </row>
    <row r="6266" spans="1:1">
      <c r="A6266" s="56"/>
    </row>
    <row r="6267" spans="1:1">
      <c r="A6267" s="56"/>
    </row>
    <row r="6268" spans="1:1">
      <c r="A6268" s="56"/>
    </row>
    <row r="6269" spans="1:1">
      <c r="A6269" s="56"/>
    </row>
    <row r="6270" spans="1:1">
      <c r="A6270" s="56"/>
    </row>
    <row r="6271" spans="1:1">
      <c r="A6271" s="56"/>
    </row>
    <row r="6272" spans="1:1">
      <c r="A6272" s="56"/>
    </row>
    <row r="6273" spans="1:1">
      <c r="A6273" s="56"/>
    </row>
    <row r="6274" spans="1:1">
      <c r="A6274" s="56"/>
    </row>
    <row r="6275" spans="1:1">
      <c r="A6275" s="56"/>
    </row>
    <row r="6276" spans="1:1">
      <c r="A6276" s="56"/>
    </row>
    <row r="6277" spans="1:1">
      <c r="A6277" s="56"/>
    </row>
    <row r="6278" spans="1:1">
      <c r="A6278" s="56"/>
    </row>
    <row r="6279" spans="1:1">
      <c r="A6279" s="56"/>
    </row>
    <row r="6280" spans="1:1">
      <c r="A6280" s="56"/>
    </row>
    <row r="6281" spans="1:1">
      <c r="A6281" s="56"/>
    </row>
    <row r="6282" spans="1:1">
      <c r="A6282" s="56"/>
    </row>
    <row r="6283" spans="1:1">
      <c r="A6283" s="56"/>
    </row>
    <row r="6284" spans="1:1">
      <c r="A6284" s="56"/>
    </row>
    <row r="6285" spans="1:1">
      <c r="A6285" s="56"/>
    </row>
    <row r="6286" spans="1:1">
      <c r="A6286" s="56"/>
    </row>
    <row r="6287" spans="1:1">
      <c r="A6287" s="56"/>
    </row>
    <row r="6288" spans="1:1">
      <c r="A6288" s="56"/>
    </row>
    <row r="6289" spans="1:1">
      <c r="A6289" s="56"/>
    </row>
    <row r="6290" spans="1:1">
      <c r="A6290" s="56"/>
    </row>
    <row r="6291" spans="1:1">
      <c r="A6291" s="56"/>
    </row>
    <row r="6292" spans="1:1">
      <c r="A6292" s="56"/>
    </row>
    <row r="6293" spans="1:1">
      <c r="A6293" s="56"/>
    </row>
    <row r="6294" spans="1:1">
      <c r="A6294" s="56"/>
    </row>
    <row r="6295" spans="1:1">
      <c r="A6295" s="56"/>
    </row>
    <row r="6296" spans="1:1">
      <c r="A6296" s="56"/>
    </row>
    <row r="6297" spans="1:1">
      <c r="A6297" s="56"/>
    </row>
    <row r="6298" spans="1:1">
      <c r="A6298" s="56"/>
    </row>
    <row r="6299" spans="1:1">
      <c r="A6299" s="56"/>
    </row>
    <row r="6300" spans="1:1">
      <c r="A6300" s="56"/>
    </row>
    <row r="6301" spans="1:1">
      <c r="A6301" s="56"/>
    </row>
    <row r="6302" spans="1:1">
      <c r="A6302" s="56"/>
    </row>
    <row r="6303" spans="1:1">
      <c r="A6303" s="56"/>
    </row>
    <row r="6304" spans="1:1">
      <c r="A6304" s="56"/>
    </row>
    <row r="6305" spans="1:1">
      <c r="A6305" s="56"/>
    </row>
    <row r="6306" spans="1:1">
      <c r="A6306" s="56"/>
    </row>
    <row r="6307" spans="1:1">
      <c r="A6307" s="56"/>
    </row>
    <row r="6308" spans="1:1">
      <c r="A6308" s="56"/>
    </row>
    <row r="6309" spans="1:1">
      <c r="A6309" s="56"/>
    </row>
    <row r="6310" spans="1:1">
      <c r="A6310" s="56"/>
    </row>
    <row r="6311" spans="1:1">
      <c r="A6311" s="56"/>
    </row>
    <row r="6312" spans="1:1">
      <c r="A6312" s="56"/>
    </row>
    <row r="6313" spans="1:1">
      <c r="A6313" s="56"/>
    </row>
    <row r="6314" spans="1:1">
      <c r="A6314" s="56"/>
    </row>
    <row r="6315" spans="1:1">
      <c r="A6315" s="56"/>
    </row>
    <row r="6316" spans="1:1">
      <c r="A6316" s="56"/>
    </row>
    <row r="6317" spans="1:1">
      <c r="A6317" s="56"/>
    </row>
    <row r="6318" spans="1:1">
      <c r="A6318" s="56"/>
    </row>
    <row r="6319" spans="1:1">
      <c r="A6319" s="56"/>
    </row>
    <row r="6320" spans="1:1">
      <c r="A6320" s="56"/>
    </row>
    <row r="6321" spans="1:1">
      <c r="A6321" s="56"/>
    </row>
    <row r="6322" spans="1:1">
      <c r="A6322" s="56"/>
    </row>
    <row r="6323" spans="1:1">
      <c r="A6323" s="56"/>
    </row>
    <row r="6324" spans="1:1">
      <c r="A6324" s="56"/>
    </row>
    <row r="6325" spans="1:1">
      <c r="A6325" s="56"/>
    </row>
    <row r="6326" spans="1:1">
      <c r="A6326" s="56"/>
    </row>
    <row r="6327" spans="1:1">
      <c r="A6327" s="56"/>
    </row>
    <row r="6328" spans="1:1">
      <c r="A6328" s="56"/>
    </row>
    <row r="6329" spans="1:1">
      <c r="A6329" s="56"/>
    </row>
    <row r="6330" spans="1:1">
      <c r="A6330" s="56"/>
    </row>
    <row r="6331" spans="1:1">
      <c r="A6331" s="56"/>
    </row>
    <row r="6332" spans="1:1">
      <c r="A6332" s="56"/>
    </row>
    <row r="6333" spans="1:1">
      <c r="A6333" s="56"/>
    </row>
    <row r="6334" spans="1:1">
      <c r="A6334" s="56"/>
    </row>
    <row r="6335" spans="1:1">
      <c r="A6335" s="56"/>
    </row>
    <row r="6336" spans="1:1">
      <c r="A6336" s="56"/>
    </row>
    <row r="6337" spans="1:1">
      <c r="A6337" s="56"/>
    </row>
    <row r="6338" spans="1:1">
      <c r="A6338" s="56"/>
    </row>
    <row r="6339" spans="1:1">
      <c r="A6339" s="56"/>
    </row>
    <row r="6340" spans="1:1">
      <c r="A6340" s="56"/>
    </row>
    <row r="6341" spans="1:1">
      <c r="A6341" s="56"/>
    </row>
    <row r="6342" spans="1:1">
      <c r="A6342" s="56"/>
    </row>
    <row r="6343" spans="1:1">
      <c r="A6343" s="56"/>
    </row>
    <row r="6344" spans="1:1">
      <c r="A6344" s="56"/>
    </row>
    <row r="6345" spans="1:1">
      <c r="A6345" s="56"/>
    </row>
    <row r="6346" spans="1:1">
      <c r="A6346" s="56"/>
    </row>
    <row r="6347" spans="1:1">
      <c r="A6347" s="56"/>
    </row>
    <row r="6348" spans="1:1">
      <c r="A6348" s="56"/>
    </row>
    <row r="6349" spans="1:1">
      <c r="A6349" s="56"/>
    </row>
    <row r="6350" spans="1:1">
      <c r="A6350" s="56"/>
    </row>
    <row r="6351" spans="1:1">
      <c r="A6351" s="56"/>
    </row>
    <row r="6352" spans="1:1">
      <c r="A6352" s="56"/>
    </row>
    <row r="6353" spans="1:1">
      <c r="A6353" s="56"/>
    </row>
    <row r="6354" spans="1:1">
      <c r="A6354" s="56"/>
    </row>
    <row r="6355" spans="1:1">
      <c r="A6355" s="56"/>
    </row>
    <row r="6356" spans="1:1">
      <c r="A6356" s="56"/>
    </row>
    <row r="6357" spans="1:1">
      <c r="A6357" s="56"/>
    </row>
    <row r="6358" spans="1:1">
      <c r="A6358" s="56"/>
    </row>
    <row r="6359" spans="1:1">
      <c r="A6359" s="56"/>
    </row>
    <row r="6360" spans="1:1">
      <c r="A6360" s="56"/>
    </row>
    <row r="6361" spans="1:1">
      <c r="A6361" s="56"/>
    </row>
    <row r="6362" spans="1:1">
      <c r="A6362" s="56"/>
    </row>
    <row r="6363" spans="1:1">
      <c r="A6363" s="56"/>
    </row>
    <row r="6364" spans="1:1">
      <c r="A6364" s="56"/>
    </row>
    <row r="6365" spans="1:1">
      <c r="A6365" s="56"/>
    </row>
    <row r="6366" spans="1:1">
      <c r="A6366" s="56"/>
    </row>
    <row r="6367" spans="1:1">
      <c r="A6367" s="56"/>
    </row>
    <row r="6368" spans="1:1">
      <c r="A6368" s="56"/>
    </row>
    <row r="6369" spans="1:1">
      <c r="A6369" s="56"/>
    </row>
    <row r="6370" spans="1:1">
      <c r="A6370" s="56"/>
    </row>
    <row r="6371" spans="1:1">
      <c r="A6371" s="56"/>
    </row>
    <row r="6372" spans="1:1">
      <c r="A6372" s="56"/>
    </row>
    <row r="6373" spans="1:1">
      <c r="A6373" s="56"/>
    </row>
    <row r="6374" spans="1:1">
      <c r="A6374" s="56"/>
    </row>
    <row r="6375" spans="1:1">
      <c r="A6375" s="56"/>
    </row>
    <row r="6376" spans="1:1">
      <c r="A6376" s="56"/>
    </row>
    <row r="6377" spans="1:1">
      <c r="A6377" s="56"/>
    </row>
    <row r="6378" spans="1:1">
      <c r="A6378" s="56"/>
    </row>
    <row r="6379" spans="1:1">
      <c r="A6379" s="56"/>
    </row>
    <row r="6380" spans="1:1">
      <c r="A6380" s="56"/>
    </row>
    <row r="6381" spans="1:1">
      <c r="A6381" s="56"/>
    </row>
    <row r="6382" spans="1:1">
      <c r="A6382" s="56"/>
    </row>
    <row r="6383" spans="1:1">
      <c r="A6383" s="56"/>
    </row>
    <row r="6384" spans="1:1">
      <c r="A6384" s="56"/>
    </row>
    <row r="6385" spans="1:1">
      <c r="A6385" s="56"/>
    </row>
    <row r="6386" spans="1:1">
      <c r="A6386" s="56"/>
    </row>
    <row r="6387" spans="1:1">
      <c r="A6387" s="56"/>
    </row>
    <row r="6388" spans="1:1">
      <c r="A6388" s="56"/>
    </row>
    <row r="6389" spans="1:1">
      <c r="A6389" s="56"/>
    </row>
    <row r="6390" spans="1:1">
      <c r="A6390" s="56"/>
    </row>
    <row r="6391" spans="1:1">
      <c r="A6391" s="56"/>
    </row>
    <row r="6392" spans="1:1">
      <c r="A6392" s="56"/>
    </row>
    <row r="6393" spans="1:1">
      <c r="A6393" s="56"/>
    </row>
    <row r="6394" spans="1:1">
      <c r="A6394" s="56"/>
    </row>
    <row r="6395" spans="1:1">
      <c r="A6395" s="56"/>
    </row>
    <row r="6396" spans="1:1">
      <c r="A6396" s="56"/>
    </row>
    <row r="6397" spans="1:1">
      <c r="A6397" s="56"/>
    </row>
    <row r="6398" spans="1:1">
      <c r="A6398" s="56"/>
    </row>
    <row r="6399" spans="1:1">
      <c r="A6399" s="56"/>
    </row>
    <row r="6400" spans="1:1">
      <c r="A6400" s="56"/>
    </row>
    <row r="6401" spans="1:1">
      <c r="A6401" s="56"/>
    </row>
    <row r="6402" spans="1:1">
      <c r="A6402" s="56"/>
    </row>
    <row r="6403" spans="1:1">
      <c r="A6403" s="56"/>
    </row>
    <row r="6404" spans="1:1">
      <c r="A6404" s="56"/>
    </row>
    <row r="6405" spans="1:1">
      <c r="A6405" s="56"/>
    </row>
    <row r="6406" spans="1:1">
      <c r="A6406" s="56"/>
    </row>
    <row r="6407" spans="1:1">
      <c r="A6407" s="56"/>
    </row>
    <row r="6408" spans="1:1">
      <c r="A6408" s="56"/>
    </row>
    <row r="6409" spans="1:1">
      <c r="A6409" s="56"/>
    </row>
    <row r="6410" spans="1:1">
      <c r="A6410" s="56"/>
    </row>
    <row r="6411" spans="1:1">
      <c r="A6411" s="56"/>
    </row>
    <row r="6412" spans="1:1">
      <c r="A6412" s="56"/>
    </row>
    <row r="6413" spans="1:1">
      <c r="A6413" s="56"/>
    </row>
    <row r="6414" spans="1:1">
      <c r="A6414" s="56"/>
    </row>
    <row r="6415" spans="1:1">
      <c r="A6415" s="56"/>
    </row>
    <row r="6416" spans="1:1">
      <c r="A6416" s="56"/>
    </row>
    <row r="6417" spans="1:1">
      <c r="A6417" s="56"/>
    </row>
    <row r="6418" spans="1:1">
      <c r="A6418" s="56"/>
    </row>
    <row r="6419" spans="1:1">
      <c r="A6419" s="56"/>
    </row>
    <row r="6420" spans="1:1">
      <c r="A6420" s="56"/>
    </row>
    <row r="6421" spans="1:1">
      <c r="A6421" s="56"/>
    </row>
    <row r="6422" spans="1:1">
      <c r="A6422" s="56"/>
    </row>
    <row r="6423" spans="1:1">
      <c r="A6423" s="56"/>
    </row>
    <row r="6424" spans="1:1">
      <c r="A6424" s="56"/>
    </row>
    <row r="6425" spans="1:1">
      <c r="A6425" s="56"/>
    </row>
    <row r="6426" spans="1:1">
      <c r="A6426" s="56"/>
    </row>
    <row r="6427" spans="1:1">
      <c r="A6427" s="56"/>
    </row>
    <row r="6428" spans="1:1">
      <c r="A6428" s="56"/>
    </row>
    <row r="6429" spans="1:1">
      <c r="A6429" s="56"/>
    </row>
    <row r="6430" spans="1:1">
      <c r="A6430" s="56"/>
    </row>
    <row r="6431" spans="1:1">
      <c r="A6431" s="56"/>
    </row>
    <row r="6432" spans="1:1">
      <c r="A6432" s="56"/>
    </row>
    <row r="6433" spans="1:1">
      <c r="A6433" s="56"/>
    </row>
    <row r="6434" spans="1:1">
      <c r="A6434" s="56"/>
    </row>
    <row r="6435" spans="1:1">
      <c r="A6435" s="56"/>
    </row>
    <row r="6436" spans="1:1">
      <c r="A6436" s="56"/>
    </row>
    <row r="6437" spans="1:1">
      <c r="A6437" s="56"/>
    </row>
    <row r="6438" spans="1:1">
      <c r="A6438" s="56"/>
    </row>
    <row r="6439" spans="1:1">
      <c r="A6439" s="56"/>
    </row>
    <row r="6440" spans="1:1">
      <c r="A6440" s="56"/>
    </row>
    <row r="6441" spans="1:1">
      <c r="A6441" s="56"/>
    </row>
    <row r="6442" spans="1:1">
      <c r="A6442" s="56"/>
    </row>
    <row r="6443" spans="1:1">
      <c r="A6443" s="56"/>
    </row>
    <row r="6444" spans="1:1">
      <c r="A6444" s="56"/>
    </row>
    <row r="6445" spans="1:1">
      <c r="A6445" s="56"/>
    </row>
    <row r="6446" spans="1:1">
      <c r="A6446" s="56"/>
    </row>
    <row r="6447" spans="1:1">
      <c r="A6447" s="56"/>
    </row>
    <row r="6448" spans="1:1">
      <c r="A6448" s="56"/>
    </row>
    <row r="6449" spans="1:1">
      <c r="A6449" s="56"/>
    </row>
    <row r="6450" spans="1:1">
      <c r="A6450" s="56"/>
    </row>
    <row r="6451" spans="1:1">
      <c r="A6451" s="56"/>
    </row>
    <row r="6452" spans="1:1">
      <c r="A6452" s="56"/>
    </row>
    <row r="6453" spans="1:1">
      <c r="A6453" s="56"/>
    </row>
    <row r="6454" spans="1:1">
      <c r="A6454" s="56"/>
    </row>
    <row r="6455" spans="1:1">
      <c r="A6455" s="56"/>
    </row>
    <row r="6456" spans="1:1">
      <c r="A6456" s="56"/>
    </row>
    <row r="6457" spans="1:1">
      <c r="A6457" s="56"/>
    </row>
    <row r="6458" spans="1:1">
      <c r="A6458" s="56"/>
    </row>
    <row r="6459" spans="1:1">
      <c r="A6459" s="56"/>
    </row>
    <row r="6460" spans="1:1">
      <c r="A6460" s="56"/>
    </row>
    <row r="6461" spans="1:1">
      <c r="A6461" s="56"/>
    </row>
    <row r="6462" spans="1:1">
      <c r="A6462" s="56"/>
    </row>
    <row r="6463" spans="1:1">
      <c r="A6463" s="56"/>
    </row>
    <row r="6464" spans="1:1">
      <c r="A6464" s="56"/>
    </row>
    <row r="6465" spans="1:1">
      <c r="A6465" s="56"/>
    </row>
    <row r="6466" spans="1:1">
      <c r="A6466" s="56"/>
    </row>
    <row r="6467" spans="1:1">
      <c r="A6467" s="56"/>
    </row>
    <row r="6468" spans="1:1">
      <c r="A6468" s="56"/>
    </row>
    <row r="6469" spans="1:1">
      <c r="A6469" s="56"/>
    </row>
    <row r="6470" spans="1:1">
      <c r="A6470" s="56"/>
    </row>
    <row r="6471" spans="1:1">
      <c r="A6471" s="56"/>
    </row>
    <row r="6472" spans="1:1">
      <c r="A6472" s="56"/>
    </row>
    <row r="6473" spans="1:1">
      <c r="A6473" s="56"/>
    </row>
    <row r="6474" spans="1:1">
      <c r="A6474" s="56"/>
    </row>
    <row r="6475" spans="1:1">
      <c r="A6475" s="56"/>
    </row>
    <row r="6476" spans="1:1">
      <c r="A6476" s="56"/>
    </row>
    <row r="6477" spans="1:1">
      <c r="A6477" s="56"/>
    </row>
    <row r="6478" spans="1:1">
      <c r="A6478" s="56"/>
    </row>
    <row r="6479" spans="1:1">
      <c r="A6479" s="56"/>
    </row>
    <row r="6480" spans="1:1">
      <c r="A6480" s="56"/>
    </row>
    <row r="6481" spans="1:1">
      <c r="A6481" s="56"/>
    </row>
    <row r="6482" spans="1:1">
      <c r="A6482" s="56"/>
    </row>
    <row r="6483" spans="1:1">
      <c r="A6483" s="56"/>
    </row>
    <row r="6484" spans="1:1">
      <c r="A6484" s="56"/>
    </row>
    <row r="6485" spans="1:1">
      <c r="A6485" s="56"/>
    </row>
    <row r="6486" spans="1:1">
      <c r="A6486" s="56"/>
    </row>
    <row r="6487" spans="1:1">
      <c r="A6487" s="56"/>
    </row>
    <row r="6488" spans="1:1">
      <c r="A6488" s="56"/>
    </row>
    <row r="6489" spans="1:1">
      <c r="A6489" s="56"/>
    </row>
    <row r="6490" spans="1:1">
      <c r="A6490" s="56"/>
    </row>
    <row r="6491" spans="1:1">
      <c r="A6491" s="56"/>
    </row>
    <row r="6492" spans="1:1">
      <c r="A6492" s="56"/>
    </row>
    <row r="6493" spans="1:1">
      <c r="A6493" s="56"/>
    </row>
    <row r="6494" spans="1:1">
      <c r="A6494" s="56"/>
    </row>
    <row r="6495" spans="1:1">
      <c r="A6495" s="56"/>
    </row>
    <row r="6496" spans="1:1">
      <c r="A6496" s="56"/>
    </row>
    <row r="6497" spans="1:1">
      <c r="A6497" s="56"/>
    </row>
    <row r="6498" spans="1:1">
      <c r="A6498" s="56"/>
    </row>
    <row r="6499" spans="1:1">
      <c r="A6499" s="56"/>
    </row>
    <row r="6500" spans="1:1">
      <c r="A6500" s="56"/>
    </row>
    <row r="6501" spans="1:1">
      <c r="A6501" s="56"/>
    </row>
    <row r="6502" spans="1:1">
      <c r="A6502" s="56"/>
    </row>
    <row r="6503" spans="1:1">
      <c r="A6503" s="56"/>
    </row>
    <row r="6504" spans="1:1">
      <c r="A6504" s="56"/>
    </row>
    <row r="6505" spans="1:1">
      <c r="A6505" s="56"/>
    </row>
    <row r="6506" spans="1:1">
      <c r="A6506" s="56"/>
    </row>
    <row r="6507" spans="1:1">
      <c r="A6507" s="56"/>
    </row>
    <row r="6508" spans="1:1">
      <c r="A6508" s="56"/>
    </row>
    <row r="6509" spans="1:1">
      <c r="A6509" s="56"/>
    </row>
    <row r="6510" spans="1:1">
      <c r="A6510" s="56"/>
    </row>
    <row r="6511" spans="1:1">
      <c r="A6511" s="56"/>
    </row>
    <row r="6512" spans="1:1">
      <c r="A6512" s="56"/>
    </row>
    <row r="6513" spans="1:1">
      <c r="A6513" s="56"/>
    </row>
    <row r="6514" spans="1:1">
      <c r="A6514" s="56"/>
    </row>
    <row r="6515" spans="1:1">
      <c r="A6515" s="56"/>
    </row>
    <row r="6516" spans="1:1">
      <c r="A6516" s="56"/>
    </row>
    <row r="6517" spans="1:1">
      <c r="A6517" s="56"/>
    </row>
    <row r="6518" spans="1:1">
      <c r="A6518" s="56"/>
    </row>
    <row r="6519" spans="1:1">
      <c r="A6519" s="56"/>
    </row>
    <row r="6520" spans="1:1">
      <c r="A6520" s="56"/>
    </row>
    <row r="6521" spans="1:1">
      <c r="A6521" s="56"/>
    </row>
    <row r="6522" spans="1:1">
      <c r="A6522" s="56"/>
    </row>
    <row r="6523" spans="1:1">
      <c r="A6523" s="56"/>
    </row>
    <row r="6524" spans="1:1">
      <c r="A6524" s="56"/>
    </row>
    <row r="6525" spans="1:1">
      <c r="A6525" s="56"/>
    </row>
    <row r="6526" spans="1:1">
      <c r="A6526" s="56"/>
    </row>
    <row r="6527" spans="1:1">
      <c r="A6527" s="56"/>
    </row>
    <row r="6528" spans="1:1">
      <c r="A6528" s="56"/>
    </row>
    <row r="6529" spans="1:1">
      <c r="A6529" s="56"/>
    </row>
    <row r="6530" spans="1:1">
      <c r="A6530" s="56"/>
    </row>
    <row r="6531" spans="1:1">
      <c r="A6531" s="56"/>
    </row>
    <row r="6532" spans="1:1">
      <c r="A6532" s="56"/>
    </row>
    <row r="6533" spans="1:1">
      <c r="A6533" s="56"/>
    </row>
    <row r="6534" spans="1:1">
      <c r="A6534" s="56"/>
    </row>
    <row r="6535" spans="1:1">
      <c r="A6535" s="56"/>
    </row>
    <row r="6536" spans="1:1">
      <c r="A6536" s="56"/>
    </row>
    <row r="6537" spans="1:1">
      <c r="A6537" s="56"/>
    </row>
    <row r="6538" spans="1:1">
      <c r="A6538" s="56"/>
    </row>
    <row r="6539" spans="1:1">
      <c r="A6539" s="56"/>
    </row>
    <row r="6540" spans="1:1">
      <c r="A6540" s="56"/>
    </row>
    <row r="6541" spans="1:1">
      <c r="A6541" s="56"/>
    </row>
    <row r="6542" spans="1:1">
      <c r="A6542" s="56"/>
    </row>
    <row r="6543" spans="1:1">
      <c r="A6543" s="56"/>
    </row>
    <row r="6544" spans="1:1">
      <c r="A6544" s="56"/>
    </row>
    <row r="6545" spans="1:1">
      <c r="A6545" s="56"/>
    </row>
    <row r="6546" spans="1:1">
      <c r="A6546" s="56"/>
    </row>
    <row r="6547" spans="1:1">
      <c r="A6547" s="56"/>
    </row>
    <row r="6548" spans="1:1">
      <c r="A6548" s="56"/>
    </row>
    <row r="6549" spans="1:1">
      <c r="A6549" s="56"/>
    </row>
    <row r="6550" spans="1:1">
      <c r="A6550" s="56"/>
    </row>
    <row r="6551" spans="1:1">
      <c r="A6551" s="56"/>
    </row>
    <row r="6552" spans="1:1">
      <c r="A6552" s="56"/>
    </row>
    <row r="6553" spans="1:1">
      <c r="A6553" s="56"/>
    </row>
    <row r="6554" spans="1:1">
      <c r="A6554" s="56"/>
    </row>
    <row r="6555" spans="1:1">
      <c r="A6555" s="56"/>
    </row>
    <row r="6556" spans="1:1">
      <c r="A6556" s="56"/>
    </row>
    <row r="6557" spans="1:1">
      <c r="A6557" s="56"/>
    </row>
    <row r="6558" spans="1:1">
      <c r="A6558" s="56"/>
    </row>
    <row r="6559" spans="1:1">
      <c r="A6559" s="56"/>
    </row>
    <row r="6560" spans="1:1">
      <c r="A6560" s="56"/>
    </row>
    <row r="6561" spans="1:1">
      <c r="A6561" s="56"/>
    </row>
    <row r="6562" spans="1:1">
      <c r="A6562" s="56"/>
    </row>
    <row r="6563" spans="1:1">
      <c r="A6563" s="56"/>
    </row>
    <row r="6564" spans="1:1">
      <c r="A6564" s="56"/>
    </row>
    <row r="6565" spans="1:1">
      <c r="A6565" s="56"/>
    </row>
    <row r="6566" spans="1:1">
      <c r="A6566" s="56"/>
    </row>
    <row r="6567" spans="1:1">
      <c r="A6567" s="56"/>
    </row>
    <row r="6568" spans="1:1">
      <c r="A6568" s="56"/>
    </row>
    <row r="6569" spans="1:1">
      <c r="A6569" s="56"/>
    </row>
    <row r="6570" spans="1:1">
      <c r="A6570" s="56"/>
    </row>
    <row r="6571" spans="1:1">
      <c r="A6571" s="56"/>
    </row>
    <row r="6572" spans="1:1">
      <c r="A6572" s="56"/>
    </row>
    <row r="6573" spans="1:1">
      <c r="A6573" s="56"/>
    </row>
    <row r="6574" spans="1:1">
      <c r="A6574" s="56"/>
    </row>
    <row r="6575" spans="1:1">
      <c r="A6575" s="56"/>
    </row>
    <row r="6576" spans="1:1">
      <c r="A6576" s="56"/>
    </row>
    <row r="6577" spans="1:1">
      <c r="A6577" s="56"/>
    </row>
    <row r="6578" spans="1:1">
      <c r="A6578" s="56"/>
    </row>
    <row r="6579" spans="1:1">
      <c r="A6579" s="56"/>
    </row>
    <row r="6580" spans="1:1">
      <c r="A6580" s="56"/>
    </row>
    <row r="6581" spans="1:1">
      <c r="A6581" s="56"/>
    </row>
    <row r="6582" spans="1:1">
      <c r="A6582" s="56"/>
    </row>
    <row r="6583" spans="1:1">
      <c r="A6583" s="56"/>
    </row>
    <row r="6584" spans="1:1">
      <c r="A6584" s="56"/>
    </row>
    <row r="6585" spans="1:1">
      <c r="A6585" s="56"/>
    </row>
    <row r="6586" spans="1:1">
      <c r="A6586" s="56"/>
    </row>
    <row r="6587" spans="1:1">
      <c r="A6587" s="56"/>
    </row>
    <row r="6588" spans="1:1">
      <c r="A6588" s="56"/>
    </row>
    <row r="6589" spans="1:1">
      <c r="A6589" s="56"/>
    </row>
    <row r="6590" spans="1:1">
      <c r="A6590" s="56"/>
    </row>
    <row r="6591" spans="1:1">
      <c r="A6591" s="56"/>
    </row>
    <row r="6592" spans="1:1">
      <c r="A6592" s="56"/>
    </row>
    <row r="6593" spans="1:1">
      <c r="A6593" s="56"/>
    </row>
    <row r="6594" spans="1:1">
      <c r="A6594" s="56"/>
    </row>
    <row r="6595" spans="1:1">
      <c r="A6595" s="56"/>
    </row>
    <row r="6596" spans="1:1">
      <c r="A6596" s="56"/>
    </row>
    <row r="6597" spans="1:1">
      <c r="A6597" s="56"/>
    </row>
    <row r="6598" spans="1:1">
      <c r="A6598" s="56"/>
    </row>
    <row r="6599" spans="1:1">
      <c r="A6599" s="56"/>
    </row>
    <row r="6600" spans="1:1">
      <c r="A6600" s="56"/>
    </row>
    <row r="6601" spans="1:1">
      <c r="A6601" s="56"/>
    </row>
    <row r="6602" spans="1:1">
      <c r="A6602" s="56"/>
    </row>
    <row r="6603" spans="1:1">
      <c r="A6603" s="56"/>
    </row>
    <row r="6604" spans="1:1">
      <c r="A6604" s="56"/>
    </row>
    <row r="6605" spans="1:1">
      <c r="A6605" s="56"/>
    </row>
    <row r="6606" spans="1:1">
      <c r="A6606" s="56"/>
    </row>
    <row r="6607" spans="1:1">
      <c r="A6607" s="56"/>
    </row>
    <row r="6608" spans="1:1">
      <c r="A6608" s="56"/>
    </row>
    <row r="6609" spans="1:1">
      <c r="A6609" s="56"/>
    </row>
    <row r="6610" spans="1:1">
      <c r="A6610" s="56"/>
    </row>
    <row r="6611" spans="1:1">
      <c r="A6611" s="56"/>
    </row>
    <row r="6612" spans="1:1">
      <c r="A6612" s="56"/>
    </row>
    <row r="6613" spans="1:1">
      <c r="A6613" s="56"/>
    </row>
    <row r="6614" spans="1:1">
      <c r="A6614" s="56"/>
    </row>
    <row r="6615" spans="1:1">
      <c r="A6615" s="56"/>
    </row>
    <row r="6616" spans="1:1">
      <c r="A6616" s="56"/>
    </row>
    <row r="6617" spans="1:1">
      <c r="A6617" s="56"/>
    </row>
    <row r="6618" spans="1:1">
      <c r="A6618" s="56"/>
    </row>
    <row r="6619" spans="1:1">
      <c r="A6619" s="56"/>
    </row>
    <row r="6620" spans="1:1">
      <c r="A6620" s="56"/>
    </row>
    <row r="6621" spans="1:1">
      <c r="A6621" s="56"/>
    </row>
    <row r="6622" spans="1:1">
      <c r="A6622" s="56"/>
    </row>
    <row r="6623" spans="1:1">
      <c r="A6623" s="56"/>
    </row>
    <row r="6624" spans="1:1">
      <c r="A6624" s="56"/>
    </row>
    <row r="6625" spans="1:1">
      <c r="A6625" s="56"/>
    </row>
    <row r="6626" spans="1:1">
      <c r="A6626" s="56"/>
    </row>
    <row r="6627" spans="1:1">
      <c r="A6627" s="56"/>
    </row>
    <row r="6628" spans="1:1">
      <c r="A6628" s="56"/>
    </row>
    <row r="6629" spans="1:1">
      <c r="A6629" s="56"/>
    </row>
    <row r="6630" spans="1:1">
      <c r="A6630" s="56"/>
    </row>
    <row r="6631" spans="1:1">
      <c r="A6631" s="56"/>
    </row>
    <row r="6632" spans="1:1">
      <c r="A6632" s="56"/>
    </row>
    <row r="6633" spans="1:1">
      <c r="A6633" s="56"/>
    </row>
    <row r="6634" spans="1:1">
      <c r="A6634" s="56"/>
    </row>
    <row r="6635" spans="1:1">
      <c r="A6635" s="56"/>
    </row>
    <row r="6636" spans="1:1">
      <c r="A6636" s="56"/>
    </row>
    <row r="6637" spans="1:1">
      <c r="A6637" s="56"/>
    </row>
    <row r="6638" spans="1:1">
      <c r="A6638" s="56"/>
    </row>
    <row r="6639" spans="1:1">
      <c r="A6639" s="56"/>
    </row>
    <row r="6640" spans="1:1">
      <c r="A6640" s="56"/>
    </row>
    <row r="6641" spans="1:1">
      <c r="A6641" s="56"/>
    </row>
    <row r="6642" spans="1:1">
      <c r="A6642" s="56"/>
    </row>
    <row r="6643" spans="1:1">
      <c r="A6643" s="56"/>
    </row>
    <row r="6644" spans="1:1">
      <c r="A6644" s="56"/>
    </row>
    <row r="6645" spans="1:1">
      <c r="A6645" s="56"/>
    </row>
    <row r="6646" spans="1:1">
      <c r="A6646" s="56"/>
    </row>
    <row r="6647" spans="1:1">
      <c r="A6647" s="56"/>
    </row>
    <row r="6648" spans="1:1">
      <c r="A6648" s="56"/>
    </row>
    <row r="6649" spans="1:1">
      <c r="A6649" s="56"/>
    </row>
    <row r="6650" spans="1:1">
      <c r="A6650" s="56"/>
    </row>
    <row r="6651" spans="1:1">
      <c r="A6651" s="56"/>
    </row>
    <row r="6652" spans="1:1">
      <c r="A6652" s="56"/>
    </row>
    <row r="6653" spans="1:1">
      <c r="A6653" s="56"/>
    </row>
    <row r="6654" spans="1:1">
      <c r="A6654" s="56"/>
    </row>
    <row r="6655" spans="1:1">
      <c r="A6655" s="56"/>
    </row>
    <row r="6656" spans="1:1">
      <c r="A6656" s="56"/>
    </row>
    <row r="6657" spans="1:1">
      <c r="A6657" s="56"/>
    </row>
    <row r="6658" spans="1:1">
      <c r="A6658" s="56"/>
    </row>
    <row r="6659" spans="1:1">
      <c r="A6659" s="56"/>
    </row>
    <row r="6660" spans="1:1">
      <c r="A6660" s="56"/>
    </row>
    <row r="6661" spans="1:1">
      <c r="A6661" s="56"/>
    </row>
    <row r="6662" spans="1:1">
      <c r="A6662" s="56"/>
    </row>
    <row r="6663" spans="1:1">
      <c r="A6663" s="56"/>
    </row>
    <row r="6664" spans="1:1">
      <c r="A6664" s="56"/>
    </row>
    <row r="6665" spans="1:1">
      <c r="A6665" s="56"/>
    </row>
    <row r="6666" spans="1:1">
      <c r="A6666" s="56"/>
    </row>
    <row r="6667" spans="1:1">
      <c r="A6667" s="56"/>
    </row>
    <row r="6668" spans="1:1">
      <c r="A6668" s="56"/>
    </row>
    <row r="6669" spans="1:1">
      <c r="A6669" s="56"/>
    </row>
    <row r="6670" spans="1:1">
      <c r="A6670" s="56"/>
    </row>
    <row r="6671" spans="1:1">
      <c r="A6671" s="56"/>
    </row>
    <row r="6672" spans="1:1">
      <c r="A6672" s="56"/>
    </row>
    <row r="6673" spans="1:1">
      <c r="A6673" s="56"/>
    </row>
    <row r="6674" spans="1:1">
      <c r="A6674" s="56"/>
    </row>
    <row r="6675" spans="1:1">
      <c r="A6675" s="56"/>
    </row>
    <row r="6676" spans="1:1">
      <c r="A6676" s="56"/>
    </row>
    <row r="6677" spans="1:1">
      <c r="A6677" s="56"/>
    </row>
    <row r="6678" spans="1:1">
      <c r="A6678" s="56"/>
    </row>
    <row r="6679" spans="1:1">
      <c r="A6679" s="56"/>
    </row>
    <row r="6680" spans="1:1">
      <c r="A6680" s="56"/>
    </row>
    <row r="6681" spans="1:1">
      <c r="A6681" s="56"/>
    </row>
    <row r="6682" spans="1:1">
      <c r="A6682" s="56"/>
    </row>
    <row r="6683" spans="1:1">
      <c r="A6683" s="56"/>
    </row>
    <row r="6684" spans="1:1">
      <c r="A6684" s="56"/>
    </row>
    <row r="6685" spans="1:1">
      <c r="A6685" s="56"/>
    </row>
    <row r="6686" spans="1:1">
      <c r="A6686" s="56"/>
    </row>
    <row r="6687" spans="1:1">
      <c r="A6687" s="56"/>
    </row>
    <row r="6688" spans="1:1">
      <c r="A6688" s="56"/>
    </row>
    <row r="6689" spans="1:1">
      <c r="A6689" s="56"/>
    </row>
    <row r="6690" spans="1:1">
      <c r="A6690" s="56"/>
    </row>
    <row r="6691" spans="1:1">
      <c r="A6691" s="56"/>
    </row>
    <row r="6692" spans="1:1">
      <c r="A6692" s="56"/>
    </row>
    <row r="6693" spans="1:1">
      <c r="A6693" s="56"/>
    </row>
    <row r="6694" spans="1:1">
      <c r="A6694" s="56"/>
    </row>
    <row r="6695" spans="1:1">
      <c r="A6695" s="56"/>
    </row>
    <row r="6696" spans="1:1">
      <c r="A6696" s="56"/>
    </row>
    <row r="6697" spans="1:1">
      <c r="A6697" s="56"/>
    </row>
    <row r="6698" spans="1:1">
      <c r="A6698" s="56"/>
    </row>
    <row r="6699" spans="1:1">
      <c r="A6699" s="56"/>
    </row>
    <row r="6700" spans="1:1">
      <c r="A6700" s="56"/>
    </row>
    <row r="6701" spans="1:1">
      <c r="A6701" s="56"/>
    </row>
    <row r="6702" spans="1:1">
      <c r="A6702" s="56"/>
    </row>
    <row r="6703" spans="1:1">
      <c r="A6703" s="56"/>
    </row>
    <row r="6704" spans="1:1">
      <c r="A6704" s="56"/>
    </row>
    <row r="6705" spans="1:1">
      <c r="A6705" s="56"/>
    </row>
    <row r="6706" spans="1:1">
      <c r="A6706" s="56"/>
    </row>
    <row r="6707" spans="1:1">
      <c r="A6707" s="56"/>
    </row>
    <row r="6708" spans="1:1">
      <c r="A6708" s="56"/>
    </row>
    <row r="6709" spans="1:1">
      <c r="A6709" s="56"/>
    </row>
    <row r="6710" spans="1:1">
      <c r="A6710" s="56"/>
    </row>
    <row r="6711" spans="1:1">
      <c r="A6711" s="56"/>
    </row>
    <row r="6712" spans="1:1">
      <c r="A6712" s="56"/>
    </row>
    <row r="6713" spans="1:1">
      <c r="A6713" s="56"/>
    </row>
    <row r="6714" spans="1:1">
      <c r="A6714" s="56"/>
    </row>
    <row r="6715" spans="1:1">
      <c r="A6715" s="56"/>
    </row>
    <row r="6716" spans="1:1">
      <c r="A6716" s="56"/>
    </row>
    <row r="6717" spans="1:1">
      <c r="A6717" s="56"/>
    </row>
    <row r="6718" spans="1:1">
      <c r="A6718" s="56"/>
    </row>
    <row r="6719" spans="1:1">
      <c r="A6719" s="56"/>
    </row>
    <row r="6720" spans="1:1">
      <c r="A6720" s="56"/>
    </row>
    <row r="6721" spans="1:1">
      <c r="A6721" s="56"/>
    </row>
    <row r="6722" spans="1:1">
      <c r="A6722" s="56"/>
    </row>
    <row r="6723" spans="1:1">
      <c r="A6723" s="56"/>
    </row>
    <row r="6724" spans="1:1">
      <c r="A6724" s="56"/>
    </row>
    <row r="6725" spans="1:1">
      <c r="A6725" s="56"/>
    </row>
    <row r="6726" spans="1:1">
      <c r="A6726" s="56"/>
    </row>
    <row r="6727" spans="1:1">
      <c r="A6727" s="56"/>
    </row>
    <row r="6728" spans="1:1">
      <c r="A6728" s="56"/>
    </row>
    <row r="6729" spans="1:1">
      <c r="A6729" s="56"/>
    </row>
    <row r="6730" spans="1:1">
      <c r="A6730" s="56"/>
    </row>
    <row r="6731" spans="1:1">
      <c r="A6731" s="56"/>
    </row>
    <row r="6732" spans="1:1">
      <c r="A6732" s="56"/>
    </row>
    <row r="6733" spans="1:1">
      <c r="A6733" s="56"/>
    </row>
    <row r="6734" spans="1:1">
      <c r="A6734" s="56"/>
    </row>
    <row r="6735" spans="1:1">
      <c r="A6735" s="56"/>
    </row>
    <row r="6736" spans="1:1">
      <c r="A6736" s="56"/>
    </row>
    <row r="6737" spans="1:1">
      <c r="A6737" s="56"/>
    </row>
    <row r="6738" spans="1:1">
      <c r="A6738" s="56"/>
    </row>
    <row r="6739" spans="1:1">
      <c r="A6739" s="56"/>
    </row>
    <row r="6740" spans="1:1">
      <c r="A6740" s="56"/>
    </row>
    <row r="6741" spans="1:1">
      <c r="A6741" s="56"/>
    </row>
    <row r="6742" spans="1:1">
      <c r="A6742" s="56"/>
    </row>
    <row r="6743" spans="1:1">
      <c r="A6743" s="56"/>
    </row>
    <row r="6744" spans="1:1">
      <c r="A6744" s="56"/>
    </row>
    <row r="6745" spans="1:1">
      <c r="A6745" s="56"/>
    </row>
    <row r="6746" spans="1:1">
      <c r="A6746" s="56"/>
    </row>
    <row r="6747" spans="1:1">
      <c r="A6747" s="56"/>
    </row>
    <row r="6748" spans="1:1">
      <c r="A6748" s="56"/>
    </row>
    <row r="6749" spans="1:1">
      <c r="A6749" s="56"/>
    </row>
    <row r="6750" spans="1:1">
      <c r="A6750" s="56"/>
    </row>
    <row r="6751" spans="1:1">
      <c r="A6751" s="56"/>
    </row>
    <row r="6752" spans="1:1">
      <c r="A6752" s="56"/>
    </row>
    <row r="6753" spans="1:1">
      <c r="A6753" s="56"/>
    </row>
    <row r="6754" spans="1:1">
      <c r="A6754" s="56"/>
    </row>
    <row r="6755" spans="1:1">
      <c r="A6755" s="56"/>
    </row>
    <row r="6756" spans="1:1">
      <c r="A6756" s="56"/>
    </row>
    <row r="6757" spans="1:1">
      <c r="A6757" s="56"/>
    </row>
    <row r="6758" spans="1:1">
      <c r="A6758" s="56"/>
    </row>
    <row r="6759" spans="1:1">
      <c r="A6759" s="56"/>
    </row>
    <row r="6760" spans="1:1">
      <c r="A6760" s="56"/>
    </row>
    <row r="6761" spans="1:1">
      <c r="A6761" s="56"/>
    </row>
    <row r="6762" spans="1:1">
      <c r="A6762" s="56"/>
    </row>
    <row r="6763" spans="1:1">
      <c r="A6763" s="56"/>
    </row>
    <row r="6764" spans="1:1">
      <c r="A6764" s="56"/>
    </row>
    <row r="6765" spans="1:1">
      <c r="A6765" s="56"/>
    </row>
    <row r="6766" spans="1:1">
      <c r="A6766" s="56"/>
    </row>
    <row r="6767" spans="1:1">
      <c r="A6767" s="56"/>
    </row>
    <row r="6768" spans="1:1">
      <c r="A6768" s="56"/>
    </row>
    <row r="6769" spans="1:1">
      <c r="A6769" s="56"/>
    </row>
    <row r="6770" spans="1:1">
      <c r="A6770" s="56"/>
    </row>
    <row r="6771" spans="1:1">
      <c r="A6771" s="56"/>
    </row>
    <row r="6772" spans="1:1">
      <c r="A6772" s="56"/>
    </row>
    <row r="6773" spans="1:1">
      <c r="A6773" s="56"/>
    </row>
    <row r="6774" spans="1:1">
      <c r="A6774" s="56"/>
    </row>
    <row r="6775" spans="1:1">
      <c r="A6775" s="56"/>
    </row>
    <row r="6776" spans="1:1">
      <c r="A6776" s="56"/>
    </row>
    <row r="6777" spans="1:1">
      <c r="A6777" s="56"/>
    </row>
    <row r="6778" spans="1:1">
      <c r="A6778" s="56"/>
    </row>
    <row r="6779" spans="1:1">
      <c r="A6779" s="56"/>
    </row>
    <row r="6780" spans="1:1">
      <c r="A6780" s="56"/>
    </row>
    <row r="6781" spans="1:1">
      <c r="A6781" s="56"/>
    </row>
    <row r="6782" spans="1:1">
      <c r="A6782" s="56"/>
    </row>
    <row r="6783" spans="1:1">
      <c r="A6783" s="56"/>
    </row>
    <row r="6784" spans="1:1">
      <c r="A6784" s="56"/>
    </row>
    <row r="6785" spans="1:1">
      <c r="A6785" s="56"/>
    </row>
    <row r="6786" spans="1:1">
      <c r="A6786" s="56"/>
    </row>
    <row r="6787" spans="1:1">
      <c r="A6787" s="56"/>
    </row>
    <row r="6788" spans="1:1">
      <c r="A6788" s="56"/>
    </row>
    <row r="6789" spans="1:1">
      <c r="A6789" s="56"/>
    </row>
    <row r="6790" spans="1:1">
      <c r="A6790" s="56"/>
    </row>
    <row r="6791" spans="1:1">
      <c r="A6791" s="56"/>
    </row>
    <row r="6792" spans="1:1">
      <c r="A6792" s="56"/>
    </row>
    <row r="6793" spans="1:1">
      <c r="A6793" s="56"/>
    </row>
    <row r="6794" spans="1:1">
      <c r="A6794" s="56"/>
    </row>
    <row r="6795" spans="1:1">
      <c r="A6795" s="56"/>
    </row>
    <row r="6796" spans="1:1">
      <c r="A6796" s="56"/>
    </row>
    <row r="6797" spans="1:1">
      <c r="A6797" s="56"/>
    </row>
    <row r="6798" spans="1:1">
      <c r="A6798" s="56"/>
    </row>
    <row r="6799" spans="1:1">
      <c r="A6799" s="56"/>
    </row>
    <row r="6800" spans="1:1">
      <c r="A6800" s="56"/>
    </row>
    <row r="6801" spans="1:1">
      <c r="A6801" s="56"/>
    </row>
    <row r="6802" spans="1:1">
      <c r="A6802" s="56"/>
    </row>
    <row r="6803" spans="1:1">
      <c r="A6803" s="56"/>
    </row>
    <row r="6804" spans="1:1">
      <c r="A6804" s="56"/>
    </row>
    <row r="6805" spans="1:1">
      <c r="A6805" s="56"/>
    </row>
    <row r="6806" spans="1:1">
      <c r="A6806" s="56"/>
    </row>
    <row r="6807" spans="1:1">
      <c r="A6807" s="56"/>
    </row>
    <row r="6808" spans="1:1">
      <c r="A6808" s="56"/>
    </row>
    <row r="6809" spans="1:1">
      <c r="A6809" s="56"/>
    </row>
    <row r="6810" spans="1:1">
      <c r="A6810" s="56"/>
    </row>
    <row r="6811" spans="1:1">
      <c r="A6811" s="56"/>
    </row>
    <row r="6812" spans="1:1">
      <c r="A6812" s="56"/>
    </row>
    <row r="6813" spans="1:1">
      <c r="A6813" s="56"/>
    </row>
    <row r="6814" spans="1:1">
      <c r="A6814" s="56"/>
    </row>
    <row r="6815" spans="1:1">
      <c r="A6815" s="56"/>
    </row>
    <row r="6816" spans="1:1">
      <c r="A6816" s="56"/>
    </row>
    <row r="6817" spans="1:1">
      <c r="A6817" s="56"/>
    </row>
    <row r="6818" spans="1:1">
      <c r="A6818" s="56"/>
    </row>
    <row r="6819" spans="1:1">
      <c r="A6819" s="56"/>
    </row>
    <row r="6820" spans="1:1">
      <c r="A6820" s="56"/>
    </row>
    <row r="6821" spans="1:1">
      <c r="A6821" s="56"/>
    </row>
    <row r="6822" spans="1:1">
      <c r="A6822" s="56"/>
    </row>
    <row r="6823" spans="1:1">
      <c r="A6823" s="56"/>
    </row>
    <row r="6824" spans="1:1">
      <c r="A6824" s="56"/>
    </row>
    <row r="6825" spans="1:1">
      <c r="A6825" s="56"/>
    </row>
    <row r="6826" spans="1:1">
      <c r="A6826" s="56"/>
    </row>
    <row r="6827" spans="1:1">
      <c r="A6827" s="56"/>
    </row>
    <row r="6828" spans="1:1">
      <c r="A6828" s="56"/>
    </row>
    <row r="6829" spans="1:1">
      <c r="A6829" s="56"/>
    </row>
    <row r="6830" spans="1:1">
      <c r="A6830" s="56"/>
    </row>
    <row r="6831" spans="1:1">
      <c r="A6831" s="56"/>
    </row>
    <row r="6832" spans="1:1">
      <c r="A6832" s="56"/>
    </row>
    <row r="6833" spans="1:1">
      <c r="A6833" s="56"/>
    </row>
    <row r="6834" spans="1:1">
      <c r="A6834" s="56"/>
    </row>
    <row r="6835" spans="1:1">
      <c r="A6835" s="56"/>
    </row>
    <row r="6836" spans="1:1">
      <c r="A6836" s="56"/>
    </row>
    <row r="6837" spans="1:1">
      <c r="A6837" s="56"/>
    </row>
    <row r="6838" spans="1:1">
      <c r="A6838" s="56"/>
    </row>
    <row r="6839" spans="1:1">
      <c r="A6839" s="56"/>
    </row>
    <row r="6840" spans="1:1">
      <c r="A6840" s="56"/>
    </row>
    <row r="6841" spans="1:1">
      <c r="A6841" s="56"/>
    </row>
    <row r="6842" spans="1:1">
      <c r="A6842" s="56"/>
    </row>
    <row r="6843" spans="1:1">
      <c r="A6843" s="56"/>
    </row>
    <row r="6844" spans="1:1">
      <c r="A6844" s="56"/>
    </row>
    <row r="6845" spans="1:1">
      <c r="A6845" s="56"/>
    </row>
    <row r="6846" spans="1:1">
      <c r="A6846" s="56"/>
    </row>
    <row r="6847" spans="1:1">
      <c r="A6847" s="56"/>
    </row>
    <row r="6848" spans="1:1">
      <c r="A6848" s="56"/>
    </row>
    <row r="6849" spans="1:1">
      <c r="A6849" s="56"/>
    </row>
    <row r="6850" spans="1:1">
      <c r="A6850" s="56"/>
    </row>
    <row r="6851" spans="1:1">
      <c r="A6851" s="56"/>
    </row>
    <row r="6852" spans="1:1">
      <c r="A6852" s="56"/>
    </row>
    <row r="6853" spans="1:1">
      <c r="A6853" s="56"/>
    </row>
    <row r="6854" spans="1:1">
      <c r="A6854" s="56"/>
    </row>
    <row r="6855" spans="1:1">
      <c r="A6855" s="56"/>
    </row>
    <row r="6856" spans="1:1">
      <c r="A6856" s="56"/>
    </row>
    <row r="6857" spans="1:1">
      <c r="A6857" s="56"/>
    </row>
    <row r="6858" spans="1:1">
      <c r="A6858" s="56"/>
    </row>
    <row r="6859" spans="1:1">
      <c r="A6859" s="56"/>
    </row>
    <row r="6860" spans="1:1">
      <c r="A6860" s="56"/>
    </row>
    <row r="6861" spans="1:1">
      <c r="A6861" s="56"/>
    </row>
    <row r="6862" spans="1:1">
      <c r="A6862" s="56"/>
    </row>
    <row r="6863" spans="1:1">
      <c r="A6863" s="56"/>
    </row>
    <row r="6864" spans="1:1">
      <c r="A6864" s="56"/>
    </row>
    <row r="6865" spans="1:1">
      <c r="A6865" s="56"/>
    </row>
    <row r="6866" spans="1:1">
      <c r="A6866" s="56"/>
    </row>
    <row r="6867" spans="1:1">
      <c r="A6867" s="56"/>
    </row>
    <row r="6868" spans="1:1">
      <c r="A6868" s="56"/>
    </row>
    <row r="6869" spans="1:1">
      <c r="A6869" s="56"/>
    </row>
    <row r="6870" spans="1:1">
      <c r="A6870" s="56"/>
    </row>
    <row r="6871" spans="1:1">
      <c r="A6871" s="56"/>
    </row>
    <row r="6872" spans="1:1">
      <c r="A6872" s="56"/>
    </row>
    <row r="6873" spans="1:1">
      <c r="A6873" s="56"/>
    </row>
    <row r="6874" spans="1:1">
      <c r="A6874" s="56"/>
    </row>
    <row r="6875" spans="1:1">
      <c r="A6875" s="56"/>
    </row>
    <row r="6876" spans="1:1">
      <c r="A6876" s="56"/>
    </row>
    <row r="6877" spans="1:1">
      <c r="A6877" s="56"/>
    </row>
    <row r="6878" spans="1:1">
      <c r="A6878" s="56"/>
    </row>
    <row r="6879" spans="1:1">
      <c r="A6879" s="56"/>
    </row>
    <row r="6880" spans="1:1">
      <c r="A6880" s="56"/>
    </row>
    <row r="6881" spans="1:1">
      <c r="A6881" s="56"/>
    </row>
    <row r="6882" spans="1:1">
      <c r="A6882" s="56"/>
    </row>
    <row r="6883" spans="1:1">
      <c r="A6883" s="56"/>
    </row>
    <row r="6884" spans="1:1">
      <c r="A6884" s="56"/>
    </row>
    <row r="6885" spans="1:1">
      <c r="A6885" s="56"/>
    </row>
    <row r="6886" spans="1:1">
      <c r="A6886" s="56"/>
    </row>
    <row r="6887" spans="1:1">
      <c r="A6887" s="56"/>
    </row>
    <row r="6888" spans="1:1">
      <c r="A6888" s="56"/>
    </row>
    <row r="6889" spans="1:1">
      <c r="A6889" s="56"/>
    </row>
    <row r="6890" spans="1:1">
      <c r="A6890" s="56"/>
    </row>
    <row r="6891" spans="1:1">
      <c r="A6891" s="56"/>
    </row>
    <row r="6892" spans="1:1">
      <c r="A6892" s="56"/>
    </row>
    <row r="6893" spans="1:1">
      <c r="A6893" s="56"/>
    </row>
    <row r="6894" spans="1:1">
      <c r="A6894" s="56"/>
    </row>
    <row r="6895" spans="1:1">
      <c r="A6895" s="56"/>
    </row>
    <row r="6896" spans="1:1">
      <c r="A6896" s="56"/>
    </row>
    <row r="6897" spans="1:1">
      <c r="A6897" s="56"/>
    </row>
    <row r="6898" spans="1:1">
      <c r="A6898" s="56"/>
    </row>
    <row r="6899" spans="1:1">
      <c r="A6899" s="56"/>
    </row>
    <row r="6900" spans="1:1">
      <c r="A6900" s="56"/>
    </row>
    <row r="6901" spans="1:1">
      <c r="A6901" s="56"/>
    </row>
    <row r="6902" spans="1:1">
      <c r="A6902" s="56"/>
    </row>
    <row r="6903" spans="1:1">
      <c r="A6903" s="56"/>
    </row>
    <row r="6904" spans="1:1">
      <c r="A6904" s="56"/>
    </row>
    <row r="6905" spans="1:1">
      <c r="A6905" s="56"/>
    </row>
    <row r="6906" spans="1:1">
      <c r="A6906" s="56"/>
    </row>
    <row r="6907" spans="1:1">
      <c r="A6907" s="56"/>
    </row>
    <row r="6908" spans="1:1">
      <c r="A6908" s="56"/>
    </row>
    <row r="6909" spans="1:1">
      <c r="A6909" s="56"/>
    </row>
    <row r="6910" spans="1:1">
      <c r="A6910" s="56"/>
    </row>
    <row r="6911" spans="1:1">
      <c r="A6911" s="56"/>
    </row>
    <row r="6912" spans="1:1">
      <c r="A6912" s="56"/>
    </row>
    <row r="6913" spans="1:1">
      <c r="A6913" s="56"/>
    </row>
    <row r="6914" spans="1:1">
      <c r="A6914" s="56"/>
    </row>
    <row r="6915" spans="1:1">
      <c r="A6915" s="56"/>
    </row>
    <row r="6916" spans="1:1">
      <c r="A6916" s="56"/>
    </row>
    <row r="6917" spans="1:1">
      <c r="A6917" s="56"/>
    </row>
    <row r="6918" spans="1:1">
      <c r="A6918" s="56"/>
    </row>
    <row r="6919" spans="1:1">
      <c r="A6919" s="56"/>
    </row>
    <row r="6920" spans="1:1">
      <c r="A6920" s="56"/>
    </row>
    <row r="6921" spans="1:1">
      <c r="A6921" s="56"/>
    </row>
    <row r="6922" spans="1:1">
      <c r="A6922" s="56"/>
    </row>
    <row r="6923" spans="1:1">
      <c r="A6923" s="56"/>
    </row>
    <row r="6924" spans="1:1">
      <c r="A6924" s="56"/>
    </row>
    <row r="6925" spans="1:1">
      <c r="A6925" s="56"/>
    </row>
    <row r="6926" spans="1:1">
      <c r="A6926" s="56"/>
    </row>
    <row r="6927" spans="1:1">
      <c r="A6927" s="56"/>
    </row>
    <row r="6928" spans="1:1">
      <c r="A6928" s="56"/>
    </row>
    <row r="6929" spans="1:1">
      <c r="A6929" s="56"/>
    </row>
    <row r="6930" spans="1:1">
      <c r="A6930" s="56"/>
    </row>
    <row r="6931" spans="1:1">
      <c r="A6931" s="56"/>
    </row>
    <row r="6932" spans="1:1">
      <c r="A6932" s="56"/>
    </row>
    <row r="6933" spans="1:1">
      <c r="A6933" s="56"/>
    </row>
    <row r="6934" spans="1:1">
      <c r="A6934" s="56"/>
    </row>
    <row r="6935" spans="1:1">
      <c r="A6935" s="56"/>
    </row>
    <row r="6936" spans="1:1">
      <c r="A6936" s="56"/>
    </row>
    <row r="6937" spans="1:1">
      <c r="A6937" s="56"/>
    </row>
    <row r="6938" spans="1:1">
      <c r="A6938" s="56"/>
    </row>
    <row r="6939" spans="1:1">
      <c r="A6939" s="56"/>
    </row>
    <row r="6940" spans="1:1">
      <c r="A6940" s="56"/>
    </row>
    <row r="6941" spans="1:1">
      <c r="A6941" s="56"/>
    </row>
    <row r="6942" spans="1:1">
      <c r="A6942" s="56"/>
    </row>
    <row r="6943" spans="1:1">
      <c r="A6943" s="56"/>
    </row>
    <row r="6944" spans="1:1">
      <c r="A6944" s="56"/>
    </row>
    <row r="6945" spans="1:1">
      <c r="A6945" s="56"/>
    </row>
    <row r="6946" spans="1:1">
      <c r="A6946" s="56"/>
    </row>
    <row r="6947" spans="1:1">
      <c r="A6947" s="56"/>
    </row>
    <row r="6948" spans="1:1">
      <c r="A6948" s="56"/>
    </row>
    <row r="6949" spans="1:1">
      <c r="A6949" s="56"/>
    </row>
    <row r="6950" spans="1:1">
      <c r="A6950" s="56"/>
    </row>
    <row r="6951" spans="1:1">
      <c r="A6951" s="56"/>
    </row>
    <row r="6952" spans="1:1">
      <c r="A6952" s="56"/>
    </row>
    <row r="6953" spans="1:1">
      <c r="A6953" s="56"/>
    </row>
    <row r="6954" spans="1:1">
      <c r="A6954" s="56"/>
    </row>
    <row r="6955" spans="1:1">
      <c r="A6955" s="56"/>
    </row>
    <row r="6956" spans="1:1">
      <c r="A6956" s="56"/>
    </row>
    <row r="6957" spans="1:1">
      <c r="A6957" s="56"/>
    </row>
    <row r="6958" spans="1:1">
      <c r="A6958" s="56"/>
    </row>
    <row r="6959" spans="1:1">
      <c r="A6959" s="56"/>
    </row>
    <row r="6960" spans="1:1">
      <c r="A6960" s="56"/>
    </row>
    <row r="6961" spans="1:1">
      <c r="A6961" s="56"/>
    </row>
    <row r="6962" spans="1:1">
      <c r="A6962" s="56"/>
    </row>
    <row r="6963" spans="1:1">
      <c r="A6963" s="56"/>
    </row>
    <row r="6964" spans="1:1">
      <c r="A6964" s="56"/>
    </row>
    <row r="6965" spans="1:1">
      <c r="A6965" s="56"/>
    </row>
    <row r="6966" spans="1:1">
      <c r="A6966" s="56"/>
    </row>
    <row r="6967" spans="1:1">
      <c r="A6967" s="56"/>
    </row>
    <row r="6968" spans="1:1">
      <c r="A6968" s="56"/>
    </row>
    <row r="6969" spans="1:1">
      <c r="A6969" s="56"/>
    </row>
    <row r="6970" spans="1:1">
      <c r="A6970" s="56"/>
    </row>
    <row r="6971" spans="1:1">
      <c r="A6971" s="56"/>
    </row>
    <row r="6972" spans="1:1">
      <c r="A6972" s="56"/>
    </row>
    <row r="6973" spans="1:1">
      <c r="A6973" s="56"/>
    </row>
    <row r="6974" spans="1:1">
      <c r="A6974" s="56"/>
    </row>
    <row r="6975" spans="1:1">
      <c r="A6975" s="56"/>
    </row>
    <row r="6976" spans="1:1">
      <c r="A6976" s="56"/>
    </row>
    <row r="6977" spans="1:1">
      <c r="A6977" s="56"/>
    </row>
    <row r="6978" spans="1:1">
      <c r="A6978" s="56"/>
    </row>
    <row r="6979" spans="1:1">
      <c r="A6979" s="56"/>
    </row>
    <row r="6980" spans="1:1">
      <c r="A6980" s="56"/>
    </row>
    <row r="6981" spans="1:1">
      <c r="A6981" s="56"/>
    </row>
    <row r="6982" spans="1:1">
      <c r="A6982" s="56"/>
    </row>
    <row r="6983" spans="1:1">
      <c r="A6983" s="56"/>
    </row>
    <row r="6984" spans="1:1">
      <c r="A6984" s="56"/>
    </row>
    <row r="6985" spans="1:1">
      <c r="A6985" s="56"/>
    </row>
    <row r="6986" spans="1:1">
      <c r="A6986" s="56"/>
    </row>
    <row r="6987" spans="1:1">
      <c r="A6987" s="56"/>
    </row>
    <row r="6988" spans="1:1">
      <c r="A6988" s="56"/>
    </row>
    <row r="6989" spans="1:1">
      <c r="A6989" s="56"/>
    </row>
    <row r="6990" spans="1:1">
      <c r="A6990" s="56"/>
    </row>
    <row r="6991" spans="1:1">
      <c r="A6991" s="56"/>
    </row>
    <row r="6992" spans="1:1">
      <c r="A6992" s="56"/>
    </row>
    <row r="6993" spans="1:1">
      <c r="A6993" s="56"/>
    </row>
    <row r="6994" spans="1:1">
      <c r="A6994" s="56"/>
    </row>
    <row r="6995" spans="1:1">
      <c r="A6995" s="56"/>
    </row>
    <row r="6996" spans="1:1">
      <c r="A6996" s="56"/>
    </row>
    <row r="6997" spans="1:1">
      <c r="A6997" s="56"/>
    </row>
    <row r="6998" spans="1:1">
      <c r="A6998" s="56"/>
    </row>
    <row r="6999" spans="1:1">
      <c r="A6999" s="56"/>
    </row>
    <row r="7000" spans="1:1">
      <c r="A7000" s="56"/>
    </row>
    <row r="7001" spans="1:1">
      <c r="A7001" s="56"/>
    </row>
    <row r="7002" spans="1:1">
      <c r="A7002" s="56"/>
    </row>
    <row r="7003" spans="1:1">
      <c r="A7003" s="56"/>
    </row>
    <row r="7004" spans="1:1">
      <c r="A7004" s="56"/>
    </row>
    <row r="7005" spans="1:1">
      <c r="A7005" s="56"/>
    </row>
    <row r="7006" spans="1:1">
      <c r="A7006" s="56"/>
    </row>
    <row r="7007" spans="1:1">
      <c r="A7007" s="56"/>
    </row>
    <row r="7008" spans="1:1">
      <c r="A7008" s="56"/>
    </row>
    <row r="7009" spans="1:1">
      <c r="A7009" s="56"/>
    </row>
    <row r="7010" spans="1:1">
      <c r="A7010" s="56"/>
    </row>
    <row r="7011" spans="1:1">
      <c r="A7011" s="56"/>
    </row>
    <row r="7012" spans="1:1">
      <c r="A7012" s="56"/>
    </row>
    <row r="7013" spans="1:1">
      <c r="A7013" s="56"/>
    </row>
    <row r="7014" spans="1:1">
      <c r="A7014" s="56"/>
    </row>
    <row r="7015" spans="1:1">
      <c r="A7015" s="56"/>
    </row>
    <row r="7016" spans="1:1">
      <c r="A7016" s="56"/>
    </row>
    <row r="7017" spans="1:1">
      <c r="A7017" s="56"/>
    </row>
    <row r="7018" spans="1:1">
      <c r="A7018" s="56"/>
    </row>
    <row r="7019" spans="1:1">
      <c r="A7019" s="56"/>
    </row>
    <row r="7020" spans="1:1">
      <c r="A7020" s="56"/>
    </row>
    <row r="7021" spans="1:1">
      <c r="A7021" s="56"/>
    </row>
    <row r="7022" spans="1:1">
      <c r="A7022" s="56"/>
    </row>
    <row r="7023" spans="1:1">
      <c r="A7023" s="56"/>
    </row>
    <row r="7024" spans="1:1">
      <c r="A7024" s="56"/>
    </row>
    <row r="7025" spans="1:1">
      <c r="A7025" s="56"/>
    </row>
    <row r="7026" spans="1:1">
      <c r="A7026" s="56"/>
    </row>
    <row r="7027" spans="1:1">
      <c r="A7027" s="56"/>
    </row>
    <row r="7028" spans="1:1">
      <c r="A7028" s="56"/>
    </row>
    <row r="7029" spans="1:1">
      <c r="A7029" s="56"/>
    </row>
    <row r="7030" spans="1:1">
      <c r="A7030" s="56"/>
    </row>
    <row r="7031" spans="1:1">
      <c r="A7031" s="56"/>
    </row>
    <row r="7032" spans="1:1">
      <c r="A7032" s="56"/>
    </row>
    <row r="7033" spans="1:1">
      <c r="A7033" s="56"/>
    </row>
    <row r="7034" spans="1:1">
      <c r="A7034" s="56"/>
    </row>
    <row r="7035" spans="1:1">
      <c r="A7035" s="56"/>
    </row>
    <row r="7036" spans="1:1">
      <c r="A7036" s="56"/>
    </row>
    <row r="7037" spans="1:1">
      <c r="A7037" s="56"/>
    </row>
    <row r="7038" spans="1:1">
      <c r="A7038" s="56"/>
    </row>
    <row r="7039" spans="1:1">
      <c r="A7039" s="56"/>
    </row>
    <row r="7040" spans="1:1">
      <c r="A7040" s="56"/>
    </row>
    <row r="7041" spans="1:1">
      <c r="A7041" s="56"/>
    </row>
    <row r="7042" spans="1:1">
      <c r="A7042" s="56"/>
    </row>
    <row r="7043" spans="1:1">
      <c r="A7043" s="56"/>
    </row>
    <row r="7044" spans="1:1">
      <c r="A7044" s="56"/>
    </row>
    <row r="7045" spans="1:1">
      <c r="A7045" s="56"/>
    </row>
    <row r="7046" spans="1:1">
      <c r="A7046" s="56"/>
    </row>
    <row r="7047" spans="1:1">
      <c r="A7047" s="56"/>
    </row>
    <row r="7048" spans="1:1">
      <c r="A7048" s="56"/>
    </row>
    <row r="7049" spans="1:1">
      <c r="A7049" s="56"/>
    </row>
    <row r="7050" spans="1:1">
      <c r="A7050" s="56"/>
    </row>
    <row r="7051" spans="1:1">
      <c r="A7051" s="56"/>
    </row>
    <row r="7052" spans="1:1">
      <c r="A7052" s="56"/>
    </row>
    <row r="7053" spans="1:1">
      <c r="A7053" s="56"/>
    </row>
    <row r="7054" spans="1:1">
      <c r="A7054" s="56"/>
    </row>
    <row r="7055" spans="1:1">
      <c r="A7055" s="56"/>
    </row>
    <row r="7056" spans="1:1">
      <c r="A7056" s="56"/>
    </row>
    <row r="7057" spans="1:1">
      <c r="A7057" s="56"/>
    </row>
    <row r="7058" spans="1:1">
      <c r="A7058" s="56"/>
    </row>
    <row r="7059" spans="1:1">
      <c r="A7059" s="56"/>
    </row>
    <row r="7060" spans="1:1">
      <c r="A7060" s="56"/>
    </row>
    <row r="7061" spans="1:1">
      <c r="A7061" s="56"/>
    </row>
    <row r="7062" spans="1:1">
      <c r="A7062" s="56"/>
    </row>
    <row r="7063" spans="1:1">
      <c r="A7063" s="56"/>
    </row>
    <row r="7064" spans="1:1">
      <c r="A7064" s="56"/>
    </row>
    <row r="7065" spans="1:1">
      <c r="A7065" s="56"/>
    </row>
    <row r="7066" spans="1:1">
      <c r="A7066" s="56"/>
    </row>
    <row r="7067" spans="1:1">
      <c r="A7067" s="56"/>
    </row>
    <row r="7068" spans="1:1">
      <c r="A7068" s="56"/>
    </row>
    <row r="7069" spans="1:1">
      <c r="A7069" s="56"/>
    </row>
    <row r="7070" spans="1:1">
      <c r="A7070" s="56"/>
    </row>
    <row r="7071" spans="1:1">
      <c r="A7071" s="56"/>
    </row>
    <row r="7072" spans="1:1">
      <c r="A7072" s="56"/>
    </row>
    <row r="7073" spans="1:1">
      <c r="A7073" s="56"/>
    </row>
    <row r="7074" spans="1:1">
      <c r="A7074" s="56"/>
    </row>
    <row r="7075" spans="1:1">
      <c r="A7075" s="56"/>
    </row>
    <row r="7076" spans="1:1">
      <c r="A7076" s="56"/>
    </row>
    <row r="7077" spans="1:1">
      <c r="A7077" s="56"/>
    </row>
    <row r="7078" spans="1:1">
      <c r="A7078" s="56"/>
    </row>
    <row r="7079" spans="1:1">
      <c r="A7079" s="56"/>
    </row>
    <row r="7080" spans="1:1">
      <c r="A7080" s="56"/>
    </row>
    <row r="7081" spans="1:1">
      <c r="A7081" s="56"/>
    </row>
    <row r="7082" spans="1:1">
      <c r="A7082" s="56"/>
    </row>
    <row r="7083" spans="1:1">
      <c r="A7083" s="56"/>
    </row>
    <row r="7084" spans="1:1">
      <c r="A7084" s="56"/>
    </row>
    <row r="7085" spans="1:1">
      <c r="A7085" s="56"/>
    </row>
    <row r="7086" spans="1:1">
      <c r="A7086" s="56"/>
    </row>
    <row r="7087" spans="1:1">
      <c r="A7087" s="56"/>
    </row>
    <row r="7088" spans="1:1">
      <c r="A7088" s="56"/>
    </row>
    <row r="7089" spans="1:1">
      <c r="A7089" s="56"/>
    </row>
    <row r="7090" spans="1:1">
      <c r="A7090" s="56"/>
    </row>
    <row r="7091" spans="1:1">
      <c r="A7091" s="56"/>
    </row>
    <row r="7092" spans="1:1">
      <c r="A7092" s="56"/>
    </row>
    <row r="7093" spans="1:1">
      <c r="A7093" s="56"/>
    </row>
    <row r="7094" spans="1:1">
      <c r="A7094" s="56"/>
    </row>
    <row r="7095" spans="1:1">
      <c r="A7095" s="56"/>
    </row>
    <row r="7096" spans="1:1">
      <c r="A7096" s="56"/>
    </row>
    <row r="7097" spans="1:1">
      <c r="A7097" s="56"/>
    </row>
    <row r="7098" spans="1:1">
      <c r="A7098" s="56"/>
    </row>
    <row r="7099" spans="1:1">
      <c r="A7099" s="56"/>
    </row>
    <row r="7100" spans="1:1">
      <c r="A7100" s="56"/>
    </row>
    <row r="7101" spans="1:1">
      <c r="A7101" s="56"/>
    </row>
    <row r="7102" spans="1:1">
      <c r="A7102" s="56"/>
    </row>
    <row r="7103" spans="1:1">
      <c r="A7103" s="56"/>
    </row>
    <row r="7104" spans="1:1">
      <c r="A7104" s="56"/>
    </row>
    <row r="7105" spans="1:1">
      <c r="A7105" s="56"/>
    </row>
    <row r="7106" spans="1:1">
      <c r="A7106" s="56"/>
    </row>
    <row r="7107" spans="1:1">
      <c r="A7107" s="56"/>
    </row>
    <row r="7108" spans="1:1">
      <c r="A7108" s="56"/>
    </row>
    <row r="7109" spans="1:1">
      <c r="A7109" s="56"/>
    </row>
    <row r="7110" spans="1:1">
      <c r="A7110" s="56"/>
    </row>
    <row r="7111" spans="1:1">
      <c r="A7111" s="56"/>
    </row>
    <row r="7112" spans="1:1">
      <c r="A7112" s="56"/>
    </row>
    <row r="7113" spans="1:1">
      <c r="A7113" s="56"/>
    </row>
    <row r="7114" spans="1:1">
      <c r="A7114" s="56"/>
    </row>
    <row r="7115" spans="1:1">
      <c r="A7115" s="56"/>
    </row>
    <row r="7116" spans="1:1">
      <c r="A7116" s="56"/>
    </row>
    <row r="7117" spans="1:1">
      <c r="A7117" s="56"/>
    </row>
    <row r="7118" spans="1:1">
      <c r="A7118" s="56"/>
    </row>
    <row r="7119" spans="1:1">
      <c r="A7119" s="56"/>
    </row>
    <row r="7120" spans="1:1">
      <c r="A7120" s="56"/>
    </row>
    <row r="7121" spans="1:1">
      <c r="A7121" s="56"/>
    </row>
    <row r="7122" spans="1:1">
      <c r="A7122" s="56"/>
    </row>
    <row r="7123" spans="1:1">
      <c r="A7123" s="56"/>
    </row>
    <row r="7124" spans="1:1">
      <c r="A7124" s="56"/>
    </row>
    <row r="7125" spans="1:1">
      <c r="A7125" s="56"/>
    </row>
    <row r="7126" spans="1:1">
      <c r="A7126" s="56"/>
    </row>
    <row r="7127" spans="1:1">
      <c r="A7127" s="56"/>
    </row>
    <row r="7128" spans="1:1">
      <c r="A7128" s="56"/>
    </row>
    <row r="7129" spans="1:1">
      <c r="A7129" s="56"/>
    </row>
    <row r="7130" spans="1:1">
      <c r="A7130" s="56"/>
    </row>
    <row r="7131" spans="1:1">
      <c r="A7131" s="56"/>
    </row>
    <row r="7132" spans="1:1">
      <c r="A7132" s="56"/>
    </row>
    <row r="7133" spans="1:1">
      <c r="A7133" s="56"/>
    </row>
    <row r="7134" spans="1:1">
      <c r="A7134" s="56"/>
    </row>
    <row r="7135" spans="1:1">
      <c r="A7135" s="56"/>
    </row>
    <row r="7136" spans="1:1">
      <c r="A7136" s="56"/>
    </row>
    <row r="7137" spans="1:1">
      <c r="A7137" s="56"/>
    </row>
    <row r="7138" spans="1:1">
      <c r="A7138" s="56"/>
    </row>
    <row r="7139" spans="1:1">
      <c r="A7139" s="56"/>
    </row>
    <row r="7140" spans="1:1">
      <c r="A7140" s="56"/>
    </row>
    <row r="7141" spans="1:1">
      <c r="A7141" s="56"/>
    </row>
    <row r="7142" spans="1:1">
      <c r="A7142" s="56"/>
    </row>
    <row r="7143" spans="1:1">
      <c r="A7143" s="56"/>
    </row>
    <row r="7144" spans="1:1">
      <c r="A7144" s="56"/>
    </row>
    <row r="7145" spans="1:1">
      <c r="A7145" s="56"/>
    </row>
    <row r="7146" spans="1:1">
      <c r="A7146" s="56"/>
    </row>
    <row r="7147" spans="1:1">
      <c r="A7147" s="56"/>
    </row>
    <row r="7148" spans="1:1">
      <c r="A7148" s="56"/>
    </row>
    <row r="7149" spans="1:1">
      <c r="A7149" s="56"/>
    </row>
    <row r="7150" spans="1:1">
      <c r="A7150" s="56"/>
    </row>
    <row r="7151" spans="1:1">
      <c r="A7151" s="56"/>
    </row>
    <row r="7152" spans="1:1">
      <c r="A7152" s="56"/>
    </row>
    <row r="7153" spans="1:1">
      <c r="A7153" s="56"/>
    </row>
    <row r="7154" spans="1:1">
      <c r="A7154" s="56"/>
    </row>
    <row r="7155" spans="1:1">
      <c r="A7155" s="56"/>
    </row>
    <row r="7156" spans="1:1">
      <c r="A7156" s="56"/>
    </row>
    <row r="7157" spans="1:1">
      <c r="A7157" s="56"/>
    </row>
    <row r="7158" spans="1:1">
      <c r="A7158" s="56"/>
    </row>
    <row r="7159" spans="1:1">
      <c r="A7159" s="56"/>
    </row>
    <row r="7160" spans="1:1">
      <c r="A7160" s="56"/>
    </row>
    <row r="7161" spans="1:1">
      <c r="A7161" s="56"/>
    </row>
    <row r="7162" spans="1:1">
      <c r="A7162" s="56"/>
    </row>
    <row r="7163" spans="1:1">
      <c r="A7163" s="56"/>
    </row>
    <row r="7164" spans="1:1">
      <c r="A7164" s="56"/>
    </row>
    <row r="7165" spans="1:1">
      <c r="A7165" s="56"/>
    </row>
    <row r="7166" spans="1:1">
      <c r="A7166" s="56"/>
    </row>
    <row r="7167" spans="1:1">
      <c r="A7167" s="56"/>
    </row>
    <row r="7168" spans="1:1">
      <c r="A7168" s="56"/>
    </row>
    <row r="7169" spans="1:1">
      <c r="A7169" s="56"/>
    </row>
    <row r="7170" spans="1:1">
      <c r="A7170" s="56"/>
    </row>
    <row r="7171" spans="1:1">
      <c r="A7171" s="56"/>
    </row>
    <row r="7172" spans="1:1">
      <c r="A7172" s="56"/>
    </row>
    <row r="7173" spans="1:1">
      <c r="A7173" s="56"/>
    </row>
    <row r="7174" spans="1:1">
      <c r="A7174" s="56"/>
    </row>
    <row r="7175" spans="1:1">
      <c r="A7175" s="56"/>
    </row>
    <row r="7176" spans="1:1">
      <c r="A7176" s="56"/>
    </row>
    <row r="7177" spans="1:1">
      <c r="A7177" s="56"/>
    </row>
    <row r="7178" spans="1:1">
      <c r="A7178" s="56"/>
    </row>
    <row r="7179" spans="1:1">
      <c r="A7179" s="56"/>
    </row>
    <row r="7180" spans="1:1">
      <c r="A7180" s="56"/>
    </row>
    <row r="7181" spans="1:1">
      <c r="A7181" s="56"/>
    </row>
    <row r="7182" spans="1:1">
      <c r="A7182" s="56"/>
    </row>
    <row r="7183" spans="1:1">
      <c r="A7183" s="56"/>
    </row>
    <row r="7184" spans="1:1">
      <c r="A7184" s="56"/>
    </row>
    <row r="7185" spans="1:1">
      <c r="A7185" s="56"/>
    </row>
    <row r="7186" spans="1:1">
      <c r="A7186" s="56"/>
    </row>
    <row r="7187" spans="1:1">
      <c r="A7187" s="56"/>
    </row>
    <row r="7188" spans="1:1">
      <c r="A7188" s="56"/>
    </row>
    <row r="7189" spans="1:1">
      <c r="A7189" s="56"/>
    </row>
    <row r="7190" spans="1:1">
      <c r="A7190" s="56"/>
    </row>
    <row r="7191" spans="1:1">
      <c r="A7191" s="56"/>
    </row>
    <row r="7192" spans="1:1">
      <c r="A7192" s="56"/>
    </row>
    <row r="7193" spans="1:1">
      <c r="A7193" s="56"/>
    </row>
    <row r="7194" spans="1:1">
      <c r="A7194" s="56"/>
    </row>
    <row r="7195" spans="1:1">
      <c r="A7195" s="56"/>
    </row>
    <row r="7196" spans="1:1">
      <c r="A7196" s="56"/>
    </row>
    <row r="7197" spans="1:1">
      <c r="A7197" s="56"/>
    </row>
    <row r="7198" spans="1:1">
      <c r="A7198" s="56"/>
    </row>
    <row r="7199" spans="1:1">
      <c r="A7199" s="56"/>
    </row>
    <row r="7200" spans="1:1">
      <c r="A7200" s="56"/>
    </row>
    <row r="7201" spans="1:1">
      <c r="A7201" s="56"/>
    </row>
    <row r="7202" spans="1:1">
      <c r="A7202" s="56"/>
    </row>
    <row r="7203" spans="1:1">
      <c r="A7203" s="56"/>
    </row>
    <row r="7204" spans="1:1">
      <c r="A7204" s="56"/>
    </row>
    <row r="7205" spans="1:1">
      <c r="A7205" s="56"/>
    </row>
    <row r="7206" spans="1:1">
      <c r="A7206" s="56"/>
    </row>
    <row r="7207" spans="1:1">
      <c r="A7207" s="56"/>
    </row>
    <row r="7208" spans="1:1">
      <c r="A7208" s="56"/>
    </row>
    <row r="7209" spans="1:1">
      <c r="A7209" s="56"/>
    </row>
    <row r="7210" spans="1:1">
      <c r="A7210" s="56"/>
    </row>
    <row r="7211" spans="1:1">
      <c r="A7211" s="56"/>
    </row>
    <row r="7212" spans="1:1">
      <c r="A7212" s="56"/>
    </row>
    <row r="7213" spans="1:1">
      <c r="A7213" s="56"/>
    </row>
    <row r="7214" spans="1:1">
      <c r="A7214" s="56"/>
    </row>
    <row r="7215" spans="1:1">
      <c r="A7215" s="56"/>
    </row>
    <row r="7216" spans="1:1">
      <c r="A7216" s="56"/>
    </row>
    <row r="7217" spans="1:1">
      <c r="A7217" s="56"/>
    </row>
    <row r="7218" spans="1:1">
      <c r="A7218" s="56"/>
    </row>
    <row r="7219" spans="1:1">
      <c r="A7219" s="56"/>
    </row>
    <row r="7220" spans="1:1">
      <c r="A7220" s="56"/>
    </row>
    <row r="7221" spans="1:1">
      <c r="A7221" s="56"/>
    </row>
    <row r="7222" spans="1:1">
      <c r="A7222" s="56"/>
    </row>
    <row r="7223" spans="1:1">
      <c r="A7223" s="56"/>
    </row>
    <row r="7224" spans="1:1">
      <c r="A7224" s="56"/>
    </row>
    <row r="7225" spans="1:1">
      <c r="A7225" s="56"/>
    </row>
    <row r="7226" spans="1:1">
      <c r="A7226" s="56"/>
    </row>
    <row r="7227" spans="1:1">
      <c r="A7227" s="56"/>
    </row>
    <row r="7228" spans="1:1">
      <c r="A7228" s="56"/>
    </row>
    <row r="7229" spans="1:1">
      <c r="A7229" s="56"/>
    </row>
    <row r="7230" spans="1:1">
      <c r="A7230" s="56"/>
    </row>
    <row r="7231" spans="1:1">
      <c r="A7231" s="56"/>
    </row>
    <row r="7232" spans="1:1">
      <c r="A7232" s="56"/>
    </row>
    <row r="7233" spans="1:1">
      <c r="A7233" s="56"/>
    </row>
    <row r="7234" spans="1:1">
      <c r="A7234" s="56"/>
    </row>
    <row r="7235" spans="1:1">
      <c r="A7235" s="56"/>
    </row>
    <row r="7236" spans="1:1">
      <c r="A7236" s="56"/>
    </row>
    <row r="7237" spans="1:1">
      <c r="A7237" s="56"/>
    </row>
    <row r="7238" spans="1:1">
      <c r="A7238" s="56"/>
    </row>
    <row r="7239" spans="1:1">
      <c r="A7239" s="56"/>
    </row>
    <row r="7240" spans="1:1">
      <c r="A7240" s="56"/>
    </row>
    <row r="7241" spans="1:1">
      <c r="A7241" s="56"/>
    </row>
    <row r="7242" spans="1:1">
      <c r="A7242" s="56"/>
    </row>
    <row r="7243" spans="1:1">
      <c r="A7243" s="56"/>
    </row>
    <row r="7244" spans="1:1">
      <c r="A7244" s="56"/>
    </row>
    <row r="7245" spans="1:1">
      <c r="A7245" s="56"/>
    </row>
    <row r="7246" spans="1:1">
      <c r="A7246" s="56"/>
    </row>
    <row r="7247" spans="1:1">
      <c r="A7247" s="56"/>
    </row>
    <row r="7248" spans="1:1">
      <c r="A7248" s="56"/>
    </row>
    <row r="7249" spans="1:1">
      <c r="A7249" s="56"/>
    </row>
    <row r="7250" spans="1:1">
      <c r="A7250" s="56"/>
    </row>
    <row r="7251" spans="1:1">
      <c r="A7251" s="56"/>
    </row>
    <row r="7252" spans="1:1">
      <c r="A7252" s="56"/>
    </row>
    <row r="7253" spans="1:1">
      <c r="A7253" s="56"/>
    </row>
    <row r="7254" spans="1:1">
      <c r="A7254" s="56"/>
    </row>
    <row r="7255" spans="1:1">
      <c r="A7255" s="56"/>
    </row>
    <row r="7256" spans="1:1">
      <c r="A7256" s="56"/>
    </row>
    <row r="7257" spans="1:1">
      <c r="A7257" s="56"/>
    </row>
    <row r="7258" spans="1:1">
      <c r="A7258" s="56"/>
    </row>
    <row r="7259" spans="1:1">
      <c r="A7259" s="56"/>
    </row>
    <row r="7260" spans="1:1">
      <c r="A7260" s="56"/>
    </row>
    <row r="7261" spans="1:1">
      <c r="A7261" s="56"/>
    </row>
    <row r="7262" spans="1:1">
      <c r="A7262" s="56"/>
    </row>
    <row r="7263" spans="1:1">
      <c r="A7263" s="56"/>
    </row>
    <row r="7264" spans="1:1">
      <c r="A7264" s="56"/>
    </row>
    <row r="7265" spans="1:1">
      <c r="A7265" s="56"/>
    </row>
    <row r="7266" spans="1:1">
      <c r="A7266" s="56"/>
    </row>
    <row r="7267" spans="1:1">
      <c r="A7267" s="56"/>
    </row>
    <row r="7268" spans="1:1">
      <c r="A7268" s="56"/>
    </row>
    <row r="7269" spans="1:1">
      <c r="A7269" s="56"/>
    </row>
    <row r="7270" spans="1:1">
      <c r="A7270" s="56"/>
    </row>
    <row r="7271" spans="1:1">
      <c r="A7271" s="56"/>
    </row>
    <row r="7272" spans="1:1">
      <c r="A7272" s="56"/>
    </row>
    <row r="7273" spans="1:1">
      <c r="A7273" s="56"/>
    </row>
    <row r="7274" spans="1:1">
      <c r="A7274" s="56"/>
    </row>
    <row r="7275" spans="1:1">
      <c r="A7275" s="56"/>
    </row>
    <row r="7276" spans="1:1">
      <c r="A7276" s="56"/>
    </row>
    <row r="7277" spans="1:1">
      <c r="A7277" s="56"/>
    </row>
    <row r="7278" spans="1:1">
      <c r="A7278" s="56"/>
    </row>
    <row r="7279" spans="1:1">
      <c r="A7279" s="56"/>
    </row>
    <row r="7280" spans="1:1">
      <c r="A7280" s="56"/>
    </row>
    <row r="7281" spans="1:1">
      <c r="A7281" s="56"/>
    </row>
    <row r="7282" spans="1:1">
      <c r="A7282" s="56"/>
    </row>
    <row r="7283" spans="1:1">
      <c r="A7283" s="56"/>
    </row>
    <row r="7284" spans="1:1">
      <c r="A7284" s="56"/>
    </row>
    <row r="7285" spans="1:1">
      <c r="A7285" s="56"/>
    </row>
    <row r="7286" spans="1:1">
      <c r="A7286" s="56"/>
    </row>
    <row r="7287" spans="1:1">
      <c r="A7287" s="56"/>
    </row>
    <row r="7288" spans="1:1">
      <c r="A7288" s="56"/>
    </row>
    <row r="7289" spans="1:1">
      <c r="A7289" s="56"/>
    </row>
    <row r="7290" spans="1:1">
      <c r="A7290" s="56"/>
    </row>
    <row r="7291" spans="1:1">
      <c r="A7291" s="56"/>
    </row>
    <row r="7292" spans="1:1">
      <c r="A7292" s="56"/>
    </row>
    <row r="7293" spans="1:1">
      <c r="A7293" s="56"/>
    </row>
    <row r="7294" spans="1:1">
      <c r="A7294" s="56"/>
    </row>
    <row r="7295" spans="1:1">
      <c r="A7295" s="56"/>
    </row>
    <row r="7296" spans="1:1">
      <c r="A7296" s="56"/>
    </row>
    <row r="7297" spans="1:1">
      <c r="A7297" s="56"/>
    </row>
    <row r="7298" spans="1:1">
      <c r="A7298" s="56"/>
    </row>
    <row r="7299" spans="1:1">
      <c r="A7299" s="56"/>
    </row>
    <row r="7300" spans="1:1">
      <c r="A7300" s="56"/>
    </row>
    <row r="7301" spans="1:1">
      <c r="A7301" s="56"/>
    </row>
    <row r="7302" spans="1:1">
      <c r="A7302" s="56"/>
    </row>
    <row r="7303" spans="1:1">
      <c r="A7303" s="56"/>
    </row>
    <row r="7304" spans="1:1">
      <c r="A7304" s="56"/>
    </row>
    <row r="7305" spans="1:1">
      <c r="A7305" s="56"/>
    </row>
    <row r="7306" spans="1:1">
      <c r="A7306" s="56"/>
    </row>
    <row r="7307" spans="1:1">
      <c r="A7307" s="56"/>
    </row>
    <row r="7308" spans="1:1">
      <c r="A7308" s="56"/>
    </row>
    <row r="7309" spans="1:1">
      <c r="A7309" s="56"/>
    </row>
    <row r="7310" spans="1:1">
      <c r="A7310" s="56"/>
    </row>
    <row r="7311" spans="1:1">
      <c r="A7311" s="56"/>
    </row>
    <row r="7312" spans="1:1">
      <c r="A7312" s="56"/>
    </row>
    <row r="7313" spans="1:1">
      <c r="A7313" s="56"/>
    </row>
    <row r="7314" spans="1:1">
      <c r="A7314" s="56"/>
    </row>
    <row r="7315" spans="1:1">
      <c r="A7315" s="56"/>
    </row>
    <row r="7316" spans="1:1">
      <c r="A7316" s="56"/>
    </row>
    <row r="7317" spans="1:1">
      <c r="A7317" s="56"/>
    </row>
    <row r="7318" spans="1:1">
      <c r="A7318" s="56"/>
    </row>
    <row r="7319" spans="1:1">
      <c r="A7319" s="56"/>
    </row>
    <row r="7320" spans="1:1">
      <c r="A7320" s="56"/>
    </row>
    <row r="7321" spans="1:1">
      <c r="A7321" s="56"/>
    </row>
    <row r="7322" spans="1:1">
      <c r="A7322" s="56"/>
    </row>
    <row r="7323" spans="1:1">
      <c r="A7323" s="56"/>
    </row>
    <row r="7324" spans="1:1">
      <c r="A7324" s="56"/>
    </row>
    <row r="7325" spans="1:1">
      <c r="A7325" s="56"/>
    </row>
    <row r="7326" spans="1:1">
      <c r="A7326" s="56"/>
    </row>
    <row r="7327" spans="1:1">
      <c r="A7327" s="56"/>
    </row>
    <row r="7328" spans="1:1">
      <c r="A7328" s="56"/>
    </row>
    <row r="7329" spans="1:1">
      <c r="A7329" s="56"/>
    </row>
    <row r="7330" spans="1:1">
      <c r="A7330" s="56"/>
    </row>
    <row r="7331" spans="1:1">
      <c r="A7331" s="56"/>
    </row>
    <row r="7332" spans="1:1">
      <c r="A7332" s="56"/>
    </row>
    <row r="7333" spans="1:1">
      <c r="A7333" s="56"/>
    </row>
    <row r="7334" spans="1:1">
      <c r="A7334" s="56"/>
    </row>
    <row r="7335" spans="1:1">
      <c r="A7335" s="56"/>
    </row>
    <row r="7336" spans="1:1">
      <c r="A7336" s="56"/>
    </row>
    <row r="7337" spans="1:1">
      <c r="A7337" s="56"/>
    </row>
    <row r="7338" spans="1:1">
      <c r="A7338" s="56"/>
    </row>
    <row r="7339" spans="1:1">
      <c r="A7339" s="56"/>
    </row>
    <row r="7340" spans="1:1">
      <c r="A7340" s="56"/>
    </row>
    <row r="7341" spans="1:1">
      <c r="A7341" s="56"/>
    </row>
    <row r="7342" spans="1:1">
      <c r="A7342" s="56"/>
    </row>
    <row r="7343" spans="1:1">
      <c r="A7343" s="56"/>
    </row>
    <row r="7344" spans="1:1">
      <c r="A7344" s="56"/>
    </row>
    <row r="7345" spans="1:1">
      <c r="A7345" s="56"/>
    </row>
    <row r="7346" spans="1:1">
      <c r="A7346" s="56"/>
    </row>
    <row r="7347" spans="1:1">
      <c r="A7347" s="56"/>
    </row>
    <row r="7348" spans="1:1">
      <c r="A7348" s="56"/>
    </row>
    <row r="7349" spans="1:1">
      <c r="A7349" s="56"/>
    </row>
    <row r="7350" spans="1:1">
      <c r="A7350" s="56"/>
    </row>
    <row r="7351" spans="1:1">
      <c r="A7351" s="56"/>
    </row>
    <row r="7352" spans="1:1">
      <c r="A7352" s="56"/>
    </row>
    <row r="7353" spans="1:1">
      <c r="A7353" s="56"/>
    </row>
    <row r="7354" spans="1:1">
      <c r="A7354" s="56"/>
    </row>
    <row r="7355" spans="1:1">
      <c r="A7355" s="56"/>
    </row>
    <row r="7356" spans="1:1">
      <c r="A7356" s="56"/>
    </row>
    <row r="7357" spans="1:1">
      <c r="A7357" s="56"/>
    </row>
    <row r="7358" spans="1:1">
      <c r="A7358" s="56"/>
    </row>
    <row r="7359" spans="1:1">
      <c r="A7359" s="56"/>
    </row>
    <row r="7360" spans="1:1">
      <c r="A7360" s="56"/>
    </row>
    <row r="7361" spans="1:1">
      <c r="A7361" s="56"/>
    </row>
    <row r="7362" spans="1:1">
      <c r="A7362" s="56"/>
    </row>
    <row r="7363" spans="1:1">
      <c r="A7363" s="56"/>
    </row>
    <row r="7364" spans="1:1">
      <c r="A7364" s="56"/>
    </row>
    <row r="7365" spans="1:1">
      <c r="A7365" s="56"/>
    </row>
    <row r="7366" spans="1:1">
      <c r="A7366" s="56"/>
    </row>
    <row r="7367" spans="1:1">
      <c r="A7367" s="56"/>
    </row>
    <row r="7368" spans="1:1">
      <c r="A7368" s="56"/>
    </row>
    <row r="7369" spans="1:1">
      <c r="A7369" s="56"/>
    </row>
    <row r="7370" spans="1:1">
      <c r="A7370" s="56"/>
    </row>
    <row r="7371" spans="1:1">
      <c r="A7371" s="56"/>
    </row>
    <row r="7372" spans="1:1">
      <c r="A7372" s="56"/>
    </row>
    <row r="7373" spans="1:1">
      <c r="A7373" s="56"/>
    </row>
    <row r="7374" spans="1:1">
      <c r="A7374" s="56"/>
    </row>
    <row r="7375" spans="1:1">
      <c r="A7375" s="56"/>
    </row>
    <row r="7376" spans="1:1">
      <c r="A7376" s="56"/>
    </row>
    <row r="7377" spans="1:1">
      <c r="A7377" s="56"/>
    </row>
    <row r="7378" spans="1:1">
      <c r="A7378" s="56"/>
    </row>
    <row r="7379" spans="1:1">
      <c r="A7379" s="56"/>
    </row>
    <row r="7380" spans="1:1">
      <c r="A7380" s="56"/>
    </row>
    <row r="7381" spans="1:1">
      <c r="A7381" s="56"/>
    </row>
    <row r="7382" spans="1:1">
      <c r="A7382" s="56"/>
    </row>
    <row r="7383" spans="1:1">
      <c r="A7383" s="56"/>
    </row>
    <row r="7384" spans="1:1">
      <c r="A7384" s="56"/>
    </row>
    <row r="7385" spans="1:1">
      <c r="A7385" s="56"/>
    </row>
    <row r="7386" spans="1:1">
      <c r="A7386" s="56"/>
    </row>
    <row r="7387" spans="1:1">
      <c r="A7387" s="56"/>
    </row>
    <row r="7388" spans="1:1">
      <c r="A7388" s="56"/>
    </row>
    <row r="7389" spans="1:1">
      <c r="A7389" s="56"/>
    </row>
    <row r="7390" spans="1:1">
      <c r="A7390" s="56"/>
    </row>
    <row r="7391" spans="1:1">
      <c r="A7391" s="56"/>
    </row>
    <row r="7392" spans="1:1">
      <c r="A7392" s="56"/>
    </row>
    <row r="7393" spans="1:1">
      <c r="A7393" s="56"/>
    </row>
    <row r="7394" spans="1:1">
      <c r="A7394" s="56"/>
    </row>
    <row r="7395" spans="1:1">
      <c r="A7395" s="56"/>
    </row>
    <row r="7396" spans="1:1">
      <c r="A7396" s="56"/>
    </row>
    <row r="7397" spans="1:1">
      <c r="A7397" s="56"/>
    </row>
    <row r="7398" spans="1:1">
      <c r="A7398" s="56"/>
    </row>
    <row r="7399" spans="1:1">
      <c r="A7399" s="56"/>
    </row>
    <row r="7400" spans="1:1">
      <c r="A7400" s="56"/>
    </row>
    <row r="7401" spans="1:1">
      <c r="A7401" s="56"/>
    </row>
    <row r="7402" spans="1:1">
      <c r="A7402" s="56"/>
    </row>
    <row r="7403" spans="1:1">
      <c r="A7403" s="56"/>
    </row>
    <row r="7404" spans="1:1">
      <c r="A7404" s="56"/>
    </row>
    <row r="7405" spans="1:1">
      <c r="A7405" s="56"/>
    </row>
    <row r="7406" spans="1:1">
      <c r="A7406" s="56"/>
    </row>
    <row r="7407" spans="1:1">
      <c r="A7407" s="56"/>
    </row>
    <row r="7408" spans="1:1">
      <c r="A7408" s="56"/>
    </row>
    <row r="7409" spans="1:1">
      <c r="A7409" s="56"/>
    </row>
    <row r="7410" spans="1:1">
      <c r="A7410" s="56"/>
    </row>
    <row r="7411" spans="1:1">
      <c r="A7411" s="56"/>
    </row>
    <row r="7412" spans="1:1">
      <c r="A7412" s="56"/>
    </row>
    <row r="7413" spans="1:1">
      <c r="A7413" s="56"/>
    </row>
    <row r="7414" spans="1:1">
      <c r="A7414" s="56"/>
    </row>
    <row r="7415" spans="1:1">
      <c r="A7415" s="56"/>
    </row>
    <row r="7416" spans="1:1">
      <c r="A7416" s="56"/>
    </row>
    <row r="7417" spans="1:1">
      <c r="A7417" s="56"/>
    </row>
    <row r="7418" spans="1:1">
      <c r="A7418" s="56"/>
    </row>
    <row r="7419" spans="1:1">
      <c r="A7419" s="56"/>
    </row>
    <row r="7420" spans="1:1">
      <c r="A7420" s="56"/>
    </row>
    <row r="7421" spans="1:1">
      <c r="A7421" s="56"/>
    </row>
    <row r="7422" spans="1:1">
      <c r="A7422" s="56"/>
    </row>
    <row r="7423" spans="1:1">
      <c r="A7423" s="56"/>
    </row>
    <row r="7424" spans="1:1">
      <c r="A7424" s="56"/>
    </row>
    <row r="7425" spans="1:1">
      <c r="A7425" s="56"/>
    </row>
    <row r="7426" spans="1:1">
      <c r="A7426" s="56"/>
    </row>
    <row r="7427" spans="1:1">
      <c r="A7427" s="56"/>
    </row>
    <row r="7428" spans="1:1">
      <c r="A7428" s="56"/>
    </row>
    <row r="7429" spans="1:1">
      <c r="A7429" s="56"/>
    </row>
    <row r="7430" spans="1:1">
      <c r="A7430" s="56"/>
    </row>
    <row r="7431" spans="1:1">
      <c r="A7431" s="56"/>
    </row>
    <row r="7432" spans="1:1">
      <c r="A7432" s="56"/>
    </row>
    <row r="7433" spans="1:1">
      <c r="A7433" s="56"/>
    </row>
    <row r="7434" spans="1:1">
      <c r="A7434" s="56"/>
    </row>
    <row r="7435" spans="1:1">
      <c r="A7435" s="56"/>
    </row>
    <row r="7436" spans="1:1">
      <c r="A7436" s="56"/>
    </row>
    <row r="7437" spans="1:1">
      <c r="A7437" s="56"/>
    </row>
    <row r="7438" spans="1:1">
      <c r="A7438" s="56"/>
    </row>
    <row r="7439" spans="1:1">
      <c r="A7439" s="56"/>
    </row>
    <row r="7440" spans="1:1">
      <c r="A7440" s="56"/>
    </row>
    <row r="7441" spans="1:1">
      <c r="A7441" s="56"/>
    </row>
    <row r="7442" spans="1:1">
      <c r="A7442" s="56"/>
    </row>
    <row r="7443" spans="1:1">
      <c r="A7443" s="56"/>
    </row>
    <row r="7444" spans="1:1">
      <c r="A7444" s="56"/>
    </row>
    <row r="7445" spans="1:1">
      <c r="A7445" s="56"/>
    </row>
    <row r="7446" spans="1:1">
      <c r="A7446" s="56"/>
    </row>
    <row r="7447" spans="1:1">
      <c r="A7447" s="56"/>
    </row>
    <row r="7448" spans="1:1">
      <c r="A7448" s="56"/>
    </row>
    <row r="7449" spans="1:1">
      <c r="A7449" s="56"/>
    </row>
    <row r="7450" spans="1:1">
      <c r="A7450" s="56"/>
    </row>
    <row r="7451" spans="1:1">
      <c r="A7451" s="56"/>
    </row>
    <row r="7452" spans="1:1">
      <c r="A7452" s="56"/>
    </row>
    <row r="7453" spans="1:1">
      <c r="A7453" s="56"/>
    </row>
    <row r="7454" spans="1:1">
      <c r="A7454" s="56"/>
    </row>
    <row r="7455" spans="1:1">
      <c r="A7455" s="56"/>
    </row>
    <row r="7456" spans="1:1">
      <c r="A7456" s="56"/>
    </row>
    <row r="7457" spans="1:1">
      <c r="A7457" s="56"/>
    </row>
    <row r="7458" spans="1:1">
      <c r="A7458" s="56"/>
    </row>
    <row r="7459" spans="1:1">
      <c r="A7459" s="56"/>
    </row>
    <row r="7460" spans="1:1">
      <c r="A7460" s="56"/>
    </row>
    <row r="7461" spans="1:1">
      <c r="A7461" s="56"/>
    </row>
    <row r="7462" spans="1:1">
      <c r="A7462" s="56"/>
    </row>
    <row r="7463" spans="1:1">
      <c r="A7463" s="56"/>
    </row>
    <row r="7464" spans="1:1">
      <c r="A7464" s="56"/>
    </row>
    <row r="7465" spans="1:1">
      <c r="A7465" s="56"/>
    </row>
    <row r="7466" spans="1:1">
      <c r="A7466" s="56"/>
    </row>
    <row r="7467" spans="1:1">
      <c r="A7467" s="56"/>
    </row>
    <row r="7468" spans="1:1">
      <c r="A7468" s="56"/>
    </row>
    <row r="7469" spans="1:1">
      <c r="A7469" s="56"/>
    </row>
    <row r="7470" spans="1:1">
      <c r="A7470" s="56"/>
    </row>
    <row r="7471" spans="1:1">
      <c r="A7471" s="56"/>
    </row>
    <row r="7472" spans="1:1">
      <c r="A7472" s="56"/>
    </row>
    <row r="7473" spans="1:1">
      <c r="A7473" s="56"/>
    </row>
    <row r="7474" spans="1:1">
      <c r="A7474" s="56"/>
    </row>
    <row r="7475" spans="1:1">
      <c r="A7475" s="56"/>
    </row>
    <row r="7476" spans="1:1">
      <c r="A7476" s="56"/>
    </row>
    <row r="7477" spans="1:1">
      <c r="A7477" s="56"/>
    </row>
    <row r="7478" spans="1:1">
      <c r="A7478" s="56"/>
    </row>
    <row r="7479" spans="1:1">
      <c r="A7479" s="56"/>
    </row>
    <row r="7480" spans="1:1">
      <c r="A7480" s="56"/>
    </row>
    <row r="7481" spans="1:1">
      <c r="A7481" s="56"/>
    </row>
    <row r="7482" spans="1:1">
      <c r="A7482" s="56"/>
    </row>
    <row r="7483" spans="1:1">
      <c r="A7483" s="56"/>
    </row>
    <row r="7484" spans="1:1">
      <c r="A7484" s="56"/>
    </row>
    <row r="7485" spans="1:1">
      <c r="A7485" s="56"/>
    </row>
    <row r="7486" spans="1:1">
      <c r="A7486" s="56"/>
    </row>
    <row r="7487" spans="1:1">
      <c r="A7487" s="56"/>
    </row>
    <row r="7488" spans="1:1">
      <c r="A7488" s="56"/>
    </row>
    <row r="7489" spans="1:1">
      <c r="A7489" s="56"/>
    </row>
    <row r="7490" spans="1:1">
      <c r="A7490" s="56"/>
    </row>
    <row r="7491" spans="1:1">
      <c r="A7491" s="56"/>
    </row>
    <row r="7492" spans="1:1">
      <c r="A7492" s="56"/>
    </row>
    <row r="7493" spans="1:1">
      <c r="A7493" s="56"/>
    </row>
    <row r="7494" spans="1:1">
      <c r="A7494" s="56"/>
    </row>
    <row r="7495" spans="1:1">
      <c r="A7495" s="56"/>
    </row>
    <row r="7496" spans="1:1">
      <c r="A7496" s="56"/>
    </row>
    <row r="7497" spans="1:1">
      <c r="A7497" s="56"/>
    </row>
    <row r="7498" spans="1:1">
      <c r="A7498" s="56"/>
    </row>
    <row r="7499" spans="1:1">
      <c r="A7499" s="56"/>
    </row>
    <row r="7500" spans="1:1">
      <c r="A7500" s="56"/>
    </row>
    <row r="7501" spans="1:1">
      <c r="A7501" s="56"/>
    </row>
    <row r="7502" spans="1:1">
      <c r="A7502" s="56"/>
    </row>
    <row r="7503" spans="1:1">
      <c r="A7503" s="56"/>
    </row>
    <row r="7504" spans="1:1">
      <c r="A7504" s="56"/>
    </row>
    <row r="7505" spans="1:1">
      <c r="A7505" s="56"/>
    </row>
    <row r="7506" spans="1:1">
      <c r="A7506" s="56"/>
    </row>
    <row r="7507" spans="1:1">
      <c r="A7507" s="56"/>
    </row>
    <row r="7508" spans="1:1">
      <c r="A7508" s="56"/>
    </row>
    <row r="7509" spans="1:1">
      <c r="A7509" s="56"/>
    </row>
    <row r="7510" spans="1:1">
      <c r="A7510" s="56"/>
    </row>
    <row r="7511" spans="1:1">
      <c r="A7511" s="56"/>
    </row>
    <row r="7512" spans="1:1">
      <c r="A7512" s="56"/>
    </row>
    <row r="7513" spans="1:1">
      <c r="A7513" s="56"/>
    </row>
    <row r="7514" spans="1:1">
      <c r="A7514" s="56"/>
    </row>
    <row r="7515" spans="1:1">
      <c r="A7515" s="56"/>
    </row>
    <row r="7516" spans="1:1">
      <c r="A7516" s="56"/>
    </row>
    <row r="7517" spans="1:1">
      <c r="A7517" s="56"/>
    </row>
    <row r="7518" spans="1:1">
      <c r="A7518" s="56"/>
    </row>
    <row r="7519" spans="1:1">
      <c r="A7519" s="56"/>
    </row>
    <row r="7520" spans="1:1">
      <c r="A7520" s="56"/>
    </row>
    <row r="7521" spans="1:1">
      <c r="A7521" s="56"/>
    </row>
    <row r="7522" spans="1:1">
      <c r="A7522" s="56"/>
    </row>
    <row r="7523" spans="1:1">
      <c r="A7523" s="56"/>
    </row>
    <row r="7524" spans="1:1">
      <c r="A7524" s="56"/>
    </row>
    <row r="7525" spans="1:1">
      <c r="A7525" s="56"/>
    </row>
    <row r="7526" spans="1:1">
      <c r="A7526" s="56"/>
    </row>
    <row r="7527" spans="1:1">
      <c r="A7527" s="56"/>
    </row>
    <row r="7528" spans="1:1">
      <c r="A7528" s="56"/>
    </row>
    <row r="7529" spans="1:1">
      <c r="A7529" s="56"/>
    </row>
    <row r="7530" spans="1:1">
      <c r="A7530" s="56"/>
    </row>
    <row r="7531" spans="1:1">
      <c r="A7531" s="56"/>
    </row>
    <row r="7532" spans="1:1">
      <c r="A7532" s="56"/>
    </row>
    <row r="7533" spans="1:1">
      <c r="A7533" s="56"/>
    </row>
    <row r="7534" spans="1:1">
      <c r="A7534" s="56"/>
    </row>
    <row r="7535" spans="1:1">
      <c r="A7535" s="56"/>
    </row>
    <row r="7536" spans="1:1">
      <c r="A7536" s="56"/>
    </row>
    <row r="7537" spans="1:1">
      <c r="A7537" s="56"/>
    </row>
    <row r="7538" spans="1:1">
      <c r="A7538" s="56"/>
    </row>
    <row r="7539" spans="1:1">
      <c r="A7539" s="56"/>
    </row>
    <row r="7540" spans="1:1">
      <c r="A7540" s="56"/>
    </row>
    <row r="7541" spans="1:1">
      <c r="A7541" s="56"/>
    </row>
    <row r="7542" spans="1:1">
      <c r="A7542" s="56"/>
    </row>
    <row r="7543" spans="1:1">
      <c r="A7543" s="56"/>
    </row>
    <row r="7544" spans="1:1">
      <c r="A7544" s="56"/>
    </row>
    <row r="7545" spans="1:1">
      <c r="A7545" s="56"/>
    </row>
    <row r="7546" spans="1:1">
      <c r="A7546" s="56"/>
    </row>
    <row r="7547" spans="1:1">
      <c r="A7547" s="56"/>
    </row>
    <row r="7548" spans="1:1">
      <c r="A7548" s="56"/>
    </row>
    <row r="7549" spans="1:1">
      <c r="A7549" s="56"/>
    </row>
    <row r="7550" spans="1:1">
      <c r="A7550" s="56"/>
    </row>
    <row r="7551" spans="1:1">
      <c r="A7551" s="56"/>
    </row>
    <row r="7552" spans="1:1">
      <c r="A7552" s="56"/>
    </row>
    <row r="7553" spans="1:1">
      <c r="A7553" s="56"/>
    </row>
    <row r="7554" spans="1:1">
      <c r="A7554" s="56"/>
    </row>
    <row r="7555" spans="1:1">
      <c r="A7555" s="56"/>
    </row>
    <row r="7556" spans="1:1">
      <c r="A7556" s="56"/>
    </row>
    <row r="7557" spans="1:1">
      <c r="A7557" s="56"/>
    </row>
    <row r="7558" spans="1:1">
      <c r="A7558" s="56"/>
    </row>
    <row r="7559" spans="1:1">
      <c r="A7559" s="56"/>
    </row>
    <row r="7560" spans="1:1">
      <c r="A7560" s="56"/>
    </row>
    <row r="7561" spans="1:1">
      <c r="A7561" s="56"/>
    </row>
    <row r="7562" spans="1:1">
      <c r="A7562" s="56"/>
    </row>
    <row r="7563" spans="1:1">
      <c r="A7563" s="56"/>
    </row>
    <row r="7564" spans="1:1">
      <c r="A7564" s="56"/>
    </row>
    <row r="7565" spans="1:1">
      <c r="A7565" s="56"/>
    </row>
    <row r="7566" spans="1:1">
      <c r="A7566" s="56"/>
    </row>
    <row r="7567" spans="1:1">
      <c r="A7567" s="56"/>
    </row>
    <row r="7568" spans="1:1">
      <c r="A7568" s="56"/>
    </row>
    <row r="7569" spans="1:1">
      <c r="A7569" s="56"/>
    </row>
    <row r="7570" spans="1:1">
      <c r="A7570" s="56"/>
    </row>
    <row r="7571" spans="1:1">
      <c r="A7571" s="56"/>
    </row>
    <row r="7572" spans="1:1">
      <c r="A7572" s="56"/>
    </row>
    <row r="7573" spans="1:1">
      <c r="A7573" s="56"/>
    </row>
    <row r="7574" spans="1:1">
      <c r="A7574" s="56"/>
    </row>
    <row r="7575" spans="1:1">
      <c r="A7575" s="56"/>
    </row>
    <row r="7576" spans="1:1">
      <c r="A7576" s="56"/>
    </row>
    <row r="7577" spans="1:1">
      <c r="A7577" s="56"/>
    </row>
    <row r="7578" spans="1:1">
      <c r="A7578" s="56"/>
    </row>
    <row r="7579" spans="1:1">
      <c r="A7579" s="56"/>
    </row>
    <row r="7580" spans="1:1">
      <c r="A7580" s="56"/>
    </row>
    <row r="7581" spans="1:1">
      <c r="A7581" s="56"/>
    </row>
    <row r="7582" spans="1:1">
      <c r="A7582" s="56"/>
    </row>
    <row r="7583" spans="1:1">
      <c r="A7583" s="56"/>
    </row>
    <row r="7584" spans="1:1">
      <c r="A7584" s="56"/>
    </row>
    <row r="7585" spans="1:1">
      <c r="A7585" s="56"/>
    </row>
    <row r="7586" spans="1:1">
      <c r="A7586" s="56"/>
    </row>
    <row r="7587" spans="1:1">
      <c r="A7587" s="56"/>
    </row>
    <row r="7588" spans="1:1">
      <c r="A7588" s="56"/>
    </row>
    <row r="7589" spans="1:1">
      <c r="A7589" s="56"/>
    </row>
    <row r="7590" spans="1:1">
      <c r="A7590" s="56"/>
    </row>
    <row r="7591" spans="1:1">
      <c r="A7591" s="56"/>
    </row>
    <row r="7592" spans="1:1">
      <c r="A7592" s="56"/>
    </row>
    <row r="7593" spans="1:1">
      <c r="A7593" s="56"/>
    </row>
    <row r="7594" spans="1:1">
      <c r="A7594" s="56"/>
    </row>
    <row r="7595" spans="1:1">
      <c r="A7595" s="56"/>
    </row>
    <row r="7596" spans="1:1">
      <c r="A7596" s="56"/>
    </row>
    <row r="7597" spans="1:1">
      <c r="A7597" s="56"/>
    </row>
    <row r="7598" spans="1:1">
      <c r="A7598" s="56"/>
    </row>
    <row r="7599" spans="1:1">
      <c r="A7599" s="56"/>
    </row>
    <row r="7600" spans="1:1">
      <c r="A7600" s="56"/>
    </row>
    <row r="7601" spans="1:1">
      <c r="A7601" s="56"/>
    </row>
    <row r="7602" spans="1:1">
      <c r="A7602" s="56"/>
    </row>
    <row r="7603" spans="1:1">
      <c r="A7603" s="56"/>
    </row>
    <row r="7604" spans="1:1">
      <c r="A7604" s="56"/>
    </row>
    <row r="7605" spans="1:1">
      <c r="A7605" s="56"/>
    </row>
    <row r="7606" spans="1:1">
      <c r="A7606" s="56"/>
    </row>
    <row r="7607" spans="1:1">
      <c r="A7607" s="56"/>
    </row>
    <row r="7608" spans="1:1">
      <c r="A7608" s="56"/>
    </row>
    <row r="7609" spans="1:1">
      <c r="A7609" s="56"/>
    </row>
    <row r="7610" spans="1:1">
      <c r="A7610" s="56"/>
    </row>
    <row r="7611" spans="1:1">
      <c r="A7611" s="56"/>
    </row>
    <row r="7612" spans="1:1">
      <c r="A7612" s="56"/>
    </row>
    <row r="7613" spans="1:1">
      <c r="A7613" s="56"/>
    </row>
    <row r="7614" spans="1:1">
      <c r="A7614" s="56"/>
    </row>
    <row r="7615" spans="1:1">
      <c r="A7615" s="56"/>
    </row>
    <row r="7616" spans="1:1">
      <c r="A7616" s="56"/>
    </row>
    <row r="7617" spans="1:1">
      <c r="A7617" s="56"/>
    </row>
    <row r="7618" spans="1:1">
      <c r="A7618" s="56"/>
    </row>
    <row r="7619" spans="1:1">
      <c r="A7619" s="56"/>
    </row>
    <row r="7620" spans="1:1">
      <c r="A7620" s="56"/>
    </row>
    <row r="7621" spans="1:1">
      <c r="A7621" s="56"/>
    </row>
    <row r="7622" spans="1:1">
      <c r="A7622" s="56"/>
    </row>
    <row r="7623" spans="1:1">
      <c r="A7623" s="56"/>
    </row>
    <row r="7624" spans="1:1">
      <c r="A7624" s="56"/>
    </row>
    <row r="7625" spans="1:1">
      <c r="A7625" s="56"/>
    </row>
    <row r="7626" spans="1:1">
      <c r="A7626" s="56"/>
    </row>
    <row r="7627" spans="1:1">
      <c r="A7627" s="56"/>
    </row>
    <row r="7628" spans="1:1">
      <c r="A7628" s="56"/>
    </row>
    <row r="7629" spans="1:1">
      <c r="A7629" s="56"/>
    </row>
    <row r="7630" spans="1:1">
      <c r="A7630" s="56"/>
    </row>
    <row r="7631" spans="1:1">
      <c r="A7631" s="56"/>
    </row>
    <row r="7632" spans="1:1">
      <c r="A7632" s="56"/>
    </row>
    <row r="7633" spans="1:1">
      <c r="A7633" s="56"/>
    </row>
    <row r="7634" spans="1:1">
      <c r="A7634" s="56"/>
    </row>
    <row r="7635" spans="1:1">
      <c r="A7635" s="56"/>
    </row>
    <row r="7636" spans="1:1">
      <c r="A7636" s="56"/>
    </row>
    <row r="7637" spans="1:1">
      <c r="A7637" s="56"/>
    </row>
    <row r="7638" spans="1:1">
      <c r="A7638" s="56"/>
    </row>
    <row r="7639" spans="1:1">
      <c r="A7639" s="56"/>
    </row>
    <row r="7640" spans="1:1">
      <c r="A7640" s="56"/>
    </row>
    <row r="7641" spans="1:1">
      <c r="A7641" s="56"/>
    </row>
    <row r="7642" spans="1:1">
      <c r="A7642" s="56"/>
    </row>
    <row r="7643" spans="1:1">
      <c r="A7643" s="56"/>
    </row>
    <row r="7644" spans="1:1">
      <c r="A7644" s="56"/>
    </row>
    <row r="7645" spans="1:1">
      <c r="A7645" s="56"/>
    </row>
    <row r="7646" spans="1:1">
      <c r="A7646" s="56"/>
    </row>
    <row r="7647" spans="1:1">
      <c r="A7647" s="56"/>
    </row>
    <row r="7648" spans="1:1">
      <c r="A7648" s="56"/>
    </row>
    <row r="7649" spans="1:1">
      <c r="A7649" s="56"/>
    </row>
    <row r="7650" spans="1:1">
      <c r="A7650" s="56"/>
    </row>
    <row r="7651" spans="1:1">
      <c r="A7651" s="56"/>
    </row>
    <row r="7652" spans="1:1">
      <c r="A7652" s="56"/>
    </row>
    <row r="7653" spans="1:1">
      <c r="A7653" s="56"/>
    </row>
    <row r="7654" spans="1:1">
      <c r="A7654" s="56"/>
    </row>
    <row r="7655" spans="1:1">
      <c r="A7655" s="56"/>
    </row>
    <row r="7656" spans="1:1">
      <c r="A7656" s="56"/>
    </row>
    <row r="7657" spans="1:1">
      <c r="A7657" s="56"/>
    </row>
    <row r="7658" spans="1:1">
      <c r="A7658" s="56"/>
    </row>
    <row r="7659" spans="1:1">
      <c r="A7659" s="56"/>
    </row>
    <row r="7660" spans="1:1">
      <c r="A7660" s="56"/>
    </row>
    <row r="7661" spans="1:1">
      <c r="A7661" s="56"/>
    </row>
    <row r="7662" spans="1:1">
      <c r="A7662" s="56"/>
    </row>
    <row r="7663" spans="1:1">
      <c r="A7663" s="56"/>
    </row>
    <row r="7664" spans="1:1">
      <c r="A7664" s="56"/>
    </row>
    <row r="7665" spans="1:1">
      <c r="A7665" s="56"/>
    </row>
    <row r="7666" spans="1:1">
      <c r="A7666" s="56"/>
    </row>
    <row r="7667" spans="1:1">
      <c r="A7667" s="56"/>
    </row>
    <row r="7668" spans="1:1">
      <c r="A7668" s="56"/>
    </row>
    <row r="7669" spans="1:1">
      <c r="A7669" s="56"/>
    </row>
    <row r="7670" spans="1:1">
      <c r="A7670" s="56"/>
    </row>
    <row r="7671" spans="1:1">
      <c r="A7671" s="56"/>
    </row>
    <row r="7672" spans="1:1">
      <c r="A7672" s="56"/>
    </row>
    <row r="7673" spans="1:1">
      <c r="A7673" s="56"/>
    </row>
    <row r="7674" spans="1:1">
      <c r="A7674" s="56"/>
    </row>
    <row r="7675" spans="1:1">
      <c r="A7675" s="56"/>
    </row>
    <row r="7676" spans="1:1">
      <c r="A7676" s="56"/>
    </row>
    <row r="7677" spans="1:1">
      <c r="A7677" s="56"/>
    </row>
    <row r="7678" spans="1:1">
      <c r="A7678" s="56"/>
    </row>
    <row r="7679" spans="1:1">
      <c r="A7679" s="56"/>
    </row>
    <row r="7680" spans="1:1">
      <c r="A7680" s="56"/>
    </row>
    <row r="7681" spans="1:1">
      <c r="A7681" s="56"/>
    </row>
    <row r="7682" spans="1:1">
      <c r="A7682" s="56"/>
    </row>
    <row r="7683" spans="1:1">
      <c r="A7683" s="56"/>
    </row>
    <row r="7684" spans="1:1">
      <c r="A7684" s="56"/>
    </row>
    <row r="7685" spans="1:1">
      <c r="A7685" s="56"/>
    </row>
    <row r="7686" spans="1:1">
      <c r="A7686" s="56"/>
    </row>
    <row r="7687" spans="1:1">
      <c r="A7687" s="56"/>
    </row>
    <row r="7688" spans="1:1">
      <c r="A7688" s="56"/>
    </row>
    <row r="7689" spans="1:1">
      <c r="A7689" s="56"/>
    </row>
    <row r="7690" spans="1:1">
      <c r="A7690" s="56"/>
    </row>
    <row r="7691" spans="1:1">
      <c r="A7691" s="56"/>
    </row>
    <row r="7692" spans="1:1">
      <c r="A7692" s="56"/>
    </row>
    <row r="7693" spans="1:1">
      <c r="A7693" s="56"/>
    </row>
    <row r="7694" spans="1:1">
      <c r="A7694" s="56"/>
    </row>
    <row r="7695" spans="1:1">
      <c r="A7695" s="56"/>
    </row>
    <row r="7696" spans="1:1">
      <c r="A7696" s="56"/>
    </row>
    <row r="7697" spans="1:1">
      <c r="A7697" s="56"/>
    </row>
    <row r="7698" spans="1:1">
      <c r="A7698" s="56"/>
    </row>
    <row r="7699" spans="1:1">
      <c r="A7699" s="56"/>
    </row>
    <row r="7700" spans="1:1">
      <c r="A7700" s="56"/>
    </row>
    <row r="7701" spans="1:1">
      <c r="A7701" s="56"/>
    </row>
    <row r="7702" spans="1:1">
      <c r="A7702" s="56"/>
    </row>
    <row r="7703" spans="1:1">
      <c r="A7703" s="56"/>
    </row>
    <row r="7704" spans="1:1">
      <c r="A7704" s="56"/>
    </row>
    <row r="7705" spans="1:1">
      <c r="A7705" s="56"/>
    </row>
    <row r="7706" spans="1:1">
      <c r="A7706" s="56"/>
    </row>
    <row r="7707" spans="1:1">
      <c r="A7707" s="56"/>
    </row>
    <row r="7708" spans="1:1">
      <c r="A7708" s="56"/>
    </row>
    <row r="7709" spans="1:1">
      <c r="A7709" s="56"/>
    </row>
    <row r="7710" spans="1:1">
      <c r="A7710" s="56"/>
    </row>
    <row r="7711" spans="1:1">
      <c r="A7711" s="56"/>
    </row>
    <row r="7712" spans="1:1">
      <c r="A7712" s="56"/>
    </row>
    <row r="7713" spans="1:1">
      <c r="A7713" s="56"/>
    </row>
    <row r="7714" spans="1:1">
      <c r="A7714" s="56"/>
    </row>
    <row r="7715" spans="1:1">
      <c r="A7715" s="56"/>
    </row>
    <row r="7716" spans="1:1">
      <c r="A7716" s="56"/>
    </row>
    <row r="7717" spans="1:1">
      <c r="A7717" s="56"/>
    </row>
    <row r="7718" spans="1:1">
      <c r="A7718" s="56"/>
    </row>
    <row r="7719" spans="1:1">
      <c r="A7719" s="56"/>
    </row>
    <row r="7720" spans="1:1">
      <c r="A7720" s="56"/>
    </row>
    <row r="7721" spans="1:1">
      <c r="A7721" s="56"/>
    </row>
    <row r="7722" spans="1:1">
      <c r="A7722" s="56"/>
    </row>
    <row r="7723" spans="1:1">
      <c r="A7723" s="56"/>
    </row>
    <row r="7724" spans="1:1">
      <c r="A7724" s="56"/>
    </row>
    <row r="7725" spans="1:1">
      <c r="A7725" s="56"/>
    </row>
    <row r="7726" spans="1:1">
      <c r="A7726" s="56"/>
    </row>
    <row r="7727" spans="1:1">
      <c r="A7727" s="56"/>
    </row>
    <row r="7728" spans="1:1">
      <c r="A7728" s="56"/>
    </row>
    <row r="7729" spans="1:1">
      <c r="A7729" s="56"/>
    </row>
    <row r="7730" spans="1:1">
      <c r="A7730" s="56"/>
    </row>
    <row r="7731" spans="1:1">
      <c r="A7731" s="56"/>
    </row>
    <row r="7732" spans="1:1">
      <c r="A7732" s="56"/>
    </row>
    <row r="7733" spans="1:1">
      <c r="A7733" s="56"/>
    </row>
    <row r="7734" spans="1:1">
      <c r="A7734" s="56"/>
    </row>
    <row r="7735" spans="1:1">
      <c r="A7735" s="56"/>
    </row>
    <row r="7736" spans="1:1">
      <c r="A7736" s="56"/>
    </row>
    <row r="7737" spans="1:1">
      <c r="A7737" s="56"/>
    </row>
    <row r="7738" spans="1:1">
      <c r="A7738" s="56"/>
    </row>
    <row r="7739" spans="1:1">
      <c r="A7739" s="56"/>
    </row>
    <row r="7740" spans="1:1">
      <c r="A7740" s="56"/>
    </row>
    <row r="7741" spans="1:1">
      <c r="A7741" s="56"/>
    </row>
    <row r="7742" spans="1:1">
      <c r="A7742" s="56"/>
    </row>
    <row r="7743" spans="1:1">
      <c r="A7743" s="56"/>
    </row>
    <row r="7744" spans="1:1">
      <c r="A7744" s="56"/>
    </row>
    <row r="7745" spans="1:1">
      <c r="A7745" s="56"/>
    </row>
    <row r="7746" spans="1:1">
      <c r="A7746" s="56"/>
    </row>
    <row r="7747" spans="1:1">
      <c r="A7747" s="56"/>
    </row>
    <row r="7748" spans="1:1">
      <c r="A7748" s="56"/>
    </row>
    <row r="7749" spans="1:1">
      <c r="A7749" s="56"/>
    </row>
    <row r="7750" spans="1:1">
      <c r="A7750" s="56"/>
    </row>
    <row r="7751" spans="1:1">
      <c r="A7751" s="56"/>
    </row>
    <row r="7752" spans="1:1">
      <c r="A7752" s="56"/>
    </row>
    <row r="7753" spans="1:1">
      <c r="A7753" s="56"/>
    </row>
    <row r="7754" spans="1:1">
      <c r="A7754" s="56"/>
    </row>
    <row r="7755" spans="1:1">
      <c r="A7755" s="56"/>
    </row>
    <row r="7756" spans="1:1">
      <c r="A7756" s="56"/>
    </row>
    <row r="7757" spans="1:1">
      <c r="A7757" s="56"/>
    </row>
    <row r="7758" spans="1:1">
      <c r="A7758" s="56"/>
    </row>
    <row r="7759" spans="1:1">
      <c r="A7759" s="56"/>
    </row>
    <row r="7760" spans="1:1">
      <c r="A7760" s="56"/>
    </row>
    <row r="7761" spans="1:1">
      <c r="A7761" s="56"/>
    </row>
    <row r="7762" spans="1:1">
      <c r="A7762" s="56"/>
    </row>
    <row r="7763" spans="1:1">
      <c r="A7763" s="56"/>
    </row>
    <row r="7764" spans="1:1">
      <c r="A7764" s="56"/>
    </row>
    <row r="7765" spans="1:1">
      <c r="A7765" s="56"/>
    </row>
    <row r="7766" spans="1:1">
      <c r="A7766" s="56"/>
    </row>
    <row r="7767" spans="1:1">
      <c r="A7767" s="56"/>
    </row>
    <row r="7768" spans="1:1">
      <c r="A7768" s="56"/>
    </row>
    <row r="7769" spans="1:1">
      <c r="A7769" s="56"/>
    </row>
    <row r="7770" spans="1:1">
      <c r="A7770" s="56"/>
    </row>
    <row r="7771" spans="1:1">
      <c r="A7771" s="56"/>
    </row>
    <row r="7772" spans="1:1">
      <c r="A7772" s="56"/>
    </row>
    <row r="7773" spans="1:1">
      <c r="A7773" s="56"/>
    </row>
    <row r="7774" spans="1:1">
      <c r="A7774" s="56"/>
    </row>
    <row r="7775" spans="1:1">
      <c r="A7775" s="56"/>
    </row>
    <row r="7776" spans="1:1">
      <c r="A7776" s="56"/>
    </row>
    <row r="7777" spans="1:1">
      <c r="A7777" s="56"/>
    </row>
    <row r="7778" spans="1:1">
      <c r="A7778" s="56"/>
    </row>
    <row r="7779" spans="1:1">
      <c r="A7779" s="56"/>
    </row>
    <row r="7780" spans="1:1">
      <c r="A7780" s="56"/>
    </row>
    <row r="7781" spans="1:1">
      <c r="A7781" s="56"/>
    </row>
    <row r="7782" spans="1:1">
      <c r="A7782" s="56"/>
    </row>
    <row r="7783" spans="1:1">
      <c r="A7783" s="56"/>
    </row>
    <row r="7784" spans="1:1">
      <c r="A7784" s="56"/>
    </row>
    <row r="7785" spans="1:1">
      <c r="A7785" s="56"/>
    </row>
    <row r="7786" spans="1:1">
      <c r="A7786" s="56"/>
    </row>
    <row r="7787" spans="1:1">
      <c r="A7787" s="56"/>
    </row>
    <row r="7788" spans="1:1">
      <c r="A7788" s="56"/>
    </row>
    <row r="7789" spans="1:1">
      <c r="A7789" s="56"/>
    </row>
    <row r="7790" spans="1:1">
      <c r="A7790" s="56"/>
    </row>
    <row r="7791" spans="1:1">
      <c r="A7791" s="56"/>
    </row>
    <row r="7792" spans="1:1">
      <c r="A7792" s="56"/>
    </row>
    <row r="7793" spans="1:1">
      <c r="A7793" s="56"/>
    </row>
    <row r="7794" spans="1:1">
      <c r="A7794" s="56"/>
    </row>
    <row r="7795" spans="1:1">
      <c r="A7795" s="56"/>
    </row>
    <row r="7796" spans="1:1">
      <c r="A7796" s="56"/>
    </row>
    <row r="7797" spans="1:1">
      <c r="A7797" s="56"/>
    </row>
    <row r="7798" spans="1:1">
      <c r="A7798" s="56"/>
    </row>
    <row r="7799" spans="1:1">
      <c r="A7799" s="56"/>
    </row>
    <row r="7800" spans="1:1">
      <c r="A7800" s="56"/>
    </row>
    <row r="7801" spans="1:1">
      <c r="A7801" s="56"/>
    </row>
    <row r="7802" spans="1:1">
      <c r="A7802" s="56"/>
    </row>
    <row r="7803" spans="1:1">
      <c r="A7803" s="56"/>
    </row>
    <row r="7804" spans="1:1">
      <c r="A7804" s="56"/>
    </row>
    <row r="7805" spans="1:1">
      <c r="A7805" s="56"/>
    </row>
    <row r="7806" spans="1:1">
      <c r="A7806" s="56"/>
    </row>
    <row r="7807" spans="1:1">
      <c r="A7807" s="56"/>
    </row>
    <row r="7808" spans="1:1">
      <c r="A7808" s="56"/>
    </row>
    <row r="7809" spans="1:1">
      <c r="A7809" s="56"/>
    </row>
    <row r="7810" spans="1:1">
      <c r="A7810" s="56"/>
    </row>
    <row r="7811" spans="1:1">
      <c r="A7811" s="56"/>
    </row>
    <row r="7812" spans="1:1">
      <c r="A7812" s="56"/>
    </row>
    <row r="7813" spans="1:1">
      <c r="A7813" s="56"/>
    </row>
    <row r="7814" spans="1:1">
      <c r="A7814" s="56"/>
    </row>
    <row r="7815" spans="1:1">
      <c r="A7815" s="56"/>
    </row>
    <row r="7816" spans="1:1">
      <c r="A7816" s="56"/>
    </row>
    <row r="7817" spans="1:1">
      <c r="A7817" s="56"/>
    </row>
    <row r="7818" spans="1:1">
      <c r="A7818" s="56"/>
    </row>
    <row r="7819" spans="1:1">
      <c r="A7819" s="56"/>
    </row>
    <row r="7820" spans="1:1">
      <c r="A7820" s="56"/>
    </row>
    <row r="7821" spans="1:1">
      <c r="A7821" s="56"/>
    </row>
    <row r="7822" spans="1:1">
      <c r="A7822" s="56"/>
    </row>
    <row r="7823" spans="1:1">
      <c r="A7823" s="56"/>
    </row>
    <row r="7824" spans="1:1">
      <c r="A7824" s="56"/>
    </row>
    <row r="7825" spans="1:1">
      <c r="A7825" s="56"/>
    </row>
    <row r="7826" spans="1:1">
      <c r="A7826" s="56"/>
    </row>
    <row r="7827" spans="1:1">
      <c r="A7827" s="56"/>
    </row>
    <row r="7828" spans="1:1">
      <c r="A7828" s="56"/>
    </row>
    <row r="7829" spans="1:1">
      <c r="A7829" s="56"/>
    </row>
    <row r="7830" spans="1:1">
      <c r="A7830" s="56"/>
    </row>
    <row r="7831" spans="1:1">
      <c r="A7831" s="56"/>
    </row>
    <row r="7832" spans="1:1">
      <c r="A7832" s="56"/>
    </row>
    <row r="7833" spans="1:1">
      <c r="A7833" s="56"/>
    </row>
    <row r="7834" spans="1:1">
      <c r="A7834" s="56"/>
    </row>
    <row r="7835" spans="1:1">
      <c r="A7835" s="56"/>
    </row>
    <row r="7836" spans="1:1">
      <c r="A7836" s="56"/>
    </row>
    <row r="7837" spans="1:1">
      <c r="A7837" s="56"/>
    </row>
    <row r="7838" spans="1:1">
      <c r="A7838" s="56"/>
    </row>
    <row r="7839" spans="1:1">
      <c r="A7839" s="56"/>
    </row>
    <row r="7840" spans="1:1">
      <c r="A7840" s="56"/>
    </row>
    <row r="7841" spans="1:1">
      <c r="A7841" s="56"/>
    </row>
    <row r="7842" spans="1:1">
      <c r="A7842" s="56"/>
    </row>
    <row r="7843" spans="1:1">
      <c r="A7843" s="56"/>
    </row>
    <row r="7844" spans="1:1">
      <c r="A7844" s="56"/>
    </row>
    <row r="7845" spans="1:1">
      <c r="A7845" s="56"/>
    </row>
    <row r="7846" spans="1:1">
      <c r="A7846" s="56"/>
    </row>
    <row r="7847" spans="1:1">
      <c r="A7847" s="56"/>
    </row>
    <row r="7848" spans="1:1">
      <c r="A7848" s="56"/>
    </row>
    <row r="7849" spans="1:1">
      <c r="A7849" s="56"/>
    </row>
    <row r="7850" spans="1:1">
      <c r="A7850" s="56"/>
    </row>
    <row r="7851" spans="1:1">
      <c r="A7851" s="56"/>
    </row>
    <row r="7852" spans="1:1">
      <c r="A7852" s="56"/>
    </row>
    <row r="7853" spans="1:1">
      <c r="A7853" s="56"/>
    </row>
    <row r="7854" spans="1:1">
      <c r="A7854" s="56"/>
    </row>
    <row r="7855" spans="1:1">
      <c r="A7855" s="56"/>
    </row>
    <row r="7856" spans="1:1">
      <c r="A7856" s="56"/>
    </row>
    <row r="7857" spans="1:1">
      <c r="A7857" s="56"/>
    </row>
    <row r="7858" spans="1:1">
      <c r="A7858" s="56"/>
    </row>
    <row r="7859" spans="1:1">
      <c r="A7859" s="56"/>
    </row>
    <row r="7860" spans="1:1">
      <c r="A7860" s="56"/>
    </row>
    <row r="7861" spans="1:1">
      <c r="A7861" s="56"/>
    </row>
    <row r="7862" spans="1:1">
      <c r="A7862" s="56"/>
    </row>
    <row r="7863" spans="1:1">
      <c r="A7863" s="56"/>
    </row>
    <row r="7864" spans="1:1">
      <c r="A7864" s="56"/>
    </row>
    <row r="7865" spans="1:1">
      <c r="A7865" s="56"/>
    </row>
    <row r="7866" spans="1:1">
      <c r="A7866" s="56"/>
    </row>
    <row r="7867" spans="1:1">
      <c r="A7867" s="56"/>
    </row>
    <row r="7868" spans="1:1">
      <c r="A7868" s="56"/>
    </row>
    <row r="7869" spans="1:1">
      <c r="A7869" s="56"/>
    </row>
    <row r="7870" spans="1:1">
      <c r="A7870" s="56"/>
    </row>
    <row r="7871" spans="1:1">
      <c r="A7871" s="56"/>
    </row>
    <row r="7872" spans="1:1">
      <c r="A7872" s="56"/>
    </row>
    <row r="7873" spans="1:1">
      <c r="A7873" s="56"/>
    </row>
    <row r="7874" spans="1:1">
      <c r="A7874" s="56"/>
    </row>
    <row r="7875" spans="1:1">
      <c r="A7875" s="56"/>
    </row>
    <row r="7876" spans="1:1">
      <c r="A7876" s="56"/>
    </row>
    <row r="7877" spans="1:1">
      <c r="A7877" s="56"/>
    </row>
    <row r="7878" spans="1:1">
      <c r="A7878" s="56"/>
    </row>
    <row r="7879" spans="1:1">
      <c r="A7879" s="56"/>
    </row>
    <row r="7880" spans="1:1">
      <c r="A7880" s="56"/>
    </row>
    <row r="7881" spans="1:1">
      <c r="A7881" s="56"/>
    </row>
    <row r="7882" spans="1:1">
      <c r="A7882" s="56"/>
    </row>
    <row r="7883" spans="1:1">
      <c r="A7883" s="56"/>
    </row>
    <row r="7884" spans="1:1">
      <c r="A7884" s="56"/>
    </row>
    <row r="7885" spans="1:1">
      <c r="A7885" s="56"/>
    </row>
    <row r="7886" spans="1:1">
      <c r="A7886" s="56"/>
    </row>
    <row r="7887" spans="1:1">
      <c r="A7887" s="56"/>
    </row>
    <row r="7888" spans="1:1">
      <c r="A7888" s="56"/>
    </row>
    <row r="7889" spans="1:1">
      <c r="A7889" s="56"/>
    </row>
    <row r="7890" spans="1:1">
      <c r="A7890" s="56"/>
    </row>
    <row r="7891" spans="1:1">
      <c r="A7891" s="56"/>
    </row>
    <row r="7892" spans="1:1">
      <c r="A7892" s="56"/>
    </row>
    <row r="7893" spans="1:1">
      <c r="A7893" s="56"/>
    </row>
    <row r="7894" spans="1:1">
      <c r="A7894" s="56"/>
    </row>
    <row r="7895" spans="1:1">
      <c r="A7895" s="56"/>
    </row>
    <row r="7896" spans="1:1">
      <c r="A7896" s="56"/>
    </row>
    <row r="7897" spans="1:1">
      <c r="A7897" s="56"/>
    </row>
    <row r="7898" spans="1:1">
      <c r="A7898" s="56"/>
    </row>
    <row r="7899" spans="1:1">
      <c r="A7899" s="56"/>
    </row>
    <row r="7900" spans="1:1">
      <c r="A7900" s="56"/>
    </row>
    <row r="7901" spans="1:1">
      <c r="A7901" s="56"/>
    </row>
    <row r="7902" spans="1:1">
      <c r="A7902" s="56"/>
    </row>
    <row r="7903" spans="1:1">
      <c r="A7903" s="56"/>
    </row>
    <row r="7904" spans="1:1">
      <c r="A7904" s="56"/>
    </row>
    <row r="7905" spans="1:1">
      <c r="A7905" s="56"/>
    </row>
    <row r="7906" spans="1:1">
      <c r="A7906" s="56"/>
    </row>
    <row r="7907" spans="1:1">
      <c r="A7907" s="56"/>
    </row>
    <row r="7908" spans="1:1">
      <c r="A7908" s="56"/>
    </row>
    <row r="7909" spans="1:1">
      <c r="A7909" s="56"/>
    </row>
    <row r="7910" spans="1:1">
      <c r="A7910" s="56"/>
    </row>
    <row r="7911" spans="1:1">
      <c r="A7911" s="56"/>
    </row>
    <row r="7912" spans="1:1">
      <c r="A7912" s="56"/>
    </row>
    <row r="7913" spans="1:1">
      <c r="A7913" s="56"/>
    </row>
    <row r="7914" spans="1:1">
      <c r="A7914" s="56"/>
    </row>
    <row r="7915" spans="1:1">
      <c r="A7915" s="56"/>
    </row>
    <row r="7916" spans="1:1">
      <c r="A7916" s="56"/>
    </row>
    <row r="7917" spans="1:1">
      <c r="A7917" s="56"/>
    </row>
    <row r="7918" spans="1:1">
      <c r="A7918" s="56"/>
    </row>
    <row r="7919" spans="1:1">
      <c r="A7919" s="56"/>
    </row>
    <row r="7920" spans="1:1">
      <c r="A7920" s="56"/>
    </row>
    <row r="7921" spans="1:1">
      <c r="A7921" s="56"/>
    </row>
    <row r="7922" spans="1:1">
      <c r="A7922" s="56"/>
    </row>
    <row r="7923" spans="1:1">
      <c r="A7923" s="56"/>
    </row>
    <row r="7924" spans="1:1">
      <c r="A7924" s="56"/>
    </row>
    <row r="7925" spans="1:1">
      <c r="A7925" s="56"/>
    </row>
    <row r="7926" spans="1:1">
      <c r="A7926" s="56"/>
    </row>
    <row r="7927" spans="1:1">
      <c r="A7927" s="56"/>
    </row>
    <row r="7928" spans="1:1">
      <c r="A7928" s="56"/>
    </row>
    <row r="7929" spans="1:1">
      <c r="A7929" s="56"/>
    </row>
    <row r="7930" spans="1:1">
      <c r="A7930" s="56"/>
    </row>
    <row r="7931" spans="1:1">
      <c r="A7931" s="56"/>
    </row>
    <row r="7932" spans="1:1">
      <c r="A7932" s="56"/>
    </row>
    <row r="7933" spans="1:1">
      <c r="A7933" s="56"/>
    </row>
    <row r="7934" spans="1:1">
      <c r="A7934" s="56"/>
    </row>
    <row r="7935" spans="1:1">
      <c r="A7935" s="56"/>
    </row>
    <row r="7936" spans="1:1">
      <c r="A7936" s="56"/>
    </row>
    <row r="7937" spans="1:1">
      <c r="A7937" s="56"/>
    </row>
    <row r="7938" spans="1:1">
      <c r="A7938" s="56"/>
    </row>
    <row r="7939" spans="1:1">
      <c r="A7939" s="56"/>
    </row>
    <row r="7940" spans="1:1">
      <c r="A7940" s="56"/>
    </row>
    <row r="7941" spans="1:1">
      <c r="A7941" s="56"/>
    </row>
    <row r="7942" spans="1:1">
      <c r="A7942" s="56"/>
    </row>
    <row r="7943" spans="1:1">
      <c r="A7943" s="56"/>
    </row>
    <row r="7944" spans="1:1">
      <c r="A7944" s="56"/>
    </row>
    <row r="7945" spans="1:1">
      <c r="A7945" s="56"/>
    </row>
    <row r="7946" spans="1:1">
      <c r="A7946" s="56"/>
    </row>
    <row r="7947" spans="1:1">
      <c r="A7947" s="56"/>
    </row>
    <row r="7948" spans="1:1">
      <c r="A7948" s="56"/>
    </row>
    <row r="7949" spans="1:1">
      <c r="A7949" s="56"/>
    </row>
    <row r="7950" spans="1:1">
      <c r="A7950" s="56"/>
    </row>
    <row r="7951" spans="1:1">
      <c r="A7951" s="56"/>
    </row>
    <row r="7952" spans="1:1">
      <c r="A7952" s="56"/>
    </row>
    <row r="7953" spans="1:1">
      <c r="A7953" s="56"/>
    </row>
    <row r="7954" spans="1:1">
      <c r="A7954" s="56"/>
    </row>
    <row r="7955" spans="1:1">
      <c r="A7955" s="56"/>
    </row>
    <row r="7956" spans="1:1">
      <c r="A7956" s="56"/>
    </row>
    <row r="7957" spans="1:1">
      <c r="A7957" s="56"/>
    </row>
    <row r="7958" spans="1:1">
      <c r="A7958" s="56"/>
    </row>
    <row r="7959" spans="1:1">
      <c r="A7959" s="56"/>
    </row>
    <row r="7960" spans="1:1">
      <c r="A7960" s="56"/>
    </row>
    <row r="7961" spans="1:1">
      <c r="A7961" s="56"/>
    </row>
    <row r="7962" spans="1:1">
      <c r="A7962" s="56"/>
    </row>
    <row r="7963" spans="1:1">
      <c r="A7963" s="56"/>
    </row>
    <row r="7964" spans="1:1">
      <c r="A7964" s="56"/>
    </row>
    <row r="7965" spans="1:1">
      <c r="A7965" s="56"/>
    </row>
    <row r="7966" spans="1:1">
      <c r="A7966" s="56"/>
    </row>
    <row r="7967" spans="1:1">
      <c r="A7967" s="56"/>
    </row>
    <row r="7968" spans="1:1">
      <c r="A7968" s="56"/>
    </row>
    <row r="7969" spans="1:1">
      <c r="A7969" s="56"/>
    </row>
    <row r="7970" spans="1:1">
      <c r="A7970" s="56"/>
    </row>
    <row r="7971" spans="1:1">
      <c r="A7971" s="56"/>
    </row>
    <row r="7972" spans="1:1">
      <c r="A7972" s="56"/>
    </row>
    <row r="7973" spans="1:1">
      <c r="A7973" s="56"/>
    </row>
    <row r="7974" spans="1:1">
      <c r="A7974" s="56"/>
    </row>
    <row r="7975" spans="1:1">
      <c r="A7975" s="56"/>
    </row>
    <row r="7976" spans="1:1">
      <c r="A7976" s="56"/>
    </row>
    <row r="7977" spans="1:1">
      <c r="A7977" s="56"/>
    </row>
    <row r="7978" spans="1:1">
      <c r="A7978" s="56"/>
    </row>
    <row r="7979" spans="1:1">
      <c r="A7979" s="56"/>
    </row>
    <row r="7980" spans="1:1">
      <c r="A7980" s="56"/>
    </row>
    <row r="7981" spans="1:1">
      <c r="A7981" s="56"/>
    </row>
    <row r="7982" spans="1:1">
      <c r="A7982" s="56"/>
    </row>
    <row r="7983" spans="1:1">
      <c r="A7983" s="56"/>
    </row>
    <row r="7984" spans="1:1">
      <c r="A7984" s="56"/>
    </row>
    <row r="7985" spans="1:1">
      <c r="A7985" s="56"/>
    </row>
    <row r="7986" spans="1:1">
      <c r="A7986" s="56"/>
    </row>
    <row r="7987" spans="1:1">
      <c r="A7987" s="56"/>
    </row>
    <row r="7988" spans="1:1">
      <c r="A7988" s="56"/>
    </row>
    <row r="7989" spans="1:1">
      <c r="A7989" s="56"/>
    </row>
    <row r="7990" spans="1:1">
      <c r="A7990" s="56"/>
    </row>
    <row r="7991" spans="1:1">
      <c r="A7991" s="56"/>
    </row>
    <row r="7992" spans="1:1">
      <c r="A7992" s="56"/>
    </row>
    <row r="7993" spans="1:1">
      <c r="A7993" s="56"/>
    </row>
    <row r="7994" spans="1:1">
      <c r="A7994" s="56"/>
    </row>
    <row r="7995" spans="1:1">
      <c r="A7995" s="56"/>
    </row>
    <row r="7996" spans="1:1">
      <c r="A7996" s="56"/>
    </row>
    <row r="7997" spans="1:1">
      <c r="A7997" s="56"/>
    </row>
    <row r="7998" spans="1:1">
      <c r="A7998" s="56"/>
    </row>
    <row r="7999" spans="1:1">
      <c r="A7999" s="56"/>
    </row>
    <row r="8000" spans="1:1">
      <c r="A8000" s="56"/>
    </row>
    <row r="8001" spans="1:1">
      <c r="A8001" s="56"/>
    </row>
    <row r="8002" spans="1:1">
      <c r="A8002" s="56"/>
    </row>
    <row r="8003" spans="1:1">
      <c r="A8003" s="56"/>
    </row>
    <row r="8004" spans="1:1">
      <c r="A8004" s="56"/>
    </row>
    <row r="8005" spans="1:1">
      <c r="A8005" s="56"/>
    </row>
    <row r="8006" spans="1:1">
      <c r="A8006" s="56"/>
    </row>
    <row r="8007" spans="1:1">
      <c r="A8007" s="56"/>
    </row>
    <row r="8008" spans="1:1">
      <c r="A8008" s="56"/>
    </row>
    <row r="8009" spans="1:1">
      <c r="A8009" s="56"/>
    </row>
    <row r="8010" spans="1:1">
      <c r="A8010" s="56"/>
    </row>
    <row r="8011" spans="1:1">
      <c r="A8011" s="56"/>
    </row>
    <row r="8012" spans="1:1">
      <c r="A8012" s="56"/>
    </row>
    <row r="8013" spans="1:1">
      <c r="A8013" s="56"/>
    </row>
    <row r="8014" spans="1:1">
      <c r="A8014" s="56"/>
    </row>
    <row r="8015" spans="1:1">
      <c r="A8015" s="56"/>
    </row>
    <row r="8016" spans="1:1">
      <c r="A8016" s="56"/>
    </row>
    <row r="8017" spans="1:1">
      <c r="A8017" s="56"/>
    </row>
    <row r="8018" spans="1:1">
      <c r="A8018" s="56"/>
    </row>
    <row r="8019" spans="1:1">
      <c r="A8019" s="56"/>
    </row>
    <row r="8020" spans="1:1">
      <c r="A8020" s="56"/>
    </row>
    <row r="8021" spans="1:1">
      <c r="A8021" s="56"/>
    </row>
    <row r="8022" spans="1:1">
      <c r="A8022" s="56"/>
    </row>
    <row r="8023" spans="1:1">
      <c r="A8023" s="56"/>
    </row>
    <row r="8024" spans="1:1">
      <c r="A8024" s="56"/>
    </row>
    <row r="8025" spans="1:1">
      <c r="A8025" s="56"/>
    </row>
    <row r="8026" spans="1:1">
      <c r="A8026" s="56"/>
    </row>
    <row r="8027" spans="1:1">
      <c r="A8027" s="56"/>
    </row>
    <row r="8028" spans="1:1">
      <c r="A8028" s="56"/>
    </row>
    <row r="8029" spans="1:1">
      <c r="A8029" s="56"/>
    </row>
    <row r="8030" spans="1:1">
      <c r="A8030" s="56"/>
    </row>
    <row r="8031" spans="1:1">
      <c r="A8031" s="56"/>
    </row>
    <row r="8032" spans="1:1">
      <c r="A8032" s="56"/>
    </row>
    <row r="8033" spans="1:1">
      <c r="A8033" s="56"/>
    </row>
    <row r="8034" spans="1:1">
      <c r="A8034" s="56"/>
    </row>
    <row r="8035" spans="1:1">
      <c r="A8035" s="56"/>
    </row>
    <row r="8036" spans="1:1">
      <c r="A8036" s="56"/>
    </row>
    <row r="8037" spans="1:1">
      <c r="A8037" s="56"/>
    </row>
    <row r="8038" spans="1:1">
      <c r="A8038" s="56"/>
    </row>
    <row r="8039" spans="1:1">
      <c r="A8039" s="56"/>
    </row>
    <row r="8040" spans="1:1">
      <c r="A8040" s="56"/>
    </row>
    <row r="8041" spans="1:1">
      <c r="A8041" s="56"/>
    </row>
    <row r="8042" spans="1:1">
      <c r="A8042" s="56"/>
    </row>
    <row r="8043" spans="1:1">
      <c r="A8043" s="56"/>
    </row>
    <row r="8044" spans="1:1">
      <c r="A8044" s="56"/>
    </row>
    <row r="8045" spans="1:1">
      <c r="A8045" s="56"/>
    </row>
    <row r="8046" spans="1:1">
      <c r="A8046" s="56"/>
    </row>
    <row r="8047" spans="1:1">
      <c r="A8047" s="56"/>
    </row>
    <row r="8048" spans="1:1">
      <c r="A8048" s="56"/>
    </row>
    <row r="8049" spans="1:1">
      <c r="A8049" s="56"/>
    </row>
    <row r="8050" spans="1:1">
      <c r="A8050" s="56"/>
    </row>
    <row r="8051" spans="1:1">
      <c r="A8051" s="56"/>
    </row>
    <row r="8052" spans="1:1">
      <c r="A8052" s="56"/>
    </row>
    <row r="8053" spans="1:1">
      <c r="A8053" s="56"/>
    </row>
    <row r="8054" spans="1:1">
      <c r="A8054" s="56"/>
    </row>
    <row r="8055" spans="1:1">
      <c r="A8055" s="56"/>
    </row>
    <row r="8056" spans="1:1">
      <c r="A8056" s="56"/>
    </row>
    <row r="8057" spans="1:1">
      <c r="A8057" s="56"/>
    </row>
    <row r="8058" spans="1:1">
      <c r="A8058" s="56"/>
    </row>
    <row r="8059" spans="1:1">
      <c r="A8059" s="56"/>
    </row>
    <row r="8060" spans="1:1">
      <c r="A8060" s="56"/>
    </row>
    <row r="8061" spans="1:1">
      <c r="A8061" s="56"/>
    </row>
    <row r="8062" spans="1:1">
      <c r="A8062" s="56"/>
    </row>
    <row r="8063" spans="1:1">
      <c r="A8063" s="56"/>
    </row>
    <row r="8064" spans="1:1">
      <c r="A8064" s="56"/>
    </row>
    <row r="8065" spans="1:1">
      <c r="A8065" s="56"/>
    </row>
    <row r="8066" spans="1:1">
      <c r="A8066" s="56"/>
    </row>
    <row r="8067" spans="1:1">
      <c r="A8067" s="56"/>
    </row>
    <row r="8068" spans="1:1">
      <c r="A8068" s="56"/>
    </row>
    <row r="8069" spans="1:1">
      <c r="A8069" s="56"/>
    </row>
    <row r="8070" spans="1:1">
      <c r="A8070" s="56"/>
    </row>
    <row r="8071" spans="1:1">
      <c r="A8071" s="56"/>
    </row>
    <row r="8072" spans="1:1">
      <c r="A8072" s="56"/>
    </row>
    <row r="8073" spans="1:1">
      <c r="A8073" s="56"/>
    </row>
    <row r="8074" spans="1:1">
      <c r="A8074" s="56"/>
    </row>
    <row r="8075" spans="1:1">
      <c r="A8075" s="56"/>
    </row>
    <row r="8076" spans="1:1">
      <c r="A8076" s="56"/>
    </row>
    <row r="8077" spans="1:1">
      <c r="A8077" s="56"/>
    </row>
    <row r="8078" spans="1:1">
      <c r="A8078" s="56"/>
    </row>
    <row r="8079" spans="1:1">
      <c r="A8079" s="56"/>
    </row>
    <row r="8080" spans="1:1">
      <c r="A8080" s="56"/>
    </row>
    <row r="8081" spans="1:1">
      <c r="A8081" s="56"/>
    </row>
    <row r="8082" spans="1:1">
      <c r="A8082" s="56"/>
    </row>
    <row r="8083" spans="1:1">
      <c r="A8083" s="56"/>
    </row>
    <row r="8084" spans="1:1">
      <c r="A8084" s="56"/>
    </row>
    <row r="8085" spans="1:1">
      <c r="A8085" s="56"/>
    </row>
    <row r="8086" spans="1:1">
      <c r="A8086" s="56"/>
    </row>
    <row r="8087" spans="1:1">
      <c r="A8087" s="56"/>
    </row>
    <row r="8088" spans="1:1">
      <c r="A8088" s="56"/>
    </row>
    <row r="8089" spans="1:1">
      <c r="A8089" s="56"/>
    </row>
    <row r="8090" spans="1:1">
      <c r="A8090" s="56"/>
    </row>
    <row r="8091" spans="1:1">
      <c r="A8091" s="56"/>
    </row>
    <row r="8092" spans="1:1">
      <c r="A8092" s="56"/>
    </row>
    <row r="8093" spans="1:1">
      <c r="A8093" s="56"/>
    </row>
    <row r="8094" spans="1:1">
      <c r="A8094" s="56"/>
    </row>
    <row r="8095" spans="1:1">
      <c r="A8095" s="56"/>
    </row>
    <row r="8096" spans="1:1">
      <c r="A8096" s="56"/>
    </row>
    <row r="8097" spans="1:1">
      <c r="A8097" s="56"/>
    </row>
    <row r="8098" spans="1:1">
      <c r="A8098" s="56"/>
    </row>
    <row r="8099" spans="1:1">
      <c r="A8099" s="56"/>
    </row>
    <row r="8100" spans="1:1">
      <c r="A8100" s="56"/>
    </row>
    <row r="8101" spans="1:1">
      <c r="A8101" s="56"/>
    </row>
    <row r="8102" spans="1:1">
      <c r="A8102" s="56"/>
    </row>
    <row r="8103" spans="1:1">
      <c r="A8103" s="56"/>
    </row>
    <row r="8104" spans="1:1">
      <c r="A8104" s="56"/>
    </row>
    <row r="8105" spans="1:1">
      <c r="A8105" s="56"/>
    </row>
    <row r="8106" spans="1:1">
      <c r="A8106" s="56"/>
    </row>
    <row r="8107" spans="1:1">
      <c r="A8107" s="56"/>
    </row>
    <row r="8108" spans="1:1">
      <c r="A8108" s="56"/>
    </row>
    <row r="8109" spans="1:1">
      <c r="A8109" s="56"/>
    </row>
    <row r="8110" spans="1:1">
      <c r="A8110" s="56"/>
    </row>
    <row r="8111" spans="1:1">
      <c r="A8111" s="56"/>
    </row>
    <row r="8112" spans="1:1">
      <c r="A8112" s="56"/>
    </row>
    <row r="8113" spans="1:1">
      <c r="A8113" s="56"/>
    </row>
    <row r="8114" spans="1:1">
      <c r="A8114" s="56"/>
    </row>
    <row r="8115" spans="1:1">
      <c r="A8115" s="56"/>
    </row>
    <row r="8116" spans="1:1">
      <c r="A8116" s="56"/>
    </row>
    <row r="8117" spans="1:1">
      <c r="A8117" s="56"/>
    </row>
    <row r="8118" spans="1:1">
      <c r="A8118" s="56"/>
    </row>
    <row r="8119" spans="1:1">
      <c r="A8119" s="56"/>
    </row>
    <row r="8120" spans="1:1">
      <c r="A8120" s="56"/>
    </row>
    <row r="8121" spans="1:1">
      <c r="A8121" s="56"/>
    </row>
    <row r="8122" spans="1:1">
      <c r="A8122" s="56"/>
    </row>
    <row r="8123" spans="1:1">
      <c r="A8123" s="56"/>
    </row>
    <row r="8124" spans="1:1">
      <c r="A8124" s="56"/>
    </row>
    <row r="8125" spans="1:1">
      <c r="A8125" s="56"/>
    </row>
    <row r="8126" spans="1:1">
      <c r="A8126" s="56"/>
    </row>
    <row r="8127" spans="1:1">
      <c r="A8127" s="56"/>
    </row>
    <row r="8128" spans="1:1">
      <c r="A8128" s="56"/>
    </row>
    <row r="8129" spans="1:1">
      <c r="A8129" s="56"/>
    </row>
    <row r="8130" spans="1:1">
      <c r="A8130" s="56"/>
    </row>
    <row r="8131" spans="1:1">
      <c r="A8131" s="56"/>
    </row>
    <row r="8132" spans="1:1">
      <c r="A8132" s="56"/>
    </row>
    <row r="8133" spans="1:1">
      <c r="A8133" s="56"/>
    </row>
    <row r="8134" spans="1:1">
      <c r="A8134" s="56"/>
    </row>
    <row r="8135" spans="1:1">
      <c r="A8135" s="56"/>
    </row>
    <row r="8136" spans="1:1">
      <c r="A8136" s="56"/>
    </row>
    <row r="8137" spans="1:1">
      <c r="A8137" s="56"/>
    </row>
    <row r="8138" spans="1:1">
      <c r="A8138" s="56"/>
    </row>
    <row r="8139" spans="1:1">
      <c r="A8139" s="56"/>
    </row>
    <row r="8140" spans="1:1">
      <c r="A8140" s="56"/>
    </row>
    <row r="8141" spans="1:1">
      <c r="A8141" s="56"/>
    </row>
    <row r="8142" spans="1:1">
      <c r="A8142" s="56"/>
    </row>
    <row r="8143" spans="1:1">
      <c r="A8143" s="56"/>
    </row>
    <row r="8144" spans="1:1">
      <c r="A8144" s="56"/>
    </row>
    <row r="8145" spans="1:1">
      <c r="A8145" s="56"/>
    </row>
    <row r="8146" spans="1:1">
      <c r="A8146" s="56"/>
    </row>
    <row r="8147" spans="1:1">
      <c r="A8147" s="56"/>
    </row>
    <row r="8148" spans="1:1">
      <c r="A8148" s="56"/>
    </row>
    <row r="8149" spans="1:1">
      <c r="A8149" s="56"/>
    </row>
    <row r="8150" spans="1:1">
      <c r="A8150" s="56"/>
    </row>
    <row r="8151" spans="1:1">
      <c r="A8151" s="56"/>
    </row>
    <row r="8152" spans="1:1">
      <c r="A8152" s="56"/>
    </row>
    <row r="8153" spans="1:1">
      <c r="A8153" s="56"/>
    </row>
    <row r="8154" spans="1:1">
      <c r="A8154" s="56"/>
    </row>
    <row r="8155" spans="1:1">
      <c r="A8155" s="56"/>
    </row>
    <row r="8156" spans="1:1">
      <c r="A8156" s="56"/>
    </row>
    <row r="8157" spans="1:1">
      <c r="A8157" s="56"/>
    </row>
    <row r="8158" spans="1:1">
      <c r="A8158" s="56"/>
    </row>
    <row r="8159" spans="1:1">
      <c r="A8159" s="56"/>
    </row>
    <row r="8160" spans="1:1">
      <c r="A8160" s="56"/>
    </row>
    <row r="8161" spans="1:1">
      <c r="A8161" s="56"/>
    </row>
    <row r="8162" spans="1:1">
      <c r="A8162" s="56"/>
    </row>
    <row r="8163" spans="1:1">
      <c r="A8163" s="56"/>
    </row>
    <row r="8164" spans="1:1">
      <c r="A8164" s="56"/>
    </row>
    <row r="8165" spans="1:1">
      <c r="A8165" s="56"/>
    </row>
    <row r="8166" spans="1:1">
      <c r="A8166" s="56"/>
    </row>
    <row r="8167" spans="1:1">
      <c r="A8167" s="56"/>
    </row>
    <row r="8168" spans="1:1">
      <c r="A8168" s="56"/>
    </row>
    <row r="8169" spans="1:1">
      <c r="A8169" s="56"/>
    </row>
    <row r="8170" spans="1:1">
      <c r="A8170" s="56"/>
    </row>
    <row r="8171" spans="1:1">
      <c r="A8171" s="56"/>
    </row>
    <row r="8172" spans="1:1">
      <c r="A8172" s="56"/>
    </row>
    <row r="8173" spans="1:1">
      <c r="A8173" s="56"/>
    </row>
    <row r="8174" spans="1:1">
      <c r="A8174" s="56"/>
    </row>
    <row r="8175" spans="1:1">
      <c r="A8175" s="56"/>
    </row>
    <row r="8176" spans="1:1">
      <c r="A8176" s="56"/>
    </row>
    <row r="8177" spans="1:1">
      <c r="A8177" s="56"/>
    </row>
    <row r="8178" spans="1:1">
      <c r="A8178" s="56"/>
    </row>
    <row r="8179" spans="1:1">
      <c r="A8179" s="56"/>
    </row>
    <row r="8180" spans="1:1">
      <c r="A8180" s="56"/>
    </row>
    <row r="8181" spans="1:1">
      <c r="A8181" s="56"/>
    </row>
    <row r="8182" spans="1:1">
      <c r="A8182" s="56"/>
    </row>
    <row r="8183" spans="1:1">
      <c r="A8183" s="56"/>
    </row>
    <row r="8184" spans="1:1">
      <c r="A8184" s="56"/>
    </row>
    <row r="8185" spans="1:1">
      <c r="A8185" s="56"/>
    </row>
    <row r="8186" spans="1:1">
      <c r="A8186" s="56"/>
    </row>
    <row r="8187" spans="1:1">
      <c r="A8187" s="56"/>
    </row>
    <row r="8188" spans="1:1">
      <c r="A8188" s="56"/>
    </row>
    <row r="8189" spans="1:1">
      <c r="A8189" s="56"/>
    </row>
    <row r="8190" spans="1:1">
      <c r="A8190" s="56"/>
    </row>
    <row r="8191" spans="1:1">
      <c r="A8191" s="56"/>
    </row>
    <row r="8192" spans="1:1">
      <c r="A8192" s="56"/>
    </row>
    <row r="8193" spans="1:1">
      <c r="A8193" s="56"/>
    </row>
    <row r="8194" spans="1:1">
      <c r="A8194" s="56"/>
    </row>
    <row r="8195" spans="1:1">
      <c r="A8195" s="56"/>
    </row>
    <row r="8196" spans="1:1">
      <c r="A8196" s="56"/>
    </row>
    <row r="8197" spans="1:1">
      <c r="A8197" s="56"/>
    </row>
    <row r="8198" spans="1:1">
      <c r="A8198" s="56"/>
    </row>
    <row r="8199" spans="1:1">
      <c r="A8199" s="56"/>
    </row>
    <row r="8200" spans="1:1">
      <c r="A8200" s="56"/>
    </row>
    <row r="8201" spans="1:1">
      <c r="A8201" s="56"/>
    </row>
    <row r="8202" spans="1:1">
      <c r="A8202" s="56"/>
    </row>
    <row r="8203" spans="1:1">
      <c r="A8203" s="56"/>
    </row>
    <row r="8204" spans="1:1">
      <c r="A8204" s="56"/>
    </row>
    <row r="8205" spans="1:1">
      <c r="A8205" s="56"/>
    </row>
    <row r="8206" spans="1:1">
      <c r="A8206" s="56"/>
    </row>
    <row r="8207" spans="1:1">
      <c r="A8207" s="56"/>
    </row>
    <row r="8208" spans="1:1">
      <c r="A8208" s="56"/>
    </row>
    <row r="8209" spans="1:1">
      <c r="A8209" s="56"/>
    </row>
    <row r="8210" spans="1:1">
      <c r="A8210" s="56"/>
    </row>
    <row r="8211" spans="1:1">
      <c r="A8211" s="56"/>
    </row>
    <row r="8212" spans="1:1">
      <c r="A8212" s="56"/>
    </row>
    <row r="8213" spans="1:1">
      <c r="A8213" s="56"/>
    </row>
    <row r="8214" spans="1:1">
      <c r="A8214" s="56"/>
    </row>
    <row r="8215" spans="1:1">
      <c r="A8215" s="56"/>
    </row>
    <row r="8216" spans="1:1">
      <c r="A8216" s="56"/>
    </row>
    <row r="8217" spans="1:1">
      <c r="A8217" s="56"/>
    </row>
    <row r="8218" spans="1:1">
      <c r="A8218" s="56"/>
    </row>
    <row r="8219" spans="1:1">
      <c r="A8219" s="56"/>
    </row>
    <row r="8220" spans="1:1">
      <c r="A8220" s="56"/>
    </row>
    <row r="8221" spans="1:1">
      <c r="A8221" s="56"/>
    </row>
    <row r="8222" spans="1:1">
      <c r="A8222" s="56"/>
    </row>
    <row r="8223" spans="1:1">
      <c r="A8223" s="56"/>
    </row>
    <row r="8224" spans="1:1">
      <c r="A8224" s="56"/>
    </row>
    <row r="8225" spans="1:1">
      <c r="A8225" s="56"/>
    </row>
    <row r="8226" spans="1:1">
      <c r="A8226" s="56"/>
    </row>
    <row r="8227" spans="1:1">
      <c r="A8227" s="56"/>
    </row>
    <row r="8228" spans="1:1">
      <c r="A8228" s="56"/>
    </row>
    <row r="8229" spans="1:1">
      <c r="A8229" s="56"/>
    </row>
    <row r="8230" spans="1:1">
      <c r="A8230" s="56"/>
    </row>
    <row r="8231" spans="1:1">
      <c r="A8231" s="56"/>
    </row>
    <row r="8232" spans="1:1">
      <c r="A8232" s="56"/>
    </row>
    <row r="8233" spans="1:1">
      <c r="A8233" s="56"/>
    </row>
    <row r="8234" spans="1:1">
      <c r="A8234" s="56"/>
    </row>
    <row r="8235" spans="1:1">
      <c r="A8235" s="56"/>
    </row>
    <row r="8236" spans="1:1">
      <c r="A8236" s="56"/>
    </row>
    <row r="8237" spans="1:1">
      <c r="A8237" s="56"/>
    </row>
    <row r="8238" spans="1:1">
      <c r="A8238" s="56"/>
    </row>
    <row r="8239" spans="1:1">
      <c r="A8239" s="56"/>
    </row>
    <row r="8240" spans="1:1">
      <c r="A8240" s="56"/>
    </row>
    <row r="8241" spans="1:1">
      <c r="A8241" s="56"/>
    </row>
    <row r="8242" spans="1:1">
      <c r="A8242" s="56"/>
    </row>
    <row r="8243" spans="1:1">
      <c r="A8243" s="56"/>
    </row>
    <row r="8244" spans="1:1">
      <c r="A8244" s="56"/>
    </row>
    <row r="8245" spans="1:1">
      <c r="A8245" s="56"/>
    </row>
    <row r="8246" spans="1:1">
      <c r="A8246" s="56"/>
    </row>
    <row r="8247" spans="1:1">
      <c r="A8247" s="56"/>
    </row>
    <row r="8248" spans="1:1">
      <c r="A8248" s="56"/>
    </row>
    <row r="8249" spans="1:1">
      <c r="A8249" s="56"/>
    </row>
    <row r="8250" spans="1:1">
      <c r="A8250" s="56"/>
    </row>
    <row r="8251" spans="1:1">
      <c r="A8251" s="56"/>
    </row>
    <row r="8252" spans="1:1">
      <c r="A8252" s="56"/>
    </row>
    <row r="8253" spans="1:1">
      <c r="A8253" s="56"/>
    </row>
    <row r="8254" spans="1:1">
      <c r="A8254" s="56"/>
    </row>
    <row r="8255" spans="1:1">
      <c r="A8255" s="56"/>
    </row>
    <row r="8256" spans="1:1">
      <c r="A8256" s="56"/>
    </row>
    <row r="8257" spans="1:1">
      <c r="A8257" s="56"/>
    </row>
    <row r="8258" spans="1:1">
      <c r="A8258" s="56"/>
    </row>
    <row r="8259" spans="1:1">
      <c r="A8259" s="56"/>
    </row>
    <row r="8260" spans="1:1">
      <c r="A8260" s="56"/>
    </row>
    <row r="8261" spans="1:1">
      <c r="A8261" s="56"/>
    </row>
    <row r="8262" spans="1:1">
      <c r="A8262" s="56"/>
    </row>
    <row r="8263" spans="1:1">
      <c r="A8263" s="56"/>
    </row>
    <row r="8264" spans="1:1">
      <c r="A8264" s="56"/>
    </row>
    <row r="8265" spans="1:1">
      <c r="A8265" s="56"/>
    </row>
    <row r="8266" spans="1:1">
      <c r="A8266" s="56"/>
    </row>
    <row r="8267" spans="1:1">
      <c r="A8267" s="56"/>
    </row>
    <row r="8268" spans="1:1">
      <c r="A8268" s="56"/>
    </row>
    <row r="8269" spans="1:1">
      <c r="A8269" s="56"/>
    </row>
    <row r="8270" spans="1:1">
      <c r="A8270" s="56"/>
    </row>
    <row r="8271" spans="1:1">
      <c r="A8271" s="56"/>
    </row>
    <row r="8272" spans="1:1">
      <c r="A8272" s="56"/>
    </row>
    <row r="8273" spans="1:1">
      <c r="A8273" s="56"/>
    </row>
    <row r="8274" spans="1:1">
      <c r="A8274" s="56"/>
    </row>
    <row r="8275" spans="1:1">
      <c r="A8275" s="56"/>
    </row>
    <row r="8276" spans="1:1">
      <c r="A8276" s="56"/>
    </row>
    <row r="8277" spans="1:1">
      <c r="A8277" s="56"/>
    </row>
    <row r="8278" spans="1:1">
      <c r="A8278" s="56"/>
    </row>
    <row r="8279" spans="1:1">
      <c r="A8279" s="56"/>
    </row>
    <row r="8280" spans="1:1">
      <c r="A8280" s="56"/>
    </row>
    <row r="8281" spans="1:1">
      <c r="A8281" s="56"/>
    </row>
    <row r="8282" spans="1:1">
      <c r="A8282" s="56"/>
    </row>
    <row r="8283" spans="1:1">
      <c r="A8283" s="56"/>
    </row>
    <row r="8284" spans="1:1">
      <c r="A8284" s="56"/>
    </row>
    <row r="8285" spans="1:1">
      <c r="A8285" s="56"/>
    </row>
    <row r="8286" spans="1:1">
      <c r="A8286" s="56"/>
    </row>
    <row r="8287" spans="1:1">
      <c r="A8287" s="56"/>
    </row>
    <row r="8288" spans="1:1">
      <c r="A8288" s="56"/>
    </row>
    <row r="8289" spans="1:1">
      <c r="A8289" s="56"/>
    </row>
    <row r="8290" spans="1:1">
      <c r="A8290" s="56"/>
    </row>
    <row r="8291" spans="1:1">
      <c r="A8291" s="56"/>
    </row>
    <row r="8292" spans="1:1">
      <c r="A8292" s="56"/>
    </row>
    <row r="8293" spans="1:1">
      <c r="A8293" s="56"/>
    </row>
    <row r="8294" spans="1:1">
      <c r="A8294" s="56"/>
    </row>
    <row r="8295" spans="1:1">
      <c r="A8295" s="56"/>
    </row>
    <row r="8296" spans="1:1">
      <c r="A8296" s="56"/>
    </row>
    <row r="8297" spans="1:1">
      <c r="A8297" s="56"/>
    </row>
    <row r="8298" spans="1:1">
      <c r="A8298" s="56"/>
    </row>
    <row r="8299" spans="1:1">
      <c r="A8299" s="56"/>
    </row>
    <row r="8300" spans="1:1">
      <c r="A8300" s="56"/>
    </row>
    <row r="8301" spans="1:1">
      <c r="A8301" s="56"/>
    </row>
    <row r="8302" spans="1:1">
      <c r="A8302" s="56"/>
    </row>
    <row r="8303" spans="1:1">
      <c r="A8303" s="56"/>
    </row>
    <row r="8304" spans="1:1">
      <c r="A8304" s="56"/>
    </row>
    <row r="8305" spans="1:1">
      <c r="A8305" s="56"/>
    </row>
    <row r="8306" spans="1:1">
      <c r="A8306" s="56"/>
    </row>
    <row r="8307" spans="1:1">
      <c r="A8307" s="56"/>
    </row>
    <row r="8308" spans="1:1">
      <c r="A8308" s="56"/>
    </row>
    <row r="8309" spans="1:1">
      <c r="A8309" s="56"/>
    </row>
    <row r="8310" spans="1:1">
      <c r="A8310" s="56"/>
    </row>
    <row r="8311" spans="1:1">
      <c r="A8311" s="56"/>
    </row>
    <row r="8312" spans="1:1">
      <c r="A8312" s="56"/>
    </row>
    <row r="8313" spans="1:1">
      <c r="A8313" s="56"/>
    </row>
    <row r="8314" spans="1:1">
      <c r="A8314" s="56"/>
    </row>
    <row r="8315" spans="1:1">
      <c r="A8315" s="56"/>
    </row>
    <row r="8316" spans="1:1">
      <c r="A8316" s="56"/>
    </row>
    <row r="8317" spans="1:1">
      <c r="A8317" s="56"/>
    </row>
    <row r="8318" spans="1:1">
      <c r="A8318" s="56"/>
    </row>
    <row r="8319" spans="1:1">
      <c r="A8319" s="56"/>
    </row>
    <row r="8320" spans="1:1">
      <c r="A8320" s="56"/>
    </row>
    <row r="8321" spans="1:1">
      <c r="A8321" s="56"/>
    </row>
    <row r="8322" spans="1:1">
      <c r="A8322" s="56"/>
    </row>
    <row r="8323" spans="1:1">
      <c r="A8323" s="56"/>
    </row>
    <row r="8324" spans="1:1">
      <c r="A8324" s="56"/>
    </row>
    <row r="8325" spans="1:1">
      <c r="A8325" s="56"/>
    </row>
    <row r="8326" spans="1:1">
      <c r="A8326" s="56"/>
    </row>
    <row r="8327" spans="1:1">
      <c r="A8327" s="56"/>
    </row>
    <row r="8328" spans="1:1">
      <c r="A8328" s="56"/>
    </row>
    <row r="8329" spans="1:1">
      <c r="A8329" s="56"/>
    </row>
    <row r="8330" spans="1:1">
      <c r="A8330" s="56"/>
    </row>
    <row r="8331" spans="1:1">
      <c r="A8331" s="56"/>
    </row>
    <row r="8332" spans="1:1">
      <c r="A8332" s="56"/>
    </row>
    <row r="8333" spans="1:1">
      <c r="A8333" s="56"/>
    </row>
    <row r="8334" spans="1:1">
      <c r="A8334" s="56"/>
    </row>
    <row r="8335" spans="1:1">
      <c r="A8335" s="56"/>
    </row>
    <row r="8336" spans="1:1">
      <c r="A8336" s="56"/>
    </row>
    <row r="8337" spans="1:1">
      <c r="A8337" s="56"/>
    </row>
    <row r="8338" spans="1:1">
      <c r="A8338" s="56"/>
    </row>
    <row r="8339" spans="1:1">
      <c r="A8339" s="56"/>
    </row>
    <row r="8340" spans="1:1">
      <c r="A8340" s="56"/>
    </row>
    <row r="8341" spans="1:1">
      <c r="A8341" s="56"/>
    </row>
    <row r="8342" spans="1:1">
      <c r="A8342" s="56"/>
    </row>
    <row r="8343" spans="1:1">
      <c r="A8343" s="56"/>
    </row>
    <row r="8344" spans="1:1">
      <c r="A8344" s="56"/>
    </row>
    <row r="8345" spans="1:1">
      <c r="A8345" s="56"/>
    </row>
    <row r="8346" spans="1:1">
      <c r="A8346" s="56"/>
    </row>
    <row r="8347" spans="1:1">
      <c r="A8347" s="56"/>
    </row>
    <row r="8348" spans="1:1">
      <c r="A8348" s="56"/>
    </row>
    <row r="8349" spans="1:1">
      <c r="A8349" s="56"/>
    </row>
    <row r="8350" spans="1:1">
      <c r="A8350" s="56"/>
    </row>
    <row r="8351" spans="1:1">
      <c r="A8351" s="56"/>
    </row>
    <row r="8352" spans="1:1">
      <c r="A8352" s="56"/>
    </row>
    <row r="8353" spans="1:1">
      <c r="A8353" s="56"/>
    </row>
    <row r="8354" spans="1:1">
      <c r="A8354" s="56"/>
    </row>
    <row r="8355" spans="1:1">
      <c r="A8355" s="56"/>
    </row>
    <row r="8356" spans="1:1">
      <c r="A8356" s="56"/>
    </row>
    <row r="8357" spans="1:1">
      <c r="A8357" s="56"/>
    </row>
    <row r="8358" spans="1:1">
      <c r="A8358" s="56"/>
    </row>
    <row r="8359" spans="1:1">
      <c r="A8359" s="56"/>
    </row>
    <row r="8360" spans="1:1">
      <c r="A8360" s="56"/>
    </row>
    <row r="8361" spans="1:1">
      <c r="A8361" s="56"/>
    </row>
    <row r="8362" spans="1:1">
      <c r="A8362" s="56"/>
    </row>
    <row r="8363" spans="1:1">
      <c r="A8363" s="56"/>
    </row>
    <row r="8364" spans="1:1">
      <c r="A8364" s="56"/>
    </row>
    <row r="8365" spans="1:1">
      <c r="A8365" s="56"/>
    </row>
    <row r="8366" spans="1:1">
      <c r="A8366" s="56"/>
    </row>
    <row r="8367" spans="1:1">
      <c r="A8367" s="56"/>
    </row>
    <row r="8368" spans="1:1">
      <c r="A8368" s="56"/>
    </row>
    <row r="8369" spans="1:1">
      <c r="A8369" s="56"/>
    </row>
    <row r="8370" spans="1:1">
      <c r="A8370" s="56"/>
    </row>
    <row r="8371" spans="1:1">
      <c r="A8371" s="56"/>
    </row>
    <row r="8372" spans="1:1">
      <c r="A8372" s="56"/>
    </row>
    <row r="8373" spans="1:1">
      <c r="A8373" s="56"/>
    </row>
    <row r="8374" spans="1:1">
      <c r="A8374" s="56"/>
    </row>
    <row r="8375" spans="1:1">
      <c r="A8375" s="56"/>
    </row>
    <row r="8376" spans="1:1">
      <c r="A8376" s="56"/>
    </row>
    <row r="8377" spans="1:1">
      <c r="A8377" s="56"/>
    </row>
    <row r="8378" spans="1:1">
      <c r="A8378" s="56"/>
    </row>
    <row r="8379" spans="1:1">
      <c r="A8379" s="56"/>
    </row>
    <row r="8380" spans="1:1">
      <c r="A8380" s="56"/>
    </row>
    <row r="8381" spans="1:1">
      <c r="A8381" s="56"/>
    </row>
    <row r="8382" spans="1:1">
      <c r="A8382" s="56"/>
    </row>
    <row r="8383" spans="1:1">
      <c r="A8383" s="56"/>
    </row>
    <row r="8384" spans="1:1">
      <c r="A8384" s="56"/>
    </row>
    <row r="8385" spans="1:1">
      <c r="A8385" s="56"/>
    </row>
    <row r="8386" spans="1:1">
      <c r="A8386" s="56"/>
    </row>
    <row r="8387" spans="1:1">
      <c r="A8387" s="56"/>
    </row>
    <row r="8388" spans="1:1">
      <c r="A8388" s="56"/>
    </row>
    <row r="8389" spans="1:1">
      <c r="A8389" s="56"/>
    </row>
    <row r="8390" spans="1:1">
      <c r="A8390" s="56"/>
    </row>
    <row r="8391" spans="1:1">
      <c r="A8391" s="56"/>
    </row>
    <row r="8392" spans="1:1">
      <c r="A8392" s="56"/>
    </row>
    <row r="8393" spans="1:1">
      <c r="A8393" s="56"/>
    </row>
    <row r="8394" spans="1:1">
      <c r="A8394" s="56"/>
    </row>
    <row r="8395" spans="1:1">
      <c r="A8395" s="56"/>
    </row>
    <row r="8396" spans="1:1">
      <c r="A8396" s="56"/>
    </row>
    <row r="8397" spans="1:1">
      <c r="A8397" s="56"/>
    </row>
    <row r="8398" spans="1:1">
      <c r="A8398" s="56"/>
    </row>
    <row r="8399" spans="1:1">
      <c r="A8399" s="56"/>
    </row>
    <row r="8400" spans="1:1">
      <c r="A8400" s="56"/>
    </row>
    <row r="8401" spans="1:1">
      <c r="A8401" s="56"/>
    </row>
    <row r="8402" spans="1:1">
      <c r="A8402" s="56"/>
    </row>
    <row r="8403" spans="1:1">
      <c r="A8403" s="56"/>
    </row>
    <row r="8404" spans="1:1">
      <c r="A8404" s="56"/>
    </row>
    <row r="8405" spans="1:1">
      <c r="A8405" s="56"/>
    </row>
    <row r="8406" spans="1:1">
      <c r="A8406" s="56"/>
    </row>
    <row r="8407" spans="1:1">
      <c r="A8407" s="56"/>
    </row>
    <row r="8408" spans="1:1">
      <c r="A8408" s="56"/>
    </row>
    <row r="8409" spans="1:1">
      <c r="A8409" s="56"/>
    </row>
    <row r="8410" spans="1:1">
      <c r="A8410" s="56"/>
    </row>
    <row r="8411" spans="1:1">
      <c r="A8411" s="56"/>
    </row>
    <row r="8412" spans="1:1">
      <c r="A8412" s="56"/>
    </row>
    <row r="8413" spans="1:1">
      <c r="A8413" s="56"/>
    </row>
    <row r="8414" spans="1:1">
      <c r="A8414" s="56"/>
    </row>
    <row r="8415" spans="1:1">
      <c r="A8415" s="56"/>
    </row>
    <row r="8416" spans="1:1">
      <c r="A8416" s="56"/>
    </row>
    <row r="8417" spans="1:1">
      <c r="A8417" s="56"/>
    </row>
    <row r="8418" spans="1:1">
      <c r="A8418" s="56"/>
    </row>
    <row r="8419" spans="1:1">
      <c r="A8419" s="56"/>
    </row>
    <row r="8420" spans="1:1">
      <c r="A8420" s="56"/>
    </row>
    <row r="8421" spans="1:1">
      <c r="A8421" s="56"/>
    </row>
    <row r="8422" spans="1:1">
      <c r="A8422" s="56"/>
    </row>
    <row r="8423" spans="1:1">
      <c r="A8423" s="56"/>
    </row>
    <row r="8424" spans="1:1">
      <c r="A8424" s="56"/>
    </row>
    <row r="8425" spans="1:1">
      <c r="A8425" s="56"/>
    </row>
    <row r="8426" spans="1:1">
      <c r="A8426" s="56"/>
    </row>
    <row r="8427" spans="1:1">
      <c r="A8427" s="56"/>
    </row>
    <row r="8428" spans="1:1">
      <c r="A8428" s="56"/>
    </row>
    <row r="8429" spans="1:1">
      <c r="A8429" s="56"/>
    </row>
    <row r="8430" spans="1:1">
      <c r="A8430" s="56"/>
    </row>
    <row r="8431" spans="1:1">
      <c r="A8431" s="56"/>
    </row>
    <row r="8432" spans="1:1">
      <c r="A8432" s="56"/>
    </row>
    <row r="8433" spans="1:1">
      <c r="A8433" s="56"/>
    </row>
    <row r="8434" spans="1:1">
      <c r="A8434" s="56"/>
    </row>
    <row r="8435" spans="1:1">
      <c r="A8435" s="56"/>
    </row>
    <row r="8436" spans="1:1">
      <c r="A8436" s="56"/>
    </row>
    <row r="8437" spans="1:1">
      <c r="A8437" s="56"/>
    </row>
    <row r="8438" spans="1:1">
      <c r="A8438" s="56"/>
    </row>
    <row r="8439" spans="1:1">
      <c r="A8439" s="56"/>
    </row>
    <row r="8440" spans="1:1">
      <c r="A8440" s="56"/>
    </row>
    <row r="8441" spans="1:1">
      <c r="A8441" s="56"/>
    </row>
    <row r="8442" spans="1:1">
      <c r="A8442" s="56"/>
    </row>
    <row r="8443" spans="1:1">
      <c r="A8443" s="56"/>
    </row>
    <row r="8444" spans="1:1">
      <c r="A8444" s="56"/>
    </row>
    <row r="8445" spans="1:1">
      <c r="A8445" s="56"/>
    </row>
    <row r="8446" spans="1:1">
      <c r="A8446" s="56"/>
    </row>
    <row r="8447" spans="1:1">
      <c r="A8447" s="56"/>
    </row>
    <row r="8448" spans="1:1">
      <c r="A8448" s="56"/>
    </row>
    <row r="8449" spans="1:1">
      <c r="A8449" s="56"/>
    </row>
    <row r="8450" spans="1:1">
      <c r="A8450" s="56"/>
    </row>
    <row r="8451" spans="1:1">
      <c r="A8451" s="56"/>
    </row>
    <row r="8452" spans="1:1">
      <c r="A8452" s="56"/>
    </row>
    <row r="8453" spans="1:1">
      <c r="A8453" s="56"/>
    </row>
    <row r="8454" spans="1:1">
      <c r="A8454" s="56"/>
    </row>
    <row r="8455" spans="1:1">
      <c r="A8455" s="56"/>
    </row>
    <row r="8456" spans="1:1">
      <c r="A8456" s="56"/>
    </row>
    <row r="8457" spans="1:1">
      <c r="A8457" s="56"/>
    </row>
    <row r="8458" spans="1:1">
      <c r="A8458" s="56"/>
    </row>
    <row r="8459" spans="1:1">
      <c r="A8459" s="56"/>
    </row>
    <row r="8460" spans="1:1">
      <c r="A8460" s="56"/>
    </row>
    <row r="8461" spans="1:1">
      <c r="A8461" s="56"/>
    </row>
    <row r="8462" spans="1:1">
      <c r="A8462" s="56"/>
    </row>
    <row r="8463" spans="1:1">
      <c r="A8463" s="56"/>
    </row>
    <row r="8464" spans="1:1">
      <c r="A8464" s="56"/>
    </row>
    <row r="8465" spans="1:1">
      <c r="A8465" s="56"/>
    </row>
    <row r="8466" spans="1:1">
      <c r="A8466" s="56"/>
    </row>
    <row r="8467" spans="1:1">
      <c r="A8467" s="56"/>
    </row>
    <row r="8468" spans="1:1">
      <c r="A8468" s="56"/>
    </row>
    <row r="8469" spans="1:1">
      <c r="A8469" s="56"/>
    </row>
    <row r="8470" spans="1:1">
      <c r="A8470" s="56"/>
    </row>
    <row r="8471" spans="1:1">
      <c r="A8471" s="56"/>
    </row>
    <row r="8472" spans="1:1">
      <c r="A8472" s="56"/>
    </row>
    <row r="8473" spans="1:1">
      <c r="A8473" s="56"/>
    </row>
    <row r="8474" spans="1:1">
      <c r="A8474" s="56"/>
    </row>
    <row r="8475" spans="1:1">
      <c r="A8475" s="56"/>
    </row>
    <row r="8476" spans="1:1">
      <c r="A8476" s="56"/>
    </row>
    <row r="8477" spans="1:1">
      <c r="A8477" s="56"/>
    </row>
    <row r="8478" spans="1:1">
      <c r="A8478" s="56"/>
    </row>
    <row r="8479" spans="1:1">
      <c r="A8479" s="56"/>
    </row>
    <row r="8480" spans="1:1">
      <c r="A8480" s="56"/>
    </row>
    <row r="8481" spans="1:1">
      <c r="A8481" s="56"/>
    </row>
    <row r="8482" spans="1:1">
      <c r="A8482" s="56"/>
    </row>
    <row r="8483" spans="1:1">
      <c r="A8483" s="56"/>
    </row>
    <row r="8484" spans="1:1">
      <c r="A8484" s="56"/>
    </row>
    <row r="8485" spans="1:1">
      <c r="A8485" s="56"/>
    </row>
    <row r="8486" spans="1:1">
      <c r="A8486" s="56"/>
    </row>
    <row r="8487" spans="1:1">
      <c r="A8487" s="56"/>
    </row>
    <row r="8488" spans="1:1">
      <c r="A8488" s="56"/>
    </row>
    <row r="8489" spans="1:1">
      <c r="A8489" s="56"/>
    </row>
    <row r="8490" spans="1:1">
      <c r="A8490" s="56"/>
    </row>
    <row r="8491" spans="1:1">
      <c r="A8491" s="56"/>
    </row>
    <row r="8492" spans="1:1">
      <c r="A8492" s="56"/>
    </row>
    <row r="8493" spans="1:1">
      <c r="A8493" s="56"/>
    </row>
    <row r="8494" spans="1:1">
      <c r="A8494" s="56"/>
    </row>
    <row r="8495" spans="1:1">
      <c r="A8495" s="56"/>
    </row>
    <row r="8496" spans="1:1">
      <c r="A8496" s="56"/>
    </row>
    <row r="8497" spans="1:1">
      <c r="A8497" s="56"/>
    </row>
    <row r="8498" spans="1:1">
      <c r="A8498" s="56"/>
    </row>
    <row r="8499" spans="1:1">
      <c r="A8499" s="56"/>
    </row>
    <row r="8500" spans="1:1">
      <c r="A8500" s="56"/>
    </row>
    <row r="8501" spans="1:1">
      <c r="A8501" s="56"/>
    </row>
    <row r="8502" spans="1:1">
      <c r="A8502" s="56"/>
    </row>
    <row r="8503" spans="1:1">
      <c r="A8503" s="56"/>
    </row>
    <row r="8504" spans="1:1">
      <c r="A8504" s="56"/>
    </row>
    <row r="8505" spans="1:1">
      <c r="A8505" s="56"/>
    </row>
    <row r="8506" spans="1:1">
      <c r="A8506" s="56"/>
    </row>
    <row r="8507" spans="1:1">
      <c r="A8507" s="56"/>
    </row>
    <row r="8508" spans="1:1">
      <c r="A8508" s="56"/>
    </row>
    <row r="8509" spans="1:1">
      <c r="A8509" s="56"/>
    </row>
    <row r="8510" spans="1:1">
      <c r="A8510" s="56"/>
    </row>
    <row r="8511" spans="1:1">
      <c r="A8511" s="56"/>
    </row>
    <row r="8512" spans="1:1">
      <c r="A8512" s="56"/>
    </row>
    <row r="8513" spans="1:1">
      <c r="A8513" s="56"/>
    </row>
    <row r="8514" spans="1:1">
      <c r="A8514" s="56"/>
    </row>
    <row r="8515" spans="1:1">
      <c r="A8515" s="56"/>
    </row>
    <row r="8516" spans="1:1">
      <c r="A8516" s="56"/>
    </row>
    <row r="8517" spans="1:1">
      <c r="A8517" s="56"/>
    </row>
    <row r="8518" spans="1:1">
      <c r="A8518" s="56"/>
    </row>
    <row r="8519" spans="1:1">
      <c r="A8519" s="56"/>
    </row>
    <row r="8520" spans="1:1">
      <c r="A8520" s="56"/>
    </row>
    <row r="8521" spans="1:1">
      <c r="A8521" s="56"/>
    </row>
    <row r="8522" spans="1:1">
      <c r="A8522" s="56"/>
    </row>
    <row r="8523" spans="1:1">
      <c r="A8523" s="56"/>
    </row>
    <row r="8524" spans="1:1">
      <c r="A8524" s="56"/>
    </row>
    <row r="8525" spans="1:1">
      <c r="A8525" s="56"/>
    </row>
    <row r="8526" spans="1:1">
      <c r="A8526" s="56"/>
    </row>
    <row r="8527" spans="1:1">
      <c r="A8527" s="56"/>
    </row>
    <row r="8528" spans="1:1">
      <c r="A8528" s="56"/>
    </row>
    <row r="8529" spans="1:1">
      <c r="A8529" s="56"/>
    </row>
    <row r="8530" spans="1:1">
      <c r="A8530" s="56"/>
    </row>
    <row r="8531" spans="1:1">
      <c r="A8531" s="56"/>
    </row>
    <row r="8532" spans="1:1">
      <c r="A8532" s="56"/>
    </row>
    <row r="8533" spans="1:1">
      <c r="A8533" s="56"/>
    </row>
    <row r="8534" spans="1:1">
      <c r="A8534" s="56"/>
    </row>
    <row r="8535" spans="1:1">
      <c r="A8535" s="56"/>
    </row>
    <row r="8536" spans="1:1">
      <c r="A8536" s="56"/>
    </row>
    <row r="8537" spans="1:1">
      <c r="A8537" s="56"/>
    </row>
    <row r="8538" spans="1:1">
      <c r="A8538" s="56"/>
    </row>
    <row r="8539" spans="1:1">
      <c r="A8539" s="56"/>
    </row>
    <row r="8540" spans="1:1">
      <c r="A8540" s="56"/>
    </row>
    <row r="8541" spans="1:1">
      <c r="A8541" s="56"/>
    </row>
    <row r="8542" spans="1:1">
      <c r="A8542" s="56"/>
    </row>
    <row r="8543" spans="1:1">
      <c r="A8543" s="56"/>
    </row>
    <row r="8544" spans="1:1">
      <c r="A8544" s="56"/>
    </row>
    <row r="8545" spans="1:1">
      <c r="A8545" s="56"/>
    </row>
    <row r="8546" spans="1:1">
      <c r="A8546" s="56"/>
    </row>
    <row r="8547" spans="1:1">
      <c r="A8547" s="56"/>
    </row>
    <row r="8548" spans="1:1">
      <c r="A8548" s="56"/>
    </row>
    <row r="8549" spans="1:1">
      <c r="A8549" s="56"/>
    </row>
    <row r="8550" spans="1:1">
      <c r="A8550" s="56"/>
    </row>
    <row r="8551" spans="1:1">
      <c r="A8551" s="56"/>
    </row>
    <row r="8552" spans="1:1">
      <c r="A8552" s="56"/>
    </row>
    <row r="8553" spans="1:1">
      <c r="A8553" s="56"/>
    </row>
    <row r="8554" spans="1:1">
      <c r="A8554" s="56"/>
    </row>
    <row r="8555" spans="1:1">
      <c r="A8555" s="56"/>
    </row>
    <row r="8556" spans="1:1">
      <c r="A8556" s="56"/>
    </row>
    <row r="8557" spans="1:1">
      <c r="A8557" s="56"/>
    </row>
    <row r="8558" spans="1:1">
      <c r="A8558" s="56"/>
    </row>
    <row r="8559" spans="1:1">
      <c r="A8559" s="56"/>
    </row>
    <row r="8560" spans="1:1">
      <c r="A8560" s="56"/>
    </row>
    <row r="8561" spans="1:1">
      <c r="A8561" s="56"/>
    </row>
    <row r="8562" spans="1:1">
      <c r="A8562" s="56"/>
    </row>
    <row r="8563" spans="1:1">
      <c r="A8563" s="56"/>
    </row>
    <row r="8564" spans="1:1">
      <c r="A8564" s="56"/>
    </row>
    <row r="8565" spans="1:1">
      <c r="A8565" s="56"/>
    </row>
    <row r="8566" spans="1:1">
      <c r="A8566" s="56"/>
    </row>
    <row r="8567" spans="1:1">
      <c r="A8567" s="56"/>
    </row>
    <row r="8568" spans="1:1">
      <c r="A8568" s="56"/>
    </row>
    <row r="8569" spans="1:1">
      <c r="A8569" s="56"/>
    </row>
    <row r="8570" spans="1:1">
      <c r="A8570" s="56"/>
    </row>
    <row r="8571" spans="1:1">
      <c r="A8571" s="56"/>
    </row>
    <row r="8572" spans="1:1">
      <c r="A8572" s="56"/>
    </row>
    <row r="8573" spans="1:1">
      <c r="A8573" s="56"/>
    </row>
    <row r="8574" spans="1:1">
      <c r="A8574" s="56"/>
    </row>
    <row r="8575" spans="1:1">
      <c r="A8575" s="56"/>
    </row>
    <row r="8576" spans="1:1">
      <c r="A8576" s="56"/>
    </row>
    <row r="8577" spans="1:1">
      <c r="A8577" s="56"/>
    </row>
    <row r="8578" spans="1:1">
      <c r="A8578" s="56"/>
    </row>
    <row r="8579" spans="1:1">
      <c r="A8579" s="56"/>
    </row>
    <row r="8580" spans="1:1">
      <c r="A8580" s="56"/>
    </row>
    <row r="8581" spans="1:1">
      <c r="A8581" s="56"/>
    </row>
    <row r="8582" spans="1:1">
      <c r="A8582" s="56"/>
    </row>
    <row r="8583" spans="1:1">
      <c r="A8583" s="56"/>
    </row>
    <row r="8584" spans="1:1">
      <c r="A8584" s="56"/>
    </row>
    <row r="8585" spans="1:1">
      <c r="A8585" s="56"/>
    </row>
    <row r="8586" spans="1:1">
      <c r="A8586" s="56"/>
    </row>
    <row r="8587" spans="1:1">
      <c r="A8587" s="56"/>
    </row>
    <row r="8588" spans="1:1">
      <c r="A8588" s="56"/>
    </row>
    <row r="8589" spans="1:1">
      <c r="A8589" s="56"/>
    </row>
    <row r="8590" spans="1:1">
      <c r="A8590" s="56"/>
    </row>
    <row r="8591" spans="1:1">
      <c r="A8591" s="56"/>
    </row>
    <row r="8592" spans="1:1">
      <c r="A8592" s="56"/>
    </row>
    <row r="8593" spans="1:1">
      <c r="A8593" s="56"/>
    </row>
    <row r="8594" spans="1:1">
      <c r="A8594" s="56"/>
    </row>
    <row r="8595" spans="1:1">
      <c r="A8595" s="56"/>
    </row>
    <row r="8596" spans="1:1">
      <c r="A8596" s="56"/>
    </row>
    <row r="8597" spans="1:1">
      <c r="A8597" s="56"/>
    </row>
    <row r="8598" spans="1:1">
      <c r="A8598" s="56"/>
    </row>
    <row r="8599" spans="1:1">
      <c r="A8599" s="56"/>
    </row>
    <row r="8600" spans="1:1">
      <c r="A8600" s="56"/>
    </row>
    <row r="8601" spans="1:1">
      <c r="A8601" s="56"/>
    </row>
    <row r="8602" spans="1:1">
      <c r="A8602" s="56"/>
    </row>
    <row r="8603" spans="1:1">
      <c r="A8603" s="56"/>
    </row>
    <row r="8604" spans="1:1">
      <c r="A8604" s="56"/>
    </row>
    <row r="8605" spans="1:1">
      <c r="A8605" s="56"/>
    </row>
    <row r="8606" spans="1:1">
      <c r="A8606" s="56"/>
    </row>
    <row r="8607" spans="1:1">
      <c r="A8607" s="56"/>
    </row>
    <row r="8608" spans="1:1">
      <c r="A8608" s="56"/>
    </row>
    <row r="8609" spans="1:1">
      <c r="A8609" s="56"/>
    </row>
    <row r="8610" spans="1:1">
      <c r="A8610" s="56"/>
    </row>
    <row r="8611" spans="1:1">
      <c r="A8611" s="56"/>
    </row>
    <row r="8612" spans="1:1">
      <c r="A8612" s="56"/>
    </row>
    <row r="8613" spans="1:1">
      <c r="A8613" s="56"/>
    </row>
    <row r="8614" spans="1:1">
      <c r="A8614" s="56"/>
    </row>
    <row r="8615" spans="1:1">
      <c r="A8615" s="56"/>
    </row>
    <row r="8616" spans="1:1">
      <c r="A8616" s="56"/>
    </row>
    <row r="8617" spans="1:1">
      <c r="A8617" s="56"/>
    </row>
    <row r="8618" spans="1:1">
      <c r="A8618" s="56"/>
    </row>
    <row r="8619" spans="1:1">
      <c r="A8619" s="56"/>
    </row>
    <row r="8620" spans="1:1">
      <c r="A8620" s="56"/>
    </row>
    <row r="8621" spans="1:1">
      <c r="A8621" s="56"/>
    </row>
    <row r="8622" spans="1:1">
      <c r="A8622" s="56"/>
    </row>
    <row r="8623" spans="1:1">
      <c r="A8623" s="56"/>
    </row>
    <row r="8624" spans="1:1">
      <c r="A8624" s="56"/>
    </row>
    <row r="8625" spans="1:1">
      <c r="A8625" s="56"/>
    </row>
    <row r="8626" spans="1:1">
      <c r="A8626" s="56"/>
    </row>
    <row r="8627" spans="1:1">
      <c r="A8627" s="56"/>
    </row>
    <row r="8628" spans="1:1">
      <c r="A8628" s="56"/>
    </row>
    <row r="8629" spans="1:1">
      <c r="A8629" s="56"/>
    </row>
    <row r="8630" spans="1:1">
      <c r="A8630" s="56"/>
    </row>
    <row r="8631" spans="1:1">
      <c r="A8631" s="56"/>
    </row>
    <row r="8632" spans="1:1">
      <c r="A8632" s="56"/>
    </row>
    <row r="8633" spans="1:1">
      <c r="A8633" s="56"/>
    </row>
    <row r="8634" spans="1:1">
      <c r="A8634" s="56"/>
    </row>
    <row r="8635" spans="1:1">
      <c r="A8635" s="56"/>
    </row>
    <row r="8636" spans="1:1">
      <c r="A8636" s="56"/>
    </row>
    <row r="8637" spans="1:1">
      <c r="A8637" s="56"/>
    </row>
    <row r="8638" spans="1:1">
      <c r="A8638" s="56"/>
    </row>
    <row r="8639" spans="1:1">
      <c r="A8639" s="56"/>
    </row>
    <row r="8640" spans="1:1">
      <c r="A8640" s="56"/>
    </row>
    <row r="8641" spans="1:1">
      <c r="A8641" s="56"/>
    </row>
    <row r="8642" spans="1:1">
      <c r="A8642" s="56"/>
    </row>
    <row r="8643" spans="1:1">
      <c r="A8643" s="56"/>
    </row>
    <row r="8644" spans="1:1">
      <c r="A8644" s="56"/>
    </row>
    <row r="8645" spans="1:1">
      <c r="A8645" s="56"/>
    </row>
    <row r="8646" spans="1:1">
      <c r="A8646" s="56"/>
    </row>
    <row r="8647" spans="1:1">
      <c r="A8647" s="56"/>
    </row>
    <row r="8648" spans="1:1">
      <c r="A8648" s="56"/>
    </row>
    <row r="8649" spans="1:1">
      <c r="A8649" s="56"/>
    </row>
    <row r="8650" spans="1:1">
      <c r="A8650" s="56"/>
    </row>
    <row r="8651" spans="1:1">
      <c r="A8651" s="56"/>
    </row>
    <row r="8652" spans="1:1">
      <c r="A8652" s="56"/>
    </row>
    <row r="8653" spans="1:1">
      <c r="A8653" s="56"/>
    </row>
    <row r="8654" spans="1:1">
      <c r="A8654" s="56"/>
    </row>
    <row r="8655" spans="1:1">
      <c r="A8655" s="56"/>
    </row>
    <row r="8656" spans="1:1">
      <c r="A8656" s="56"/>
    </row>
    <row r="8657" spans="1:1">
      <c r="A8657" s="56"/>
    </row>
    <row r="8658" spans="1:1">
      <c r="A8658" s="56"/>
    </row>
    <row r="8659" spans="1:1">
      <c r="A8659" s="56"/>
    </row>
    <row r="8660" spans="1:1">
      <c r="A8660" s="56"/>
    </row>
    <row r="8661" spans="1:1">
      <c r="A8661" s="56"/>
    </row>
    <row r="8662" spans="1:1">
      <c r="A8662" s="56"/>
    </row>
    <row r="8663" spans="1:1">
      <c r="A8663" s="56"/>
    </row>
    <row r="8664" spans="1:1">
      <c r="A8664" s="56"/>
    </row>
    <row r="8665" spans="1:1">
      <c r="A8665" s="56"/>
    </row>
    <row r="8666" spans="1:1">
      <c r="A8666" s="56"/>
    </row>
    <row r="8667" spans="1:1">
      <c r="A8667" s="56"/>
    </row>
    <row r="8668" spans="1:1">
      <c r="A8668" s="56"/>
    </row>
    <row r="8669" spans="1:1">
      <c r="A8669" s="56"/>
    </row>
    <row r="8670" spans="1:1">
      <c r="A8670" s="56"/>
    </row>
    <row r="8671" spans="1:1">
      <c r="A8671" s="56"/>
    </row>
    <row r="8672" spans="1:1">
      <c r="A8672" s="56"/>
    </row>
    <row r="8673" spans="1:1">
      <c r="A8673" s="56"/>
    </row>
    <row r="8674" spans="1:1">
      <c r="A8674" s="56"/>
    </row>
    <row r="8675" spans="1:1">
      <c r="A8675" s="56"/>
    </row>
    <row r="8676" spans="1:1">
      <c r="A8676" s="56"/>
    </row>
    <row r="8677" spans="1:1">
      <c r="A8677" s="56"/>
    </row>
    <row r="8678" spans="1:1">
      <c r="A8678" s="56"/>
    </row>
    <row r="8679" spans="1:1">
      <c r="A8679" s="56"/>
    </row>
    <row r="8680" spans="1:1">
      <c r="A8680" s="56"/>
    </row>
    <row r="8681" spans="1:1">
      <c r="A8681" s="56"/>
    </row>
    <row r="8682" spans="1:1">
      <c r="A8682" s="56"/>
    </row>
    <row r="8683" spans="1:1">
      <c r="A8683" s="56"/>
    </row>
    <row r="8684" spans="1:1">
      <c r="A8684" s="56"/>
    </row>
    <row r="8685" spans="1:1">
      <c r="A8685" s="56"/>
    </row>
    <row r="8686" spans="1:1">
      <c r="A8686" s="56"/>
    </row>
    <row r="8687" spans="1:1">
      <c r="A8687" s="56"/>
    </row>
    <row r="8688" spans="1:1">
      <c r="A8688" s="56"/>
    </row>
    <row r="8689" spans="1:1">
      <c r="A8689" s="56"/>
    </row>
    <row r="8690" spans="1:1">
      <c r="A8690" s="56"/>
    </row>
    <row r="8691" spans="1:1">
      <c r="A8691" s="56"/>
    </row>
    <row r="8692" spans="1:1">
      <c r="A8692" s="56"/>
    </row>
    <row r="8693" spans="1:1">
      <c r="A8693" s="56"/>
    </row>
    <row r="8694" spans="1:1">
      <c r="A8694" s="56"/>
    </row>
    <row r="8695" spans="1:1">
      <c r="A8695" s="56"/>
    </row>
    <row r="8696" spans="1:1">
      <c r="A8696" s="56"/>
    </row>
    <row r="8697" spans="1:1">
      <c r="A8697" s="56"/>
    </row>
    <row r="8698" spans="1:1">
      <c r="A8698" s="56"/>
    </row>
    <row r="8699" spans="1:1">
      <c r="A8699" s="56"/>
    </row>
    <row r="8700" spans="1:1">
      <c r="A8700" s="56"/>
    </row>
    <row r="8701" spans="1:1">
      <c r="A8701" s="56"/>
    </row>
    <row r="8702" spans="1:1">
      <c r="A8702" s="56"/>
    </row>
    <row r="8703" spans="1:1">
      <c r="A8703" s="56"/>
    </row>
    <row r="8704" spans="1:1">
      <c r="A8704" s="56"/>
    </row>
    <row r="8705" spans="1:1">
      <c r="A8705" s="56"/>
    </row>
    <row r="8706" spans="1:1">
      <c r="A8706" s="56"/>
    </row>
    <row r="8707" spans="1:1">
      <c r="A8707" s="56"/>
    </row>
    <row r="8708" spans="1:1">
      <c r="A8708" s="56"/>
    </row>
    <row r="8709" spans="1:1">
      <c r="A8709" s="56"/>
    </row>
    <row r="8710" spans="1:1">
      <c r="A8710" s="56"/>
    </row>
    <row r="8711" spans="1:1">
      <c r="A8711" s="56"/>
    </row>
    <row r="8712" spans="1:1">
      <c r="A8712" s="56"/>
    </row>
    <row r="8713" spans="1:1">
      <c r="A8713" s="56"/>
    </row>
    <row r="8714" spans="1:1">
      <c r="A8714" s="56"/>
    </row>
    <row r="8715" spans="1:1">
      <c r="A8715" s="56"/>
    </row>
    <row r="8716" spans="1:1">
      <c r="A8716" s="56"/>
    </row>
    <row r="8717" spans="1:1">
      <c r="A8717" s="56"/>
    </row>
    <row r="8718" spans="1:1">
      <c r="A8718" s="56"/>
    </row>
    <row r="8719" spans="1:1">
      <c r="A8719" s="56"/>
    </row>
    <row r="8720" spans="1:1">
      <c r="A8720" s="56"/>
    </row>
    <row r="8721" spans="1:1">
      <c r="A8721" s="56"/>
    </row>
    <row r="8722" spans="1:1">
      <c r="A8722" s="56"/>
    </row>
    <row r="8723" spans="1:1">
      <c r="A8723" s="56"/>
    </row>
    <row r="8724" spans="1:1">
      <c r="A8724" s="56"/>
    </row>
    <row r="8725" spans="1:1">
      <c r="A8725" s="56"/>
    </row>
    <row r="8726" spans="1:1">
      <c r="A8726" s="56"/>
    </row>
    <row r="8727" spans="1:1">
      <c r="A8727" s="56"/>
    </row>
    <row r="8728" spans="1:1">
      <c r="A8728" s="56"/>
    </row>
    <row r="8729" spans="1:1">
      <c r="A8729" s="56"/>
    </row>
    <row r="8730" spans="1:1">
      <c r="A8730" s="56"/>
    </row>
    <row r="8731" spans="1:1">
      <c r="A8731" s="56"/>
    </row>
    <row r="8732" spans="1:1">
      <c r="A8732" s="56"/>
    </row>
    <row r="8733" spans="1:1">
      <c r="A8733" s="56"/>
    </row>
    <row r="8734" spans="1:1">
      <c r="A8734" s="56"/>
    </row>
    <row r="8735" spans="1:1">
      <c r="A8735" s="56"/>
    </row>
    <row r="8736" spans="1:1">
      <c r="A8736" s="56"/>
    </row>
    <row r="8737" spans="1:1">
      <c r="A8737" s="56"/>
    </row>
    <row r="8738" spans="1:1">
      <c r="A8738" s="56"/>
    </row>
    <row r="8739" spans="1:1">
      <c r="A8739" s="56"/>
    </row>
    <row r="8740" spans="1:1">
      <c r="A8740" s="56"/>
    </row>
    <row r="8741" spans="1:1">
      <c r="A8741" s="56"/>
    </row>
    <row r="8742" spans="1:1">
      <c r="A8742" s="56"/>
    </row>
    <row r="8743" spans="1:1">
      <c r="A8743" s="56"/>
    </row>
    <row r="8744" spans="1:1">
      <c r="A8744" s="56"/>
    </row>
    <row r="8745" spans="1:1">
      <c r="A8745" s="56"/>
    </row>
    <row r="8746" spans="1:1">
      <c r="A8746" s="56"/>
    </row>
    <row r="8747" spans="1:1">
      <c r="A8747" s="56"/>
    </row>
    <row r="8748" spans="1:1">
      <c r="A8748" s="56"/>
    </row>
    <row r="8749" spans="1:1">
      <c r="A8749" s="56"/>
    </row>
    <row r="8750" spans="1:1">
      <c r="A8750" s="56"/>
    </row>
    <row r="8751" spans="1:1">
      <c r="A8751" s="56"/>
    </row>
    <row r="8752" spans="1:1">
      <c r="A8752" s="56"/>
    </row>
    <row r="8753" spans="1:1">
      <c r="A8753" s="56"/>
    </row>
    <row r="8754" spans="1:1">
      <c r="A8754" s="56"/>
    </row>
    <row r="8755" spans="1:1">
      <c r="A8755" s="56"/>
    </row>
    <row r="8756" spans="1:1">
      <c r="A8756" s="56"/>
    </row>
    <row r="8757" spans="1:1">
      <c r="A8757" s="56"/>
    </row>
    <row r="8758" spans="1:1">
      <c r="A8758" s="56"/>
    </row>
    <row r="8759" spans="1:1">
      <c r="A8759" s="56"/>
    </row>
    <row r="8760" spans="1:1">
      <c r="A8760" s="56"/>
    </row>
    <row r="8761" spans="1:1">
      <c r="A8761" s="56"/>
    </row>
    <row r="8762" spans="1:1">
      <c r="A8762" s="56"/>
    </row>
    <row r="8763" spans="1:1">
      <c r="A8763" s="56"/>
    </row>
    <row r="8764" spans="1:1">
      <c r="A8764" s="56"/>
    </row>
    <row r="8765" spans="1:1">
      <c r="A8765" s="56"/>
    </row>
    <row r="8766" spans="1:1">
      <c r="A8766" s="56"/>
    </row>
    <row r="8767" spans="1:1">
      <c r="A8767" s="56"/>
    </row>
    <row r="8768" spans="1:1">
      <c r="A8768" s="56"/>
    </row>
    <row r="8769" spans="1:1">
      <c r="A8769" s="56"/>
    </row>
    <row r="8770" spans="1:1">
      <c r="A8770" s="56"/>
    </row>
    <row r="8771" spans="1:1">
      <c r="A8771" s="56"/>
    </row>
    <row r="8772" spans="1:1">
      <c r="A8772" s="56"/>
    </row>
    <row r="8773" spans="1:1">
      <c r="A8773" s="56"/>
    </row>
    <row r="8774" spans="1:1">
      <c r="A8774" s="56"/>
    </row>
    <row r="8775" spans="1:1">
      <c r="A8775" s="56"/>
    </row>
    <row r="8776" spans="1:1">
      <c r="A8776" s="56"/>
    </row>
    <row r="8777" spans="1:1">
      <c r="A8777" s="56"/>
    </row>
    <row r="8778" spans="1:1">
      <c r="A8778" s="56"/>
    </row>
    <row r="8779" spans="1:1">
      <c r="A8779" s="56"/>
    </row>
    <row r="8780" spans="1:1">
      <c r="A8780" s="56"/>
    </row>
    <row r="8781" spans="1:1">
      <c r="A8781" s="56"/>
    </row>
    <row r="8782" spans="1:1">
      <c r="A8782" s="56"/>
    </row>
    <row r="8783" spans="1:1">
      <c r="A8783" s="56"/>
    </row>
    <row r="8784" spans="1:1">
      <c r="A8784" s="56"/>
    </row>
    <row r="8785" spans="1:1">
      <c r="A8785" s="56"/>
    </row>
    <row r="8786" spans="1:1">
      <c r="A8786" s="56"/>
    </row>
    <row r="8787" spans="1:1">
      <c r="A8787" s="56"/>
    </row>
    <row r="8788" spans="1:1">
      <c r="A8788" s="56"/>
    </row>
    <row r="8789" spans="1:1">
      <c r="A8789" s="56"/>
    </row>
    <row r="8790" spans="1:1">
      <c r="A8790" s="56"/>
    </row>
    <row r="8791" spans="1:1">
      <c r="A8791" s="56"/>
    </row>
    <row r="8792" spans="1:1">
      <c r="A8792" s="56"/>
    </row>
    <row r="8793" spans="1:1">
      <c r="A8793" s="56"/>
    </row>
    <row r="8794" spans="1:1">
      <c r="A8794" s="56"/>
    </row>
    <row r="8795" spans="1:1">
      <c r="A8795" s="56"/>
    </row>
    <row r="8796" spans="1:1">
      <c r="A8796" s="56"/>
    </row>
    <row r="8797" spans="1:1">
      <c r="A8797" s="56"/>
    </row>
    <row r="8798" spans="1:1">
      <c r="A8798" s="56"/>
    </row>
    <row r="8799" spans="1:1">
      <c r="A8799" s="56"/>
    </row>
    <row r="8800" spans="1:1">
      <c r="A8800" s="56"/>
    </row>
    <row r="8801" spans="1:1">
      <c r="A8801" s="56"/>
    </row>
    <row r="8802" spans="1:1">
      <c r="A8802" s="56"/>
    </row>
    <row r="8803" spans="1:1">
      <c r="A8803" s="56"/>
    </row>
    <row r="8804" spans="1:1">
      <c r="A8804" s="56"/>
    </row>
    <row r="8805" spans="1:1">
      <c r="A8805" s="56"/>
    </row>
    <row r="8806" spans="1:1">
      <c r="A8806" s="56"/>
    </row>
    <row r="8807" spans="1:1">
      <c r="A8807" s="56"/>
    </row>
    <row r="8808" spans="1:1">
      <c r="A8808" s="56"/>
    </row>
    <row r="8809" spans="1:1">
      <c r="A8809" s="56"/>
    </row>
    <row r="8810" spans="1:1">
      <c r="A8810" s="56"/>
    </row>
    <row r="8811" spans="1:1">
      <c r="A8811" s="56"/>
    </row>
    <row r="8812" spans="1:1">
      <c r="A8812" s="56"/>
    </row>
    <row r="8813" spans="1:1">
      <c r="A8813" s="56"/>
    </row>
    <row r="8814" spans="1:1">
      <c r="A8814" s="56"/>
    </row>
    <row r="8815" spans="1:1">
      <c r="A8815" s="56"/>
    </row>
    <row r="8816" spans="1:1">
      <c r="A8816" s="56"/>
    </row>
    <row r="8817" spans="1:1">
      <c r="A8817" s="56"/>
    </row>
    <row r="8818" spans="1:1">
      <c r="A8818" s="56"/>
    </row>
    <row r="8819" spans="1:1">
      <c r="A8819" s="56"/>
    </row>
    <row r="8820" spans="1:1">
      <c r="A8820" s="56"/>
    </row>
    <row r="8821" spans="1:1">
      <c r="A8821" s="56"/>
    </row>
    <row r="8822" spans="1:1">
      <c r="A8822" s="56"/>
    </row>
    <row r="8823" spans="1:1">
      <c r="A8823" s="56"/>
    </row>
    <row r="8824" spans="1:1">
      <c r="A8824" s="56"/>
    </row>
    <row r="8825" spans="1:1">
      <c r="A8825" s="56"/>
    </row>
    <row r="8826" spans="1:1">
      <c r="A8826" s="56"/>
    </row>
    <row r="8827" spans="1:1">
      <c r="A8827" s="56"/>
    </row>
    <row r="8828" spans="1:1">
      <c r="A8828" s="56"/>
    </row>
    <row r="8829" spans="1:1">
      <c r="A8829" s="56"/>
    </row>
    <row r="8830" spans="1:1">
      <c r="A8830" s="56"/>
    </row>
    <row r="8831" spans="1:1">
      <c r="A8831" s="56"/>
    </row>
    <row r="8832" spans="1:1">
      <c r="A8832" s="56"/>
    </row>
    <row r="8833" spans="1:1">
      <c r="A8833" s="56"/>
    </row>
    <row r="8834" spans="1:1">
      <c r="A8834" s="56"/>
    </row>
    <row r="8835" spans="1:1">
      <c r="A8835" s="56"/>
    </row>
    <row r="8836" spans="1:1">
      <c r="A8836" s="56"/>
    </row>
    <row r="8837" spans="1:1">
      <c r="A8837" s="56"/>
    </row>
    <row r="8838" spans="1:1">
      <c r="A8838" s="56"/>
    </row>
    <row r="8839" spans="1:1">
      <c r="A8839" s="56"/>
    </row>
    <row r="8840" spans="1:1">
      <c r="A8840" s="56"/>
    </row>
    <row r="8841" spans="1:1">
      <c r="A8841" s="56"/>
    </row>
    <row r="8842" spans="1:1">
      <c r="A8842" s="56"/>
    </row>
    <row r="8843" spans="1:1">
      <c r="A8843" s="56"/>
    </row>
    <row r="8844" spans="1:1">
      <c r="A8844" s="56"/>
    </row>
    <row r="8845" spans="1:1">
      <c r="A8845" s="56"/>
    </row>
    <row r="8846" spans="1:1">
      <c r="A8846" s="56"/>
    </row>
    <row r="8847" spans="1:1">
      <c r="A8847" s="56"/>
    </row>
    <row r="8848" spans="1:1">
      <c r="A8848" s="56"/>
    </row>
    <row r="8849" spans="1:1">
      <c r="A8849" s="56"/>
    </row>
    <row r="8850" spans="1:1">
      <c r="A8850" s="56"/>
    </row>
    <row r="8851" spans="1:1">
      <c r="A8851" s="56"/>
    </row>
    <row r="8852" spans="1:1">
      <c r="A8852" s="56"/>
    </row>
    <row r="8853" spans="1:1">
      <c r="A8853" s="56"/>
    </row>
    <row r="8854" spans="1:1">
      <c r="A8854" s="56"/>
    </row>
    <row r="8855" spans="1:1">
      <c r="A8855" s="56"/>
    </row>
    <row r="8856" spans="1:1">
      <c r="A8856" s="56"/>
    </row>
    <row r="8857" spans="1:1">
      <c r="A8857" s="56"/>
    </row>
    <row r="8858" spans="1:1">
      <c r="A8858" s="56"/>
    </row>
    <row r="8859" spans="1:1">
      <c r="A8859" s="56"/>
    </row>
    <row r="8860" spans="1:1">
      <c r="A8860" s="56"/>
    </row>
    <row r="8861" spans="1:1">
      <c r="A8861" s="56"/>
    </row>
    <row r="8862" spans="1:1">
      <c r="A8862" s="56"/>
    </row>
    <row r="8863" spans="1:1">
      <c r="A8863" s="56"/>
    </row>
    <row r="8864" spans="1:1">
      <c r="A8864" s="56"/>
    </row>
    <row r="8865" spans="1:1">
      <c r="A8865" s="56"/>
    </row>
    <row r="8866" spans="1:1">
      <c r="A8866" s="56"/>
    </row>
    <row r="8867" spans="1:1">
      <c r="A8867" s="56"/>
    </row>
    <row r="8868" spans="1:1">
      <c r="A8868" s="56"/>
    </row>
    <row r="8869" spans="1:1">
      <c r="A8869" s="56"/>
    </row>
    <row r="8870" spans="1:1">
      <c r="A8870" s="56"/>
    </row>
    <row r="8871" spans="1:1">
      <c r="A8871" s="56"/>
    </row>
    <row r="8872" spans="1:1">
      <c r="A8872" s="56"/>
    </row>
    <row r="8873" spans="1:1">
      <c r="A8873" s="56"/>
    </row>
    <row r="8874" spans="1:1">
      <c r="A8874" s="56"/>
    </row>
    <row r="8875" spans="1:1">
      <c r="A8875" s="56"/>
    </row>
    <row r="8876" spans="1:1">
      <c r="A8876" s="56"/>
    </row>
    <row r="8877" spans="1:1">
      <c r="A8877" s="56"/>
    </row>
    <row r="8878" spans="1:1">
      <c r="A8878" s="56"/>
    </row>
    <row r="8879" spans="1:1">
      <c r="A8879" s="56"/>
    </row>
    <row r="8880" spans="1:1">
      <c r="A8880" s="56"/>
    </row>
    <row r="8881" spans="1:1">
      <c r="A8881" s="56"/>
    </row>
    <row r="8882" spans="1:1">
      <c r="A8882" s="56"/>
    </row>
    <row r="8883" spans="1:1">
      <c r="A8883" s="56"/>
    </row>
    <row r="8884" spans="1:1">
      <c r="A8884" s="56"/>
    </row>
    <row r="8885" spans="1:1">
      <c r="A8885" s="56"/>
    </row>
    <row r="8886" spans="1:1">
      <c r="A8886" s="56"/>
    </row>
    <row r="8887" spans="1:1">
      <c r="A8887" s="56"/>
    </row>
    <row r="8888" spans="1:1">
      <c r="A8888" s="56"/>
    </row>
    <row r="8889" spans="1:1">
      <c r="A8889" s="56"/>
    </row>
    <row r="8890" spans="1:1">
      <c r="A8890" s="56"/>
    </row>
    <row r="8891" spans="1:1">
      <c r="A8891" s="56"/>
    </row>
    <row r="8892" spans="1:1">
      <c r="A8892" s="56"/>
    </row>
    <row r="8893" spans="1:1">
      <c r="A8893" s="56"/>
    </row>
    <row r="8894" spans="1:1">
      <c r="A8894" s="56"/>
    </row>
    <row r="8895" spans="1:1">
      <c r="A8895" s="56"/>
    </row>
    <row r="8896" spans="1:1">
      <c r="A8896" s="56"/>
    </row>
    <row r="8897" spans="1:1">
      <c r="A8897" s="56"/>
    </row>
    <row r="8898" spans="1:1">
      <c r="A8898" s="56"/>
    </row>
    <row r="8899" spans="1:1">
      <c r="A8899" s="56"/>
    </row>
    <row r="8900" spans="1:1">
      <c r="A8900" s="56"/>
    </row>
    <row r="8901" spans="1:1">
      <c r="A8901" s="56"/>
    </row>
    <row r="8902" spans="1:1">
      <c r="A8902" s="56"/>
    </row>
    <row r="8903" spans="1:1">
      <c r="A8903" s="56"/>
    </row>
    <row r="8904" spans="1:1">
      <c r="A8904" s="56"/>
    </row>
    <row r="8905" spans="1:1">
      <c r="A8905" s="56"/>
    </row>
    <row r="8906" spans="1:1">
      <c r="A8906" s="56"/>
    </row>
    <row r="8907" spans="1:1">
      <c r="A8907" s="56"/>
    </row>
    <row r="8908" spans="1:1">
      <c r="A8908" s="56"/>
    </row>
    <row r="8909" spans="1:1">
      <c r="A8909" s="56"/>
    </row>
    <row r="8910" spans="1:1">
      <c r="A8910" s="56"/>
    </row>
    <row r="8911" spans="1:1">
      <c r="A8911" s="56"/>
    </row>
    <row r="8912" spans="1:1">
      <c r="A8912" s="56"/>
    </row>
    <row r="8913" spans="1:1">
      <c r="A8913" s="56"/>
    </row>
    <row r="8914" spans="1:1">
      <c r="A8914" s="56"/>
    </row>
    <row r="8915" spans="1:1">
      <c r="A8915" s="56"/>
    </row>
    <row r="8916" spans="1:1">
      <c r="A8916" s="56"/>
    </row>
    <row r="8917" spans="1:1">
      <c r="A8917" s="56"/>
    </row>
    <row r="8918" spans="1:1">
      <c r="A8918" s="56"/>
    </row>
    <row r="8919" spans="1:1">
      <c r="A8919" s="56"/>
    </row>
    <row r="8920" spans="1:1">
      <c r="A8920" s="56"/>
    </row>
    <row r="8921" spans="1:1">
      <c r="A8921" s="56"/>
    </row>
    <row r="8922" spans="1:1">
      <c r="A8922" s="56"/>
    </row>
    <row r="8923" spans="1:1">
      <c r="A8923" s="56"/>
    </row>
    <row r="8924" spans="1:1">
      <c r="A8924" s="56"/>
    </row>
    <row r="8925" spans="1:1">
      <c r="A8925" s="56"/>
    </row>
    <row r="8926" spans="1:1">
      <c r="A8926" s="56"/>
    </row>
    <row r="8927" spans="1:1">
      <c r="A8927" s="56"/>
    </row>
    <row r="8928" spans="1:1">
      <c r="A8928" s="56"/>
    </row>
    <row r="8929" spans="1:1">
      <c r="A8929" s="56"/>
    </row>
    <row r="8930" spans="1:1">
      <c r="A8930" s="56"/>
    </row>
    <row r="8931" spans="1:1">
      <c r="A8931" s="56"/>
    </row>
    <row r="8932" spans="1:1">
      <c r="A8932" s="56"/>
    </row>
    <row r="8933" spans="1:1">
      <c r="A8933" s="56"/>
    </row>
    <row r="8934" spans="1:1">
      <c r="A8934" s="56"/>
    </row>
    <row r="8935" spans="1:1">
      <c r="A8935" s="56"/>
    </row>
    <row r="8936" spans="1:1">
      <c r="A8936" s="56"/>
    </row>
    <row r="8937" spans="1:1">
      <c r="A8937" s="56"/>
    </row>
    <row r="8938" spans="1:1">
      <c r="A8938" s="56"/>
    </row>
    <row r="8939" spans="1:1">
      <c r="A8939" s="56"/>
    </row>
    <row r="8940" spans="1:1">
      <c r="A8940" s="56"/>
    </row>
    <row r="8941" spans="1:1">
      <c r="A8941" s="56"/>
    </row>
    <row r="8942" spans="1:1">
      <c r="A8942" s="56"/>
    </row>
    <row r="8943" spans="1:1">
      <c r="A8943" s="56"/>
    </row>
    <row r="8944" spans="1:1">
      <c r="A8944" s="56"/>
    </row>
    <row r="8945" spans="1:1">
      <c r="A8945" s="56"/>
    </row>
    <row r="8946" spans="1:1">
      <c r="A8946" s="56"/>
    </row>
    <row r="8947" spans="1:1">
      <c r="A8947" s="56"/>
    </row>
    <row r="8948" spans="1:1">
      <c r="A8948" s="56"/>
    </row>
    <row r="8949" spans="1:1">
      <c r="A8949" s="56"/>
    </row>
    <row r="8950" spans="1:1">
      <c r="A8950" s="56"/>
    </row>
    <row r="8951" spans="1:1">
      <c r="A8951" s="56"/>
    </row>
    <row r="8952" spans="1:1">
      <c r="A8952" s="56"/>
    </row>
    <row r="8953" spans="1:1">
      <c r="A8953" s="56"/>
    </row>
    <row r="8954" spans="1:1">
      <c r="A8954" s="56"/>
    </row>
    <row r="8955" spans="1:1">
      <c r="A8955" s="56"/>
    </row>
    <row r="8956" spans="1:1">
      <c r="A8956" s="56"/>
    </row>
    <row r="8957" spans="1:1">
      <c r="A8957" s="56"/>
    </row>
    <row r="8958" spans="1:1">
      <c r="A8958" s="56"/>
    </row>
    <row r="8959" spans="1:1">
      <c r="A8959" s="56"/>
    </row>
    <row r="8960" spans="1:1">
      <c r="A8960" s="56"/>
    </row>
    <row r="8961" spans="1:1">
      <c r="A8961" s="56"/>
    </row>
    <row r="8962" spans="1:1">
      <c r="A8962" s="56"/>
    </row>
    <row r="8963" spans="1:1">
      <c r="A8963" s="56"/>
    </row>
    <row r="8964" spans="1:1">
      <c r="A8964" s="56"/>
    </row>
    <row r="8965" spans="1:1">
      <c r="A8965" s="56"/>
    </row>
    <row r="8966" spans="1:1">
      <c r="A8966" s="56"/>
    </row>
    <row r="8967" spans="1:1">
      <c r="A8967" s="56"/>
    </row>
    <row r="8968" spans="1:1">
      <c r="A8968" s="56"/>
    </row>
    <row r="8969" spans="1:1">
      <c r="A8969" s="56"/>
    </row>
    <row r="8970" spans="1:1">
      <c r="A8970" s="56"/>
    </row>
    <row r="8971" spans="1:1">
      <c r="A8971" s="56"/>
    </row>
    <row r="8972" spans="1:1">
      <c r="A8972" s="56"/>
    </row>
    <row r="8973" spans="1:1">
      <c r="A8973" s="56"/>
    </row>
    <row r="8974" spans="1:1">
      <c r="A8974" s="56"/>
    </row>
    <row r="8975" spans="1:1">
      <c r="A8975" s="56"/>
    </row>
    <row r="8976" spans="1:1">
      <c r="A8976" s="56"/>
    </row>
    <row r="8977" spans="1:1">
      <c r="A8977" s="56"/>
    </row>
    <row r="8978" spans="1:1">
      <c r="A8978" s="56"/>
    </row>
    <row r="8979" spans="1:1">
      <c r="A8979" s="56"/>
    </row>
    <row r="8980" spans="1:1">
      <c r="A8980" s="56"/>
    </row>
    <row r="8981" spans="1:1">
      <c r="A8981" s="56"/>
    </row>
    <row r="8982" spans="1:1">
      <c r="A8982" s="56"/>
    </row>
    <row r="8983" spans="1:1">
      <c r="A8983" s="56"/>
    </row>
    <row r="8984" spans="1:1">
      <c r="A8984" s="56"/>
    </row>
    <row r="8985" spans="1:1">
      <c r="A8985" s="56"/>
    </row>
    <row r="8986" spans="1:1">
      <c r="A8986" s="56"/>
    </row>
    <row r="8987" spans="1:1">
      <c r="A8987" s="56"/>
    </row>
    <row r="8988" spans="1:1">
      <c r="A8988" s="56"/>
    </row>
    <row r="8989" spans="1:1">
      <c r="A8989" s="56"/>
    </row>
    <row r="8990" spans="1:1">
      <c r="A8990" s="56"/>
    </row>
    <row r="8991" spans="1:1">
      <c r="A8991" s="56"/>
    </row>
    <row r="8992" spans="1:1">
      <c r="A8992" s="56"/>
    </row>
    <row r="8993" spans="1:1">
      <c r="A8993" s="56"/>
    </row>
    <row r="8994" spans="1:1">
      <c r="A8994" s="56"/>
    </row>
    <row r="8995" spans="1:1">
      <c r="A8995" s="56"/>
    </row>
    <row r="8996" spans="1:1">
      <c r="A8996" s="56"/>
    </row>
    <row r="8997" spans="1:1">
      <c r="A8997" s="56"/>
    </row>
    <row r="8998" spans="1:1">
      <c r="A8998" s="56"/>
    </row>
    <row r="8999" spans="1:1">
      <c r="A8999" s="56"/>
    </row>
    <row r="9000" spans="1:1">
      <c r="A9000" s="56"/>
    </row>
    <row r="9001" spans="1:1">
      <c r="A9001" s="56"/>
    </row>
    <row r="9002" spans="1:1">
      <c r="A9002" s="56"/>
    </row>
    <row r="9003" spans="1:1">
      <c r="A9003" s="56"/>
    </row>
    <row r="9004" spans="1:1">
      <c r="A9004" s="56"/>
    </row>
    <row r="9005" spans="1:1">
      <c r="A9005" s="56"/>
    </row>
    <row r="9006" spans="1:1">
      <c r="A9006" s="56"/>
    </row>
    <row r="9007" spans="1:1">
      <c r="A9007" s="56"/>
    </row>
    <row r="9008" spans="1:1">
      <c r="A9008" s="56"/>
    </row>
    <row r="9009" spans="1:1">
      <c r="A9009" s="56"/>
    </row>
    <row r="9010" spans="1:1">
      <c r="A9010" s="56"/>
    </row>
    <row r="9011" spans="1:1">
      <c r="A9011" s="56"/>
    </row>
    <row r="9012" spans="1:1">
      <c r="A9012" s="56"/>
    </row>
    <row r="9013" spans="1:1">
      <c r="A9013" s="56"/>
    </row>
    <row r="9014" spans="1:1">
      <c r="A9014" s="56"/>
    </row>
    <row r="9015" spans="1:1">
      <c r="A9015" s="56"/>
    </row>
    <row r="9016" spans="1:1">
      <c r="A9016" s="56"/>
    </row>
    <row r="9017" spans="1:1">
      <c r="A9017" s="56"/>
    </row>
    <row r="9018" spans="1:1">
      <c r="A9018" s="56"/>
    </row>
    <row r="9019" spans="1:1">
      <c r="A9019" s="56"/>
    </row>
    <row r="9020" spans="1:1">
      <c r="A9020" s="56"/>
    </row>
    <row r="9021" spans="1:1">
      <c r="A9021" s="56"/>
    </row>
    <row r="9022" spans="1:1">
      <c r="A9022" s="56"/>
    </row>
    <row r="9023" spans="1:1">
      <c r="A9023" s="56"/>
    </row>
    <row r="9024" spans="1:1">
      <c r="A9024" s="56"/>
    </row>
    <row r="9025" spans="1:1">
      <c r="A9025" s="56"/>
    </row>
    <row r="9026" spans="1:1">
      <c r="A9026" s="56"/>
    </row>
    <row r="9027" spans="1:1">
      <c r="A9027" s="56"/>
    </row>
    <row r="9028" spans="1:1">
      <c r="A9028" s="56"/>
    </row>
    <row r="9029" spans="1:1">
      <c r="A9029" s="56"/>
    </row>
    <row r="9030" spans="1:1">
      <c r="A9030" s="56"/>
    </row>
    <row r="9031" spans="1:1">
      <c r="A9031" s="56"/>
    </row>
    <row r="9032" spans="1:1">
      <c r="A9032" s="56"/>
    </row>
    <row r="9033" spans="1:1">
      <c r="A9033" s="56"/>
    </row>
    <row r="9034" spans="1:1">
      <c r="A9034" s="56"/>
    </row>
    <row r="9035" spans="1:1">
      <c r="A9035" s="56"/>
    </row>
    <row r="9036" spans="1:1">
      <c r="A9036" s="56"/>
    </row>
    <row r="9037" spans="1:1">
      <c r="A9037" s="56"/>
    </row>
    <row r="9038" spans="1:1">
      <c r="A9038" s="56"/>
    </row>
    <row r="9039" spans="1:1">
      <c r="A9039" s="56"/>
    </row>
    <row r="9040" spans="1:1">
      <c r="A9040" s="56"/>
    </row>
    <row r="9041" spans="1:1">
      <c r="A9041" s="56"/>
    </row>
    <row r="9042" spans="1:1">
      <c r="A9042" s="56"/>
    </row>
    <row r="9043" spans="1:1">
      <c r="A9043" s="56"/>
    </row>
    <row r="9044" spans="1:1">
      <c r="A9044" s="56"/>
    </row>
    <row r="9045" spans="1:1">
      <c r="A9045" s="56"/>
    </row>
    <row r="9046" spans="1:1">
      <c r="A9046" s="56"/>
    </row>
    <row r="9047" spans="1:1">
      <c r="A9047" s="56"/>
    </row>
    <row r="9048" spans="1:1">
      <c r="A9048" s="56"/>
    </row>
    <row r="9049" spans="1:1">
      <c r="A9049" s="56"/>
    </row>
    <row r="9050" spans="1:1">
      <c r="A9050" s="56"/>
    </row>
    <row r="9051" spans="1:1">
      <c r="A9051" s="56"/>
    </row>
    <row r="9052" spans="1:1">
      <c r="A9052" s="56"/>
    </row>
    <row r="9053" spans="1:1">
      <c r="A9053" s="56"/>
    </row>
    <row r="9054" spans="1:1">
      <c r="A9054" s="56"/>
    </row>
    <row r="9055" spans="1:1">
      <c r="A9055" s="56"/>
    </row>
    <row r="9056" spans="1:1">
      <c r="A9056" s="56"/>
    </row>
    <row r="9057" spans="1:1">
      <c r="A9057" s="56"/>
    </row>
    <row r="9058" spans="1:1">
      <c r="A9058" s="56"/>
    </row>
    <row r="9059" spans="1:1">
      <c r="A9059" s="56"/>
    </row>
    <row r="9060" spans="1:1">
      <c r="A9060" s="56"/>
    </row>
    <row r="9061" spans="1:1">
      <c r="A9061" s="56"/>
    </row>
    <row r="9062" spans="1:1">
      <c r="A9062" s="56"/>
    </row>
    <row r="9063" spans="1:1">
      <c r="A9063" s="56"/>
    </row>
    <row r="9064" spans="1:1">
      <c r="A9064" s="56"/>
    </row>
    <row r="9065" spans="1:1">
      <c r="A9065" s="56"/>
    </row>
    <row r="9066" spans="1:1">
      <c r="A9066" s="56"/>
    </row>
    <row r="9067" spans="1:1">
      <c r="A9067" s="56"/>
    </row>
    <row r="9068" spans="1:1">
      <c r="A9068" s="56"/>
    </row>
    <row r="9069" spans="1:1">
      <c r="A9069" s="56"/>
    </row>
    <row r="9070" spans="1:1">
      <c r="A9070" s="56"/>
    </row>
    <row r="9071" spans="1:1">
      <c r="A9071" s="56"/>
    </row>
    <row r="9072" spans="1:1">
      <c r="A9072" s="56"/>
    </row>
    <row r="9073" spans="1:1">
      <c r="A9073" s="56"/>
    </row>
    <row r="9074" spans="1:1">
      <c r="A9074" s="56"/>
    </row>
    <row r="9075" spans="1:1">
      <c r="A9075" s="56"/>
    </row>
    <row r="9076" spans="1:1">
      <c r="A9076" s="56"/>
    </row>
    <row r="9077" spans="1:1">
      <c r="A9077" s="56"/>
    </row>
    <row r="9078" spans="1:1">
      <c r="A9078" s="56"/>
    </row>
    <row r="9079" spans="1:1">
      <c r="A9079" s="56"/>
    </row>
    <row r="9080" spans="1:1">
      <c r="A9080" s="56"/>
    </row>
    <row r="9081" spans="1:1">
      <c r="A9081" s="56"/>
    </row>
    <row r="9082" spans="1:1">
      <c r="A9082" s="56"/>
    </row>
    <row r="9083" spans="1:1">
      <c r="A9083" s="56"/>
    </row>
    <row r="9084" spans="1:1">
      <c r="A9084" s="56"/>
    </row>
    <row r="9085" spans="1:1">
      <c r="A9085" s="56"/>
    </row>
    <row r="9086" spans="1:1">
      <c r="A9086" s="56"/>
    </row>
    <row r="9087" spans="1:1">
      <c r="A9087" s="56"/>
    </row>
    <row r="9088" spans="1:1">
      <c r="A9088" s="56"/>
    </row>
    <row r="9089" spans="1:1">
      <c r="A9089" s="56"/>
    </row>
    <row r="9090" spans="1:1">
      <c r="A9090" s="56"/>
    </row>
    <row r="9091" spans="1:1">
      <c r="A9091" s="56"/>
    </row>
    <row r="9092" spans="1:1">
      <c r="A9092" s="56"/>
    </row>
    <row r="9093" spans="1:1">
      <c r="A9093" s="56"/>
    </row>
    <row r="9094" spans="1:1">
      <c r="A9094" s="56"/>
    </row>
    <row r="9095" spans="1:1">
      <c r="A9095" s="56"/>
    </row>
    <row r="9096" spans="1:1">
      <c r="A9096" s="56"/>
    </row>
    <row r="9097" spans="1:1">
      <c r="A9097" s="56"/>
    </row>
    <row r="9098" spans="1:1">
      <c r="A9098" s="56"/>
    </row>
    <row r="9099" spans="1:1">
      <c r="A9099" s="56"/>
    </row>
    <row r="9100" spans="1:1">
      <c r="A9100" s="56"/>
    </row>
    <row r="9101" spans="1:1">
      <c r="A9101" s="56"/>
    </row>
    <row r="9102" spans="1:1">
      <c r="A9102" s="56"/>
    </row>
    <row r="9103" spans="1:1">
      <c r="A9103" s="56"/>
    </row>
    <row r="9104" spans="1:1">
      <c r="A9104" s="56"/>
    </row>
    <row r="9105" spans="1:1">
      <c r="A9105" s="56"/>
    </row>
    <row r="9106" spans="1:1">
      <c r="A9106" s="56"/>
    </row>
    <row r="9107" spans="1:1">
      <c r="A9107" s="56"/>
    </row>
    <row r="9108" spans="1:1">
      <c r="A9108" s="56"/>
    </row>
    <row r="9109" spans="1:1">
      <c r="A9109" s="56"/>
    </row>
    <row r="9110" spans="1:1">
      <c r="A9110" s="56"/>
    </row>
    <row r="9111" spans="1:1">
      <c r="A9111" s="56"/>
    </row>
    <row r="9112" spans="1:1">
      <c r="A9112" s="56"/>
    </row>
    <row r="9113" spans="1:1">
      <c r="A9113" s="56"/>
    </row>
    <row r="9114" spans="1:1">
      <c r="A9114" s="56"/>
    </row>
    <row r="9115" spans="1:1">
      <c r="A9115" s="56"/>
    </row>
    <row r="9116" spans="1:1">
      <c r="A9116" s="56"/>
    </row>
    <row r="9117" spans="1:1">
      <c r="A9117" s="56"/>
    </row>
    <row r="9118" spans="1:1">
      <c r="A9118" s="56"/>
    </row>
    <row r="9119" spans="1:1">
      <c r="A9119" s="56"/>
    </row>
    <row r="9120" spans="1:1">
      <c r="A9120" s="56"/>
    </row>
    <row r="9121" spans="1:1">
      <c r="A9121" s="56"/>
    </row>
    <row r="9122" spans="1:1">
      <c r="A9122" s="56"/>
    </row>
    <row r="9123" spans="1:1">
      <c r="A9123" s="56"/>
    </row>
    <row r="9124" spans="1:1">
      <c r="A9124" s="56"/>
    </row>
    <row r="9125" spans="1:1">
      <c r="A9125" s="56"/>
    </row>
    <row r="9126" spans="1:1">
      <c r="A9126" s="56"/>
    </row>
    <row r="9127" spans="1:1">
      <c r="A9127" s="56"/>
    </row>
    <row r="9128" spans="1:1">
      <c r="A9128" s="56"/>
    </row>
    <row r="9129" spans="1:1">
      <c r="A9129" s="56"/>
    </row>
    <row r="9130" spans="1:1">
      <c r="A9130" s="56"/>
    </row>
    <row r="9131" spans="1:1">
      <c r="A9131" s="56"/>
    </row>
    <row r="9132" spans="1:1">
      <c r="A9132" s="56"/>
    </row>
    <row r="9133" spans="1:1">
      <c r="A9133" s="56"/>
    </row>
    <row r="9134" spans="1:1">
      <c r="A9134" s="56"/>
    </row>
    <row r="9135" spans="1:1">
      <c r="A9135" s="56"/>
    </row>
    <row r="9136" spans="1:1">
      <c r="A9136" s="56"/>
    </row>
    <row r="9137" spans="1:1">
      <c r="A9137" s="56"/>
    </row>
    <row r="9138" spans="1:1">
      <c r="A9138" s="56"/>
    </row>
    <row r="9139" spans="1:1">
      <c r="A9139" s="56"/>
    </row>
    <row r="9140" spans="1:1">
      <c r="A9140" s="56"/>
    </row>
    <row r="9141" spans="1:1">
      <c r="A9141" s="56"/>
    </row>
    <row r="9142" spans="1:1">
      <c r="A9142" s="56"/>
    </row>
    <row r="9143" spans="1:1">
      <c r="A9143" s="56"/>
    </row>
    <row r="9144" spans="1:1">
      <c r="A9144" s="56"/>
    </row>
    <row r="9145" spans="1:1">
      <c r="A9145" s="56"/>
    </row>
    <row r="9146" spans="1:1">
      <c r="A9146" s="56"/>
    </row>
    <row r="9147" spans="1:1">
      <c r="A9147" s="56"/>
    </row>
    <row r="9148" spans="1:1">
      <c r="A9148" s="56"/>
    </row>
    <row r="9149" spans="1:1">
      <c r="A9149" s="56"/>
    </row>
    <row r="9150" spans="1:1">
      <c r="A9150" s="56"/>
    </row>
    <row r="9151" spans="1:1">
      <c r="A9151" s="56"/>
    </row>
    <row r="9152" spans="1:1">
      <c r="A9152" s="56"/>
    </row>
    <row r="9153" spans="1:1">
      <c r="A9153" s="56"/>
    </row>
    <row r="9154" spans="1:1">
      <c r="A9154" s="56"/>
    </row>
    <row r="9155" spans="1:1">
      <c r="A9155" s="56"/>
    </row>
    <row r="9156" spans="1:1">
      <c r="A9156" s="56"/>
    </row>
    <row r="9157" spans="1:1">
      <c r="A9157" s="56"/>
    </row>
    <row r="9158" spans="1:1">
      <c r="A9158" s="56"/>
    </row>
    <row r="9159" spans="1:1">
      <c r="A9159" s="56"/>
    </row>
    <row r="9160" spans="1:1">
      <c r="A9160" s="56"/>
    </row>
    <row r="9161" spans="1:1">
      <c r="A9161" s="56"/>
    </row>
    <row r="9162" spans="1:1">
      <c r="A9162" s="56"/>
    </row>
    <row r="9163" spans="1:1">
      <c r="A9163" s="56"/>
    </row>
    <row r="9164" spans="1:1">
      <c r="A9164" s="56"/>
    </row>
    <row r="9165" spans="1:1">
      <c r="A9165" s="56"/>
    </row>
    <row r="9166" spans="1:1">
      <c r="A9166" s="56"/>
    </row>
    <row r="9167" spans="1:1">
      <c r="A9167" s="56"/>
    </row>
    <row r="9168" spans="1:1">
      <c r="A9168" s="56"/>
    </row>
    <row r="9169" spans="1:1">
      <c r="A9169" s="56"/>
    </row>
    <row r="9170" spans="1:1">
      <c r="A9170" s="56"/>
    </row>
    <row r="9171" spans="1:1">
      <c r="A9171" s="56"/>
    </row>
    <row r="9172" spans="1:1">
      <c r="A9172" s="56"/>
    </row>
    <row r="9173" spans="1:1">
      <c r="A9173" s="56"/>
    </row>
    <row r="9174" spans="1:1">
      <c r="A9174" s="56"/>
    </row>
    <row r="9175" spans="1:1">
      <c r="A9175" s="56"/>
    </row>
    <row r="9176" spans="1:1">
      <c r="A9176" s="56"/>
    </row>
    <row r="9177" spans="1:1">
      <c r="A9177" s="56"/>
    </row>
    <row r="9178" spans="1:1">
      <c r="A9178" s="56"/>
    </row>
    <row r="9179" spans="1:1">
      <c r="A9179" s="56"/>
    </row>
    <row r="9180" spans="1:1">
      <c r="A9180" s="56"/>
    </row>
    <row r="9181" spans="1:1">
      <c r="A9181" s="56"/>
    </row>
    <row r="9182" spans="1:1">
      <c r="A9182" s="56"/>
    </row>
    <row r="9183" spans="1:1">
      <c r="A9183" s="56"/>
    </row>
    <row r="9184" spans="1:1">
      <c r="A9184" s="56"/>
    </row>
    <row r="9185" spans="1:1">
      <c r="A9185" s="56"/>
    </row>
    <row r="9186" spans="1:1">
      <c r="A9186" s="56"/>
    </row>
    <row r="9187" spans="1:1">
      <c r="A9187" s="56"/>
    </row>
    <row r="9188" spans="1:1">
      <c r="A9188" s="56"/>
    </row>
    <row r="9189" spans="1:1">
      <c r="A9189" s="56"/>
    </row>
    <row r="9190" spans="1:1">
      <c r="A9190" s="56"/>
    </row>
    <row r="9191" spans="1:1">
      <c r="A9191" s="56"/>
    </row>
    <row r="9192" spans="1:1">
      <c r="A9192" s="56"/>
    </row>
    <row r="9193" spans="1:1">
      <c r="A9193" s="56"/>
    </row>
    <row r="9194" spans="1:1">
      <c r="A9194" s="56"/>
    </row>
    <row r="9195" spans="1:1">
      <c r="A9195" s="56"/>
    </row>
    <row r="9196" spans="1:1">
      <c r="A9196" s="56"/>
    </row>
    <row r="9197" spans="1:1">
      <c r="A9197" s="56"/>
    </row>
    <row r="9198" spans="1:1">
      <c r="A9198" s="56"/>
    </row>
    <row r="9199" spans="1:1">
      <c r="A9199" s="56"/>
    </row>
    <row r="9200" spans="1:1">
      <c r="A9200" s="56"/>
    </row>
    <row r="9201" spans="1:1">
      <c r="A9201" s="56"/>
    </row>
    <row r="9202" spans="1:1">
      <c r="A9202" s="56"/>
    </row>
    <row r="9203" spans="1:1">
      <c r="A9203" s="56"/>
    </row>
    <row r="9204" spans="1:1">
      <c r="A9204" s="56"/>
    </row>
    <row r="9205" spans="1:1">
      <c r="A9205" s="56"/>
    </row>
    <row r="9206" spans="1:1">
      <c r="A9206" s="56"/>
    </row>
    <row r="9207" spans="1:1">
      <c r="A9207" s="56"/>
    </row>
    <row r="9208" spans="1:1">
      <c r="A9208" s="56"/>
    </row>
    <row r="9209" spans="1:1">
      <c r="A9209" s="56"/>
    </row>
    <row r="9210" spans="1:1">
      <c r="A9210" s="56"/>
    </row>
    <row r="9211" spans="1:1">
      <c r="A9211" s="56"/>
    </row>
    <row r="9212" spans="1:1">
      <c r="A9212" s="56"/>
    </row>
    <row r="9213" spans="1:1">
      <c r="A9213" s="56"/>
    </row>
    <row r="9214" spans="1:1">
      <c r="A9214" s="56"/>
    </row>
    <row r="9215" spans="1:1">
      <c r="A9215" s="56"/>
    </row>
    <row r="9216" spans="1:1">
      <c r="A9216" s="56"/>
    </row>
    <row r="9217" spans="1:1">
      <c r="A9217" s="56"/>
    </row>
    <row r="9218" spans="1:1">
      <c r="A9218" s="56"/>
    </row>
    <row r="9219" spans="1:1">
      <c r="A9219" s="56"/>
    </row>
    <row r="9220" spans="1:1">
      <c r="A9220" s="56"/>
    </row>
    <row r="9221" spans="1:1">
      <c r="A9221" s="56"/>
    </row>
    <row r="9222" spans="1:1">
      <c r="A9222" s="56"/>
    </row>
    <row r="9223" spans="1:1">
      <c r="A9223" s="56"/>
    </row>
    <row r="9224" spans="1:1">
      <c r="A9224" s="56"/>
    </row>
    <row r="9225" spans="1:1">
      <c r="A9225" s="56"/>
    </row>
    <row r="9226" spans="1:1">
      <c r="A9226" s="56"/>
    </row>
    <row r="9227" spans="1:1">
      <c r="A9227" s="56"/>
    </row>
    <row r="9228" spans="1:1">
      <c r="A9228" s="56"/>
    </row>
    <row r="9229" spans="1:1">
      <c r="A9229" s="56"/>
    </row>
    <row r="9230" spans="1:1">
      <c r="A9230" s="56"/>
    </row>
    <row r="9231" spans="1:1">
      <c r="A9231" s="56"/>
    </row>
    <row r="9232" spans="1:1">
      <c r="A9232" s="56"/>
    </row>
    <row r="9233" spans="1:1">
      <c r="A9233" s="56"/>
    </row>
    <row r="9234" spans="1:1">
      <c r="A9234" s="56"/>
    </row>
    <row r="9235" spans="1:1">
      <c r="A9235" s="56"/>
    </row>
    <row r="9236" spans="1:1">
      <c r="A9236" s="56"/>
    </row>
    <row r="9237" spans="1:1">
      <c r="A9237" s="56"/>
    </row>
    <row r="9238" spans="1:1">
      <c r="A9238" s="56"/>
    </row>
    <row r="9239" spans="1:1">
      <c r="A9239" s="56"/>
    </row>
    <row r="9240" spans="1:1">
      <c r="A9240" s="56"/>
    </row>
    <row r="9241" spans="1:1">
      <c r="A9241" s="56"/>
    </row>
    <row r="9242" spans="1:1">
      <c r="A9242" s="56"/>
    </row>
    <row r="9243" spans="1:1">
      <c r="A9243" s="56"/>
    </row>
    <row r="9244" spans="1:1">
      <c r="A9244" s="56"/>
    </row>
    <row r="9245" spans="1:1">
      <c r="A9245" s="56"/>
    </row>
    <row r="9246" spans="1:1">
      <c r="A9246" s="56"/>
    </row>
    <row r="9247" spans="1:1">
      <c r="A9247" s="56"/>
    </row>
    <row r="9248" spans="1:1">
      <c r="A9248" s="56"/>
    </row>
    <row r="9249" spans="1:1">
      <c r="A9249" s="56"/>
    </row>
    <row r="9250" spans="1:1">
      <c r="A9250" s="56"/>
    </row>
    <row r="9251" spans="1:1">
      <c r="A9251" s="56"/>
    </row>
    <row r="9252" spans="1:1">
      <c r="A9252" s="56"/>
    </row>
    <row r="9253" spans="1:1">
      <c r="A9253" s="56"/>
    </row>
    <row r="9254" spans="1:1">
      <c r="A9254" s="56"/>
    </row>
    <row r="9255" spans="1:1">
      <c r="A9255" s="56"/>
    </row>
    <row r="9256" spans="1:1">
      <c r="A9256" s="56"/>
    </row>
    <row r="9257" spans="1:1">
      <c r="A9257" s="56"/>
    </row>
    <row r="9258" spans="1:1">
      <c r="A9258" s="56"/>
    </row>
    <row r="9259" spans="1:1">
      <c r="A9259" s="56"/>
    </row>
    <row r="9260" spans="1:1">
      <c r="A9260" s="56"/>
    </row>
    <row r="9261" spans="1:1">
      <c r="A9261" s="56"/>
    </row>
    <row r="9262" spans="1:1">
      <c r="A9262" s="56"/>
    </row>
    <row r="9263" spans="1:1">
      <c r="A9263" s="56"/>
    </row>
    <row r="9264" spans="1:1">
      <c r="A9264" s="56"/>
    </row>
    <row r="9265" spans="1:1">
      <c r="A9265" s="56"/>
    </row>
    <row r="9266" spans="1:1">
      <c r="A9266" s="56"/>
    </row>
    <row r="9267" spans="1:1">
      <c r="A9267" s="56"/>
    </row>
    <row r="9268" spans="1:1">
      <c r="A9268" s="56"/>
    </row>
    <row r="9269" spans="1:1">
      <c r="A9269" s="56"/>
    </row>
    <row r="9270" spans="1:1">
      <c r="A9270" s="56"/>
    </row>
    <row r="9271" spans="1:1">
      <c r="A9271" s="56"/>
    </row>
    <row r="9272" spans="1:1">
      <c r="A9272" s="56"/>
    </row>
    <row r="9273" spans="1:1">
      <c r="A9273" s="56"/>
    </row>
    <row r="9274" spans="1:1">
      <c r="A9274" s="56"/>
    </row>
    <row r="9275" spans="1:1">
      <c r="A9275" s="56"/>
    </row>
    <row r="9276" spans="1:1">
      <c r="A9276" s="56"/>
    </row>
    <row r="9277" spans="1:1">
      <c r="A9277" s="56"/>
    </row>
    <row r="9278" spans="1:1">
      <c r="A9278" s="56"/>
    </row>
    <row r="9279" spans="1:1">
      <c r="A9279" s="56"/>
    </row>
    <row r="9280" spans="1:1">
      <c r="A9280" s="56"/>
    </row>
    <row r="9281" spans="1:1">
      <c r="A9281" s="56"/>
    </row>
    <row r="9282" spans="1:1">
      <c r="A9282" s="56"/>
    </row>
    <row r="9283" spans="1:1">
      <c r="A9283" s="56"/>
    </row>
    <row r="9284" spans="1:1">
      <c r="A9284" s="56"/>
    </row>
    <row r="9285" spans="1:1">
      <c r="A9285" s="56"/>
    </row>
    <row r="9286" spans="1:1">
      <c r="A9286" s="56"/>
    </row>
    <row r="9287" spans="1:1">
      <c r="A9287" s="56"/>
    </row>
    <row r="9288" spans="1:1">
      <c r="A9288" s="56"/>
    </row>
    <row r="9289" spans="1:1">
      <c r="A9289" s="56"/>
    </row>
    <row r="9290" spans="1:1">
      <c r="A9290" s="56"/>
    </row>
    <row r="9291" spans="1:1">
      <c r="A9291" s="56"/>
    </row>
    <row r="9292" spans="1:1">
      <c r="A9292" s="56"/>
    </row>
    <row r="9293" spans="1:1">
      <c r="A9293" s="56"/>
    </row>
    <row r="9294" spans="1:1">
      <c r="A9294" s="56"/>
    </row>
    <row r="9295" spans="1:1">
      <c r="A9295" s="56"/>
    </row>
    <row r="9296" spans="1:1">
      <c r="A9296" s="56"/>
    </row>
    <row r="9297" spans="1:1">
      <c r="A9297" s="56"/>
    </row>
    <row r="9298" spans="1:1">
      <c r="A9298" s="56"/>
    </row>
    <row r="9299" spans="1:1">
      <c r="A9299" s="56"/>
    </row>
    <row r="9300" spans="1:1">
      <c r="A9300" s="56"/>
    </row>
    <row r="9301" spans="1:1">
      <c r="A9301" s="56"/>
    </row>
    <row r="9302" spans="1:1">
      <c r="A9302" s="56"/>
    </row>
    <row r="9303" spans="1:1">
      <c r="A9303" s="56"/>
    </row>
    <row r="9304" spans="1:1">
      <c r="A9304" s="56"/>
    </row>
    <row r="9305" spans="1:1">
      <c r="A9305" s="56"/>
    </row>
    <row r="9306" spans="1:1">
      <c r="A9306" s="56"/>
    </row>
    <row r="9307" spans="1:1">
      <c r="A9307" s="56"/>
    </row>
    <row r="9308" spans="1:1">
      <c r="A9308" s="56"/>
    </row>
    <row r="9309" spans="1:1">
      <c r="A9309" s="56"/>
    </row>
    <row r="9310" spans="1:1">
      <c r="A9310" s="56"/>
    </row>
    <row r="9311" spans="1:1">
      <c r="A9311" s="56"/>
    </row>
    <row r="9312" spans="1:1">
      <c r="A9312" s="56"/>
    </row>
    <row r="9313" spans="1:1">
      <c r="A9313" s="56"/>
    </row>
    <row r="9314" spans="1:1">
      <c r="A9314" s="56"/>
    </row>
    <row r="9315" spans="1:1">
      <c r="A9315" s="56"/>
    </row>
    <row r="9316" spans="1:1">
      <c r="A9316" s="56"/>
    </row>
    <row r="9317" spans="1:1">
      <c r="A9317" s="56"/>
    </row>
    <row r="9318" spans="1:1">
      <c r="A9318" s="56"/>
    </row>
    <row r="9319" spans="1:1">
      <c r="A9319" s="56"/>
    </row>
    <row r="9320" spans="1:1">
      <c r="A9320" s="56"/>
    </row>
    <row r="9321" spans="1:1">
      <c r="A9321" s="56"/>
    </row>
    <row r="9322" spans="1:1">
      <c r="A9322" s="56"/>
    </row>
    <row r="9323" spans="1:1">
      <c r="A9323" s="56"/>
    </row>
    <row r="9324" spans="1:1">
      <c r="A9324" s="56"/>
    </row>
    <row r="9325" spans="1:1">
      <c r="A9325" s="56"/>
    </row>
    <row r="9326" spans="1:1">
      <c r="A9326" s="56"/>
    </row>
    <row r="9327" spans="1:1">
      <c r="A9327" s="56"/>
    </row>
    <row r="9328" spans="1:1">
      <c r="A9328" s="56"/>
    </row>
    <row r="9329" spans="1:1">
      <c r="A9329" s="56"/>
    </row>
    <row r="9330" spans="1:1">
      <c r="A9330" s="56"/>
    </row>
    <row r="9331" spans="1:1">
      <c r="A9331" s="56"/>
    </row>
    <row r="9332" spans="1:1">
      <c r="A9332" s="56"/>
    </row>
    <row r="9333" spans="1:1">
      <c r="A9333" s="56"/>
    </row>
    <row r="9334" spans="1:1">
      <c r="A9334" s="56"/>
    </row>
    <row r="9335" spans="1:1">
      <c r="A9335" s="56"/>
    </row>
    <row r="9336" spans="1:1">
      <c r="A9336" s="56"/>
    </row>
    <row r="9337" spans="1:1">
      <c r="A9337" s="56"/>
    </row>
    <row r="9338" spans="1:1">
      <c r="A9338" s="56"/>
    </row>
    <row r="9339" spans="1:1">
      <c r="A9339" s="56"/>
    </row>
    <row r="9340" spans="1:1">
      <c r="A9340" s="56"/>
    </row>
    <row r="9341" spans="1:1">
      <c r="A9341" s="56"/>
    </row>
    <row r="9342" spans="1:1">
      <c r="A9342" s="56"/>
    </row>
    <row r="9343" spans="1:1">
      <c r="A9343" s="56"/>
    </row>
    <row r="9344" spans="1:1">
      <c r="A9344" s="56"/>
    </row>
    <row r="9345" spans="1:1">
      <c r="A9345" s="56"/>
    </row>
    <row r="9346" spans="1:1">
      <c r="A9346" s="56"/>
    </row>
    <row r="9347" spans="1:1">
      <c r="A9347" s="56"/>
    </row>
    <row r="9348" spans="1:1">
      <c r="A9348" s="56"/>
    </row>
    <row r="9349" spans="1:1">
      <c r="A9349" s="56"/>
    </row>
    <row r="9350" spans="1:1">
      <c r="A9350" s="56"/>
    </row>
    <row r="9351" spans="1:1">
      <c r="A9351" s="56"/>
    </row>
    <row r="9352" spans="1:1">
      <c r="A9352" s="56"/>
    </row>
    <row r="9353" spans="1:1">
      <c r="A9353" s="56"/>
    </row>
    <row r="9354" spans="1:1">
      <c r="A9354" s="56"/>
    </row>
    <row r="9355" spans="1:1">
      <c r="A9355" s="56"/>
    </row>
    <row r="9356" spans="1:1">
      <c r="A9356" s="56"/>
    </row>
    <row r="9357" spans="1:1">
      <c r="A9357" s="56"/>
    </row>
    <row r="9358" spans="1:1">
      <c r="A9358" s="56"/>
    </row>
    <row r="9359" spans="1:1">
      <c r="A9359" s="56"/>
    </row>
    <row r="9360" spans="1:1">
      <c r="A9360" s="56"/>
    </row>
    <row r="9361" spans="1:1">
      <c r="A9361" s="56"/>
    </row>
    <row r="9362" spans="1:1">
      <c r="A9362" s="56"/>
    </row>
    <row r="9363" spans="1:1">
      <c r="A9363" s="56"/>
    </row>
    <row r="9364" spans="1:1">
      <c r="A9364" s="56"/>
    </row>
    <row r="9365" spans="1:1">
      <c r="A9365" s="56"/>
    </row>
    <row r="9366" spans="1:1">
      <c r="A9366" s="56"/>
    </row>
    <row r="9367" spans="1:1">
      <c r="A9367" s="56"/>
    </row>
    <row r="9368" spans="1:1">
      <c r="A9368" s="56"/>
    </row>
    <row r="9369" spans="1:1">
      <c r="A9369" s="56"/>
    </row>
    <row r="9370" spans="1:1">
      <c r="A9370" s="56"/>
    </row>
    <row r="9371" spans="1:1">
      <c r="A9371" s="56"/>
    </row>
    <row r="9372" spans="1:1">
      <c r="A9372" s="56"/>
    </row>
    <row r="9373" spans="1:1">
      <c r="A9373" s="56"/>
    </row>
    <row r="9374" spans="1:1">
      <c r="A9374" s="56"/>
    </row>
    <row r="9375" spans="1:1">
      <c r="A9375" s="56"/>
    </row>
    <row r="9376" spans="1:1">
      <c r="A9376" s="56"/>
    </row>
    <row r="9377" spans="1:1">
      <c r="A9377" s="56"/>
    </row>
    <row r="9378" spans="1:1">
      <c r="A9378" s="56"/>
    </row>
    <row r="9379" spans="1:1">
      <c r="A9379" s="56"/>
    </row>
    <row r="9380" spans="1:1">
      <c r="A9380" s="56"/>
    </row>
    <row r="9381" spans="1:1">
      <c r="A9381" s="56"/>
    </row>
    <row r="9382" spans="1:1">
      <c r="A9382" s="56"/>
    </row>
    <row r="9383" spans="1:1">
      <c r="A9383" s="56"/>
    </row>
    <row r="9384" spans="1:1">
      <c r="A9384" s="56"/>
    </row>
    <row r="9385" spans="1:1">
      <c r="A9385" s="56"/>
    </row>
    <row r="9386" spans="1:1">
      <c r="A9386" s="56"/>
    </row>
    <row r="9387" spans="1:1">
      <c r="A9387" s="56"/>
    </row>
    <row r="9388" spans="1:1">
      <c r="A9388" s="56"/>
    </row>
    <row r="9389" spans="1:1">
      <c r="A9389" s="56"/>
    </row>
    <row r="9390" spans="1:1">
      <c r="A9390" s="56"/>
    </row>
    <row r="9391" spans="1:1">
      <c r="A9391" s="56"/>
    </row>
    <row r="9392" spans="1:1">
      <c r="A9392" s="56"/>
    </row>
    <row r="9393" spans="1:1">
      <c r="A9393" s="56"/>
    </row>
    <row r="9394" spans="1:1">
      <c r="A9394" s="56"/>
    </row>
    <row r="9395" spans="1:1">
      <c r="A9395" s="56"/>
    </row>
    <row r="9396" spans="1:1">
      <c r="A9396" s="56"/>
    </row>
    <row r="9397" spans="1:1">
      <c r="A9397" s="56"/>
    </row>
    <row r="9398" spans="1:1">
      <c r="A9398" s="56"/>
    </row>
    <row r="9399" spans="1:1">
      <c r="A9399" s="56"/>
    </row>
    <row r="9400" spans="1:1">
      <c r="A9400" s="56"/>
    </row>
    <row r="9401" spans="1:1">
      <c r="A9401" s="56"/>
    </row>
    <row r="9402" spans="1:1">
      <c r="A9402" s="56"/>
    </row>
    <row r="9403" spans="1:1">
      <c r="A9403" s="56"/>
    </row>
    <row r="9404" spans="1:1">
      <c r="A9404" s="56"/>
    </row>
    <row r="9405" spans="1:1">
      <c r="A9405" s="56"/>
    </row>
    <row r="9406" spans="1:1">
      <c r="A9406" s="56"/>
    </row>
    <row r="9407" spans="1:1">
      <c r="A9407" s="56"/>
    </row>
    <row r="9408" spans="1:1">
      <c r="A9408" s="56"/>
    </row>
    <row r="9409" spans="1:1">
      <c r="A9409" s="56"/>
    </row>
    <row r="9410" spans="1:1">
      <c r="A9410" s="56"/>
    </row>
    <row r="9411" spans="1:1">
      <c r="A9411" s="56"/>
    </row>
    <row r="9412" spans="1:1">
      <c r="A9412" s="56"/>
    </row>
    <row r="9413" spans="1:1">
      <c r="A9413" s="56"/>
    </row>
    <row r="9414" spans="1:1">
      <c r="A9414" s="56"/>
    </row>
    <row r="9415" spans="1:1">
      <c r="A9415" s="56"/>
    </row>
    <row r="9416" spans="1:1">
      <c r="A9416" s="56"/>
    </row>
    <row r="9417" spans="1:1">
      <c r="A9417" s="56"/>
    </row>
    <row r="9418" spans="1:1">
      <c r="A9418" s="56"/>
    </row>
    <row r="9419" spans="1:1">
      <c r="A9419" s="56"/>
    </row>
    <row r="9420" spans="1:1">
      <c r="A9420" s="56"/>
    </row>
    <row r="9421" spans="1:1">
      <c r="A9421" s="56"/>
    </row>
    <row r="9422" spans="1:1">
      <c r="A9422" s="56"/>
    </row>
    <row r="9423" spans="1:1">
      <c r="A9423" s="56"/>
    </row>
    <row r="9424" spans="1:1">
      <c r="A9424" s="56"/>
    </row>
    <row r="9425" spans="1:1">
      <c r="A9425" s="56"/>
    </row>
    <row r="9426" spans="1:1">
      <c r="A9426" s="56"/>
    </row>
    <row r="9427" spans="1:1">
      <c r="A9427" s="56"/>
    </row>
    <row r="9428" spans="1:1">
      <c r="A9428" s="56"/>
    </row>
    <row r="9429" spans="1:1">
      <c r="A9429" s="56"/>
    </row>
    <row r="9430" spans="1:1">
      <c r="A9430" s="56"/>
    </row>
    <row r="9431" spans="1:1">
      <c r="A9431" s="56"/>
    </row>
    <row r="9432" spans="1:1">
      <c r="A9432" s="56"/>
    </row>
    <row r="9433" spans="1:1">
      <c r="A9433" s="56"/>
    </row>
    <row r="9434" spans="1:1">
      <c r="A9434" s="56"/>
    </row>
    <row r="9435" spans="1:1">
      <c r="A9435" s="56"/>
    </row>
    <row r="9436" spans="1:1">
      <c r="A9436" s="56"/>
    </row>
    <row r="9437" spans="1:1">
      <c r="A9437" s="56"/>
    </row>
    <row r="9438" spans="1:1">
      <c r="A9438" s="56"/>
    </row>
    <row r="9439" spans="1:1">
      <c r="A9439" s="56"/>
    </row>
    <row r="9440" spans="1:1">
      <c r="A9440" s="56"/>
    </row>
    <row r="9441" spans="1:1">
      <c r="A9441" s="56"/>
    </row>
    <row r="9442" spans="1:1">
      <c r="A9442" s="56"/>
    </row>
    <row r="9443" spans="1:1">
      <c r="A9443" s="56"/>
    </row>
    <row r="9444" spans="1:1">
      <c r="A9444" s="56"/>
    </row>
    <row r="9445" spans="1:1">
      <c r="A9445" s="56"/>
    </row>
    <row r="9446" spans="1:1">
      <c r="A9446" s="56"/>
    </row>
    <row r="9447" spans="1:1">
      <c r="A9447" s="56"/>
    </row>
    <row r="9448" spans="1:1">
      <c r="A9448" s="56"/>
    </row>
    <row r="9449" spans="1:1">
      <c r="A9449" s="56"/>
    </row>
    <row r="9450" spans="1:1">
      <c r="A9450" s="56"/>
    </row>
    <row r="9451" spans="1:1">
      <c r="A9451" s="56"/>
    </row>
    <row r="9452" spans="1:1">
      <c r="A9452" s="56"/>
    </row>
    <row r="9453" spans="1:1">
      <c r="A9453" s="56"/>
    </row>
    <row r="9454" spans="1:1">
      <c r="A9454" s="56"/>
    </row>
    <row r="9455" spans="1:1">
      <c r="A9455" s="56"/>
    </row>
    <row r="9456" spans="1:1">
      <c r="A9456" s="56"/>
    </row>
    <row r="9457" spans="1:1">
      <c r="A9457" s="56"/>
    </row>
    <row r="9458" spans="1:1">
      <c r="A9458" s="56"/>
    </row>
    <row r="9459" spans="1:1">
      <c r="A9459" s="56"/>
    </row>
    <row r="9460" spans="1:1">
      <c r="A9460" s="56"/>
    </row>
    <row r="9461" spans="1:1">
      <c r="A9461" s="56"/>
    </row>
    <row r="9462" spans="1:1">
      <c r="A9462" s="56"/>
    </row>
    <row r="9463" spans="1:1">
      <c r="A9463" s="56"/>
    </row>
    <row r="9464" spans="1:1">
      <c r="A9464" s="56"/>
    </row>
    <row r="9465" spans="1:1">
      <c r="A9465" s="56"/>
    </row>
    <row r="9466" spans="1:1">
      <c r="A9466" s="56"/>
    </row>
    <row r="9467" spans="1:1">
      <c r="A9467" s="56"/>
    </row>
    <row r="9468" spans="1:1">
      <c r="A9468" s="56"/>
    </row>
    <row r="9469" spans="1:1">
      <c r="A9469" s="56"/>
    </row>
    <row r="9470" spans="1:1">
      <c r="A9470" s="56"/>
    </row>
    <row r="9471" spans="1:1">
      <c r="A9471" s="56"/>
    </row>
    <row r="9472" spans="1:1">
      <c r="A9472" s="56"/>
    </row>
    <row r="9473" spans="1:1">
      <c r="A9473" s="56"/>
    </row>
    <row r="9474" spans="1:1">
      <c r="A9474" s="56"/>
    </row>
    <row r="9475" spans="1:1">
      <c r="A9475" s="56"/>
    </row>
    <row r="9476" spans="1:1">
      <c r="A9476" s="56"/>
    </row>
    <row r="9477" spans="1:1">
      <c r="A9477" s="56"/>
    </row>
    <row r="9478" spans="1:1">
      <c r="A9478" s="56"/>
    </row>
    <row r="9479" spans="1:1">
      <c r="A9479" s="56"/>
    </row>
    <row r="9480" spans="1:1">
      <c r="A9480" s="56"/>
    </row>
    <row r="9481" spans="1:1">
      <c r="A9481" s="56"/>
    </row>
    <row r="9482" spans="1:1">
      <c r="A9482" s="56"/>
    </row>
    <row r="9483" spans="1:1">
      <c r="A9483" s="56"/>
    </row>
    <row r="9484" spans="1:1">
      <c r="A9484" s="56"/>
    </row>
    <row r="9485" spans="1:1">
      <c r="A9485" s="56"/>
    </row>
    <row r="9486" spans="1:1">
      <c r="A9486" s="56"/>
    </row>
    <row r="9487" spans="1:1">
      <c r="A9487" s="56"/>
    </row>
    <row r="9488" spans="1:1">
      <c r="A9488" s="56"/>
    </row>
    <row r="9489" spans="1:1">
      <c r="A9489" s="56"/>
    </row>
    <row r="9490" spans="1:1">
      <c r="A9490" s="56"/>
    </row>
    <row r="9491" spans="1:1">
      <c r="A9491" s="56"/>
    </row>
    <row r="9492" spans="1:1">
      <c r="A9492" s="56"/>
    </row>
    <row r="9493" spans="1:1">
      <c r="A9493" s="56"/>
    </row>
    <row r="9494" spans="1:1">
      <c r="A9494" s="56"/>
    </row>
    <row r="9495" spans="1:1">
      <c r="A9495" s="56"/>
    </row>
    <row r="9496" spans="1:1">
      <c r="A9496" s="56"/>
    </row>
    <row r="9497" spans="1:1">
      <c r="A9497" s="56"/>
    </row>
    <row r="9498" spans="1:1">
      <c r="A9498" s="56"/>
    </row>
    <row r="9499" spans="1:1">
      <c r="A9499" s="56"/>
    </row>
    <row r="9500" spans="1:1">
      <c r="A9500" s="56"/>
    </row>
    <row r="9501" spans="1:1">
      <c r="A9501" s="56"/>
    </row>
    <row r="9502" spans="1:1">
      <c r="A9502" s="56"/>
    </row>
    <row r="9503" spans="1:1">
      <c r="A9503" s="56"/>
    </row>
    <row r="9504" spans="1:1">
      <c r="A9504" s="56"/>
    </row>
    <row r="9505" spans="1:1">
      <c r="A9505" s="56"/>
    </row>
    <row r="9506" spans="1:1">
      <c r="A9506" s="56"/>
    </row>
    <row r="9507" spans="1:1">
      <c r="A9507" s="56"/>
    </row>
    <row r="9508" spans="1:1">
      <c r="A9508" s="56"/>
    </row>
    <row r="9509" spans="1:1">
      <c r="A9509" s="56"/>
    </row>
    <row r="9510" spans="1:1">
      <c r="A9510" s="56"/>
    </row>
    <row r="9511" spans="1:1">
      <c r="A9511" s="56"/>
    </row>
    <row r="9512" spans="1:1">
      <c r="A9512" s="56"/>
    </row>
    <row r="9513" spans="1:1">
      <c r="A9513" s="56"/>
    </row>
    <row r="9514" spans="1:1">
      <c r="A9514" s="56"/>
    </row>
    <row r="9515" spans="1:1">
      <c r="A9515" s="56"/>
    </row>
    <row r="9516" spans="1:1">
      <c r="A9516" s="56"/>
    </row>
    <row r="9517" spans="1:1">
      <c r="A9517" s="56"/>
    </row>
    <row r="9518" spans="1:1">
      <c r="A9518" s="56"/>
    </row>
    <row r="9519" spans="1:1">
      <c r="A9519" s="56"/>
    </row>
    <row r="9520" spans="1:1">
      <c r="A9520" s="56"/>
    </row>
    <row r="9521" spans="1:1">
      <c r="A9521" s="56"/>
    </row>
    <row r="9522" spans="1:1">
      <c r="A9522" s="56"/>
    </row>
    <row r="9523" spans="1:1">
      <c r="A9523" s="56"/>
    </row>
    <row r="9524" spans="1:1">
      <c r="A9524" s="56"/>
    </row>
    <row r="9525" spans="1:1">
      <c r="A9525" s="56"/>
    </row>
    <row r="9526" spans="1:1">
      <c r="A9526" s="56"/>
    </row>
    <row r="9527" spans="1:1">
      <c r="A9527" s="56"/>
    </row>
    <row r="9528" spans="1:1">
      <c r="A9528" s="56"/>
    </row>
    <row r="9529" spans="1:1">
      <c r="A9529" s="56"/>
    </row>
    <row r="9530" spans="1:1">
      <c r="A9530" s="56"/>
    </row>
    <row r="9531" spans="1:1">
      <c r="A9531" s="56"/>
    </row>
    <row r="9532" spans="1:1">
      <c r="A9532" s="56"/>
    </row>
    <row r="9533" spans="1:1">
      <c r="A9533" s="56"/>
    </row>
    <row r="9534" spans="1:1">
      <c r="A9534" s="56"/>
    </row>
    <row r="9535" spans="1:1">
      <c r="A9535" s="56"/>
    </row>
    <row r="9536" spans="1:1">
      <c r="A9536" s="56"/>
    </row>
    <row r="9537" spans="1:1">
      <c r="A9537" s="56"/>
    </row>
    <row r="9538" spans="1:1">
      <c r="A9538" s="56"/>
    </row>
    <row r="9539" spans="1:1">
      <c r="A9539" s="56"/>
    </row>
    <row r="9540" spans="1:1">
      <c r="A9540" s="56"/>
    </row>
    <row r="9541" spans="1:1">
      <c r="A9541" s="56"/>
    </row>
    <row r="9542" spans="1:1">
      <c r="A9542" s="56"/>
    </row>
    <row r="9543" spans="1:1">
      <c r="A9543" s="56"/>
    </row>
    <row r="9544" spans="1:1">
      <c r="A9544" s="56"/>
    </row>
    <row r="9545" spans="1:1">
      <c r="A9545" s="56"/>
    </row>
    <row r="9546" spans="1:1">
      <c r="A9546" s="56"/>
    </row>
    <row r="9547" spans="1:1">
      <c r="A9547" s="56"/>
    </row>
    <row r="9548" spans="1:1">
      <c r="A9548" s="56"/>
    </row>
    <row r="9549" spans="1:1">
      <c r="A9549" s="56"/>
    </row>
    <row r="9550" spans="1:1">
      <c r="A9550" s="56"/>
    </row>
    <row r="9551" spans="1:1">
      <c r="A9551" s="56"/>
    </row>
    <row r="9552" spans="1:1">
      <c r="A9552" s="56"/>
    </row>
    <row r="9553" spans="1:1">
      <c r="A9553" s="56"/>
    </row>
    <row r="9554" spans="1:1">
      <c r="A9554" s="56"/>
    </row>
    <row r="9555" spans="1:1">
      <c r="A9555" s="56"/>
    </row>
    <row r="9556" spans="1:1">
      <c r="A9556" s="56"/>
    </row>
    <row r="9557" spans="1:1">
      <c r="A9557" s="56"/>
    </row>
    <row r="9558" spans="1:1">
      <c r="A9558" s="56"/>
    </row>
    <row r="9559" spans="1:1">
      <c r="A9559" s="56"/>
    </row>
    <row r="9560" spans="1:1">
      <c r="A9560" s="56"/>
    </row>
    <row r="9561" spans="1:1">
      <c r="A9561" s="56"/>
    </row>
    <row r="9562" spans="1:1">
      <c r="A9562" s="56"/>
    </row>
    <row r="9563" spans="1:1">
      <c r="A9563" s="56"/>
    </row>
    <row r="9564" spans="1:1">
      <c r="A9564" s="56"/>
    </row>
    <row r="9565" spans="1:1">
      <c r="A9565" s="56"/>
    </row>
    <row r="9566" spans="1:1">
      <c r="A9566" s="56"/>
    </row>
    <row r="9567" spans="1:1">
      <c r="A9567" s="56"/>
    </row>
    <row r="9568" spans="1:1">
      <c r="A9568" s="56"/>
    </row>
    <row r="9569" spans="1:1">
      <c r="A9569" s="56"/>
    </row>
    <row r="9570" spans="1:1">
      <c r="A9570" s="56"/>
    </row>
    <row r="9571" spans="1:1">
      <c r="A9571" s="56"/>
    </row>
    <row r="9572" spans="1:1">
      <c r="A9572" s="56"/>
    </row>
    <row r="9573" spans="1:1">
      <c r="A9573" s="56"/>
    </row>
    <row r="9574" spans="1:1">
      <c r="A9574" s="56"/>
    </row>
    <row r="9575" spans="1:1">
      <c r="A9575" s="56"/>
    </row>
    <row r="9576" spans="1:1">
      <c r="A9576" s="56"/>
    </row>
    <row r="9577" spans="1:1">
      <c r="A9577" s="56"/>
    </row>
    <row r="9578" spans="1:1">
      <c r="A9578" s="56"/>
    </row>
    <row r="9579" spans="1:1">
      <c r="A9579" s="56"/>
    </row>
    <row r="9580" spans="1:1">
      <c r="A9580" s="56"/>
    </row>
    <row r="9581" spans="1:1">
      <c r="A9581" s="56"/>
    </row>
    <row r="9582" spans="1:1">
      <c r="A9582" s="56"/>
    </row>
    <row r="9583" spans="1:1">
      <c r="A9583" s="56"/>
    </row>
    <row r="9584" spans="1:1">
      <c r="A9584" s="56"/>
    </row>
    <row r="9585" spans="1:1">
      <c r="A9585" s="56"/>
    </row>
    <row r="9586" spans="1:1">
      <c r="A9586" s="56"/>
    </row>
    <row r="9587" spans="1:1">
      <c r="A9587" s="56"/>
    </row>
    <row r="9588" spans="1:1">
      <c r="A9588" s="56"/>
    </row>
    <row r="9589" spans="1:1">
      <c r="A9589" s="56"/>
    </row>
    <row r="9590" spans="1:1">
      <c r="A9590" s="56"/>
    </row>
    <row r="9591" spans="1:1">
      <c r="A9591" s="56"/>
    </row>
    <row r="9592" spans="1:1">
      <c r="A9592" s="56"/>
    </row>
    <row r="9593" spans="1:1">
      <c r="A9593" s="56"/>
    </row>
    <row r="9594" spans="1:1">
      <c r="A9594" s="56"/>
    </row>
    <row r="9595" spans="1:1">
      <c r="A9595" s="56"/>
    </row>
    <row r="9596" spans="1:1">
      <c r="A9596" s="56"/>
    </row>
    <row r="9597" spans="1:1">
      <c r="A9597" s="56"/>
    </row>
    <row r="9598" spans="1:1">
      <c r="A9598" s="56"/>
    </row>
    <row r="9599" spans="1:1">
      <c r="A9599" s="56"/>
    </row>
    <row r="9600" spans="1:1">
      <c r="A9600" s="56"/>
    </row>
    <row r="9601" spans="1:1">
      <c r="A9601" s="56"/>
    </row>
    <row r="9602" spans="1:1">
      <c r="A9602" s="56"/>
    </row>
    <row r="9603" spans="1:1">
      <c r="A9603" s="56"/>
    </row>
    <row r="9604" spans="1:1">
      <c r="A9604" s="56"/>
    </row>
    <row r="9605" spans="1:1">
      <c r="A9605" s="56"/>
    </row>
    <row r="9606" spans="1:1">
      <c r="A9606" s="56"/>
    </row>
    <row r="9607" spans="1:1">
      <c r="A9607" s="56"/>
    </row>
    <row r="9608" spans="1:1">
      <c r="A9608" s="56"/>
    </row>
    <row r="9609" spans="1:1">
      <c r="A9609" s="56"/>
    </row>
    <row r="9610" spans="1:1">
      <c r="A9610" s="56"/>
    </row>
    <row r="9611" spans="1:1">
      <c r="A9611" s="56"/>
    </row>
    <row r="9612" spans="1:1">
      <c r="A9612" s="56"/>
    </row>
    <row r="9613" spans="1:1">
      <c r="A9613" s="56"/>
    </row>
    <row r="9614" spans="1:1">
      <c r="A9614" s="56"/>
    </row>
    <row r="9615" spans="1:1">
      <c r="A9615" s="56"/>
    </row>
    <row r="9616" spans="1:1">
      <c r="A9616" s="56"/>
    </row>
    <row r="9617" spans="1:1">
      <c r="A9617" s="56"/>
    </row>
    <row r="9618" spans="1:1">
      <c r="A9618" s="56"/>
    </row>
    <row r="9619" spans="1:1">
      <c r="A9619" s="56"/>
    </row>
    <row r="9620" spans="1:1">
      <c r="A9620" s="56"/>
    </row>
    <row r="9621" spans="1:1">
      <c r="A9621" s="56"/>
    </row>
    <row r="9622" spans="1:1">
      <c r="A9622" s="56"/>
    </row>
    <row r="9623" spans="1:1">
      <c r="A9623" s="56"/>
    </row>
    <row r="9624" spans="1:1">
      <c r="A9624" s="56"/>
    </row>
    <row r="9625" spans="1:1">
      <c r="A9625" s="56"/>
    </row>
    <row r="9626" spans="1:1">
      <c r="A9626" s="56"/>
    </row>
    <row r="9627" spans="1:1">
      <c r="A9627" s="56"/>
    </row>
    <row r="9628" spans="1:1">
      <c r="A9628" s="56"/>
    </row>
    <row r="9629" spans="1:1">
      <c r="A9629" s="56"/>
    </row>
    <row r="9630" spans="1:1">
      <c r="A9630" s="56"/>
    </row>
    <row r="9631" spans="1:1">
      <c r="A9631" s="56"/>
    </row>
    <row r="9632" spans="1:1">
      <c r="A9632" s="56"/>
    </row>
    <row r="9633" spans="1:1">
      <c r="A9633" s="56"/>
    </row>
    <row r="9634" spans="1:1">
      <c r="A9634" s="56"/>
    </row>
    <row r="9635" spans="1:1">
      <c r="A9635" s="56"/>
    </row>
    <row r="9636" spans="1:1">
      <c r="A9636" s="56"/>
    </row>
    <row r="9637" spans="1:1">
      <c r="A9637" s="56"/>
    </row>
    <row r="9638" spans="1:1">
      <c r="A9638" s="56"/>
    </row>
    <row r="9639" spans="1:1">
      <c r="A9639" s="56"/>
    </row>
    <row r="9640" spans="1:1">
      <c r="A9640" s="56"/>
    </row>
    <row r="9641" spans="1:1">
      <c r="A9641" s="56"/>
    </row>
    <row r="9642" spans="1:1">
      <c r="A9642" s="56"/>
    </row>
    <row r="9643" spans="1:1">
      <c r="A9643" s="56"/>
    </row>
    <row r="9644" spans="1:1">
      <c r="A9644" s="56"/>
    </row>
    <row r="9645" spans="1:1">
      <c r="A9645" s="56"/>
    </row>
    <row r="9646" spans="1:1">
      <c r="A9646" s="56"/>
    </row>
    <row r="9647" spans="1:1">
      <c r="A9647" s="56"/>
    </row>
    <row r="9648" spans="1:1">
      <c r="A9648" s="56"/>
    </row>
    <row r="9649" spans="1:1">
      <c r="A9649" s="56"/>
    </row>
    <row r="9650" spans="1:1">
      <c r="A9650" s="56"/>
    </row>
    <row r="9651" spans="1:1">
      <c r="A9651" s="56"/>
    </row>
    <row r="9652" spans="1:1">
      <c r="A9652" s="56"/>
    </row>
    <row r="9653" spans="1:1">
      <c r="A9653" s="56"/>
    </row>
    <row r="9654" spans="1:1">
      <c r="A9654" s="56"/>
    </row>
    <row r="9655" spans="1:1">
      <c r="A9655" s="56"/>
    </row>
    <row r="9656" spans="1:1">
      <c r="A9656" s="56"/>
    </row>
    <row r="9657" spans="1:1">
      <c r="A9657" s="56"/>
    </row>
    <row r="9658" spans="1:1">
      <c r="A9658" s="56"/>
    </row>
    <row r="9659" spans="1:1">
      <c r="A9659" s="56"/>
    </row>
    <row r="9660" spans="1:1">
      <c r="A9660" s="56"/>
    </row>
    <row r="9661" spans="1:1">
      <c r="A9661" s="56"/>
    </row>
    <row r="9662" spans="1:1">
      <c r="A9662" s="56"/>
    </row>
    <row r="9663" spans="1:1">
      <c r="A9663" s="56"/>
    </row>
    <row r="9664" spans="1:1">
      <c r="A9664" s="56"/>
    </row>
    <row r="9665" spans="1:1">
      <c r="A9665" s="56"/>
    </row>
    <row r="9666" spans="1:1">
      <c r="A9666" s="56"/>
    </row>
    <row r="9667" spans="1:1">
      <c r="A9667" s="56"/>
    </row>
    <row r="9668" spans="1:1">
      <c r="A9668" s="56"/>
    </row>
    <row r="9669" spans="1:1">
      <c r="A9669" s="56"/>
    </row>
    <row r="9670" spans="1:1">
      <c r="A9670" s="56"/>
    </row>
    <row r="9671" spans="1:1">
      <c r="A9671" s="56"/>
    </row>
    <row r="9672" spans="1:1">
      <c r="A9672" s="56"/>
    </row>
    <row r="9673" spans="1:1">
      <c r="A9673" s="56"/>
    </row>
    <row r="9674" spans="1:1">
      <c r="A9674" s="56"/>
    </row>
    <row r="9675" spans="1:1">
      <c r="A9675" s="56"/>
    </row>
    <row r="9676" spans="1:1">
      <c r="A9676" s="56"/>
    </row>
    <row r="9677" spans="1:1">
      <c r="A9677" s="56"/>
    </row>
    <row r="9678" spans="1:1">
      <c r="A9678" s="56"/>
    </row>
    <row r="9679" spans="1:1">
      <c r="A9679" s="56"/>
    </row>
    <row r="9680" spans="1:1">
      <c r="A9680" s="56"/>
    </row>
    <row r="9681" spans="1:1">
      <c r="A9681" s="56"/>
    </row>
    <row r="9682" spans="1:1">
      <c r="A9682" s="56"/>
    </row>
    <row r="9683" spans="1:1">
      <c r="A9683" s="56"/>
    </row>
    <row r="9684" spans="1:1">
      <c r="A9684" s="56"/>
    </row>
    <row r="9685" spans="1:1">
      <c r="A9685" s="56"/>
    </row>
    <row r="9686" spans="1:1">
      <c r="A9686" s="56"/>
    </row>
    <row r="9687" spans="1:1">
      <c r="A9687" s="56"/>
    </row>
    <row r="9688" spans="1:1">
      <c r="A9688" s="56"/>
    </row>
    <row r="9689" spans="1:1">
      <c r="A9689" s="56"/>
    </row>
    <row r="9690" spans="1:1">
      <c r="A9690" s="56"/>
    </row>
    <row r="9691" spans="1:1">
      <c r="A9691" s="56"/>
    </row>
    <row r="9692" spans="1:1">
      <c r="A9692" s="56"/>
    </row>
    <row r="9693" spans="1:1">
      <c r="A9693" s="56"/>
    </row>
    <row r="9694" spans="1:1">
      <c r="A9694" s="56"/>
    </row>
    <row r="9695" spans="1:1">
      <c r="A9695" s="56"/>
    </row>
    <row r="9696" spans="1:1">
      <c r="A9696" s="56"/>
    </row>
    <row r="9697" spans="1:1">
      <c r="A9697" s="56"/>
    </row>
    <row r="9698" spans="1:1">
      <c r="A9698" s="56"/>
    </row>
    <row r="9699" spans="1:1">
      <c r="A9699" s="56"/>
    </row>
    <row r="9700" spans="1:1">
      <c r="A9700" s="56"/>
    </row>
    <row r="9701" spans="1:1">
      <c r="A9701" s="56"/>
    </row>
    <row r="9702" spans="1:1">
      <c r="A9702" s="56"/>
    </row>
    <row r="9703" spans="1:1">
      <c r="A9703" s="56"/>
    </row>
    <row r="9704" spans="1:1">
      <c r="A9704" s="56"/>
    </row>
    <row r="9705" spans="1:1">
      <c r="A9705" s="56"/>
    </row>
    <row r="9706" spans="1:1">
      <c r="A9706" s="56"/>
    </row>
    <row r="9707" spans="1:1">
      <c r="A9707" s="56"/>
    </row>
    <row r="9708" spans="1:1">
      <c r="A9708" s="56"/>
    </row>
    <row r="9709" spans="1:1">
      <c r="A9709" s="56"/>
    </row>
    <row r="9710" spans="1:1">
      <c r="A9710" s="56"/>
    </row>
    <row r="9711" spans="1:1">
      <c r="A9711" s="56"/>
    </row>
    <row r="9712" spans="1:1">
      <c r="A9712" s="56"/>
    </row>
    <row r="9713" spans="1:1">
      <c r="A9713" s="56"/>
    </row>
    <row r="9714" spans="1:1">
      <c r="A9714" s="56"/>
    </row>
    <row r="9715" spans="1:1">
      <c r="A9715" s="56"/>
    </row>
    <row r="9716" spans="1:1">
      <c r="A9716" s="56"/>
    </row>
    <row r="9717" spans="1:1">
      <c r="A9717" s="56"/>
    </row>
    <row r="9718" spans="1:1">
      <c r="A9718" s="56"/>
    </row>
    <row r="9719" spans="1:1">
      <c r="A9719" s="56"/>
    </row>
    <row r="9720" spans="1:1">
      <c r="A9720" s="56"/>
    </row>
    <row r="9721" spans="1:1">
      <c r="A9721" s="56"/>
    </row>
    <row r="9722" spans="1:1">
      <c r="A9722" s="56"/>
    </row>
    <row r="9723" spans="1:1">
      <c r="A9723" s="56"/>
    </row>
    <row r="9724" spans="1:1">
      <c r="A9724" s="56"/>
    </row>
    <row r="9725" spans="1:1">
      <c r="A9725" s="56"/>
    </row>
    <row r="9726" spans="1:1">
      <c r="A9726" s="56"/>
    </row>
    <row r="9727" spans="1:1">
      <c r="A9727" s="56"/>
    </row>
    <row r="9728" spans="1:1">
      <c r="A9728" s="56"/>
    </row>
    <row r="9729" spans="1:1">
      <c r="A9729" s="56"/>
    </row>
    <row r="9730" spans="1:1">
      <c r="A9730" s="56"/>
    </row>
    <row r="9731" spans="1:1">
      <c r="A9731" s="56"/>
    </row>
    <row r="9732" spans="1:1">
      <c r="A9732" s="56"/>
    </row>
    <row r="9733" spans="1:1">
      <c r="A9733" s="56"/>
    </row>
    <row r="9734" spans="1:1">
      <c r="A9734" s="56"/>
    </row>
    <row r="9735" spans="1:1">
      <c r="A9735" s="56"/>
    </row>
    <row r="9736" spans="1:1">
      <c r="A9736" s="56"/>
    </row>
    <row r="9737" spans="1:1">
      <c r="A9737" s="56"/>
    </row>
    <row r="9738" spans="1:1">
      <c r="A9738" s="56"/>
    </row>
    <row r="9739" spans="1:1">
      <c r="A9739" s="56"/>
    </row>
    <row r="9740" spans="1:1">
      <c r="A9740" s="56"/>
    </row>
    <row r="9741" spans="1:1">
      <c r="A9741" s="56"/>
    </row>
    <row r="9742" spans="1:1">
      <c r="A9742" s="56"/>
    </row>
    <row r="9743" spans="1:1">
      <c r="A9743" s="56"/>
    </row>
    <row r="9744" spans="1:1">
      <c r="A9744" s="56"/>
    </row>
    <row r="9745" spans="1:1">
      <c r="A9745" s="56"/>
    </row>
    <row r="9746" spans="1:1">
      <c r="A9746" s="56"/>
    </row>
    <row r="9747" spans="1:1">
      <c r="A9747" s="56"/>
    </row>
    <row r="9748" spans="1:1">
      <c r="A9748" s="56"/>
    </row>
    <row r="9749" spans="1:1">
      <c r="A9749" s="56"/>
    </row>
    <row r="9750" spans="1:1">
      <c r="A9750" s="56"/>
    </row>
    <row r="9751" spans="1:1">
      <c r="A9751" s="56"/>
    </row>
    <row r="9752" spans="1:1">
      <c r="A9752" s="56"/>
    </row>
    <row r="9753" spans="1:1">
      <c r="A9753" s="56"/>
    </row>
    <row r="9754" spans="1:1">
      <c r="A9754" s="56"/>
    </row>
    <row r="9755" spans="1:1">
      <c r="A9755" s="56"/>
    </row>
    <row r="9756" spans="1:1">
      <c r="A9756" s="56"/>
    </row>
    <row r="9757" spans="1:1">
      <c r="A9757" s="56"/>
    </row>
    <row r="9758" spans="1:1">
      <c r="A9758" s="56"/>
    </row>
    <row r="9759" spans="1:1">
      <c r="A9759" s="56"/>
    </row>
    <row r="9760" spans="1:1">
      <c r="A9760" s="56"/>
    </row>
    <row r="9761" spans="1:1">
      <c r="A9761" s="56"/>
    </row>
    <row r="9762" spans="1:1">
      <c r="A9762" s="56"/>
    </row>
    <row r="9763" spans="1:1">
      <c r="A9763" s="56"/>
    </row>
    <row r="9764" spans="1:1">
      <c r="A9764" s="56"/>
    </row>
    <row r="9765" spans="1:1">
      <c r="A9765" s="56"/>
    </row>
    <row r="9766" spans="1:1">
      <c r="A9766" s="56"/>
    </row>
    <row r="9767" spans="1:1">
      <c r="A9767" s="56"/>
    </row>
    <row r="9768" spans="1:1">
      <c r="A9768" s="56"/>
    </row>
    <row r="9769" spans="1:1">
      <c r="A9769" s="56"/>
    </row>
    <row r="9770" spans="1:1">
      <c r="A9770" s="56"/>
    </row>
    <row r="9771" spans="1:1">
      <c r="A9771" s="56"/>
    </row>
    <row r="9772" spans="1:1">
      <c r="A9772" s="56"/>
    </row>
    <row r="9773" spans="1:1">
      <c r="A9773" s="56"/>
    </row>
    <row r="9774" spans="1:1">
      <c r="A9774" s="56"/>
    </row>
    <row r="9775" spans="1:1">
      <c r="A9775" s="56"/>
    </row>
    <row r="9776" spans="1:1">
      <c r="A9776" s="56"/>
    </row>
    <row r="9777" spans="1:1">
      <c r="A9777" s="56"/>
    </row>
    <row r="9778" spans="1:1">
      <c r="A9778" s="56"/>
    </row>
    <row r="9779" spans="1:1">
      <c r="A9779" s="56"/>
    </row>
    <row r="9780" spans="1:1">
      <c r="A9780" s="56"/>
    </row>
    <row r="9781" spans="1:1">
      <c r="A9781" s="56"/>
    </row>
    <row r="9782" spans="1:1">
      <c r="A9782" s="56"/>
    </row>
    <row r="9783" spans="1:1">
      <c r="A9783" s="56"/>
    </row>
    <row r="9784" spans="1:1">
      <c r="A9784" s="56"/>
    </row>
    <row r="9785" spans="1:1">
      <c r="A9785" s="56"/>
    </row>
    <row r="9786" spans="1:1">
      <c r="A9786" s="56"/>
    </row>
    <row r="9787" spans="1:1">
      <c r="A9787" s="56"/>
    </row>
    <row r="9788" spans="1:1">
      <c r="A9788" s="56"/>
    </row>
    <row r="9789" spans="1:1">
      <c r="A9789" s="56"/>
    </row>
    <row r="9790" spans="1:1">
      <c r="A9790" s="56"/>
    </row>
    <row r="9791" spans="1:1">
      <c r="A9791" s="56"/>
    </row>
    <row r="9792" spans="1:1">
      <c r="A9792" s="56"/>
    </row>
    <row r="9793" spans="1:1">
      <c r="A9793" s="56"/>
    </row>
    <row r="9794" spans="1:1">
      <c r="A9794" s="56"/>
    </row>
    <row r="9795" spans="1:1">
      <c r="A9795" s="56"/>
    </row>
    <row r="9796" spans="1:1">
      <c r="A9796" s="56"/>
    </row>
    <row r="9797" spans="1:1">
      <c r="A9797" s="56"/>
    </row>
    <row r="9798" spans="1:1">
      <c r="A9798" s="56"/>
    </row>
    <row r="9799" spans="1:1">
      <c r="A9799" s="56"/>
    </row>
    <row r="9800" spans="1:1">
      <c r="A9800" s="56"/>
    </row>
    <row r="9801" spans="1:1">
      <c r="A9801" s="56"/>
    </row>
    <row r="9802" spans="1:1">
      <c r="A9802" s="56"/>
    </row>
    <row r="9803" spans="1:1">
      <c r="A9803" s="56"/>
    </row>
    <row r="9804" spans="1:1">
      <c r="A9804" s="56"/>
    </row>
    <row r="9805" spans="1:1">
      <c r="A9805" s="56"/>
    </row>
    <row r="9806" spans="1:1">
      <c r="A9806" s="56"/>
    </row>
    <row r="9807" spans="1:1">
      <c r="A9807" s="56"/>
    </row>
    <row r="9808" spans="1:1">
      <c r="A9808" s="56"/>
    </row>
    <row r="9809" spans="1:1">
      <c r="A9809" s="56"/>
    </row>
    <row r="9810" spans="1:1">
      <c r="A9810" s="56"/>
    </row>
    <row r="9811" spans="1:1">
      <c r="A9811" s="56"/>
    </row>
    <row r="9812" spans="1:1">
      <c r="A9812" s="56"/>
    </row>
    <row r="9813" spans="1:1">
      <c r="A9813" s="56"/>
    </row>
    <row r="9814" spans="1:1">
      <c r="A9814" s="56"/>
    </row>
    <row r="9815" spans="1:1">
      <c r="A9815" s="56"/>
    </row>
    <row r="9816" spans="1:1">
      <c r="A9816" s="56"/>
    </row>
    <row r="9817" spans="1:1">
      <c r="A9817" s="56"/>
    </row>
    <row r="9818" spans="1:1">
      <c r="A9818" s="56"/>
    </row>
    <row r="9819" spans="1:1">
      <c r="A9819" s="56"/>
    </row>
    <row r="9820" spans="1:1">
      <c r="A9820" s="56"/>
    </row>
    <row r="9821" spans="1:1">
      <c r="A9821" s="56"/>
    </row>
    <row r="9822" spans="1:1">
      <c r="A9822" s="56"/>
    </row>
    <row r="9823" spans="1:1">
      <c r="A9823" s="56"/>
    </row>
    <row r="9824" spans="1:1">
      <c r="A9824" s="56"/>
    </row>
    <row r="9825" spans="1:1">
      <c r="A9825" s="56"/>
    </row>
    <row r="9826" spans="1:1">
      <c r="A9826" s="56"/>
    </row>
    <row r="9827" spans="1:1">
      <c r="A9827" s="56"/>
    </row>
    <row r="9828" spans="1:1">
      <c r="A9828" s="56"/>
    </row>
    <row r="9829" spans="1:1">
      <c r="A9829" s="56"/>
    </row>
    <row r="9830" spans="1:1">
      <c r="A9830" s="56"/>
    </row>
    <row r="9831" spans="1:1">
      <c r="A9831" s="56"/>
    </row>
    <row r="9832" spans="1:1">
      <c r="A9832" s="56"/>
    </row>
    <row r="9833" spans="1:1">
      <c r="A9833" s="56"/>
    </row>
    <row r="9834" spans="1:1">
      <c r="A9834" s="56"/>
    </row>
    <row r="9835" spans="1:1">
      <c r="A9835" s="56"/>
    </row>
    <row r="9836" spans="1:1">
      <c r="A9836" s="56"/>
    </row>
    <row r="9837" spans="1:1">
      <c r="A9837" s="56"/>
    </row>
    <row r="9838" spans="1:1">
      <c r="A9838" s="56"/>
    </row>
    <row r="9839" spans="1:1">
      <c r="A9839" s="56"/>
    </row>
    <row r="9840" spans="1:1">
      <c r="A9840" s="56"/>
    </row>
    <row r="9841" spans="1:1">
      <c r="A9841" s="56"/>
    </row>
    <row r="9842" spans="1:1">
      <c r="A9842" s="56"/>
    </row>
    <row r="9843" spans="1:1">
      <c r="A9843" s="56"/>
    </row>
    <row r="9844" spans="1:1">
      <c r="A9844" s="56"/>
    </row>
    <row r="9845" spans="1:1">
      <c r="A9845" s="56"/>
    </row>
    <row r="9846" spans="1:1">
      <c r="A9846" s="56"/>
    </row>
    <row r="9847" spans="1:1">
      <c r="A9847" s="56"/>
    </row>
    <row r="9848" spans="1:1">
      <c r="A9848" s="56"/>
    </row>
    <row r="9849" spans="1:1">
      <c r="A9849" s="56"/>
    </row>
    <row r="9850" spans="1:1">
      <c r="A9850" s="56"/>
    </row>
    <row r="9851" spans="1:1">
      <c r="A9851" s="56"/>
    </row>
    <row r="9852" spans="1:1">
      <c r="A9852" s="56"/>
    </row>
    <row r="9853" spans="1:1">
      <c r="A9853" s="56"/>
    </row>
    <row r="9854" spans="1:1">
      <c r="A9854" s="56"/>
    </row>
    <row r="9855" spans="1:1">
      <c r="A9855" s="56"/>
    </row>
    <row r="9856" spans="1:1">
      <c r="A9856" s="56"/>
    </row>
    <row r="9857" spans="1:1">
      <c r="A9857" s="56"/>
    </row>
    <row r="9858" spans="1:1">
      <c r="A9858" s="56"/>
    </row>
    <row r="9859" spans="1:1">
      <c r="A9859" s="56"/>
    </row>
    <row r="9860" spans="1:1">
      <c r="A9860" s="56"/>
    </row>
    <row r="9861" spans="1:1">
      <c r="A9861" s="56"/>
    </row>
    <row r="9862" spans="1:1">
      <c r="A9862" s="56"/>
    </row>
    <row r="9863" spans="1:1">
      <c r="A9863" s="56"/>
    </row>
    <row r="9864" spans="1:1">
      <c r="A9864" s="56"/>
    </row>
    <row r="9865" spans="1:1">
      <c r="A9865" s="56"/>
    </row>
    <row r="9866" spans="1:1">
      <c r="A9866" s="56"/>
    </row>
    <row r="9867" spans="1:1">
      <c r="A9867" s="56"/>
    </row>
    <row r="9868" spans="1:1">
      <c r="A9868" s="56"/>
    </row>
    <row r="9869" spans="1:1">
      <c r="A9869" s="56"/>
    </row>
    <row r="9870" spans="1:1">
      <c r="A9870" s="56"/>
    </row>
    <row r="9871" spans="1:1">
      <c r="A9871" s="56"/>
    </row>
    <row r="9872" spans="1:1">
      <c r="A9872" s="56"/>
    </row>
    <row r="9873" spans="1:1">
      <c r="A9873" s="56"/>
    </row>
    <row r="9874" spans="1:1">
      <c r="A9874" s="56"/>
    </row>
    <row r="9875" spans="1:1">
      <c r="A9875" s="56"/>
    </row>
    <row r="9876" spans="1:1">
      <c r="A9876" s="56"/>
    </row>
    <row r="9877" spans="1:1">
      <c r="A9877" s="56"/>
    </row>
    <row r="9878" spans="1:1">
      <c r="A9878" s="56"/>
    </row>
    <row r="9879" spans="1:1">
      <c r="A9879" s="56"/>
    </row>
    <row r="9880" spans="1:1">
      <c r="A9880" s="56"/>
    </row>
    <row r="9881" spans="1:1">
      <c r="A9881" s="56"/>
    </row>
    <row r="9882" spans="1:1">
      <c r="A9882" s="56"/>
    </row>
    <row r="9883" spans="1:1">
      <c r="A9883" s="56"/>
    </row>
    <row r="9884" spans="1:1">
      <c r="A9884" s="56"/>
    </row>
    <row r="9885" spans="1:1">
      <c r="A9885" s="56"/>
    </row>
    <row r="9886" spans="1:1">
      <c r="A9886" s="56"/>
    </row>
    <row r="9887" spans="1:1">
      <c r="A9887" s="56"/>
    </row>
    <row r="9888" spans="1:1">
      <c r="A9888" s="56"/>
    </row>
    <row r="9889" spans="1:1">
      <c r="A9889" s="56"/>
    </row>
    <row r="9890" spans="1:1">
      <c r="A9890" s="56"/>
    </row>
    <row r="9891" spans="1:1">
      <c r="A9891" s="56"/>
    </row>
    <row r="9892" spans="1:1">
      <c r="A9892" s="56"/>
    </row>
    <row r="9893" spans="1:1">
      <c r="A9893" s="56"/>
    </row>
    <row r="9894" spans="1:1">
      <c r="A9894" s="56"/>
    </row>
    <row r="9895" spans="1:1">
      <c r="A9895" s="56"/>
    </row>
    <row r="9896" spans="1:1">
      <c r="A9896" s="56"/>
    </row>
    <row r="9897" spans="1:1">
      <c r="A9897" s="56"/>
    </row>
    <row r="9898" spans="1:1">
      <c r="A9898" s="56"/>
    </row>
    <row r="9899" spans="1:1">
      <c r="A9899" s="56"/>
    </row>
    <row r="9900" spans="1:1">
      <c r="A9900" s="56"/>
    </row>
    <row r="9901" spans="1:1">
      <c r="A9901" s="56"/>
    </row>
    <row r="9902" spans="1:1">
      <c r="A9902" s="56"/>
    </row>
    <row r="9903" spans="1:1">
      <c r="A9903" s="56"/>
    </row>
    <row r="9904" spans="1:1">
      <c r="A9904" s="56"/>
    </row>
    <row r="9905" spans="1:1">
      <c r="A9905" s="56"/>
    </row>
    <row r="9906" spans="1:1">
      <c r="A9906" s="56"/>
    </row>
    <row r="9907" spans="1:1">
      <c r="A9907" s="56"/>
    </row>
    <row r="9908" spans="1:1">
      <c r="A9908" s="56"/>
    </row>
    <row r="9909" spans="1:1">
      <c r="A9909" s="56"/>
    </row>
    <row r="9910" spans="1:1">
      <c r="A9910" s="56"/>
    </row>
    <row r="9911" spans="1:1">
      <c r="A9911" s="56"/>
    </row>
    <row r="9912" spans="1:1">
      <c r="A9912" s="56"/>
    </row>
    <row r="9913" spans="1:1">
      <c r="A9913" s="56"/>
    </row>
    <row r="9914" spans="1:1">
      <c r="A9914" s="56"/>
    </row>
    <row r="9915" spans="1:1">
      <c r="A9915" s="56"/>
    </row>
    <row r="9916" spans="1:1">
      <c r="A9916" s="56"/>
    </row>
    <row r="9917" spans="1:1">
      <c r="A9917" s="56"/>
    </row>
    <row r="9918" spans="1:1">
      <c r="A9918" s="56"/>
    </row>
    <row r="9919" spans="1:1">
      <c r="A9919" s="56"/>
    </row>
    <row r="9920" spans="1:1">
      <c r="A9920" s="56"/>
    </row>
    <row r="9921" spans="1:1">
      <c r="A9921" s="56"/>
    </row>
    <row r="9922" spans="1:1">
      <c r="A9922" s="56"/>
    </row>
    <row r="9923" spans="1:1">
      <c r="A9923" s="56"/>
    </row>
    <row r="9924" spans="1:1">
      <c r="A9924" s="56"/>
    </row>
    <row r="9925" spans="1:1">
      <c r="A9925" s="56"/>
    </row>
    <row r="9926" spans="1:1">
      <c r="A9926" s="56"/>
    </row>
    <row r="9927" spans="1:1">
      <c r="A9927" s="56"/>
    </row>
    <row r="9928" spans="1:1">
      <c r="A9928" s="56"/>
    </row>
    <row r="9929" spans="1:1">
      <c r="A9929" s="56"/>
    </row>
    <row r="9930" spans="1:1">
      <c r="A9930" s="56"/>
    </row>
    <row r="9931" spans="1:1">
      <c r="A9931" s="56"/>
    </row>
    <row r="9932" spans="1:1">
      <c r="A9932" s="56"/>
    </row>
    <row r="9933" spans="1:1">
      <c r="A9933" s="56"/>
    </row>
    <row r="9934" spans="1:1">
      <c r="A9934" s="56"/>
    </row>
    <row r="9935" spans="1:1">
      <c r="A9935" s="56"/>
    </row>
    <row r="9936" spans="1:1">
      <c r="A9936" s="56"/>
    </row>
    <row r="9937" spans="1:1">
      <c r="A9937" s="56"/>
    </row>
    <row r="9938" spans="1:1">
      <c r="A9938" s="56"/>
    </row>
    <row r="9939" spans="1:1">
      <c r="A9939" s="56"/>
    </row>
    <row r="9940" spans="1:1">
      <c r="A9940" s="56"/>
    </row>
    <row r="9941" spans="1:1">
      <c r="A9941" s="56"/>
    </row>
    <row r="9942" spans="1:1">
      <c r="A9942" s="56"/>
    </row>
    <row r="9943" spans="1:1">
      <c r="A9943" s="56"/>
    </row>
    <row r="9944" spans="1:1">
      <c r="A9944" s="56"/>
    </row>
    <row r="9945" spans="1:1">
      <c r="A9945" s="56"/>
    </row>
    <row r="9946" spans="1:1">
      <c r="A9946" s="56"/>
    </row>
    <row r="9947" spans="1:1">
      <c r="A9947" s="56"/>
    </row>
    <row r="9948" spans="1:1">
      <c r="A9948" s="56"/>
    </row>
    <row r="9949" spans="1:1">
      <c r="A9949" s="56"/>
    </row>
    <row r="9950" spans="1:1">
      <c r="A9950" s="56"/>
    </row>
    <row r="9951" spans="1:1">
      <c r="A9951" s="56"/>
    </row>
    <row r="9952" spans="1:1">
      <c r="A9952" s="56"/>
    </row>
    <row r="9953" spans="1:1">
      <c r="A9953" s="56"/>
    </row>
    <row r="9954" spans="1:1">
      <c r="A9954" s="56"/>
    </row>
    <row r="9955" spans="1:1">
      <c r="A9955" s="56"/>
    </row>
    <row r="9956" spans="1:1">
      <c r="A9956" s="56"/>
    </row>
    <row r="9957" spans="1:1">
      <c r="A9957" s="56"/>
    </row>
    <row r="9958" spans="1:1">
      <c r="A9958" s="56"/>
    </row>
    <row r="9959" spans="1:1">
      <c r="A9959" s="56"/>
    </row>
    <row r="9960" spans="1:1">
      <c r="A9960" s="56"/>
    </row>
    <row r="9961" spans="1:1">
      <c r="A9961" s="56"/>
    </row>
    <row r="9962" spans="1:1">
      <c r="A9962" s="56"/>
    </row>
    <row r="9963" spans="1:1">
      <c r="A9963" s="56"/>
    </row>
    <row r="9964" spans="1:1">
      <c r="A9964" s="56"/>
    </row>
    <row r="9965" spans="1:1">
      <c r="A9965" s="56"/>
    </row>
    <row r="9966" spans="1:1">
      <c r="A9966" s="56"/>
    </row>
    <row r="9967" spans="1:1">
      <c r="A9967" s="56"/>
    </row>
    <row r="9968" spans="1:1">
      <c r="A9968" s="56"/>
    </row>
    <row r="9969" spans="1:1">
      <c r="A9969" s="56"/>
    </row>
    <row r="9970" spans="1:1">
      <c r="A9970" s="56"/>
    </row>
    <row r="9971" spans="1:1">
      <c r="A9971" s="56"/>
    </row>
    <row r="9972" spans="1:1">
      <c r="A9972" s="56"/>
    </row>
    <row r="9973" spans="1:1">
      <c r="A9973" s="56"/>
    </row>
    <row r="9974" spans="1:1">
      <c r="A9974" s="56"/>
    </row>
    <row r="9975" spans="1:1">
      <c r="A9975" s="56"/>
    </row>
    <row r="9976" spans="1:1">
      <c r="A9976" s="56"/>
    </row>
    <row r="9977" spans="1:1">
      <c r="A9977" s="56"/>
    </row>
    <row r="9978" spans="1:1">
      <c r="A9978" s="56"/>
    </row>
    <row r="9979" spans="1:1">
      <c r="A9979" s="56"/>
    </row>
    <row r="9980" spans="1:1">
      <c r="A9980" s="56"/>
    </row>
    <row r="9981" spans="1:1">
      <c r="A9981" s="56"/>
    </row>
    <row r="9982" spans="1:1">
      <c r="A9982" s="56"/>
    </row>
    <row r="9983" spans="1:1">
      <c r="A9983" s="56"/>
    </row>
    <row r="9984" spans="1:1">
      <c r="A9984" s="56"/>
    </row>
    <row r="9985" spans="1:1">
      <c r="A9985" s="56"/>
    </row>
    <row r="9986" spans="1:1">
      <c r="A9986" s="56"/>
    </row>
    <row r="9987" spans="1:1">
      <c r="A9987" s="56"/>
    </row>
    <row r="9988" spans="1:1">
      <c r="A9988" s="56"/>
    </row>
    <row r="9989" spans="1:1">
      <c r="A9989" s="56"/>
    </row>
    <row r="9990" spans="1:1">
      <c r="A9990" s="56"/>
    </row>
    <row r="9991" spans="1:1">
      <c r="A9991" s="56"/>
    </row>
    <row r="9992" spans="1:1">
      <c r="A9992" s="56"/>
    </row>
    <row r="9993" spans="1:1">
      <c r="A9993" s="56"/>
    </row>
    <row r="9994" spans="1:1">
      <c r="A9994" s="56"/>
    </row>
    <row r="9995" spans="1:1">
      <c r="A9995" s="56"/>
    </row>
    <row r="9996" spans="1:1">
      <c r="A9996" s="56"/>
    </row>
    <row r="9997" spans="1:1">
      <c r="A9997" s="56"/>
    </row>
    <row r="9998" spans="1:1">
      <c r="A9998" s="56"/>
    </row>
    <row r="9999" spans="1:1">
      <c r="A9999" s="56"/>
    </row>
    <row r="10000" spans="1:1">
      <c r="A10000" s="56"/>
    </row>
    <row r="10001" spans="1:1">
      <c r="A10001" s="56"/>
    </row>
    <row r="10002" spans="1:1">
      <c r="A10002" s="56"/>
    </row>
    <row r="10003" spans="1:1">
      <c r="A10003" s="56"/>
    </row>
    <row r="10004" spans="1:1">
      <c r="A10004" s="56"/>
    </row>
    <row r="10005" spans="1:1">
      <c r="A10005" s="56"/>
    </row>
    <row r="10006" spans="1:1">
      <c r="A10006" s="56"/>
    </row>
    <row r="10007" spans="1:1">
      <c r="A10007" s="56"/>
    </row>
    <row r="10008" spans="1:1">
      <c r="A10008" s="56"/>
    </row>
    <row r="10009" spans="1:1">
      <c r="A10009" s="56"/>
    </row>
    <row r="10010" spans="1:1">
      <c r="A10010" s="56"/>
    </row>
    <row r="10011" spans="1:1">
      <c r="A10011" s="56"/>
    </row>
    <row r="10012" spans="1:1">
      <c r="A10012" s="56"/>
    </row>
    <row r="10013" spans="1:1">
      <c r="A10013" s="56"/>
    </row>
    <row r="10014" spans="1:1">
      <c r="A10014" s="56"/>
    </row>
    <row r="10015" spans="1:1">
      <c r="A10015" s="56"/>
    </row>
    <row r="10016" spans="1:1">
      <c r="A10016" s="56"/>
    </row>
    <row r="10017" spans="1:1">
      <c r="A10017" s="56"/>
    </row>
    <row r="10018" spans="1:1">
      <c r="A10018" s="56"/>
    </row>
    <row r="10019" spans="1:1">
      <c r="A10019" s="56"/>
    </row>
    <row r="10020" spans="1:1">
      <c r="A10020" s="56"/>
    </row>
    <row r="10021" spans="1:1">
      <c r="A10021" s="56"/>
    </row>
    <row r="10022" spans="1:1">
      <c r="A10022" s="56"/>
    </row>
    <row r="10023" spans="1:1">
      <c r="A10023" s="56"/>
    </row>
    <row r="10024" spans="1:1">
      <c r="A10024" s="56"/>
    </row>
    <row r="10025" spans="1:1">
      <c r="A10025" s="56"/>
    </row>
    <row r="10026" spans="1:1">
      <c r="A10026" s="56"/>
    </row>
    <row r="10027" spans="1:1">
      <c r="A10027" s="56"/>
    </row>
    <row r="10028" spans="1:1">
      <c r="A10028" s="56"/>
    </row>
    <row r="10029" spans="1:1">
      <c r="A10029" s="56"/>
    </row>
    <row r="10030" spans="1:1">
      <c r="A10030" s="56"/>
    </row>
    <row r="10031" spans="1:1">
      <c r="A10031" s="56"/>
    </row>
    <row r="10032" spans="1:1">
      <c r="A10032" s="56"/>
    </row>
    <row r="10033" spans="1:1">
      <c r="A10033" s="56"/>
    </row>
    <row r="10034" spans="1:1">
      <c r="A10034" s="56"/>
    </row>
    <row r="10035" spans="1:1">
      <c r="A10035" s="56"/>
    </row>
    <row r="10036" spans="1:1">
      <c r="A10036" s="56"/>
    </row>
    <row r="10037" spans="1:1">
      <c r="A10037" s="56"/>
    </row>
    <row r="10038" spans="1:1">
      <c r="A10038" s="56"/>
    </row>
    <row r="10039" spans="1:1">
      <c r="A10039" s="56"/>
    </row>
    <row r="10040" spans="1:1">
      <c r="A10040" s="56"/>
    </row>
    <row r="10041" spans="1:1">
      <c r="A10041" s="56"/>
    </row>
    <row r="10042" spans="1:1">
      <c r="A10042" s="56"/>
    </row>
    <row r="10043" spans="1:1">
      <c r="A10043" s="56"/>
    </row>
    <row r="10044" spans="1:1">
      <c r="A10044" s="56"/>
    </row>
    <row r="10045" spans="1:1">
      <c r="A10045" s="56"/>
    </row>
    <row r="10046" spans="1:1">
      <c r="A10046" s="56"/>
    </row>
    <row r="10047" spans="1:1">
      <c r="A10047" s="56"/>
    </row>
    <row r="10048" spans="1:1">
      <c r="A10048" s="56"/>
    </row>
    <row r="10049" spans="1:1">
      <c r="A10049" s="56"/>
    </row>
    <row r="10050" spans="1:1">
      <c r="A10050" s="56"/>
    </row>
    <row r="10051" spans="1:1">
      <c r="A10051" s="56"/>
    </row>
    <row r="10052" spans="1:1">
      <c r="A10052" s="56"/>
    </row>
    <row r="10053" spans="1:1">
      <c r="A10053" s="56"/>
    </row>
    <row r="10054" spans="1:1">
      <c r="A10054" s="56"/>
    </row>
    <row r="10055" spans="1:1">
      <c r="A10055" s="56"/>
    </row>
    <row r="10056" spans="1:1">
      <c r="A10056" s="56"/>
    </row>
    <row r="10057" spans="1:1">
      <c r="A10057" s="56"/>
    </row>
    <row r="10058" spans="1:1">
      <c r="A10058" s="56"/>
    </row>
    <row r="10059" spans="1:1">
      <c r="A10059" s="56"/>
    </row>
    <row r="10060" spans="1:1">
      <c r="A10060" s="56"/>
    </row>
    <row r="10061" spans="1:1">
      <c r="A10061" s="56"/>
    </row>
    <row r="10062" spans="1:1">
      <c r="A10062" s="56"/>
    </row>
    <row r="10063" spans="1:1">
      <c r="A10063" s="56"/>
    </row>
    <row r="10064" spans="1:1">
      <c r="A10064" s="56"/>
    </row>
    <row r="10065" spans="1:1">
      <c r="A10065" s="56"/>
    </row>
    <row r="10066" spans="1:1">
      <c r="A10066" s="56"/>
    </row>
    <row r="10067" spans="1:1">
      <c r="A10067" s="56"/>
    </row>
    <row r="10068" spans="1:1">
      <c r="A10068" s="56"/>
    </row>
    <row r="10069" spans="1:1">
      <c r="A10069" s="56"/>
    </row>
    <row r="10070" spans="1:1">
      <c r="A10070" s="56"/>
    </row>
    <row r="10071" spans="1:1">
      <c r="A10071" s="56"/>
    </row>
    <row r="10072" spans="1:1">
      <c r="A10072" s="56"/>
    </row>
    <row r="10073" spans="1:1">
      <c r="A10073" s="56"/>
    </row>
    <row r="10074" spans="1:1">
      <c r="A10074" s="56"/>
    </row>
    <row r="10075" spans="1:1">
      <c r="A10075" s="56"/>
    </row>
    <row r="10076" spans="1:1">
      <c r="A10076" s="56"/>
    </row>
    <row r="10077" spans="1:1">
      <c r="A10077" s="56"/>
    </row>
    <row r="10078" spans="1:1">
      <c r="A10078" s="56"/>
    </row>
    <row r="10079" spans="1:1">
      <c r="A10079" s="56"/>
    </row>
    <row r="10080" spans="1:1">
      <c r="A10080" s="56"/>
    </row>
    <row r="10081" spans="1:1">
      <c r="A10081" s="56"/>
    </row>
    <row r="10082" spans="1:1">
      <c r="A10082" s="56"/>
    </row>
    <row r="10083" spans="1:1">
      <c r="A10083" s="56"/>
    </row>
    <row r="10084" spans="1:1">
      <c r="A10084" s="56"/>
    </row>
    <row r="10085" spans="1:1">
      <c r="A10085" s="56"/>
    </row>
    <row r="10086" spans="1:1">
      <c r="A10086" s="56"/>
    </row>
    <row r="10087" spans="1:1">
      <c r="A10087" s="56"/>
    </row>
    <row r="10088" spans="1:1">
      <c r="A10088" s="56"/>
    </row>
    <row r="10089" spans="1:1">
      <c r="A10089" s="56"/>
    </row>
    <row r="10090" spans="1:1">
      <c r="A10090" s="56"/>
    </row>
    <row r="10091" spans="1:1">
      <c r="A10091" s="56"/>
    </row>
    <row r="10092" spans="1:1">
      <c r="A10092" s="56"/>
    </row>
    <row r="10093" spans="1:1">
      <c r="A10093" s="56"/>
    </row>
    <row r="10094" spans="1:1">
      <c r="A10094" s="56"/>
    </row>
    <row r="10095" spans="1:1">
      <c r="A10095" s="56"/>
    </row>
    <row r="10096" spans="1:1">
      <c r="A10096" s="56"/>
    </row>
    <row r="10097" spans="1:1">
      <c r="A10097" s="56"/>
    </row>
    <row r="10098" spans="1:1">
      <c r="A10098" s="56"/>
    </row>
    <row r="10099" spans="1:1">
      <c r="A10099" s="56"/>
    </row>
    <row r="10100" spans="1:1">
      <c r="A10100" s="56"/>
    </row>
    <row r="10101" spans="1:1">
      <c r="A10101" s="56"/>
    </row>
    <row r="10102" spans="1:1">
      <c r="A10102" s="56"/>
    </row>
    <row r="10103" spans="1:1">
      <c r="A10103" s="56"/>
    </row>
    <row r="10104" spans="1:1">
      <c r="A10104" s="56"/>
    </row>
    <row r="10105" spans="1:1">
      <c r="A10105" s="56"/>
    </row>
    <row r="10106" spans="1:1">
      <c r="A10106" s="56"/>
    </row>
    <row r="10107" spans="1:1">
      <c r="A10107" s="56"/>
    </row>
    <row r="10108" spans="1:1">
      <c r="A10108" s="56"/>
    </row>
    <row r="10109" spans="1:1">
      <c r="A10109" s="56"/>
    </row>
    <row r="10110" spans="1:1">
      <c r="A10110" s="56"/>
    </row>
    <row r="10111" spans="1:1">
      <c r="A10111" s="56"/>
    </row>
    <row r="10112" spans="1:1">
      <c r="A10112" s="56"/>
    </row>
    <row r="10113" spans="1:1">
      <c r="A10113" s="56"/>
    </row>
    <row r="10114" spans="1:1">
      <c r="A10114" s="56"/>
    </row>
    <row r="10115" spans="1:1">
      <c r="A10115" s="56"/>
    </row>
    <row r="10116" spans="1:1">
      <c r="A10116" s="56"/>
    </row>
    <row r="10117" spans="1:1">
      <c r="A10117" s="56"/>
    </row>
    <row r="10118" spans="1:1">
      <c r="A10118" s="56"/>
    </row>
    <row r="10119" spans="1:1">
      <c r="A10119" s="56"/>
    </row>
    <row r="10120" spans="1:1">
      <c r="A10120" s="56"/>
    </row>
    <row r="10121" spans="1:1">
      <c r="A10121" s="56"/>
    </row>
    <row r="10122" spans="1:1">
      <c r="A10122" s="56"/>
    </row>
    <row r="10123" spans="1:1">
      <c r="A10123" s="56"/>
    </row>
    <row r="10124" spans="1:1">
      <c r="A10124" s="56"/>
    </row>
    <row r="10125" spans="1:1">
      <c r="A10125" s="56"/>
    </row>
    <row r="10126" spans="1:1">
      <c r="A10126" s="56"/>
    </row>
    <row r="10127" spans="1:1">
      <c r="A10127" s="56"/>
    </row>
    <row r="10128" spans="1:1">
      <c r="A10128" s="56"/>
    </row>
    <row r="10129" spans="1:1">
      <c r="A10129" s="56"/>
    </row>
    <row r="10130" spans="1:1">
      <c r="A10130" s="56"/>
    </row>
    <row r="10131" spans="1:1">
      <c r="A10131" s="56"/>
    </row>
    <row r="10132" spans="1:1">
      <c r="A10132" s="56"/>
    </row>
    <row r="10133" spans="1:1">
      <c r="A10133" s="56"/>
    </row>
    <row r="10134" spans="1:1">
      <c r="A10134" s="56"/>
    </row>
    <row r="10135" spans="1:1">
      <c r="A10135" s="56"/>
    </row>
    <row r="10136" spans="1:1">
      <c r="A10136" s="56"/>
    </row>
    <row r="10137" spans="1:1">
      <c r="A10137" s="56"/>
    </row>
    <row r="10138" spans="1:1">
      <c r="A10138" s="56"/>
    </row>
    <row r="10139" spans="1:1">
      <c r="A10139" s="56"/>
    </row>
    <row r="10140" spans="1:1">
      <c r="A10140" s="56"/>
    </row>
    <row r="10141" spans="1:1">
      <c r="A10141" s="56"/>
    </row>
    <row r="10142" spans="1:1">
      <c r="A10142" s="56"/>
    </row>
    <row r="10143" spans="1:1">
      <c r="A10143" s="56"/>
    </row>
    <row r="10144" spans="1:1">
      <c r="A10144" s="56"/>
    </row>
    <row r="10145" spans="1:1">
      <c r="A10145" s="56"/>
    </row>
    <row r="10146" spans="1:1">
      <c r="A10146" s="56"/>
    </row>
    <row r="10147" spans="1:1">
      <c r="A10147" s="56"/>
    </row>
    <row r="10148" spans="1:1">
      <c r="A10148" s="56"/>
    </row>
    <row r="10149" spans="1:1">
      <c r="A10149" s="56"/>
    </row>
    <row r="10150" spans="1:1">
      <c r="A10150" s="56"/>
    </row>
    <row r="10151" spans="1:1">
      <c r="A10151" s="56"/>
    </row>
    <row r="10152" spans="1:1">
      <c r="A10152" s="56"/>
    </row>
    <row r="10153" spans="1:1">
      <c r="A10153" s="56"/>
    </row>
    <row r="10154" spans="1:1">
      <c r="A10154" s="56"/>
    </row>
    <row r="10155" spans="1:1">
      <c r="A10155" s="56"/>
    </row>
    <row r="10156" spans="1:1">
      <c r="A10156" s="56"/>
    </row>
    <row r="10157" spans="1:1">
      <c r="A10157" s="56"/>
    </row>
    <row r="10158" spans="1:1">
      <c r="A10158" s="56"/>
    </row>
    <row r="10159" spans="1:1">
      <c r="A10159" s="56"/>
    </row>
    <row r="10160" spans="1:1">
      <c r="A10160" s="56"/>
    </row>
    <row r="10161" spans="1:1">
      <c r="A10161" s="56"/>
    </row>
    <row r="10162" spans="1:1">
      <c r="A10162" s="56"/>
    </row>
    <row r="10163" spans="1:1">
      <c r="A10163" s="56"/>
    </row>
    <row r="10164" spans="1:1">
      <c r="A10164" s="56"/>
    </row>
    <row r="10165" spans="1:1">
      <c r="A10165" s="56"/>
    </row>
    <row r="10166" spans="1:1">
      <c r="A10166" s="56"/>
    </row>
    <row r="10167" spans="1:1">
      <c r="A10167" s="56"/>
    </row>
    <row r="10168" spans="1:1">
      <c r="A10168" s="56"/>
    </row>
    <row r="10169" spans="1:1">
      <c r="A10169" s="56"/>
    </row>
    <row r="10170" spans="1:1">
      <c r="A10170" s="56"/>
    </row>
    <row r="10171" spans="1:1">
      <c r="A10171" s="56"/>
    </row>
    <row r="10172" spans="1:1">
      <c r="A10172" s="56"/>
    </row>
    <row r="10173" spans="1:1">
      <c r="A10173" s="56"/>
    </row>
    <row r="10174" spans="1:1">
      <c r="A10174" s="56"/>
    </row>
    <row r="10175" spans="1:1">
      <c r="A10175" s="56"/>
    </row>
    <row r="10176" spans="1:1">
      <c r="A10176" s="56"/>
    </row>
    <row r="10177" spans="1:1">
      <c r="A10177" s="56"/>
    </row>
    <row r="10178" spans="1:1">
      <c r="A10178" s="56"/>
    </row>
    <row r="10179" spans="1:1">
      <c r="A10179" s="56"/>
    </row>
    <row r="10180" spans="1:1">
      <c r="A10180" s="56"/>
    </row>
    <row r="10181" spans="1:1">
      <c r="A10181" s="56"/>
    </row>
    <row r="10182" spans="1:1">
      <c r="A10182" s="56"/>
    </row>
    <row r="10183" spans="1:1">
      <c r="A10183" s="56"/>
    </row>
    <row r="10184" spans="1:1">
      <c r="A10184" s="56"/>
    </row>
    <row r="10185" spans="1:1">
      <c r="A10185" s="56"/>
    </row>
    <row r="10186" spans="1:1">
      <c r="A10186" s="56"/>
    </row>
    <row r="10187" spans="1:1">
      <c r="A10187" s="56"/>
    </row>
    <row r="10188" spans="1:1">
      <c r="A10188" s="56"/>
    </row>
    <row r="10189" spans="1:1">
      <c r="A10189" s="56"/>
    </row>
    <row r="10190" spans="1:1">
      <c r="A10190" s="56"/>
    </row>
    <row r="10191" spans="1:1">
      <c r="A10191" s="56"/>
    </row>
    <row r="10192" spans="1:1">
      <c r="A10192" s="56"/>
    </row>
    <row r="10193" spans="1:1">
      <c r="A10193" s="56"/>
    </row>
    <row r="10194" spans="1:1">
      <c r="A10194" s="56"/>
    </row>
    <row r="10195" spans="1:1">
      <c r="A10195" s="56"/>
    </row>
    <row r="10196" spans="1:1">
      <c r="A10196" s="56"/>
    </row>
    <row r="10197" spans="1:1">
      <c r="A10197" s="56"/>
    </row>
    <row r="10198" spans="1:1">
      <c r="A10198" s="56"/>
    </row>
    <row r="10199" spans="1:1">
      <c r="A10199" s="56"/>
    </row>
    <row r="10200" spans="1:1">
      <c r="A10200" s="56"/>
    </row>
    <row r="10201" spans="1:1">
      <c r="A10201" s="56"/>
    </row>
    <row r="10202" spans="1:1">
      <c r="A10202" s="56"/>
    </row>
    <row r="10203" spans="1:1">
      <c r="A10203" s="56"/>
    </row>
    <row r="10204" spans="1:1">
      <c r="A10204" s="56"/>
    </row>
    <row r="10205" spans="1:1">
      <c r="A10205" s="56"/>
    </row>
    <row r="10206" spans="1:1">
      <c r="A10206" s="56"/>
    </row>
    <row r="10207" spans="1:1">
      <c r="A10207" s="56"/>
    </row>
    <row r="10208" spans="1:1">
      <c r="A10208" s="56"/>
    </row>
    <row r="10209" spans="1:1">
      <c r="A10209" s="56"/>
    </row>
    <row r="10210" spans="1:1">
      <c r="A10210" s="56"/>
    </row>
    <row r="10211" spans="1:1">
      <c r="A10211" s="56"/>
    </row>
    <row r="10212" spans="1:1">
      <c r="A10212" s="56"/>
    </row>
    <row r="10213" spans="1:1">
      <c r="A10213" s="56"/>
    </row>
    <row r="10214" spans="1:1">
      <c r="A10214" s="56"/>
    </row>
    <row r="10215" spans="1:1">
      <c r="A10215" s="56"/>
    </row>
    <row r="10216" spans="1:1">
      <c r="A10216" s="56"/>
    </row>
    <row r="10217" spans="1:1">
      <c r="A10217" s="56"/>
    </row>
    <row r="10218" spans="1:1">
      <c r="A10218" s="56"/>
    </row>
    <row r="10219" spans="1:1">
      <c r="A10219" s="56"/>
    </row>
    <row r="10220" spans="1:1">
      <c r="A10220" s="56"/>
    </row>
    <row r="10221" spans="1:1">
      <c r="A10221" s="56"/>
    </row>
    <row r="10222" spans="1:1">
      <c r="A10222" s="56"/>
    </row>
    <row r="10223" spans="1:1">
      <c r="A10223" s="56"/>
    </row>
    <row r="10224" spans="1:1">
      <c r="A10224" s="56"/>
    </row>
    <row r="10225" spans="1:1">
      <c r="A10225" s="56"/>
    </row>
    <row r="10226" spans="1:1">
      <c r="A10226" s="56"/>
    </row>
    <row r="10227" spans="1:1">
      <c r="A10227" s="56"/>
    </row>
    <row r="10228" spans="1:1">
      <c r="A10228" s="56"/>
    </row>
    <row r="10229" spans="1:1">
      <c r="A10229" s="56"/>
    </row>
    <row r="10230" spans="1:1">
      <c r="A10230" s="56"/>
    </row>
    <row r="10231" spans="1:1">
      <c r="A10231" s="56"/>
    </row>
    <row r="10232" spans="1:1">
      <c r="A10232" s="56"/>
    </row>
    <row r="10233" spans="1:1">
      <c r="A10233" s="56"/>
    </row>
    <row r="10234" spans="1:1">
      <c r="A10234" s="56"/>
    </row>
    <row r="10235" spans="1:1">
      <c r="A10235" s="56"/>
    </row>
    <row r="10236" spans="1:1">
      <c r="A10236" s="56"/>
    </row>
    <row r="10237" spans="1:1">
      <c r="A10237" s="56"/>
    </row>
    <row r="10238" spans="1:1">
      <c r="A10238" s="56"/>
    </row>
    <row r="10239" spans="1:1">
      <c r="A10239" s="56"/>
    </row>
    <row r="10240" spans="1:1">
      <c r="A10240" s="56"/>
    </row>
    <row r="10241" spans="1:1">
      <c r="A10241" s="56"/>
    </row>
    <row r="10242" spans="1:1">
      <c r="A10242" s="56"/>
    </row>
    <row r="10243" spans="1:1">
      <c r="A10243" s="56"/>
    </row>
    <row r="10244" spans="1:1">
      <c r="A10244" s="56"/>
    </row>
    <row r="10245" spans="1:1">
      <c r="A10245" s="56"/>
    </row>
    <row r="10246" spans="1:1">
      <c r="A10246" s="56"/>
    </row>
    <row r="10247" spans="1:1">
      <c r="A10247" s="56"/>
    </row>
    <row r="10248" spans="1:1">
      <c r="A10248" s="56"/>
    </row>
    <row r="10249" spans="1:1">
      <c r="A10249" s="56"/>
    </row>
    <row r="10250" spans="1:1">
      <c r="A10250" s="56"/>
    </row>
    <row r="10251" spans="1:1">
      <c r="A10251" s="56"/>
    </row>
    <row r="10252" spans="1:1">
      <c r="A10252" s="56"/>
    </row>
    <row r="10253" spans="1:1">
      <c r="A10253" s="56"/>
    </row>
    <row r="10254" spans="1:1">
      <c r="A10254" s="56"/>
    </row>
    <row r="10255" spans="1:1">
      <c r="A10255" s="56"/>
    </row>
    <row r="10256" spans="1:1">
      <c r="A10256" s="56"/>
    </row>
    <row r="10257" spans="1:1">
      <c r="A10257" s="56"/>
    </row>
    <row r="10258" spans="1:1">
      <c r="A10258" s="56"/>
    </row>
    <row r="10259" spans="1:1">
      <c r="A10259" s="56"/>
    </row>
    <row r="10260" spans="1:1">
      <c r="A10260" s="56"/>
    </row>
    <row r="10261" spans="1:1">
      <c r="A10261" s="56"/>
    </row>
    <row r="10262" spans="1:1">
      <c r="A10262" s="56"/>
    </row>
    <row r="10263" spans="1:1">
      <c r="A10263" s="56"/>
    </row>
    <row r="10264" spans="1:1">
      <c r="A10264" s="56"/>
    </row>
    <row r="10265" spans="1:1">
      <c r="A10265" s="56"/>
    </row>
    <row r="10266" spans="1:1">
      <c r="A10266" s="56"/>
    </row>
    <row r="10267" spans="1:1">
      <c r="A10267" s="56"/>
    </row>
    <row r="10268" spans="1:1">
      <c r="A10268" s="56"/>
    </row>
    <row r="10269" spans="1:1">
      <c r="A10269" s="56"/>
    </row>
    <row r="10270" spans="1:1">
      <c r="A10270" s="56"/>
    </row>
    <row r="10271" spans="1:1">
      <c r="A10271" s="56"/>
    </row>
    <row r="10272" spans="1:1">
      <c r="A10272" s="56"/>
    </row>
    <row r="10273" spans="1:1">
      <c r="A10273" s="56"/>
    </row>
    <row r="10274" spans="1:1">
      <c r="A10274" s="56"/>
    </row>
    <row r="10275" spans="1:1">
      <c r="A10275" s="56"/>
    </row>
    <row r="10276" spans="1:1">
      <c r="A10276" s="56"/>
    </row>
    <row r="10277" spans="1:1">
      <c r="A10277" s="56"/>
    </row>
    <row r="10278" spans="1:1">
      <c r="A10278" s="56"/>
    </row>
    <row r="10279" spans="1:1">
      <c r="A10279" s="56"/>
    </row>
    <row r="10280" spans="1:1">
      <c r="A10280" s="56"/>
    </row>
    <row r="10281" spans="1:1">
      <c r="A10281" s="56"/>
    </row>
    <row r="10282" spans="1:1">
      <c r="A10282" s="56"/>
    </row>
    <row r="10283" spans="1:1">
      <c r="A10283" s="56"/>
    </row>
    <row r="10284" spans="1:1">
      <c r="A10284" s="56"/>
    </row>
    <row r="10285" spans="1:1">
      <c r="A10285" s="56"/>
    </row>
    <row r="10286" spans="1:1">
      <c r="A10286" s="56"/>
    </row>
    <row r="10287" spans="1:1">
      <c r="A10287" s="56"/>
    </row>
    <row r="10288" spans="1:1">
      <c r="A10288" s="56"/>
    </row>
    <row r="10289" spans="1:1">
      <c r="A10289" s="56"/>
    </row>
    <row r="10290" spans="1:1">
      <c r="A10290" s="56"/>
    </row>
    <row r="10291" spans="1:1">
      <c r="A10291" s="56"/>
    </row>
    <row r="10292" spans="1:1">
      <c r="A10292" s="56"/>
    </row>
    <row r="10293" spans="1:1">
      <c r="A10293" s="56"/>
    </row>
    <row r="10294" spans="1:1">
      <c r="A10294" s="56"/>
    </row>
    <row r="10295" spans="1:1">
      <c r="A10295" s="56"/>
    </row>
    <row r="10296" spans="1:1">
      <c r="A10296" s="56"/>
    </row>
    <row r="10297" spans="1:1">
      <c r="A10297" s="56"/>
    </row>
    <row r="10298" spans="1:1">
      <c r="A10298" s="56"/>
    </row>
    <row r="10299" spans="1:1">
      <c r="A10299" s="56"/>
    </row>
    <row r="10300" spans="1:1">
      <c r="A10300" s="56"/>
    </row>
    <row r="10301" spans="1:1">
      <c r="A10301" s="56"/>
    </row>
    <row r="10302" spans="1:1">
      <c r="A10302" s="56"/>
    </row>
    <row r="10303" spans="1:1">
      <c r="A10303" s="56"/>
    </row>
    <row r="10304" spans="1:1">
      <c r="A10304" s="56"/>
    </row>
    <row r="10305" spans="1:1">
      <c r="A10305" s="56"/>
    </row>
    <row r="10306" spans="1:1">
      <c r="A10306" s="56"/>
    </row>
    <row r="10307" spans="1:1">
      <c r="A10307" s="56"/>
    </row>
    <row r="10308" spans="1:1">
      <c r="A10308" s="56"/>
    </row>
    <row r="10309" spans="1:1">
      <c r="A10309" s="56"/>
    </row>
    <row r="10310" spans="1:1">
      <c r="A10310" s="56"/>
    </row>
    <row r="10311" spans="1:1">
      <c r="A10311" s="56"/>
    </row>
    <row r="10312" spans="1:1">
      <c r="A10312" s="56"/>
    </row>
    <row r="10313" spans="1:1">
      <c r="A10313" s="56"/>
    </row>
    <row r="10314" spans="1:1">
      <c r="A10314" s="56"/>
    </row>
    <row r="10315" spans="1:1">
      <c r="A10315" s="56"/>
    </row>
    <row r="10316" spans="1:1">
      <c r="A10316" s="56"/>
    </row>
    <row r="10317" spans="1:1">
      <c r="A10317" s="56"/>
    </row>
    <row r="10318" spans="1:1">
      <c r="A10318" s="56"/>
    </row>
    <row r="10319" spans="1:1">
      <c r="A10319" s="56"/>
    </row>
    <row r="10320" spans="1:1">
      <c r="A10320" s="56"/>
    </row>
    <row r="10321" spans="1:1">
      <c r="A10321" s="56"/>
    </row>
    <row r="10322" spans="1:1">
      <c r="A10322" s="56"/>
    </row>
    <row r="10323" spans="1:1">
      <c r="A10323" s="56"/>
    </row>
    <row r="10324" spans="1:1">
      <c r="A10324" s="56"/>
    </row>
    <row r="10325" spans="1:1">
      <c r="A10325" s="56"/>
    </row>
    <row r="10326" spans="1:1">
      <c r="A10326" s="56"/>
    </row>
    <row r="10327" spans="1:1">
      <c r="A10327" s="56"/>
    </row>
    <row r="10328" spans="1:1">
      <c r="A10328" s="56"/>
    </row>
    <row r="10329" spans="1:1">
      <c r="A10329" s="56"/>
    </row>
    <row r="10330" spans="1:1">
      <c r="A10330" s="56"/>
    </row>
    <row r="10331" spans="1:1">
      <c r="A10331" s="56"/>
    </row>
    <row r="10332" spans="1:1">
      <c r="A10332" s="56"/>
    </row>
    <row r="10333" spans="1:1">
      <c r="A10333" s="56"/>
    </row>
    <row r="10334" spans="1:1">
      <c r="A10334" s="56"/>
    </row>
    <row r="10335" spans="1:1">
      <c r="A10335" s="56"/>
    </row>
    <row r="10336" spans="1:1">
      <c r="A10336" s="56"/>
    </row>
    <row r="10337" spans="1:1">
      <c r="A10337" s="56"/>
    </row>
    <row r="10338" spans="1:1">
      <c r="A10338" s="56"/>
    </row>
    <row r="10339" spans="1:1">
      <c r="A10339" s="56"/>
    </row>
    <row r="10340" spans="1:1">
      <c r="A10340" s="56"/>
    </row>
    <row r="10341" spans="1:1">
      <c r="A10341" s="56"/>
    </row>
    <row r="10342" spans="1:1">
      <c r="A10342" s="56"/>
    </row>
    <row r="10343" spans="1:1">
      <c r="A10343" s="56"/>
    </row>
    <row r="10344" spans="1:1">
      <c r="A10344" s="56"/>
    </row>
    <row r="10345" spans="1:1">
      <c r="A10345" s="56"/>
    </row>
    <row r="10346" spans="1:1">
      <c r="A10346" s="56"/>
    </row>
    <row r="10347" spans="1:1">
      <c r="A10347" s="56"/>
    </row>
    <row r="10348" spans="1:1">
      <c r="A10348" s="56"/>
    </row>
    <row r="10349" spans="1:1">
      <c r="A10349" s="56"/>
    </row>
    <row r="10350" spans="1:1">
      <c r="A10350" s="56"/>
    </row>
    <row r="10351" spans="1:1">
      <c r="A10351" s="56"/>
    </row>
    <row r="10352" spans="1:1">
      <c r="A10352" s="56"/>
    </row>
    <row r="10353" spans="1:1">
      <c r="A10353" s="56"/>
    </row>
    <row r="10354" spans="1:1">
      <c r="A10354" s="56"/>
    </row>
    <row r="10355" spans="1:1">
      <c r="A10355" s="56"/>
    </row>
    <row r="10356" spans="1:1">
      <c r="A10356" s="56"/>
    </row>
    <row r="10357" spans="1:1">
      <c r="A10357" s="56"/>
    </row>
    <row r="10358" spans="1:1">
      <c r="A10358" s="56"/>
    </row>
    <row r="10359" spans="1:1">
      <c r="A10359" s="56"/>
    </row>
    <row r="10360" spans="1:1">
      <c r="A10360" s="56"/>
    </row>
    <row r="10361" spans="1:1">
      <c r="A10361" s="56"/>
    </row>
    <row r="10362" spans="1:1">
      <c r="A10362" s="56"/>
    </row>
    <row r="10363" spans="1:1">
      <c r="A10363" s="56"/>
    </row>
    <row r="10364" spans="1:1">
      <c r="A10364" s="56"/>
    </row>
    <row r="10365" spans="1:1">
      <c r="A10365" s="56"/>
    </row>
    <row r="10366" spans="1:1">
      <c r="A10366" s="56"/>
    </row>
    <row r="10367" spans="1:1">
      <c r="A10367" s="56"/>
    </row>
    <row r="10368" spans="1:1">
      <c r="A10368" s="56"/>
    </row>
    <row r="10369" spans="1:1">
      <c r="A10369" s="56"/>
    </row>
    <row r="10370" spans="1:1">
      <c r="A10370" s="56"/>
    </row>
    <row r="10371" spans="1:1">
      <c r="A10371" s="56"/>
    </row>
    <row r="10372" spans="1:1">
      <c r="A10372" s="56"/>
    </row>
    <row r="10373" spans="1:1">
      <c r="A10373" s="56"/>
    </row>
    <row r="10374" spans="1:1">
      <c r="A10374" s="56"/>
    </row>
    <row r="10375" spans="1:1">
      <c r="A10375" s="56"/>
    </row>
    <row r="10376" spans="1:1">
      <c r="A10376" s="56"/>
    </row>
    <row r="10377" spans="1:1">
      <c r="A10377" s="56"/>
    </row>
    <row r="10378" spans="1:1">
      <c r="A10378" s="56"/>
    </row>
    <row r="10379" spans="1:1">
      <c r="A10379" s="56"/>
    </row>
    <row r="10380" spans="1:1">
      <c r="A10380" s="56"/>
    </row>
    <row r="10381" spans="1:1">
      <c r="A10381" s="56"/>
    </row>
    <row r="10382" spans="1:1">
      <c r="A10382" s="56"/>
    </row>
    <row r="10383" spans="1:1">
      <c r="A10383" s="56"/>
    </row>
    <row r="10384" spans="1:1">
      <c r="A10384" s="56"/>
    </row>
    <row r="10385" spans="1:1">
      <c r="A10385" s="56"/>
    </row>
    <row r="10386" spans="1:1">
      <c r="A10386" s="56"/>
    </row>
    <row r="10387" spans="1:1">
      <c r="A10387" s="56"/>
    </row>
    <row r="10388" spans="1:1">
      <c r="A10388" s="56"/>
    </row>
    <row r="10389" spans="1:1">
      <c r="A10389" s="56"/>
    </row>
    <row r="10390" spans="1:1">
      <c r="A10390" s="56"/>
    </row>
    <row r="10391" spans="1:1">
      <c r="A10391" s="56"/>
    </row>
    <row r="10392" spans="1:1">
      <c r="A10392" s="56"/>
    </row>
    <row r="10393" spans="1:1">
      <c r="A10393" s="56"/>
    </row>
    <row r="10394" spans="1:1">
      <c r="A10394" s="56"/>
    </row>
    <row r="10395" spans="1:1">
      <c r="A10395" s="56"/>
    </row>
    <row r="10396" spans="1:1">
      <c r="A10396" s="56"/>
    </row>
    <row r="10397" spans="1:1">
      <c r="A10397" s="56"/>
    </row>
    <row r="10398" spans="1:1">
      <c r="A10398" s="56"/>
    </row>
    <row r="10399" spans="1:1">
      <c r="A10399" s="56"/>
    </row>
    <row r="10400" spans="1:1">
      <c r="A10400" s="56"/>
    </row>
    <row r="10401" spans="1:1">
      <c r="A10401" s="56"/>
    </row>
    <row r="10402" spans="1:1">
      <c r="A10402" s="56"/>
    </row>
    <row r="10403" spans="1:1">
      <c r="A10403" s="56"/>
    </row>
    <row r="10404" spans="1:1">
      <c r="A10404" s="56"/>
    </row>
    <row r="10405" spans="1:1">
      <c r="A10405" s="56"/>
    </row>
    <row r="10406" spans="1:1">
      <c r="A10406" s="56"/>
    </row>
    <row r="10407" spans="1:1">
      <c r="A10407" s="56"/>
    </row>
    <row r="10408" spans="1:1">
      <c r="A10408" s="56"/>
    </row>
    <row r="10409" spans="1:1">
      <c r="A10409" s="56"/>
    </row>
    <row r="10410" spans="1:1">
      <c r="A10410" s="56"/>
    </row>
    <row r="10411" spans="1:1">
      <c r="A10411" s="56"/>
    </row>
    <row r="10412" spans="1:1">
      <c r="A10412" s="56"/>
    </row>
    <row r="10413" spans="1:1">
      <c r="A10413" s="56"/>
    </row>
    <row r="10414" spans="1:1">
      <c r="A10414" s="56"/>
    </row>
    <row r="10415" spans="1:1">
      <c r="A10415" s="56"/>
    </row>
    <row r="10416" spans="1:1">
      <c r="A10416" s="56"/>
    </row>
    <row r="10417" spans="1:1">
      <c r="A10417" s="56"/>
    </row>
    <row r="10418" spans="1:1">
      <c r="A10418" s="56"/>
    </row>
    <row r="10419" spans="1:1">
      <c r="A10419" s="56"/>
    </row>
    <row r="10420" spans="1:1">
      <c r="A10420" s="56"/>
    </row>
    <row r="10421" spans="1:1">
      <c r="A10421" s="56"/>
    </row>
    <row r="10422" spans="1:1">
      <c r="A10422" s="56"/>
    </row>
    <row r="10423" spans="1:1">
      <c r="A10423" s="56"/>
    </row>
    <row r="10424" spans="1:1">
      <c r="A10424" s="56"/>
    </row>
    <row r="10425" spans="1:1">
      <c r="A10425" s="56"/>
    </row>
    <row r="10426" spans="1:1">
      <c r="A10426" s="56"/>
    </row>
    <row r="10427" spans="1:1">
      <c r="A10427" s="56"/>
    </row>
    <row r="10428" spans="1:1">
      <c r="A10428" s="56"/>
    </row>
    <row r="10429" spans="1:1">
      <c r="A10429" s="56"/>
    </row>
    <row r="10430" spans="1:1">
      <c r="A10430" s="56"/>
    </row>
    <row r="10431" spans="1:1">
      <c r="A10431" s="56"/>
    </row>
    <row r="10432" spans="1:1">
      <c r="A10432" s="56"/>
    </row>
    <row r="10433" spans="1:1">
      <c r="A10433" s="56"/>
    </row>
    <row r="10434" spans="1:1">
      <c r="A10434" s="56"/>
    </row>
    <row r="10435" spans="1:1">
      <c r="A10435" s="56"/>
    </row>
    <row r="10436" spans="1:1">
      <c r="A10436" s="56"/>
    </row>
    <row r="10437" spans="1:1">
      <c r="A10437" s="56"/>
    </row>
    <row r="10438" spans="1:1">
      <c r="A10438" s="56"/>
    </row>
    <row r="10439" spans="1:1">
      <c r="A10439" s="56"/>
    </row>
    <row r="10440" spans="1:1">
      <c r="A10440" s="56"/>
    </row>
    <row r="10441" spans="1:1">
      <c r="A10441" s="56"/>
    </row>
    <row r="10442" spans="1:1">
      <c r="A10442" s="56"/>
    </row>
    <row r="10443" spans="1:1">
      <c r="A10443" s="56"/>
    </row>
    <row r="10444" spans="1:1">
      <c r="A10444" s="56"/>
    </row>
    <row r="10445" spans="1:1">
      <c r="A10445" s="56"/>
    </row>
    <row r="10446" spans="1:1">
      <c r="A10446" s="56"/>
    </row>
    <row r="10447" spans="1:1">
      <c r="A10447" s="56"/>
    </row>
    <row r="10448" spans="1:1">
      <c r="A10448" s="56"/>
    </row>
    <row r="10449" spans="1:1">
      <c r="A10449" s="56"/>
    </row>
    <row r="10450" spans="1:1">
      <c r="A10450" s="56"/>
    </row>
    <row r="10451" spans="1:1">
      <c r="A10451" s="56"/>
    </row>
    <row r="10452" spans="1:1">
      <c r="A10452" s="56"/>
    </row>
    <row r="10453" spans="1:1">
      <c r="A10453" s="56"/>
    </row>
    <row r="10454" spans="1:1">
      <c r="A10454" s="56"/>
    </row>
    <row r="10455" spans="1:1">
      <c r="A10455" s="56"/>
    </row>
    <row r="10456" spans="1:1">
      <c r="A10456" s="56"/>
    </row>
    <row r="10457" spans="1:1">
      <c r="A10457" s="56"/>
    </row>
    <row r="10458" spans="1:1">
      <c r="A10458" s="56"/>
    </row>
    <row r="10459" spans="1:1">
      <c r="A10459" s="56"/>
    </row>
    <row r="10460" spans="1:1">
      <c r="A10460" s="56"/>
    </row>
    <row r="10461" spans="1:1">
      <c r="A10461" s="56"/>
    </row>
    <row r="10462" spans="1:1">
      <c r="A10462" s="56"/>
    </row>
    <row r="10463" spans="1:1">
      <c r="A10463" s="56"/>
    </row>
    <row r="10464" spans="1:1">
      <c r="A10464" s="56"/>
    </row>
    <row r="10465" spans="1:1">
      <c r="A10465" s="56"/>
    </row>
    <row r="10466" spans="1:1">
      <c r="A10466" s="56"/>
    </row>
    <row r="10467" spans="1:1">
      <c r="A10467" s="56"/>
    </row>
    <row r="10468" spans="1:1">
      <c r="A10468" s="56"/>
    </row>
    <row r="10469" spans="1:1">
      <c r="A10469" s="56"/>
    </row>
    <row r="10470" spans="1:1">
      <c r="A10470" s="56"/>
    </row>
    <row r="10471" spans="1:1">
      <c r="A10471" s="56"/>
    </row>
    <row r="10472" spans="1:1">
      <c r="A10472" s="56"/>
    </row>
    <row r="10473" spans="1:1">
      <c r="A10473" s="56"/>
    </row>
    <row r="10474" spans="1:1">
      <c r="A10474" s="56"/>
    </row>
    <row r="10475" spans="1:1">
      <c r="A10475" s="56"/>
    </row>
    <row r="10476" spans="1:1">
      <c r="A10476" s="56"/>
    </row>
    <row r="10477" spans="1:1">
      <c r="A10477" s="56"/>
    </row>
    <row r="10478" spans="1:1">
      <c r="A10478" s="56"/>
    </row>
    <row r="10479" spans="1:1">
      <c r="A10479" s="56"/>
    </row>
    <row r="10480" spans="1:1">
      <c r="A10480" s="56"/>
    </row>
    <row r="10481" spans="1:1">
      <c r="A10481" s="56"/>
    </row>
    <row r="10482" spans="1:1">
      <c r="A10482" s="56"/>
    </row>
    <row r="10483" spans="1:1">
      <c r="A10483" s="56"/>
    </row>
    <row r="10484" spans="1:1">
      <c r="A10484" s="56"/>
    </row>
    <row r="10485" spans="1:1">
      <c r="A10485" s="56"/>
    </row>
    <row r="10486" spans="1:1">
      <c r="A10486" s="56"/>
    </row>
    <row r="10487" spans="1:1">
      <c r="A10487" s="56"/>
    </row>
    <row r="10488" spans="1:1">
      <c r="A10488" s="56"/>
    </row>
    <row r="10489" spans="1:1">
      <c r="A10489" s="56"/>
    </row>
    <row r="10490" spans="1:1">
      <c r="A10490" s="56"/>
    </row>
    <row r="10491" spans="1:1">
      <c r="A10491" s="56"/>
    </row>
    <row r="10492" spans="1:1">
      <c r="A10492" s="56"/>
    </row>
    <row r="10493" spans="1:1">
      <c r="A10493" s="56"/>
    </row>
    <row r="10494" spans="1:1">
      <c r="A10494" s="56"/>
    </row>
    <row r="10495" spans="1:1">
      <c r="A10495" s="56"/>
    </row>
    <row r="10496" spans="1:1">
      <c r="A10496" s="56"/>
    </row>
    <row r="10497" spans="1:1">
      <c r="A10497" s="56"/>
    </row>
    <row r="10498" spans="1:1">
      <c r="A10498" s="56"/>
    </row>
    <row r="10499" spans="1:1">
      <c r="A10499" s="56"/>
    </row>
    <row r="10500" spans="1:1">
      <c r="A10500" s="56"/>
    </row>
    <row r="10501" spans="1:1">
      <c r="A10501" s="56"/>
    </row>
    <row r="10502" spans="1:1">
      <c r="A10502" s="56"/>
    </row>
    <row r="10503" spans="1:1">
      <c r="A10503" s="56"/>
    </row>
    <row r="10504" spans="1:1">
      <c r="A10504" s="56"/>
    </row>
    <row r="10505" spans="1:1">
      <c r="A10505" s="56"/>
    </row>
    <row r="10506" spans="1:1">
      <c r="A10506" s="56"/>
    </row>
    <row r="10507" spans="1:1">
      <c r="A10507" s="56"/>
    </row>
    <row r="10508" spans="1:1">
      <c r="A10508" s="56"/>
    </row>
    <row r="10509" spans="1:1">
      <c r="A10509" s="56"/>
    </row>
    <row r="10510" spans="1:1">
      <c r="A10510" s="56"/>
    </row>
    <row r="10511" spans="1:1">
      <c r="A10511" s="56"/>
    </row>
    <row r="10512" spans="1:1">
      <c r="A10512" s="56"/>
    </row>
    <row r="10513" spans="1:1">
      <c r="A10513" s="56"/>
    </row>
    <row r="10514" spans="1:1">
      <c r="A10514" s="56"/>
    </row>
    <row r="10515" spans="1:1">
      <c r="A10515" s="56"/>
    </row>
    <row r="10516" spans="1:1">
      <c r="A10516" s="56"/>
    </row>
    <row r="10517" spans="1:1">
      <c r="A10517" s="56"/>
    </row>
    <row r="10518" spans="1:1">
      <c r="A10518" s="56"/>
    </row>
    <row r="10519" spans="1:1">
      <c r="A10519" s="56"/>
    </row>
    <row r="10520" spans="1:1">
      <c r="A10520" s="56"/>
    </row>
    <row r="10521" spans="1:1">
      <c r="A10521" s="56"/>
    </row>
    <row r="10522" spans="1:1">
      <c r="A10522" s="56"/>
    </row>
    <row r="10523" spans="1:1">
      <c r="A10523" s="56"/>
    </row>
    <row r="10524" spans="1:1">
      <c r="A10524" s="56"/>
    </row>
    <row r="10525" spans="1:1">
      <c r="A10525" s="56"/>
    </row>
    <row r="10526" spans="1:1">
      <c r="A10526" s="56"/>
    </row>
    <row r="10527" spans="1:1">
      <c r="A10527" s="56"/>
    </row>
    <row r="10528" spans="1:1">
      <c r="A10528" s="56"/>
    </row>
    <row r="10529" spans="1:1">
      <c r="A10529" s="56"/>
    </row>
    <row r="10530" spans="1:1">
      <c r="A10530" s="56"/>
    </row>
    <row r="10531" spans="1:1">
      <c r="A10531" s="56"/>
    </row>
    <row r="10532" spans="1:1">
      <c r="A10532" s="56"/>
    </row>
    <row r="10533" spans="1:1">
      <c r="A10533" s="56"/>
    </row>
    <row r="10534" spans="1:1">
      <c r="A10534" s="56"/>
    </row>
    <row r="10535" spans="1:1">
      <c r="A10535" s="56"/>
    </row>
    <row r="10536" spans="1:1">
      <c r="A10536" s="56"/>
    </row>
    <row r="10537" spans="1:1">
      <c r="A10537" s="56"/>
    </row>
    <row r="10538" spans="1:1">
      <c r="A10538" s="56"/>
    </row>
    <row r="10539" spans="1:1">
      <c r="A10539" s="56"/>
    </row>
    <row r="10540" spans="1:1">
      <c r="A10540" s="56"/>
    </row>
    <row r="10541" spans="1:1">
      <c r="A10541" s="56"/>
    </row>
    <row r="10542" spans="1:1">
      <c r="A10542" s="56"/>
    </row>
    <row r="10543" spans="1:1">
      <c r="A10543" s="56"/>
    </row>
    <row r="10544" spans="1:1">
      <c r="A10544" s="56"/>
    </row>
    <row r="10545" spans="1:1">
      <c r="A10545" s="56"/>
    </row>
    <row r="10546" spans="1:1">
      <c r="A10546" s="56"/>
    </row>
    <row r="10547" spans="1:1">
      <c r="A10547" s="56"/>
    </row>
    <row r="10548" spans="1:1">
      <c r="A10548" s="56"/>
    </row>
    <row r="10549" spans="1:1">
      <c r="A10549" s="56"/>
    </row>
    <row r="10550" spans="1:1">
      <c r="A10550" s="56"/>
    </row>
    <row r="10551" spans="1:1">
      <c r="A10551" s="56"/>
    </row>
    <row r="10552" spans="1:1">
      <c r="A10552" s="56"/>
    </row>
    <row r="10553" spans="1:1">
      <c r="A10553" s="56"/>
    </row>
    <row r="10554" spans="1:1">
      <c r="A10554" s="56"/>
    </row>
    <row r="10555" spans="1:1">
      <c r="A10555" s="56"/>
    </row>
    <row r="10556" spans="1:1">
      <c r="A10556" s="56"/>
    </row>
    <row r="10557" spans="1:1">
      <c r="A10557" s="56"/>
    </row>
    <row r="10558" spans="1:1">
      <c r="A10558" s="56"/>
    </row>
    <row r="10559" spans="1:1">
      <c r="A10559" s="56"/>
    </row>
    <row r="10560" spans="1:1">
      <c r="A10560" s="56"/>
    </row>
    <row r="10561" spans="1:1">
      <c r="A10561" s="56"/>
    </row>
    <row r="10562" spans="1:1">
      <c r="A10562" s="56"/>
    </row>
    <row r="10563" spans="1:1">
      <c r="A10563" s="56"/>
    </row>
    <row r="10564" spans="1:1">
      <c r="A10564" s="56"/>
    </row>
    <row r="10565" spans="1:1">
      <c r="A10565" s="56"/>
    </row>
    <row r="10566" spans="1:1">
      <c r="A10566" s="56"/>
    </row>
    <row r="10567" spans="1:1">
      <c r="A10567" s="56"/>
    </row>
    <row r="10568" spans="1:1">
      <c r="A10568" s="56"/>
    </row>
    <row r="10569" spans="1:1">
      <c r="A10569" s="56"/>
    </row>
    <row r="10570" spans="1:1">
      <c r="A10570" s="56"/>
    </row>
    <row r="10571" spans="1:1">
      <c r="A10571" s="56"/>
    </row>
    <row r="10572" spans="1:1">
      <c r="A10572" s="56"/>
    </row>
    <row r="10573" spans="1:1">
      <c r="A10573" s="56"/>
    </row>
    <row r="10574" spans="1:1">
      <c r="A10574" s="56"/>
    </row>
    <row r="10575" spans="1:1">
      <c r="A10575" s="56"/>
    </row>
    <row r="10576" spans="1:1">
      <c r="A10576" s="56"/>
    </row>
    <row r="10577" spans="1:1">
      <c r="A10577" s="56"/>
    </row>
    <row r="10578" spans="1:1">
      <c r="A10578" s="56"/>
    </row>
    <row r="10579" spans="1:1">
      <c r="A10579" s="56"/>
    </row>
    <row r="10580" spans="1:1">
      <c r="A10580" s="56"/>
    </row>
    <row r="10581" spans="1:1">
      <c r="A10581" s="56"/>
    </row>
    <row r="10582" spans="1:1">
      <c r="A10582" s="56"/>
    </row>
    <row r="10583" spans="1:1">
      <c r="A10583" s="56"/>
    </row>
    <row r="10584" spans="1:1">
      <c r="A10584" s="56"/>
    </row>
    <row r="10585" spans="1:1">
      <c r="A10585" s="56"/>
    </row>
    <row r="10586" spans="1:1">
      <c r="A10586" s="56"/>
    </row>
    <row r="10587" spans="1:1">
      <c r="A10587" s="56"/>
    </row>
    <row r="10588" spans="1:1">
      <c r="A10588" s="56"/>
    </row>
    <row r="10589" spans="1:1">
      <c r="A10589" s="56"/>
    </row>
    <row r="10590" spans="1:1">
      <c r="A10590" s="56"/>
    </row>
    <row r="10591" spans="1:1">
      <c r="A10591" s="56"/>
    </row>
    <row r="10592" spans="1:1">
      <c r="A10592" s="56"/>
    </row>
    <row r="10593" spans="1:1">
      <c r="A10593" s="56"/>
    </row>
    <row r="10594" spans="1:1">
      <c r="A10594" s="56"/>
    </row>
    <row r="10595" spans="1:1">
      <c r="A10595" s="56"/>
    </row>
    <row r="10596" spans="1:1">
      <c r="A10596" s="56"/>
    </row>
    <row r="10597" spans="1:1">
      <c r="A10597" s="56"/>
    </row>
    <row r="10598" spans="1:1">
      <c r="A10598" s="56"/>
    </row>
    <row r="10599" spans="1:1">
      <c r="A10599" s="56"/>
    </row>
    <row r="10600" spans="1:1">
      <c r="A10600" s="56"/>
    </row>
    <row r="10601" spans="1:1">
      <c r="A10601" s="56"/>
    </row>
    <row r="10602" spans="1:1">
      <c r="A10602" s="56"/>
    </row>
    <row r="10603" spans="1:1">
      <c r="A10603" s="56"/>
    </row>
    <row r="10604" spans="1:1">
      <c r="A10604" s="56"/>
    </row>
    <row r="10605" spans="1:1">
      <c r="A10605" s="56"/>
    </row>
    <row r="10606" spans="1:1">
      <c r="A10606" s="56"/>
    </row>
    <row r="10607" spans="1:1">
      <c r="A10607" s="56"/>
    </row>
    <row r="10608" spans="1:1">
      <c r="A10608" s="56"/>
    </row>
    <row r="10609" spans="1:1">
      <c r="A10609" s="56"/>
    </row>
    <row r="10610" spans="1:1">
      <c r="A10610" s="56"/>
    </row>
    <row r="10611" spans="1:1">
      <c r="A10611" s="56"/>
    </row>
    <row r="10612" spans="1:1">
      <c r="A10612" s="56"/>
    </row>
    <row r="10613" spans="1:1">
      <c r="A10613" s="56"/>
    </row>
    <row r="10614" spans="1:1">
      <c r="A10614" s="56"/>
    </row>
    <row r="10615" spans="1:1">
      <c r="A10615" s="56"/>
    </row>
    <row r="10616" spans="1:1">
      <c r="A10616" s="56"/>
    </row>
    <row r="10617" spans="1:1">
      <c r="A10617" s="56"/>
    </row>
    <row r="10618" spans="1:1">
      <c r="A10618" s="56"/>
    </row>
    <row r="10619" spans="1:1">
      <c r="A10619" s="56"/>
    </row>
    <row r="10620" spans="1:1">
      <c r="A10620" s="56"/>
    </row>
    <row r="10621" spans="1:1">
      <c r="A10621" s="56"/>
    </row>
    <row r="10622" spans="1:1">
      <c r="A10622" s="56"/>
    </row>
    <row r="10623" spans="1:1">
      <c r="A10623" s="56"/>
    </row>
    <row r="10624" spans="1:1">
      <c r="A10624" s="56"/>
    </row>
    <row r="10625" spans="1:1">
      <c r="A10625" s="56"/>
    </row>
    <row r="10626" spans="1:1">
      <c r="A10626" s="56"/>
    </row>
    <row r="10627" spans="1:1">
      <c r="A10627" s="56"/>
    </row>
    <row r="10628" spans="1:1">
      <c r="A10628" s="56"/>
    </row>
    <row r="10629" spans="1:1">
      <c r="A10629" s="56"/>
    </row>
    <row r="10630" spans="1:1">
      <c r="A10630" s="56"/>
    </row>
    <row r="10631" spans="1:1">
      <c r="A10631" s="56"/>
    </row>
    <row r="10632" spans="1:1">
      <c r="A10632" s="56"/>
    </row>
    <row r="10633" spans="1:1">
      <c r="A10633" s="56"/>
    </row>
    <row r="10634" spans="1:1">
      <c r="A10634" s="56"/>
    </row>
    <row r="10635" spans="1:1">
      <c r="A10635" s="56"/>
    </row>
    <row r="10636" spans="1:1">
      <c r="A10636" s="56"/>
    </row>
    <row r="10637" spans="1:1">
      <c r="A10637" s="56"/>
    </row>
    <row r="10638" spans="1:1">
      <c r="A10638" s="56"/>
    </row>
    <row r="10639" spans="1:1">
      <c r="A10639" s="56"/>
    </row>
    <row r="10640" spans="1:1">
      <c r="A10640" s="56"/>
    </row>
    <row r="10641" spans="1:1">
      <c r="A10641" s="56"/>
    </row>
    <row r="10642" spans="1:1">
      <c r="A10642" s="56"/>
    </row>
    <row r="10643" spans="1:1">
      <c r="A10643" s="56"/>
    </row>
    <row r="10644" spans="1:1">
      <c r="A10644" s="56"/>
    </row>
    <row r="10645" spans="1:1">
      <c r="A10645" s="56"/>
    </row>
    <row r="10646" spans="1:1">
      <c r="A10646" s="56"/>
    </row>
    <row r="10647" spans="1:1">
      <c r="A10647" s="56"/>
    </row>
    <row r="10648" spans="1:1">
      <c r="A10648" s="56"/>
    </row>
    <row r="10649" spans="1:1">
      <c r="A10649" s="56"/>
    </row>
    <row r="10650" spans="1:1">
      <c r="A10650" s="56"/>
    </row>
    <row r="10651" spans="1:1">
      <c r="A10651" s="56"/>
    </row>
    <row r="10652" spans="1:1">
      <c r="A10652" s="56"/>
    </row>
    <row r="10653" spans="1:1">
      <c r="A10653" s="56"/>
    </row>
    <row r="10654" spans="1:1">
      <c r="A10654" s="56"/>
    </row>
    <row r="10655" spans="1:1">
      <c r="A10655" s="56"/>
    </row>
    <row r="10656" spans="1:1">
      <c r="A10656" s="56"/>
    </row>
    <row r="10657" spans="1:1">
      <c r="A10657" s="56"/>
    </row>
    <row r="10658" spans="1:1">
      <c r="A10658" s="56"/>
    </row>
    <row r="10659" spans="1:1">
      <c r="A10659" s="56"/>
    </row>
    <row r="10660" spans="1:1">
      <c r="A10660" s="56"/>
    </row>
    <row r="10661" spans="1:1">
      <c r="A10661" s="56"/>
    </row>
    <row r="10662" spans="1:1">
      <c r="A10662" s="56"/>
    </row>
    <row r="10663" spans="1:1">
      <c r="A10663" s="56"/>
    </row>
    <row r="10664" spans="1:1">
      <c r="A10664" s="56"/>
    </row>
    <row r="10665" spans="1:1">
      <c r="A10665" s="56"/>
    </row>
    <row r="10666" spans="1:1">
      <c r="A10666" s="56"/>
    </row>
    <row r="10667" spans="1:1">
      <c r="A10667" s="56"/>
    </row>
    <row r="10668" spans="1:1">
      <c r="A10668" s="56"/>
    </row>
    <row r="10669" spans="1:1">
      <c r="A10669" s="56"/>
    </row>
    <row r="10670" spans="1:1">
      <c r="A10670" s="56"/>
    </row>
    <row r="10671" spans="1:1">
      <c r="A10671" s="56"/>
    </row>
    <row r="10672" spans="1:1">
      <c r="A10672" s="56"/>
    </row>
    <row r="10673" spans="1:1">
      <c r="A10673" s="56"/>
    </row>
    <row r="10674" spans="1:1">
      <c r="A10674" s="56"/>
    </row>
    <row r="10675" spans="1:1">
      <c r="A10675" s="56"/>
    </row>
    <row r="10676" spans="1:1">
      <c r="A10676" s="56"/>
    </row>
    <row r="10677" spans="1:1">
      <c r="A10677" s="56"/>
    </row>
    <row r="10678" spans="1:1">
      <c r="A10678" s="56"/>
    </row>
    <row r="10679" spans="1:1">
      <c r="A10679" s="56"/>
    </row>
    <row r="10680" spans="1:1">
      <c r="A10680" s="56"/>
    </row>
    <row r="10681" spans="1:1">
      <c r="A10681" s="56"/>
    </row>
    <row r="10682" spans="1:1">
      <c r="A10682" s="56"/>
    </row>
    <row r="10683" spans="1:1">
      <c r="A10683" s="56"/>
    </row>
    <row r="10684" spans="1:1">
      <c r="A10684" s="56"/>
    </row>
    <row r="10685" spans="1:1">
      <c r="A10685" s="56"/>
    </row>
    <row r="10686" spans="1:1">
      <c r="A10686" s="56"/>
    </row>
    <row r="10687" spans="1:1">
      <c r="A10687" s="56"/>
    </row>
    <row r="10688" spans="1:1">
      <c r="A10688" s="56"/>
    </row>
    <row r="10689" spans="1:1">
      <c r="A10689" s="56"/>
    </row>
    <row r="10690" spans="1:1">
      <c r="A10690" s="56"/>
    </row>
    <row r="10691" spans="1:1">
      <c r="A10691" s="56"/>
    </row>
    <row r="10692" spans="1:1">
      <c r="A10692" s="56"/>
    </row>
    <row r="10693" spans="1:1">
      <c r="A10693" s="56"/>
    </row>
    <row r="10694" spans="1:1">
      <c r="A10694" s="56"/>
    </row>
    <row r="10695" spans="1:1">
      <c r="A10695" s="56"/>
    </row>
    <row r="10696" spans="1:1">
      <c r="A10696" s="56"/>
    </row>
    <row r="10697" spans="1:1">
      <c r="A10697" s="56"/>
    </row>
    <row r="10698" spans="1:1">
      <c r="A10698" s="56"/>
    </row>
    <row r="10699" spans="1:1">
      <c r="A10699" s="56"/>
    </row>
    <row r="10700" spans="1:1">
      <c r="A10700" s="56"/>
    </row>
    <row r="10701" spans="1:1">
      <c r="A10701" s="56"/>
    </row>
    <row r="10702" spans="1:1">
      <c r="A10702" s="56"/>
    </row>
    <row r="10703" spans="1:1">
      <c r="A10703" s="56"/>
    </row>
    <row r="10704" spans="1:1">
      <c r="A10704" s="56"/>
    </row>
    <row r="10705" spans="1:1">
      <c r="A10705" s="56"/>
    </row>
    <row r="10706" spans="1:1">
      <c r="A10706" s="56"/>
    </row>
    <row r="10707" spans="1:1">
      <c r="A10707" s="56"/>
    </row>
    <row r="10708" spans="1:1">
      <c r="A10708" s="56"/>
    </row>
    <row r="10709" spans="1:1">
      <c r="A10709" s="56"/>
    </row>
    <row r="10710" spans="1:1">
      <c r="A10710" s="56"/>
    </row>
    <row r="10711" spans="1:1">
      <c r="A10711" s="56"/>
    </row>
    <row r="10712" spans="1:1">
      <c r="A10712" s="56"/>
    </row>
    <row r="10713" spans="1:1">
      <c r="A10713" s="56"/>
    </row>
    <row r="10714" spans="1:1">
      <c r="A10714" s="56"/>
    </row>
    <row r="10715" spans="1:1">
      <c r="A10715" s="56"/>
    </row>
    <row r="10716" spans="1:1">
      <c r="A10716" s="56"/>
    </row>
    <row r="10717" spans="1:1">
      <c r="A10717" s="56"/>
    </row>
    <row r="10718" spans="1:1">
      <c r="A10718" s="56"/>
    </row>
    <row r="10719" spans="1:1">
      <c r="A10719" s="56"/>
    </row>
    <row r="10720" spans="1:1">
      <c r="A10720" s="56"/>
    </row>
    <row r="10721" spans="1:1">
      <c r="A10721" s="56"/>
    </row>
    <row r="10722" spans="1:1">
      <c r="A10722" s="56"/>
    </row>
    <row r="10723" spans="1:1">
      <c r="A10723" s="56"/>
    </row>
    <row r="10724" spans="1:1">
      <c r="A10724" s="56"/>
    </row>
    <row r="10725" spans="1:1">
      <c r="A10725" s="56"/>
    </row>
    <row r="10726" spans="1:1">
      <c r="A10726" s="56"/>
    </row>
    <row r="10727" spans="1:1">
      <c r="A10727" s="56"/>
    </row>
    <row r="10728" spans="1:1">
      <c r="A10728" s="56"/>
    </row>
    <row r="10729" spans="1:1">
      <c r="A10729" s="56"/>
    </row>
    <row r="10730" spans="1:1">
      <c r="A10730" s="56"/>
    </row>
    <row r="10731" spans="1:1">
      <c r="A10731" s="56"/>
    </row>
    <row r="10732" spans="1:1">
      <c r="A10732" s="56"/>
    </row>
    <row r="10733" spans="1:1">
      <c r="A10733" s="56"/>
    </row>
    <row r="10734" spans="1:1">
      <c r="A10734" s="56"/>
    </row>
    <row r="10735" spans="1:1">
      <c r="A10735" s="56"/>
    </row>
    <row r="10736" spans="1:1">
      <c r="A10736" s="56"/>
    </row>
    <row r="10737" spans="1:1">
      <c r="A10737" s="56"/>
    </row>
    <row r="10738" spans="1:1">
      <c r="A10738" s="56"/>
    </row>
    <row r="10739" spans="1:1">
      <c r="A10739" s="56"/>
    </row>
    <row r="10740" spans="1:1">
      <c r="A10740" s="56"/>
    </row>
    <row r="10741" spans="1:1">
      <c r="A10741" s="56"/>
    </row>
    <row r="10742" spans="1:1">
      <c r="A10742" s="56"/>
    </row>
    <row r="10743" spans="1:1">
      <c r="A10743" s="56"/>
    </row>
    <row r="10744" spans="1:1">
      <c r="A10744" s="56"/>
    </row>
    <row r="10745" spans="1:1">
      <c r="A10745" s="56"/>
    </row>
    <row r="10746" spans="1:1">
      <c r="A10746" s="56"/>
    </row>
    <row r="10747" spans="1:1">
      <c r="A10747" s="56"/>
    </row>
    <row r="10748" spans="1:1">
      <c r="A10748" s="56"/>
    </row>
    <row r="10749" spans="1:1">
      <c r="A10749" s="56"/>
    </row>
    <row r="10750" spans="1:1">
      <c r="A10750" s="56"/>
    </row>
    <row r="10751" spans="1:1">
      <c r="A10751" s="56"/>
    </row>
    <row r="10752" spans="1:1">
      <c r="A10752" s="56"/>
    </row>
    <row r="10753" spans="1:1">
      <c r="A10753" s="56"/>
    </row>
    <row r="10754" spans="1:1">
      <c r="A10754" s="56"/>
    </row>
    <row r="10755" spans="1:1">
      <c r="A10755" s="56"/>
    </row>
    <row r="10756" spans="1:1">
      <c r="A10756" s="56"/>
    </row>
    <row r="10757" spans="1:1">
      <c r="A10757" s="56"/>
    </row>
    <row r="10758" spans="1:1">
      <c r="A10758" s="56"/>
    </row>
    <row r="10759" spans="1:1">
      <c r="A10759" s="56"/>
    </row>
    <row r="10760" spans="1:1">
      <c r="A10760" s="56"/>
    </row>
    <row r="10761" spans="1:1">
      <c r="A10761" s="56"/>
    </row>
    <row r="10762" spans="1:1">
      <c r="A10762" s="56"/>
    </row>
    <row r="10763" spans="1:1">
      <c r="A10763" s="56"/>
    </row>
    <row r="10764" spans="1:1">
      <c r="A10764" s="56"/>
    </row>
    <row r="10765" spans="1:1">
      <c r="A10765" s="56"/>
    </row>
    <row r="10766" spans="1:1">
      <c r="A10766" s="56"/>
    </row>
    <row r="10767" spans="1:1">
      <c r="A10767" s="56"/>
    </row>
    <row r="10768" spans="1:1">
      <c r="A10768" s="56"/>
    </row>
    <row r="10769" spans="1:1">
      <c r="A10769" s="56"/>
    </row>
    <row r="10770" spans="1:1">
      <c r="A10770" s="56"/>
    </row>
    <row r="10771" spans="1:1">
      <c r="A10771" s="56"/>
    </row>
    <row r="10772" spans="1:1">
      <c r="A10772" s="56"/>
    </row>
    <row r="10773" spans="1:1">
      <c r="A10773" s="56"/>
    </row>
    <row r="10774" spans="1:1">
      <c r="A10774" s="56"/>
    </row>
    <row r="10775" spans="1:1">
      <c r="A10775" s="56"/>
    </row>
    <row r="10776" spans="1:1">
      <c r="A10776" s="56"/>
    </row>
    <row r="10777" spans="1:1">
      <c r="A10777" s="56"/>
    </row>
    <row r="10778" spans="1:1">
      <c r="A10778" s="56"/>
    </row>
    <row r="10779" spans="1:1">
      <c r="A10779" s="56"/>
    </row>
    <row r="10780" spans="1:1">
      <c r="A10780" s="56"/>
    </row>
    <row r="10781" spans="1:1">
      <c r="A10781" s="56"/>
    </row>
    <row r="10782" spans="1:1">
      <c r="A10782" s="56"/>
    </row>
    <row r="10783" spans="1:1">
      <c r="A10783" s="56"/>
    </row>
    <row r="10784" spans="1:1">
      <c r="A10784" s="56"/>
    </row>
    <row r="10785" spans="1:1">
      <c r="A10785" s="56"/>
    </row>
    <row r="10786" spans="1:1">
      <c r="A10786" s="56"/>
    </row>
    <row r="10787" spans="1:1">
      <c r="A10787" s="56"/>
    </row>
    <row r="10788" spans="1:1">
      <c r="A10788" s="56"/>
    </row>
    <row r="10789" spans="1:1">
      <c r="A10789" s="56"/>
    </row>
    <row r="10790" spans="1:1">
      <c r="A10790" s="56"/>
    </row>
    <row r="10791" spans="1:1">
      <c r="A10791" s="56"/>
    </row>
    <row r="10792" spans="1:1">
      <c r="A10792" s="56"/>
    </row>
    <row r="10793" spans="1:1">
      <c r="A10793" s="56"/>
    </row>
    <row r="10794" spans="1:1">
      <c r="A10794" s="56"/>
    </row>
    <row r="10795" spans="1:1">
      <c r="A10795" s="56"/>
    </row>
    <row r="10796" spans="1:1">
      <c r="A10796" s="56"/>
    </row>
    <row r="10797" spans="1:1">
      <c r="A10797" s="56"/>
    </row>
    <row r="10798" spans="1:1">
      <c r="A10798" s="56"/>
    </row>
    <row r="10799" spans="1:1">
      <c r="A10799" s="56"/>
    </row>
    <row r="10800" spans="1:1">
      <c r="A10800" s="56"/>
    </row>
    <row r="10801" spans="1:1">
      <c r="A10801" s="56"/>
    </row>
    <row r="10802" spans="1:1">
      <c r="A10802" s="56"/>
    </row>
    <row r="10803" spans="1:1">
      <c r="A10803" s="56"/>
    </row>
    <row r="10804" spans="1:1">
      <c r="A10804" s="56"/>
    </row>
    <row r="10805" spans="1:1">
      <c r="A10805" s="56"/>
    </row>
    <row r="10806" spans="1:1">
      <c r="A10806" s="56"/>
    </row>
    <row r="10807" spans="1:1">
      <c r="A10807" s="56"/>
    </row>
    <row r="10808" spans="1:1">
      <c r="A10808" s="56"/>
    </row>
    <row r="10809" spans="1:1">
      <c r="A10809" s="56"/>
    </row>
    <row r="10810" spans="1:1">
      <c r="A10810" s="56"/>
    </row>
    <row r="10811" spans="1:1">
      <c r="A10811" s="56"/>
    </row>
    <row r="10812" spans="1:1">
      <c r="A10812" s="56"/>
    </row>
    <row r="10813" spans="1:1">
      <c r="A10813" s="56"/>
    </row>
    <row r="10814" spans="1:1">
      <c r="A10814" s="56"/>
    </row>
    <row r="10815" spans="1:1">
      <c r="A10815" s="56"/>
    </row>
    <row r="10816" spans="1:1">
      <c r="A10816" s="56"/>
    </row>
    <row r="10817" spans="1:1">
      <c r="A10817" s="56"/>
    </row>
    <row r="10818" spans="1:1">
      <c r="A10818" s="56"/>
    </row>
    <row r="10819" spans="1:1">
      <c r="A10819" s="56"/>
    </row>
    <row r="10820" spans="1:1">
      <c r="A10820" s="56"/>
    </row>
    <row r="10821" spans="1:1">
      <c r="A10821" s="56"/>
    </row>
    <row r="10822" spans="1:1">
      <c r="A10822" s="56"/>
    </row>
    <row r="10823" spans="1:1">
      <c r="A10823" s="56"/>
    </row>
    <row r="10824" spans="1:1">
      <c r="A10824" s="56"/>
    </row>
    <row r="10825" spans="1:1">
      <c r="A10825" s="56"/>
    </row>
    <row r="10826" spans="1:1">
      <c r="A10826" s="56"/>
    </row>
    <row r="10827" spans="1:1">
      <c r="A10827" s="56"/>
    </row>
    <row r="10828" spans="1:1">
      <c r="A10828" s="56"/>
    </row>
    <row r="10829" spans="1:1">
      <c r="A10829" s="56"/>
    </row>
    <row r="10830" spans="1:1">
      <c r="A10830" s="56"/>
    </row>
    <row r="10831" spans="1:1">
      <c r="A10831" s="56"/>
    </row>
    <row r="10832" spans="1:1">
      <c r="A10832" s="56"/>
    </row>
    <row r="10833" spans="1:1">
      <c r="A10833" s="56"/>
    </row>
    <row r="10834" spans="1:1">
      <c r="A10834" s="56"/>
    </row>
    <row r="10835" spans="1:1">
      <c r="A10835" s="56"/>
    </row>
    <row r="10836" spans="1:1">
      <c r="A10836" s="56"/>
    </row>
    <row r="10837" spans="1:1">
      <c r="A10837" s="56"/>
    </row>
    <row r="10838" spans="1:1">
      <c r="A10838" s="56"/>
    </row>
    <row r="10839" spans="1:1">
      <c r="A10839" s="56"/>
    </row>
    <row r="10840" spans="1:1">
      <c r="A10840" s="56"/>
    </row>
    <row r="10841" spans="1:1">
      <c r="A10841" s="56"/>
    </row>
    <row r="10842" spans="1:1">
      <c r="A10842" s="56"/>
    </row>
    <row r="10843" spans="1:1">
      <c r="A10843" s="56"/>
    </row>
    <row r="10844" spans="1:1">
      <c r="A10844" s="56"/>
    </row>
    <row r="10845" spans="1:1">
      <c r="A10845" s="56"/>
    </row>
    <row r="10846" spans="1:1">
      <c r="A10846" s="56"/>
    </row>
    <row r="10847" spans="1:1">
      <c r="A10847" s="56"/>
    </row>
    <row r="10848" spans="1:1">
      <c r="A10848" s="56"/>
    </row>
    <row r="10849" spans="1:1">
      <c r="A10849" s="56"/>
    </row>
    <row r="10850" spans="1:1">
      <c r="A10850" s="56"/>
    </row>
    <row r="10851" spans="1:1">
      <c r="A10851" s="56"/>
    </row>
    <row r="10852" spans="1:1">
      <c r="A10852" s="56"/>
    </row>
    <row r="10853" spans="1:1">
      <c r="A10853" s="56"/>
    </row>
    <row r="10854" spans="1:1">
      <c r="A10854" s="56"/>
    </row>
    <row r="10855" spans="1:1">
      <c r="A10855" s="56"/>
    </row>
    <row r="10856" spans="1:1">
      <c r="A10856" s="56"/>
    </row>
    <row r="10857" spans="1:1">
      <c r="A10857" s="56"/>
    </row>
    <row r="10858" spans="1:1">
      <c r="A10858" s="56"/>
    </row>
    <row r="10859" spans="1:1">
      <c r="A10859" s="56"/>
    </row>
    <row r="10860" spans="1:1">
      <c r="A10860" s="56"/>
    </row>
    <row r="10861" spans="1:1">
      <c r="A10861" s="56"/>
    </row>
    <row r="10862" spans="1:1">
      <c r="A10862" s="56"/>
    </row>
    <row r="10863" spans="1:1">
      <c r="A10863" s="56"/>
    </row>
    <row r="10864" spans="1:1">
      <c r="A10864" s="56"/>
    </row>
    <row r="10865" spans="1:1">
      <c r="A10865" s="56"/>
    </row>
    <row r="10866" spans="1:1">
      <c r="A10866" s="56"/>
    </row>
    <row r="10867" spans="1:1">
      <c r="A10867" s="56"/>
    </row>
    <row r="10868" spans="1:1">
      <c r="A10868" s="56"/>
    </row>
    <row r="10869" spans="1:1">
      <c r="A10869" s="56"/>
    </row>
    <row r="10870" spans="1:1">
      <c r="A10870" s="56"/>
    </row>
    <row r="10871" spans="1:1">
      <c r="A10871" s="56"/>
    </row>
    <row r="10872" spans="1:1">
      <c r="A10872" s="56"/>
    </row>
    <row r="10873" spans="1:1">
      <c r="A10873" s="56"/>
    </row>
    <row r="10874" spans="1:1">
      <c r="A10874" s="56"/>
    </row>
    <row r="10875" spans="1:1">
      <c r="A10875" s="56"/>
    </row>
    <row r="10876" spans="1:1">
      <c r="A10876" s="56"/>
    </row>
    <row r="10877" spans="1:1">
      <c r="A10877" s="56"/>
    </row>
    <row r="10878" spans="1:1">
      <c r="A10878" s="56"/>
    </row>
    <row r="10879" spans="1:1">
      <c r="A10879" s="56"/>
    </row>
    <row r="10880" spans="1:1">
      <c r="A10880" s="56"/>
    </row>
    <row r="10881" spans="1:1">
      <c r="A10881" s="56"/>
    </row>
    <row r="10882" spans="1:1">
      <c r="A10882" s="56"/>
    </row>
    <row r="10883" spans="1:1">
      <c r="A10883" s="56"/>
    </row>
    <row r="10884" spans="1:1">
      <c r="A10884" s="56"/>
    </row>
    <row r="10885" spans="1:1">
      <c r="A10885" s="56"/>
    </row>
    <row r="10886" spans="1:1">
      <c r="A10886" s="56"/>
    </row>
    <row r="10887" spans="1:1">
      <c r="A10887" s="56"/>
    </row>
    <row r="10888" spans="1:1">
      <c r="A10888" s="56"/>
    </row>
    <row r="10889" spans="1:1">
      <c r="A10889" s="56"/>
    </row>
    <row r="10890" spans="1:1">
      <c r="A10890" s="56"/>
    </row>
    <row r="10891" spans="1:1">
      <c r="A10891" s="56"/>
    </row>
    <row r="10892" spans="1:1">
      <c r="A10892" s="56"/>
    </row>
    <row r="10893" spans="1:1">
      <c r="A10893" s="56"/>
    </row>
    <row r="10894" spans="1:1">
      <c r="A10894" s="56"/>
    </row>
    <row r="10895" spans="1:1">
      <c r="A10895" s="56"/>
    </row>
    <row r="10896" spans="1:1">
      <c r="A10896" s="56"/>
    </row>
    <row r="10897" spans="1:1">
      <c r="A10897" s="56"/>
    </row>
    <row r="10898" spans="1:1">
      <c r="A10898" s="56"/>
    </row>
    <row r="10899" spans="1:1">
      <c r="A10899" s="56"/>
    </row>
    <row r="10900" spans="1:1">
      <c r="A10900" s="56"/>
    </row>
    <row r="10901" spans="1:1">
      <c r="A10901" s="56"/>
    </row>
    <row r="10902" spans="1:1">
      <c r="A10902" s="56"/>
    </row>
    <row r="10903" spans="1:1">
      <c r="A10903" s="56"/>
    </row>
    <row r="10904" spans="1:1">
      <c r="A10904" s="56"/>
    </row>
    <row r="10905" spans="1:1">
      <c r="A10905" s="56"/>
    </row>
    <row r="10906" spans="1:1">
      <c r="A10906" s="56"/>
    </row>
    <row r="10907" spans="1:1">
      <c r="A10907" s="56"/>
    </row>
    <row r="10908" spans="1:1">
      <c r="A10908" s="56"/>
    </row>
    <row r="10909" spans="1:1">
      <c r="A10909" s="56"/>
    </row>
    <row r="10910" spans="1:1">
      <c r="A10910" s="56"/>
    </row>
    <row r="10911" spans="1:1">
      <c r="A10911" s="56"/>
    </row>
    <row r="10912" spans="1:1">
      <c r="A10912" s="56"/>
    </row>
    <row r="10913" spans="1:1">
      <c r="A10913" s="56"/>
    </row>
    <row r="10914" spans="1:1">
      <c r="A10914" s="56"/>
    </row>
    <row r="10915" spans="1:1">
      <c r="A10915" s="56"/>
    </row>
    <row r="10916" spans="1:1">
      <c r="A10916" s="56"/>
    </row>
    <row r="10917" spans="1:1">
      <c r="A10917" s="56"/>
    </row>
    <row r="10918" spans="1:1">
      <c r="A10918" s="56"/>
    </row>
    <row r="10919" spans="1:1">
      <c r="A10919" s="56"/>
    </row>
    <row r="10920" spans="1:1">
      <c r="A10920" s="56"/>
    </row>
    <row r="10921" spans="1:1">
      <c r="A10921" s="56"/>
    </row>
    <row r="10922" spans="1:1">
      <c r="A10922" s="56"/>
    </row>
    <row r="10923" spans="1:1">
      <c r="A10923" s="56"/>
    </row>
    <row r="10924" spans="1:1">
      <c r="A10924" s="56"/>
    </row>
    <row r="10925" spans="1:1">
      <c r="A10925" s="56"/>
    </row>
    <row r="10926" spans="1:1">
      <c r="A10926" s="56"/>
    </row>
    <row r="10927" spans="1:1">
      <c r="A10927" s="56"/>
    </row>
    <row r="10928" spans="1:1">
      <c r="A10928" s="56"/>
    </row>
    <row r="10929" spans="1:1">
      <c r="A10929" s="56"/>
    </row>
    <row r="10930" spans="1:1">
      <c r="A10930" s="56"/>
    </row>
    <row r="10931" spans="1:1">
      <c r="A10931" s="56"/>
    </row>
    <row r="10932" spans="1:1">
      <c r="A10932" s="56"/>
    </row>
    <row r="10933" spans="1:1">
      <c r="A10933" s="56"/>
    </row>
    <row r="10934" spans="1:1">
      <c r="A10934" s="56"/>
    </row>
    <row r="10935" spans="1:1">
      <c r="A10935" s="56"/>
    </row>
    <row r="10936" spans="1:1">
      <c r="A10936" s="56"/>
    </row>
    <row r="10937" spans="1:1">
      <c r="A10937" s="56"/>
    </row>
    <row r="10938" spans="1:1">
      <c r="A10938" s="56"/>
    </row>
    <row r="10939" spans="1:1">
      <c r="A10939" s="56"/>
    </row>
    <row r="10940" spans="1:1">
      <c r="A10940" s="56"/>
    </row>
    <row r="10941" spans="1:1">
      <c r="A10941" s="56"/>
    </row>
    <row r="10942" spans="1:1">
      <c r="A10942" s="56"/>
    </row>
    <row r="10943" spans="1:1">
      <c r="A10943" s="56"/>
    </row>
    <row r="10944" spans="1:1">
      <c r="A10944" s="56"/>
    </row>
    <row r="10945" spans="1:1">
      <c r="A10945" s="56"/>
    </row>
    <row r="10946" spans="1:1">
      <c r="A10946" s="56"/>
    </row>
    <row r="10947" spans="1:1">
      <c r="A10947" s="56"/>
    </row>
    <row r="10948" spans="1:1">
      <c r="A10948" s="56"/>
    </row>
    <row r="10949" spans="1:1">
      <c r="A10949" s="56"/>
    </row>
    <row r="10950" spans="1:1">
      <c r="A10950" s="56"/>
    </row>
    <row r="10951" spans="1:1">
      <c r="A10951" s="56"/>
    </row>
    <row r="10952" spans="1:1">
      <c r="A10952" s="56"/>
    </row>
    <row r="10953" spans="1:1">
      <c r="A10953" s="56"/>
    </row>
    <row r="10954" spans="1:1">
      <c r="A10954" s="56"/>
    </row>
    <row r="10955" spans="1:1">
      <c r="A10955" s="56"/>
    </row>
    <row r="10956" spans="1:1">
      <c r="A10956" s="56"/>
    </row>
    <row r="10957" spans="1:1">
      <c r="A10957" s="56"/>
    </row>
    <row r="10958" spans="1:1">
      <c r="A10958" s="56"/>
    </row>
    <row r="10959" spans="1:1">
      <c r="A10959" s="56"/>
    </row>
    <row r="10960" spans="1:1">
      <c r="A10960" s="56"/>
    </row>
    <row r="10961" spans="1:1">
      <c r="A10961" s="56"/>
    </row>
    <row r="10962" spans="1:1">
      <c r="A10962" s="56"/>
    </row>
    <row r="10963" spans="1:1">
      <c r="A10963" s="56"/>
    </row>
    <row r="10964" spans="1:1">
      <c r="A10964" s="56"/>
    </row>
    <row r="10965" spans="1:1">
      <c r="A10965" s="56"/>
    </row>
    <row r="10966" spans="1:1">
      <c r="A10966" s="56"/>
    </row>
    <row r="10967" spans="1:1">
      <c r="A10967" s="56"/>
    </row>
    <row r="10968" spans="1:1">
      <c r="A10968" s="56"/>
    </row>
    <row r="10969" spans="1:1">
      <c r="A10969" s="56"/>
    </row>
    <row r="10970" spans="1:1">
      <c r="A10970" s="56"/>
    </row>
    <row r="10971" spans="1:1">
      <c r="A10971" s="56"/>
    </row>
    <row r="10972" spans="1:1">
      <c r="A10972" s="56"/>
    </row>
    <row r="10973" spans="1:1">
      <c r="A10973" s="56"/>
    </row>
    <row r="10974" spans="1:1">
      <c r="A10974" s="56"/>
    </row>
    <row r="10975" spans="1:1">
      <c r="A10975" s="56"/>
    </row>
    <row r="10976" spans="1:1">
      <c r="A10976" s="56"/>
    </row>
    <row r="10977" spans="1:1">
      <c r="A10977" s="56"/>
    </row>
    <row r="10978" spans="1:1">
      <c r="A10978" s="56"/>
    </row>
    <row r="10979" spans="1:1">
      <c r="A10979" s="56"/>
    </row>
    <row r="10980" spans="1:1">
      <c r="A10980" s="56"/>
    </row>
    <row r="10981" spans="1:1">
      <c r="A10981" s="56"/>
    </row>
    <row r="10982" spans="1:1">
      <c r="A10982" s="56"/>
    </row>
    <row r="10983" spans="1:1">
      <c r="A10983" s="56"/>
    </row>
    <row r="10984" spans="1:1">
      <c r="A10984" s="56"/>
    </row>
    <row r="10985" spans="1:1">
      <c r="A10985" s="56"/>
    </row>
    <row r="10986" spans="1:1">
      <c r="A10986" s="56"/>
    </row>
    <row r="10987" spans="1:1">
      <c r="A10987" s="56"/>
    </row>
    <row r="10988" spans="1:1">
      <c r="A10988" s="56"/>
    </row>
    <row r="10989" spans="1:1">
      <c r="A10989" s="56"/>
    </row>
    <row r="10990" spans="1:1">
      <c r="A10990" s="56"/>
    </row>
    <row r="10991" spans="1:1">
      <c r="A10991" s="56"/>
    </row>
    <row r="10992" spans="1:1">
      <c r="A10992" s="56"/>
    </row>
    <row r="10993" spans="1:1">
      <c r="A10993" s="56"/>
    </row>
    <row r="10994" spans="1:1">
      <c r="A10994" s="56"/>
    </row>
    <row r="10995" spans="1:1">
      <c r="A10995" s="56"/>
    </row>
    <row r="10996" spans="1:1">
      <c r="A10996" s="56"/>
    </row>
    <row r="10997" spans="1:1">
      <c r="A10997" s="56"/>
    </row>
    <row r="10998" spans="1:1">
      <c r="A10998" s="56"/>
    </row>
    <row r="10999" spans="1:1">
      <c r="A10999" s="56"/>
    </row>
    <row r="11000" spans="1:1">
      <c r="A11000" s="56"/>
    </row>
    <row r="11001" spans="1:1">
      <c r="A11001" s="56"/>
    </row>
    <row r="11002" spans="1:1">
      <c r="A11002" s="56"/>
    </row>
    <row r="11003" spans="1:1">
      <c r="A11003" s="56"/>
    </row>
    <row r="11004" spans="1:1">
      <c r="A11004" s="56"/>
    </row>
    <row r="11005" spans="1:1">
      <c r="A11005" s="56"/>
    </row>
    <row r="11006" spans="1:1">
      <c r="A11006" s="56"/>
    </row>
    <row r="11007" spans="1:1">
      <c r="A11007" s="56"/>
    </row>
    <row r="11008" spans="1:1">
      <c r="A11008" s="56"/>
    </row>
    <row r="11009" spans="1:1">
      <c r="A11009" s="56"/>
    </row>
    <row r="11010" spans="1:1">
      <c r="A11010" s="56"/>
    </row>
    <row r="11011" spans="1:1">
      <c r="A11011" s="56"/>
    </row>
    <row r="11012" spans="1:1">
      <c r="A11012" s="56"/>
    </row>
    <row r="11013" spans="1:1">
      <c r="A11013" s="56"/>
    </row>
    <row r="11014" spans="1:1">
      <c r="A11014" s="56"/>
    </row>
    <row r="11015" spans="1:1">
      <c r="A11015" s="56"/>
    </row>
    <row r="11016" spans="1:1">
      <c r="A11016" s="56"/>
    </row>
    <row r="11017" spans="1:1">
      <c r="A11017" s="56"/>
    </row>
    <row r="11018" spans="1:1">
      <c r="A11018" s="56"/>
    </row>
    <row r="11019" spans="1:1">
      <c r="A11019" s="56"/>
    </row>
    <row r="11020" spans="1:1">
      <c r="A11020" s="56"/>
    </row>
    <row r="11021" spans="1:1">
      <c r="A11021" s="56"/>
    </row>
    <row r="11022" spans="1:1">
      <c r="A11022" s="56"/>
    </row>
    <row r="11023" spans="1:1">
      <c r="A11023" s="56"/>
    </row>
    <row r="11024" spans="1:1">
      <c r="A11024" s="56"/>
    </row>
    <row r="11025" spans="1:1">
      <c r="A11025" s="56"/>
    </row>
    <row r="11026" spans="1:1">
      <c r="A11026" s="56"/>
    </row>
    <row r="11027" spans="1:1">
      <c r="A11027" s="56"/>
    </row>
    <row r="11028" spans="1:1">
      <c r="A11028" s="56"/>
    </row>
    <row r="11029" spans="1:1">
      <c r="A11029" s="56"/>
    </row>
    <row r="11030" spans="1:1">
      <c r="A11030" s="56"/>
    </row>
    <row r="11031" spans="1:1">
      <c r="A11031" s="56"/>
    </row>
    <row r="11032" spans="1:1">
      <c r="A11032" s="56"/>
    </row>
    <row r="11033" spans="1:1">
      <c r="A11033" s="56"/>
    </row>
    <row r="11034" spans="1:1">
      <c r="A11034" s="56"/>
    </row>
    <row r="11035" spans="1:1">
      <c r="A11035" s="56"/>
    </row>
    <row r="11036" spans="1:1">
      <c r="A11036" s="56"/>
    </row>
    <row r="11037" spans="1:1">
      <c r="A11037" s="56"/>
    </row>
    <row r="11038" spans="1:1">
      <c r="A11038" s="56"/>
    </row>
    <row r="11039" spans="1:1">
      <c r="A11039" s="56"/>
    </row>
    <row r="11040" spans="1:1">
      <c r="A11040" s="56"/>
    </row>
    <row r="11041" spans="1:1">
      <c r="A11041" s="56"/>
    </row>
    <row r="11042" spans="1:1">
      <c r="A11042" s="56"/>
    </row>
    <row r="11043" spans="1:1">
      <c r="A11043" s="56"/>
    </row>
    <row r="11044" spans="1:1">
      <c r="A11044" s="56"/>
    </row>
    <row r="11045" spans="1:1">
      <c r="A11045" s="56"/>
    </row>
    <row r="11046" spans="1:1">
      <c r="A11046" s="56"/>
    </row>
    <row r="11047" spans="1:1">
      <c r="A11047" s="56"/>
    </row>
    <row r="11048" spans="1:1">
      <c r="A11048" s="56"/>
    </row>
    <row r="11049" spans="1:1">
      <c r="A11049" s="56"/>
    </row>
    <row r="11050" spans="1:1">
      <c r="A11050" s="56"/>
    </row>
    <row r="11051" spans="1:1">
      <c r="A11051" s="56"/>
    </row>
    <row r="11052" spans="1:1">
      <c r="A11052" s="56"/>
    </row>
    <row r="11053" spans="1:1">
      <c r="A11053" s="56"/>
    </row>
    <row r="11054" spans="1:1">
      <c r="A11054" s="56"/>
    </row>
    <row r="11055" spans="1:1">
      <c r="A11055" s="56"/>
    </row>
    <row r="11056" spans="1:1">
      <c r="A11056" s="56"/>
    </row>
    <row r="11057" spans="1:1">
      <c r="A11057" s="56"/>
    </row>
    <row r="11058" spans="1:1">
      <c r="A11058" s="56"/>
    </row>
    <row r="11059" spans="1:1">
      <c r="A11059" s="56"/>
    </row>
    <row r="11060" spans="1:1">
      <c r="A11060" s="56"/>
    </row>
    <row r="11061" spans="1:1">
      <c r="A11061" s="56"/>
    </row>
    <row r="11062" spans="1:1">
      <c r="A11062" s="56"/>
    </row>
    <row r="11063" spans="1:1">
      <c r="A11063" s="56"/>
    </row>
    <row r="11064" spans="1:1">
      <c r="A11064" s="56"/>
    </row>
    <row r="11065" spans="1:1">
      <c r="A11065" s="56"/>
    </row>
    <row r="11066" spans="1:1">
      <c r="A11066" s="56"/>
    </row>
    <row r="11067" spans="1:1">
      <c r="A11067" s="56"/>
    </row>
    <row r="11068" spans="1:1">
      <c r="A11068" s="56"/>
    </row>
    <row r="11069" spans="1:1">
      <c r="A11069" s="56"/>
    </row>
    <row r="11070" spans="1:1">
      <c r="A11070" s="56"/>
    </row>
    <row r="11071" spans="1:1">
      <c r="A11071" s="56"/>
    </row>
    <row r="11072" spans="1:1">
      <c r="A11072" s="56"/>
    </row>
    <row r="11073" spans="1:1">
      <c r="A11073" s="56"/>
    </row>
    <row r="11074" spans="1:1">
      <c r="A11074" s="56"/>
    </row>
    <row r="11075" spans="1:1">
      <c r="A11075" s="56"/>
    </row>
    <row r="11076" spans="1:1">
      <c r="A11076" s="56"/>
    </row>
    <row r="11077" spans="1:1">
      <c r="A11077" s="56"/>
    </row>
    <row r="11078" spans="1:1">
      <c r="A11078" s="56"/>
    </row>
    <row r="11079" spans="1:1">
      <c r="A11079" s="56"/>
    </row>
    <row r="11080" spans="1:1">
      <c r="A11080" s="56"/>
    </row>
    <row r="11081" spans="1:1">
      <c r="A11081" s="56"/>
    </row>
    <row r="11082" spans="1:1">
      <c r="A11082" s="56"/>
    </row>
    <row r="11083" spans="1:1">
      <c r="A11083" s="56"/>
    </row>
    <row r="11084" spans="1:1">
      <c r="A11084" s="56"/>
    </row>
    <row r="11085" spans="1:1">
      <c r="A11085" s="56"/>
    </row>
    <row r="11086" spans="1:1">
      <c r="A11086" s="56"/>
    </row>
    <row r="11087" spans="1:1">
      <c r="A11087" s="56"/>
    </row>
    <row r="11088" spans="1:1">
      <c r="A11088" s="56"/>
    </row>
    <row r="11089" spans="1:1">
      <c r="A11089" s="56"/>
    </row>
    <row r="11090" spans="1:1">
      <c r="A11090" s="56"/>
    </row>
    <row r="11091" spans="1:1">
      <c r="A11091" s="56"/>
    </row>
    <row r="11092" spans="1:1">
      <c r="A11092" s="56"/>
    </row>
    <row r="11093" spans="1:1">
      <c r="A11093" s="56"/>
    </row>
    <row r="11094" spans="1:1">
      <c r="A11094" s="56"/>
    </row>
    <row r="11095" spans="1:1">
      <c r="A11095" s="56"/>
    </row>
    <row r="11096" spans="1:1">
      <c r="A11096" s="56"/>
    </row>
    <row r="11097" spans="1:1">
      <c r="A11097" s="56"/>
    </row>
    <row r="11098" spans="1:1">
      <c r="A11098" s="56"/>
    </row>
    <row r="11099" spans="1:1">
      <c r="A11099" s="56"/>
    </row>
    <row r="11100" spans="1:1">
      <c r="A11100" s="56"/>
    </row>
    <row r="11101" spans="1:1">
      <c r="A11101" s="56"/>
    </row>
    <row r="11102" spans="1:1">
      <c r="A11102" s="56"/>
    </row>
    <row r="11103" spans="1:1">
      <c r="A11103" s="56"/>
    </row>
    <row r="11104" spans="1:1">
      <c r="A11104" s="56"/>
    </row>
    <row r="11105" spans="1:1">
      <c r="A11105" s="56"/>
    </row>
    <row r="11106" spans="1:1">
      <c r="A11106" s="56"/>
    </row>
    <row r="11107" spans="1:1">
      <c r="A11107" s="56"/>
    </row>
    <row r="11108" spans="1:1">
      <c r="A11108" s="56"/>
    </row>
    <row r="11109" spans="1:1">
      <c r="A11109" s="56"/>
    </row>
    <row r="11110" spans="1:1">
      <c r="A11110" s="56"/>
    </row>
    <row r="11111" spans="1:1">
      <c r="A11111" s="56"/>
    </row>
    <row r="11112" spans="1:1">
      <c r="A11112" s="56"/>
    </row>
    <row r="11113" spans="1:1">
      <c r="A11113" s="56"/>
    </row>
    <row r="11114" spans="1:1">
      <c r="A11114" s="56"/>
    </row>
    <row r="11115" spans="1:1">
      <c r="A11115" s="56"/>
    </row>
    <row r="11116" spans="1:1">
      <c r="A11116" s="56"/>
    </row>
    <row r="11117" spans="1:1">
      <c r="A11117" s="56"/>
    </row>
    <row r="11118" spans="1:1">
      <c r="A11118" s="56"/>
    </row>
    <row r="11119" spans="1:1">
      <c r="A11119" s="56"/>
    </row>
    <row r="11120" spans="1:1">
      <c r="A11120" s="56"/>
    </row>
    <row r="11121" spans="1:1">
      <c r="A11121" s="56"/>
    </row>
    <row r="11122" spans="1:1">
      <c r="A11122" s="56"/>
    </row>
    <row r="11123" spans="1:1">
      <c r="A11123" s="56"/>
    </row>
    <row r="11124" spans="1:1">
      <c r="A11124" s="56"/>
    </row>
    <row r="11125" spans="1:1">
      <c r="A11125" s="56"/>
    </row>
    <row r="11126" spans="1:1">
      <c r="A11126" s="56"/>
    </row>
    <row r="11127" spans="1:1">
      <c r="A11127" s="56"/>
    </row>
    <row r="11128" spans="1:1">
      <c r="A11128" s="56"/>
    </row>
    <row r="11129" spans="1:1">
      <c r="A11129" s="56"/>
    </row>
    <row r="11130" spans="1:1">
      <c r="A11130" s="56"/>
    </row>
    <row r="11131" spans="1:1">
      <c r="A11131" s="56"/>
    </row>
    <row r="11132" spans="1:1">
      <c r="A11132" s="56"/>
    </row>
    <row r="11133" spans="1:1">
      <c r="A11133" s="56"/>
    </row>
    <row r="11134" spans="1:1">
      <c r="A11134" s="56"/>
    </row>
    <row r="11135" spans="1:1">
      <c r="A11135" s="56"/>
    </row>
    <row r="11136" spans="1:1">
      <c r="A11136" s="56"/>
    </row>
    <row r="11137" spans="1:1">
      <c r="A11137" s="56"/>
    </row>
    <row r="11138" spans="1:1">
      <c r="A11138" s="56"/>
    </row>
    <row r="11139" spans="1:1">
      <c r="A11139" s="56"/>
    </row>
    <row r="11140" spans="1:1">
      <c r="A11140" s="56"/>
    </row>
    <row r="11141" spans="1:1">
      <c r="A11141" s="56"/>
    </row>
    <row r="11142" spans="1:1">
      <c r="A11142" s="56"/>
    </row>
    <row r="11143" spans="1:1">
      <c r="A11143" s="56"/>
    </row>
    <row r="11144" spans="1:1">
      <c r="A11144" s="56"/>
    </row>
    <row r="11145" spans="1:1">
      <c r="A11145" s="56"/>
    </row>
    <row r="11146" spans="1:1">
      <c r="A11146" s="56"/>
    </row>
    <row r="11147" spans="1:1">
      <c r="A11147" s="56"/>
    </row>
    <row r="11148" spans="1:1">
      <c r="A11148" s="56"/>
    </row>
    <row r="11149" spans="1:1">
      <c r="A11149" s="56"/>
    </row>
    <row r="11150" spans="1:1">
      <c r="A11150" s="56"/>
    </row>
    <row r="11151" spans="1:1">
      <c r="A11151" s="56"/>
    </row>
    <row r="11152" spans="1:1">
      <c r="A11152" s="56"/>
    </row>
    <row r="11153" spans="1:1">
      <c r="A11153" s="56"/>
    </row>
    <row r="11154" spans="1:1">
      <c r="A11154" s="56"/>
    </row>
    <row r="11155" spans="1:1">
      <c r="A11155" s="56"/>
    </row>
    <row r="11156" spans="1:1">
      <c r="A11156" s="56"/>
    </row>
    <row r="11157" spans="1:1">
      <c r="A11157" s="56"/>
    </row>
    <row r="11158" spans="1:1">
      <c r="A11158" s="56"/>
    </row>
    <row r="11159" spans="1:1">
      <c r="A11159" s="56"/>
    </row>
    <row r="11160" spans="1:1">
      <c r="A11160" s="56"/>
    </row>
    <row r="11161" spans="1:1">
      <c r="A11161" s="56"/>
    </row>
    <row r="11162" spans="1:1">
      <c r="A11162" s="56"/>
    </row>
    <row r="11163" spans="1:1">
      <c r="A11163" s="56"/>
    </row>
    <row r="11164" spans="1:1">
      <c r="A11164" s="56"/>
    </row>
    <row r="11165" spans="1:1">
      <c r="A11165" s="56"/>
    </row>
    <row r="11166" spans="1:1">
      <c r="A11166" s="56"/>
    </row>
    <row r="11167" spans="1:1">
      <c r="A11167" s="56"/>
    </row>
    <row r="11168" spans="1:1">
      <c r="A11168" s="56"/>
    </row>
    <row r="11169" spans="1:1">
      <c r="A11169" s="56"/>
    </row>
    <row r="11170" spans="1:1">
      <c r="A11170" s="56"/>
    </row>
    <row r="11171" spans="1:1">
      <c r="A11171" s="56"/>
    </row>
    <row r="11172" spans="1:1">
      <c r="A11172" s="56"/>
    </row>
    <row r="11173" spans="1:1">
      <c r="A11173" s="56"/>
    </row>
    <row r="11174" spans="1:1">
      <c r="A11174" s="56"/>
    </row>
    <row r="11175" spans="1:1">
      <c r="A11175" s="56"/>
    </row>
    <row r="11176" spans="1:1">
      <c r="A11176" s="56"/>
    </row>
    <row r="11177" spans="1:1">
      <c r="A11177" s="56"/>
    </row>
    <row r="11178" spans="1:1">
      <c r="A11178" s="56"/>
    </row>
    <row r="11179" spans="1:1">
      <c r="A11179" s="56"/>
    </row>
    <row r="11180" spans="1:1">
      <c r="A11180" s="56"/>
    </row>
    <row r="11181" spans="1:1">
      <c r="A11181" s="56"/>
    </row>
    <row r="11182" spans="1:1">
      <c r="A11182" s="56"/>
    </row>
    <row r="11183" spans="1:1">
      <c r="A11183" s="56"/>
    </row>
    <row r="11184" spans="1:1">
      <c r="A11184" s="56"/>
    </row>
    <row r="11185" spans="1:1">
      <c r="A11185" s="56"/>
    </row>
    <row r="11186" spans="1:1">
      <c r="A11186" s="56"/>
    </row>
    <row r="11187" spans="1:1">
      <c r="A11187" s="56"/>
    </row>
    <row r="11188" spans="1:1">
      <c r="A11188" s="56"/>
    </row>
    <row r="11189" spans="1:1">
      <c r="A11189" s="56"/>
    </row>
    <row r="11190" spans="1:1">
      <c r="A11190" s="56"/>
    </row>
    <row r="11191" spans="1:1">
      <c r="A11191" s="56"/>
    </row>
    <row r="11192" spans="1:1">
      <c r="A11192" s="56"/>
    </row>
    <row r="11193" spans="1:1">
      <c r="A11193" s="56"/>
    </row>
    <row r="11194" spans="1:1">
      <c r="A11194" s="56"/>
    </row>
    <row r="11195" spans="1:1">
      <c r="A11195" s="56"/>
    </row>
    <row r="11196" spans="1:1">
      <c r="A11196" s="56"/>
    </row>
    <row r="11197" spans="1:1">
      <c r="A11197" s="56"/>
    </row>
    <row r="11198" spans="1:1">
      <c r="A11198" s="56"/>
    </row>
    <row r="11199" spans="1:1">
      <c r="A11199" s="56"/>
    </row>
    <row r="11200" spans="1:1">
      <c r="A11200" s="56"/>
    </row>
    <row r="11201" spans="1:1">
      <c r="A11201" s="56"/>
    </row>
    <row r="11202" spans="1:1">
      <c r="A11202" s="56"/>
    </row>
    <row r="11203" spans="1:1">
      <c r="A11203" s="56"/>
    </row>
    <row r="11204" spans="1:1">
      <c r="A11204" s="56"/>
    </row>
    <row r="11205" spans="1:1">
      <c r="A11205" s="56"/>
    </row>
    <row r="11206" spans="1:1">
      <c r="A11206" s="56"/>
    </row>
    <row r="11207" spans="1:1">
      <c r="A11207" s="56"/>
    </row>
    <row r="11208" spans="1:1">
      <c r="A11208" s="56"/>
    </row>
    <row r="11209" spans="1:1">
      <c r="A11209" s="56"/>
    </row>
    <row r="11210" spans="1:1">
      <c r="A11210" s="56"/>
    </row>
    <row r="11211" spans="1:1">
      <c r="A11211" s="56"/>
    </row>
    <row r="11212" spans="1:1">
      <c r="A11212" s="56"/>
    </row>
    <row r="11213" spans="1:1">
      <c r="A11213" s="56"/>
    </row>
    <row r="11214" spans="1:1">
      <c r="A11214" s="56"/>
    </row>
    <row r="11215" spans="1:1">
      <c r="A11215" s="56"/>
    </row>
    <row r="11216" spans="1:1">
      <c r="A11216" s="56"/>
    </row>
    <row r="11217" spans="1:1">
      <c r="A11217" s="56"/>
    </row>
    <row r="11218" spans="1:1">
      <c r="A11218" s="56"/>
    </row>
    <row r="11219" spans="1:1">
      <c r="A11219" s="56"/>
    </row>
    <row r="11220" spans="1:1">
      <c r="A11220" s="56"/>
    </row>
    <row r="11221" spans="1:1">
      <c r="A11221" s="56"/>
    </row>
    <row r="11222" spans="1:1">
      <c r="A11222" s="56"/>
    </row>
    <row r="11223" spans="1:1">
      <c r="A11223" s="56"/>
    </row>
    <row r="11224" spans="1:1">
      <c r="A11224" s="56"/>
    </row>
    <row r="11225" spans="1:1">
      <c r="A11225" s="56"/>
    </row>
    <row r="11226" spans="1:1">
      <c r="A11226" s="56"/>
    </row>
    <row r="11227" spans="1:1">
      <c r="A11227" s="56"/>
    </row>
    <row r="11228" spans="1:1">
      <c r="A11228" s="56"/>
    </row>
    <row r="11229" spans="1:1">
      <c r="A11229" s="56"/>
    </row>
    <row r="11230" spans="1:1">
      <c r="A11230" s="56"/>
    </row>
    <row r="11231" spans="1:1">
      <c r="A11231" s="56"/>
    </row>
    <row r="11232" spans="1:1">
      <c r="A11232" s="56"/>
    </row>
    <row r="11233" spans="1:1">
      <c r="A11233" s="56"/>
    </row>
    <row r="11234" spans="1:1">
      <c r="A11234" s="56"/>
    </row>
    <row r="11235" spans="1:1">
      <c r="A11235" s="56"/>
    </row>
    <row r="11236" spans="1:1">
      <c r="A11236" s="56"/>
    </row>
    <row r="11237" spans="1:1">
      <c r="A11237" s="56"/>
    </row>
    <row r="11238" spans="1:1">
      <c r="A11238" s="56"/>
    </row>
    <row r="11239" spans="1:1">
      <c r="A11239" s="56"/>
    </row>
    <row r="11240" spans="1:1">
      <c r="A11240" s="56"/>
    </row>
    <row r="11241" spans="1:1">
      <c r="A11241" s="56"/>
    </row>
    <row r="11242" spans="1:1">
      <c r="A11242" s="56"/>
    </row>
    <row r="11243" spans="1:1">
      <c r="A11243" s="56"/>
    </row>
    <row r="11244" spans="1:1">
      <c r="A11244" s="56"/>
    </row>
    <row r="11245" spans="1:1">
      <c r="A11245" s="56"/>
    </row>
    <row r="11246" spans="1:1">
      <c r="A11246" s="56"/>
    </row>
    <row r="11247" spans="1:1">
      <c r="A11247" s="56"/>
    </row>
    <row r="11248" spans="1:1">
      <c r="A11248" s="56"/>
    </row>
    <row r="11249" spans="1:1">
      <c r="A11249" s="56"/>
    </row>
    <row r="11250" spans="1:1">
      <c r="A11250" s="56"/>
    </row>
    <row r="11251" spans="1:1">
      <c r="A11251" s="56"/>
    </row>
    <row r="11252" spans="1:1">
      <c r="A11252" s="56"/>
    </row>
    <row r="11253" spans="1:1">
      <c r="A11253" s="56"/>
    </row>
    <row r="11254" spans="1:1">
      <c r="A11254" s="56"/>
    </row>
    <row r="11255" spans="1:1">
      <c r="A11255" s="56"/>
    </row>
    <row r="11256" spans="1:1">
      <c r="A11256" s="56"/>
    </row>
    <row r="11257" spans="1:1">
      <c r="A11257" s="56"/>
    </row>
    <row r="11258" spans="1:1">
      <c r="A11258" s="56"/>
    </row>
    <row r="11259" spans="1:1">
      <c r="A11259" s="56"/>
    </row>
    <row r="11260" spans="1:1">
      <c r="A11260" s="56"/>
    </row>
    <row r="11261" spans="1:1">
      <c r="A11261" s="56"/>
    </row>
    <row r="11262" spans="1:1">
      <c r="A11262" s="56"/>
    </row>
    <row r="11263" spans="1:1">
      <c r="A11263" s="56"/>
    </row>
    <row r="11264" spans="1:1">
      <c r="A11264" s="56"/>
    </row>
    <row r="11265" spans="1:1">
      <c r="A11265" s="56"/>
    </row>
    <row r="11266" spans="1:1">
      <c r="A11266" s="56"/>
    </row>
    <row r="11267" spans="1:1">
      <c r="A11267" s="56"/>
    </row>
    <row r="11268" spans="1:1">
      <c r="A11268" s="56"/>
    </row>
    <row r="11269" spans="1:1">
      <c r="A11269" s="56"/>
    </row>
    <row r="11270" spans="1:1">
      <c r="A11270" s="56"/>
    </row>
    <row r="11271" spans="1:1">
      <c r="A11271" s="56"/>
    </row>
    <row r="11272" spans="1:1">
      <c r="A11272" s="56"/>
    </row>
    <row r="11273" spans="1:1">
      <c r="A11273" s="56"/>
    </row>
    <row r="11274" spans="1:1">
      <c r="A11274" s="56"/>
    </row>
    <row r="11275" spans="1:1">
      <c r="A11275" s="56"/>
    </row>
    <row r="11276" spans="1:1">
      <c r="A11276" s="56"/>
    </row>
    <row r="11277" spans="1:1">
      <c r="A11277" s="56"/>
    </row>
    <row r="11278" spans="1:1">
      <c r="A11278" s="56"/>
    </row>
    <row r="11279" spans="1:1">
      <c r="A11279" s="56"/>
    </row>
    <row r="11280" spans="1:1">
      <c r="A11280" s="56"/>
    </row>
    <row r="11281" spans="1:1">
      <c r="A11281" s="56"/>
    </row>
    <row r="11282" spans="1:1">
      <c r="A11282" s="56"/>
    </row>
    <row r="11283" spans="1:1">
      <c r="A11283" s="56"/>
    </row>
    <row r="11284" spans="1:1">
      <c r="A11284" s="56"/>
    </row>
    <row r="11285" spans="1:1">
      <c r="A11285" s="56"/>
    </row>
    <row r="11286" spans="1:1">
      <c r="A11286" s="56"/>
    </row>
    <row r="11287" spans="1:1">
      <c r="A11287" s="56"/>
    </row>
    <row r="11288" spans="1:1">
      <c r="A11288" s="56"/>
    </row>
    <row r="11289" spans="1:1">
      <c r="A11289" s="56"/>
    </row>
    <row r="11290" spans="1:1">
      <c r="A11290" s="56"/>
    </row>
    <row r="11291" spans="1:1">
      <c r="A11291" s="56"/>
    </row>
    <row r="11292" spans="1:1">
      <c r="A11292" s="56"/>
    </row>
    <row r="11293" spans="1:1">
      <c r="A11293" s="56"/>
    </row>
    <row r="11294" spans="1:1">
      <c r="A11294" s="56"/>
    </row>
    <row r="11295" spans="1:1">
      <c r="A11295" s="56"/>
    </row>
    <row r="11296" spans="1:1">
      <c r="A11296" s="56"/>
    </row>
    <row r="11297" spans="1:1">
      <c r="A11297" s="56"/>
    </row>
    <row r="11298" spans="1:1">
      <c r="A11298" s="56"/>
    </row>
    <row r="11299" spans="1:1">
      <c r="A11299" s="56"/>
    </row>
    <row r="11300" spans="1:1">
      <c r="A11300" s="56"/>
    </row>
    <row r="11301" spans="1:1">
      <c r="A11301" s="56"/>
    </row>
    <row r="11302" spans="1:1">
      <c r="A11302" s="56"/>
    </row>
    <row r="11303" spans="1:1">
      <c r="A11303" s="56"/>
    </row>
    <row r="11304" spans="1:1">
      <c r="A11304" s="56"/>
    </row>
    <row r="11305" spans="1:1">
      <c r="A11305" s="56"/>
    </row>
    <row r="11306" spans="1:1">
      <c r="A11306" s="56"/>
    </row>
    <row r="11307" spans="1:1">
      <c r="A11307" s="56"/>
    </row>
    <row r="11308" spans="1:1">
      <c r="A11308" s="56"/>
    </row>
    <row r="11309" spans="1:1">
      <c r="A11309" s="56"/>
    </row>
    <row r="11310" spans="1:1">
      <c r="A11310" s="56"/>
    </row>
    <row r="11311" spans="1:1">
      <c r="A11311" s="56"/>
    </row>
    <row r="11312" spans="1:1">
      <c r="A11312" s="56"/>
    </row>
    <row r="11313" spans="1:1">
      <c r="A11313" s="56"/>
    </row>
    <row r="11314" spans="1:1">
      <c r="A11314" s="56"/>
    </row>
    <row r="11315" spans="1:1">
      <c r="A11315" s="56"/>
    </row>
    <row r="11316" spans="1:1">
      <c r="A11316" s="56"/>
    </row>
    <row r="11317" spans="1:1">
      <c r="A11317" s="56"/>
    </row>
    <row r="11318" spans="1:1">
      <c r="A11318" s="56"/>
    </row>
    <row r="11319" spans="1:1">
      <c r="A11319" s="56"/>
    </row>
    <row r="11320" spans="1:1">
      <c r="A11320" s="56"/>
    </row>
    <row r="11321" spans="1:1">
      <c r="A11321" s="56"/>
    </row>
    <row r="11322" spans="1:1">
      <c r="A11322" s="56"/>
    </row>
    <row r="11323" spans="1:1">
      <c r="A11323" s="56"/>
    </row>
    <row r="11324" spans="1:1">
      <c r="A11324" s="56"/>
    </row>
    <row r="11325" spans="1:1">
      <c r="A11325" s="56"/>
    </row>
    <row r="11326" spans="1:1">
      <c r="A11326" s="56"/>
    </row>
    <row r="11327" spans="1:1">
      <c r="A11327" s="56"/>
    </row>
    <row r="11328" spans="1:1">
      <c r="A11328" s="56"/>
    </row>
    <row r="11329" spans="1:1">
      <c r="A11329" s="56"/>
    </row>
    <row r="11330" spans="1:1">
      <c r="A11330" s="56"/>
    </row>
    <row r="11331" spans="1:1">
      <c r="A11331" s="56"/>
    </row>
    <row r="11332" spans="1:1">
      <c r="A11332" s="56"/>
    </row>
    <row r="11333" spans="1:1">
      <c r="A11333" s="56"/>
    </row>
    <row r="11334" spans="1:1">
      <c r="A11334" s="56"/>
    </row>
    <row r="11335" spans="1:1">
      <c r="A11335" s="56"/>
    </row>
    <row r="11336" spans="1:1">
      <c r="A11336" s="56"/>
    </row>
    <row r="11337" spans="1:1">
      <c r="A11337" s="56"/>
    </row>
    <row r="11338" spans="1:1">
      <c r="A11338" s="56"/>
    </row>
    <row r="11339" spans="1:1">
      <c r="A11339" s="56"/>
    </row>
    <row r="11340" spans="1:1">
      <c r="A11340" s="56"/>
    </row>
    <row r="11341" spans="1:1">
      <c r="A11341" s="56"/>
    </row>
    <row r="11342" spans="1:1">
      <c r="A11342" s="56"/>
    </row>
    <row r="11343" spans="1:1">
      <c r="A11343" s="56"/>
    </row>
    <row r="11344" spans="1:1">
      <c r="A11344" s="56"/>
    </row>
    <row r="11345" spans="1:1">
      <c r="A11345" s="56"/>
    </row>
    <row r="11346" spans="1:1">
      <c r="A11346" s="56"/>
    </row>
    <row r="11347" spans="1:1">
      <c r="A11347" s="56"/>
    </row>
    <row r="11348" spans="1:1">
      <c r="A11348" s="56"/>
    </row>
    <row r="11349" spans="1:1">
      <c r="A11349" s="56"/>
    </row>
    <row r="11350" spans="1:1">
      <c r="A11350" s="56"/>
    </row>
    <row r="11351" spans="1:1">
      <c r="A11351" s="56"/>
    </row>
    <row r="11352" spans="1:1">
      <c r="A11352" s="56"/>
    </row>
    <row r="11353" spans="1:1">
      <c r="A11353" s="56"/>
    </row>
    <row r="11354" spans="1:1">
      <c r="A11354" s="56"/>
    </row>
    <row r="11355" spans="1:1">
      <c r="A11355" s="56"/>
    </row>
    <row r="11356" spans="1:1">
      <c r="A11356" s="56"/>
    </row>
    <row r="11357" spans="1:1">
      <c r="A11357" s="56"/>
    </row>
    <row r="11358" spans="1:1">
      <c r="A11358" s="56"/>
    </row>
    <row r="11359" spans="1:1">
      <c r="A11359" s="56"/>
    </row>
    <row r="11360" spans="1:1">
      <c r="A11360" s="56"/>
    </row>
    <row r="11361" spans="1:1">
      <c r="A11361" s="56"/>
    </row>
    <row r="11362" spans="1:1">
      <c r="A11362" s="56"/>
    </row>
    <row r="11363" spans="1:1">
      <c r="A11363" s="56"/>
    </row>
    <row r="11364" spans="1:1">
      <c r="A11364" s="56"/>
    </row>
    <row r="11365" spans="1:1">
      <c r="A11365" s="56"/>
    </row>
    <row r="11366" spans="1:1">
      <c r="A11366" s="56"/>
    </row>
    <row r="11367" spans="1:1">
      <c r="A11367" s="56"/>
    </row>
    <row r="11368" spans="1:1">
      <c r="A11368" s="56"/>
    </row>
    <row r="11369" spans="1:1">
      <c r="A11369" s="56"/>
    </row>
    <row r="11370" spans="1:1">
      <c r="A11370" s="56"/>
    </row>
    <row r="11371" spans="1:1">
      <c r="A11371" s="56"/>
    </row>
    <row r="11372" spans="1:1">
      <c r="A11372" s="56"/>
    </row>
    <row r="11373" spans="1:1">
      <c r="A11373" s="56"/>
    </row>
    <row r="11374" spans="1:1">
      <c r="A11374" s="56"/>
    </row>
    <row r="11375" spans="1:1">
      <c r="A11375" s="56"/>
    </row>
    <row r="11376" spans="1:1">
      <c r="A11376" s="56"/>
    </row>
    <row r="11377" spans="1:1">
      <c r="A11377" s="56"/>
    </row>
    <row r="11378" spans="1:1">
      <c r="A11378" s="56"/>
    </row>
    <row r="11379" spans="1:1">
      <c r="A11379" s="56"/>
    </row>
    <row r="11380" spans="1:1">
      <c r="A11380" s="56"/>
    </row>
    <row r="11381" spans="1:1">
      <c r="A11381" s="56"/>
    </row>
    <row r="11382" spans="1:1">
      <c r="A11382" s="56"/>
    </row>
    <row r="11383" spans="1:1">
      <c r="A11383" s="56"/>
    </row>
    <row r="11384" spans="1:1">
      <c r="A11384" s="56"/>
    </row>
    <row r="11385" spans="1:1">
      <c r="A11385" s="56"/>
    </row>
    <row r="11386" spans="1:1">
      <c r="A11386" s="56"/>
    </row>
    <row r="11387" spans="1:1">
      <c r="A11387" s="56"/>
    </row>
    <row r="11388" spans="1:1">
      <c r="A11388" s="56"/>
    </row>
    <row r="11389" spans="1:1">
      <c r="A11389" s="56"/>
    </row>
    <row r="11390" spans="1:1">
      <c r="A11390" s="56"/>
    </row>
    <row r="11391" spans="1:1">
      <c r="A11391" s="56"/>
    </row>
    <row r="11392" spans="1:1">
      <c r="A11392" s="56"/>
    </row>
    <row r="11393" spans="1:1">
      <c r="A11393" s="56"/>
    </row>
    <row r="11394" spans="1:1">
      <c r="A11394" s="56"/>
    </row>
    <row r="11395" spans="1:1">
      <c r="A11395" s="56"/>
    </row>
    <row r="11396" spans="1:1">
      <c r="A11396" s="56"/>
    </row>
    <row r="11397" spans="1:1">
      <c r="A11397" s="56"/>
    </row>
    <row r="11398" spans="1:1">
      <c r="A11398" s="56"/>
    </row>
    <row r="11399" spans="1:1">
      <c r="A11399" s="56"/>
    </row>
    <row r="11400" spans="1:1">
      <c r="A11400" s="56"/>
    </row>
    <row r="11401" spans="1:1">
      <c r="A11401" s="56"/>
    </row>
    <row r="11402" spans="1:1">
      <c r="A11402" s="56"/>
    </row>
    <row r="11403" spans="1:1">
      <c r="A11403" s="56"/>
    </row>
    <row r="11404" spans="1:1">
      <c r="A11404" s="56"/>
    </row>
    <row r="11405" spans="1:1">
      <c r="A11405" s="56"/>
    </row>
    <row r="11406" spans="1:1">
      <c r="A11406" s="56"/>
    </row>
    <row r="11407" spans="1:1">
      <c r="A11407" s="56"/>
    </row>
    <row r="11408" spans="1:1">
      <c r="A11408" s="56"/>
    </row>
    <row r="11409" spans="1:1">
      <c r="A11409" s="56"/>
    </row>
    <row r="11410" spans="1:1">
      <c r="A11410" s="56"/>
    </row>
    <row r="11411" spans="1:1">
      <c r="A11411" s="56"/>
    </row>
    <row r="11412" spans="1:1">
      <c r="A11412" s="56"/>
    </row>
    <row r="11413" spans="1:1">
      <c r="A11413" s="56"/>
    </row>
    <row r="11414" spans="1:1">
      <c r="A11414" s="56"/>
    </row>
    <row r="11415" spans="1:1">
      <c r="A11415" s="56"/>
    </row>
    <row r="11416" spans="1:1">
      <c r="A11416" s="56"/>
    </row>
    <row r="11417" spans="1:1">
      <c r="A11417" s="56"/>
    </row>
    <row r="11418" spans="1:1">
      <c r="A11418" s="56"/>
    </row>
    <row r="11419" spans="1:1">
      <c r="A11419" s="56"/>
    </row>
    <row r="11420" spans="1:1">
      <c r="A11420" s="56"/>
    </row>
    <row r="11421" spans="1:1">
      <c r="A11421" s="56"/>
    </row>
    <row r="11422" spans="1:1">
      <c r="A11422" s="56"/>
    </row>
    <row r="11423" spans="1:1">
      <c r="A11423" s="56"/>
    </row>
    <row r="11424" spans="1:1">
      <c r="A11424" s="56"/>
    </row>
    <row r="11425" spans="1:1">
      <c r="A11425" s="56"/>
    </row>
    <row r="11426" spans="1:1">
      <c r="A11426" s="56"/>
    </row>
    <row r="11427" spans="1:1">
      <c r="A11427" s="56"/>
    </row>
    <row r="11428" spans="1:1">
      <c r="A11428" s="56"/>
    </row>
    <row r="11429" spans="1:1">
      <c r="A11429" s="56"/>
    </row>
    <row r="11430" spans="1:1">
      <c r="A11430" s="56"/>
    </row>
    <row r="11431" spans="1:1">
      <c r="A11431" s="56"/>
    </row>
    <row r="11432" spans="1:1">
      <c r="A11432" s="56"/>
    </row>
    <row r="11433" spans="1:1">
      <c r="A11433" s="56"/>
    </row>
    <row r="11434" spans="1:1">
      <c r="A11434" s="56"/>
    </row>
    <row r="11435" spans="1:1">
      <c r="A11435" s="56"/>
    </row>
    <row r="11436" spans="1:1">
      <c r="A11436" s="56"/>
    </row>
    <row r="11437" spans="1:1">
      <c r="A11437" s="56"/>
    </row>
    <row r="11438" spans="1:1">
      <c r="A11438" s="56"/>
    </row>
    <row r="11439" spans="1:1">
      <c r="A11439" s="56"/>
    </row>
    <row r="11440" spans="1:1">
      <c r="A11440" s="56"/>
    </row>
    <row r="11441" spans="1:1">
      <c r="A11441" s="56"/>
    </row>
    <row r="11442" spans="1:1">
      <c r="A11442" s="56"/>
    </row>
    <row r="11443" spans="1:1">
      <c r="A11443" s="56"/>
    </row>
    <row r="11444" spans="1:1">
      <c r="A11444" s="56"/>
    </row>
    <row r="11445" spans="1:1">
      <c r="A11445" s="56"/>
    </row>
    <row r="11446" spans="1:1">
      <c r="A11446" s="56"/>
    </row>
    <row r="11447" spans="1:1">
      <c r="A11447" s="56"/>
    </row>
    <row r="11448" spans="1:1">
      <c r="A11448" s="56"/>
    </row>
    <row r="11449" spans="1:1">
      <c r="A11449" s="56"/>
    </row>
    <row r="11450" spans="1:1">
      <c r="A11450" s="56"/>
    </row>
    <row r="11451" spans="1:1">
      <c r="A11451" s="56"/>
    </row>
    <row r="11452" spans="1:1">
      <c r="A11452" s="56"/>
    </row>
    <row r="11453" spans="1:1">
      <c r="A11453" s="56"/>
    </row>
    <row r="11454" spans="1:1">
      <c r="A11454" s="56"/>
    </row>
    <row r="11455" spans="1:1">
      <c r="A11455" s="56"/>
    </row>
    <row r="11456" spans="1:1">
      <c r="A11456" s="56"/>
    </row>
    <row r="11457" spans="1:1">
      <c r="A11457" s="56"/>
    </row>
    <row r="11458" spans="1:1">
      <c r="A11458" s="56"/>
    </row>
    <row r="11459" spans="1:1">
      <c r="A11459" s="56"/>
    </row>
    <row r="11460" spans="1:1">
      <c r="A11460" s="56"/>
    </row>
    <row r="11461" spans="1:1">
      <c r="A11461" s="56"/>
    </row>
    <row r="11462" spans="1:1">
      <c r="A11462" s="56"/>
    </row>
    <row r="11463" spans="1:1">
      <c r="A11463" s="56"/>
    </row>
    <row r="11464" spans="1:1">
      <c r="A11464" s="56"/>
    </row>
    <row r="11465" spans="1:1">
      <c r="A11465" s="56"/>
    </row>
    <row r="11466" spans="1:1">
      <c r="A11466" s="56"/>
    </row>
    <row r="11467" spans="1:1">
      <c r="A11467" s="56"/>
    </row>
    <row r="11468" spans="1:1">
      <c r="A11468" s="56"/>
    </row>
    <row r="11469" spans="1:1">
      <c r="A11469" s="56"/>
    </row>
    <row r="11470" spans="1:1">
      <c r="A11470" s="56"/>
    </row>
    <row r="11471" spans="1:1">
      <c r="A11471" s="56"/>
    </row>
    <row r="11472" spans="1:1">
      <c r="A11472" s="56"/>
    </row>
    <row r="11473" spans="1:1">
      <c r="A11473" s="56"/>
    </row>
    <row r="11474" spans="1:1">
      <c r="A11474" s="56"/>
    </row>
    <row r="11475" spans="1:1">
      <c r="A11475" s="56"/>
    </row>
    <row r="11476" spans="1:1">
      <c r="A11476" s="56"/>
    </row>
    <row r="11477" spans="1:1">
      <c r="A11477" s="56"/>
    </row>
    <row r="11478" spans="1:1">
      <c r="A11478" s="56"/>
    </row>
    <row r="11479" spans="1:1">
      <c r="A11479" s="56"/>
    </row>
    <row r="11480" spans="1:1">
      <c r="A11480" s="56"/>
    </row>
    <row r="11481" spans="1:1">
      <c r="A11481" s="56"/>
    </row>
    <row r="11482" spans="1:1">
      <c r="A11482" s="56"/>
    </row>
    <row r="11483" spans="1:1">
      <c r="A11483" s="56"/>
    </row>
    <row r="11484" spans="1:1">
      <c r="A11484" s="56"/>
    </row>
    <row r="11485" spans="1:1">
      <c r="A11485" s="56"/>
    </row>
    <row r="11486" spans="1:1">
      <c r="A11486" s="56"/>
    </row>
    <row r="11487" spans="1:1">
      <c r="A11487" s="56"/>
    </row>
    <row r="11488" spans="1:1">
      <c r="A11488" s="56"/>
    </row>
    <row r="11489" spans="1:1">
      <c r="A11489" s="56"/>
    </row>
    <row r="11490" spans="1:1">
      <c r="A11490" s="56"/>
    </row>
    <row r="11491" spans="1:1">
      <c r="A11491" s="56"/>
    </row>
    <row r="11492" spans="1:1">
      <c r="A11492" s="56"/>
    </row>
    <row r="11493" spans="1:1">
      <c r="A11493" s="56"/>
    </row>
    <row r="11494" spans="1:1">
      <c r="A11494" s="56"/>
    </row>
    <row r="11495" spans="1:1">
      <c r="A11495" s="56"/>
    </row>
    <row r="11496" spans="1:1">
      <c r="A11496" s="56"/>
    </row>
    <row r="11497" spans="1:1">
      <c r="A11497" s="56"/>
    </row>
    <row r="11498" spans="1:1">
      <c r="A11498" s="56"/>
    </row>
    <row r="11499" spans="1:1">
      <c r="A11499" s="56"/>
    </row>
    <row r="11500" spans="1:1">
      <c r="A11500" s="56"/>
    </row>
    <row r="11501" spans="1:1">
      <c r="A11501" s="56"/>
    </row>
    <row r="11502" spans="1:1">
      <c r="A11502" s="56"/>
    </row>
    <row r="11503" spans="1:1">
      <c r="A11503" s="56"/>
    </row>
    <row r="11504" spans="1:1">
      <c r="A11504" s="56"/>
    </row>
    <row r="11505" spans="1:1">
      <c r="A11505" s="56"/>
    </row>
    <row r="11506" spans="1:1">
      <c r="A11506" s="56"/>
    </row>
    <row r="11507" spans="1:1">
      <c r="A11507" s="56"/>
    </row>
    <row r="11508" spans="1:1">
      <c r="A11508" s="56"/>
    </row>
    <row r="11509" spans="1:1">
      <c r="A11509" s="56"/>
    </row>
    <row r="11510" spans="1:1">
      <c r="A11510" s="56"/>
    </row>
    <row r="11511" spans="1:1">
      <c r="A11511" s="56"/>
    </row>
    <row r="11512" spans="1:1">
      <c r="A11512" s="56"/>
    </row>
    <row r="11513" spans="1:1">
      <c r="A11513" s="56"/>
    </row>
    <row r="11514" spans="1:1">
      <c r="A11514" s="56"/>
    </row>
    <row r="11515" spans="1:1">
      <c r="A11515" s="56"/>
    </row>
    <row r="11516" spans="1:1">
      <c r="A11516" s="56"/>
    </row>
    <row r="11517" spans="1:1">
      <c r="A11517" s="56"/>
    </row>
    <row r="11518" spans="1:1">
      <c r="A11518" s="56"/>
    </row>
    <row r="11519" spans="1:1">
      <c r="A11519" s="56"/>
    </row>
    <row r="11520" spans="1:1">
      <c r="A11520" s="56"/>
    </row>
    <row r="11521" spans="1:1">
      <c r="A11521" s="56"/>
    </row>
    <row r="11522" spans="1:1">
      <c r="A11522" s="56"/>
    </row>
    <row r="11523" spans="1:1">
      <c r="A11523" s="56"/>
    </row>
    <row r="11524" spans="1:1">
      <c r="A11524" s="56"/>
    </row>
    <row r="11525" spans="1:1">
      <c r="A11525" s="56"/>
    </row>
    <row r="11526" spans="1:1">
      <c r="A11526" s="56"/>
    </row>
    <row r="11527" spans="1:1">
      <c r="A11527" s="56"/>
    </row>
    <row r="11528" spans="1:1">
      <c r="A11528" s="56"/>
    </row>
    <row r="11529" spans="1:1">
      <c r="A11529" s="56"/>
    </row>
    <row r="11530" spans="1:1">
      <c r="A11530" s="56"/>
    </row>
    <row r="11531" spans="1:1">
      <c r="A11531" s="56"/>
    </row>
    <row r="11532" spans="1:1">
      <c r="A11532" s="56"/>
    </row>
    <row r="11533" spans="1:1">
      <c r="A11533" s="56"/>
    </row>
    <row r="11534" spans="1:1">
      <c r="A11534" s="56"/>
    </row>
    <row r="11535" spans="1:1">
      <c r="A11535" s="56"/>
    </row>
    <row r="11536" spans="1:1">
      <c r="A11536" s="56"/>
    </row>
    <row r="11537" spans="1:1">
      <c r="A11537" s="56"/>
    </row>
    <row r="11538" spans="1:1">
      <c r="A11538" s="56"/>
    </row>
    <row r="11539" spans="1:1">
      <c r="A11539" s="56"/>
    </row>
    <row r="11540" spans="1:1">
      <c r="A11540" s="56"/>
    </row>
    <row r="11541" spans="1:1">
      <c r="A11541" s="56"/>
    </row>
    <row r="11542" spans="1:1">
      <c r="A11542" s="56"/>
    </row>
    <row r="11543" spans="1:1">
      <c r="A11543" s="56"/>
    </row>
    <row r="11544" spans="1:1">
      <c r="A11544" s="56"/>
    </row>
    <row r="11545" spans="1:1">
      <c r="A11545" s="56"/>
    </row>
    <row r="11546" spans="1:1">
      <c r="A11546" s="56"/>
    </row>
    <row r="11547" spans="1:1">
      <c r="A11547" s="56"/>
    </row>
    <row r="11548" spans="1:1">
      <c r="A11548" s="56"/>
    </row>
    <row r="11549" spans="1:1">
      <c r="A11549" s="56"/>
    </row>
    <row r="11550" spans="1:1">
      <c r="A11550" s="56"/>
    </row>
    <row r="11551" spans="1:1">
      <c r="A11551" s="56"/>
    </row>
    <row r="11552" spans="1:1">
      <c r="A11552" s="56"/>
    </row>
    <row r="11553" spans="1:1">
      <c r="A11553" s="56"/>
    </row>
    <row r="11554" spans="1:1">
      <c r="A11554" s="56"/>
    </row>
    <row r="11555" spans="1:1">
      <c r="A11555" s="56"/>
    </row>
    <row r="11556" spans="1:1">
      <c r="A11556" s="56"/>
    </row>
    <row r="11557" spans="1:1">
      <c r="A11557" s="56"/>
    </row>
    <row r="11558" spans="1:1">
      <c r="A11558" s="56"/>
    </row>
    <row r="11559" spans="1:1">
      <c r="A11559" s="56"/>
    </row>
    <row r="11560" spans="1:1">
      <c r="A11560" s="56"/>
    </row>
    <row r="11561" spans="1:1">
      <c r="A11561" s="56"/>
    </row>
    <row r="11562" spans="1:1">
      <c r="A11562" s="56"/>
    </row>
    <row r="11563" spans="1:1">
      <c r="A11563" s="56"/>
    </row>
    <row r="11564" spans="1:1">
      <c r="A11564" s="56"/>
    </row>
    <row r="11565" spans="1:1">
      <c r="A11565" s="56"/>
    </row>
    <row r="11566" spans="1:1">
      <c r="A11566" s="56"/>
    </row>
    <row r="11567" spans="1:1">
      <c r="A11567" s="56"/>
    </row>
    <row r="11568" spans="1:1">
      <c r="A11568" s="56"/>
    </row>
    <row r="11569" spans="1:1">
      <c r="A11569" s="56"/>
    </row>
    <row r="11570" spans="1:1">
      <c r="A11570" s="56"/>
    </row>
    <row r="11571" spans="1:1">
      <c r="A11571" s="56"/>
    </row>
    <row r="11572" spans="1:1">
      <c r="A11572" s="56"/>
    </row>
    <row r="11573" spans="1:1">
      <c r="A11573" s="56"/>
    </row>
    <row r="11574" spans="1:1">
      <c r="A11574" s="56"/>
    </row>
    <row r="11575" spans="1:1">
      <c r="A11575" s="56"/>
    </row>
    <row r="11576" spans="1:1">
      <c r="A11576" s="56"/>
    </row>
    <row r="11577" spans="1:1">
      <c r="A11577" s="56"/>
    </row>
    <row r="11578" spans="1:1">
      <c r="A11578" s="56"/>
    </row>
    <row r="11579" spans="1:1">
      <c r="A11579" s="56"/>
    </row>
    <row r="11580" spans="1:1">
      <c r="A11580" s="56"/>
    </row>
    <row r="11581" spans="1:1">
      <c r="A11581" s="56"/>
    </row>
    <row r="11582" spans="1:1">
      <c r="A11582" s="56"/>
    </row>
    <row r="11583" spans="1:1">
      <c r="A11583" s="56"/>
    </row>
    <row r="11584" spans="1:1">
      <c r="A11584" s="56"/>
    </row>
    <row r="11585" spans="1:1">
      <c r="A11585" s="56"/>
    </row>
    <row r="11586" spans="1:1">
      <c r="A11586" s="56"/>
    </row>
    <row r="11587" spans="1:1">
      <c r="A11587" s="56"/>
    </row>
    <row r="11588" spans="1:1">
      <c r="A11588" s="56"/>
    </row>
    <row r="11589" spans="1:1">
      <c r="A11589" s="56"/>
    </row>
    <row r="11590" spans="1:1">
      <c r="A11590" s="56"/>
    </row>
    <row r="11591" spans="1:1">
      <c r="A11591" s="56"/>
    </row>
    <row r="11592" spans="1:1">
      <c r="A11592" s="56"/>
    </row>
    <row r="11593" spans="1:1">
      <c r="A11593" s="56"/>
    </row>
    <row r="11594" spans="1:1">
      <c r="A11594" s="56"/>
    </row>
    <row r="11595" spans="1:1">
      <c r="A11595" s="56"/>
    </row>
    <row r="11596" spans="1:1">
      <c r="A11596" s="56"/>
    </row>
    <row r="11597" spans="1:1">
      <c r="A11597" s="56"/>
    </row>
    <row r="11598" spans="1:1">
      <c r="A11598" s="56"/>
    </row>
    <row r="11599" spans="1:1">
      <c r="A11599" s="56"/>
    </row>
    <row r="11600" spans="1:1">
      <c r="A11600" s="56"/>
    </row>
    <row r="11601" spans="1:1">
      <c r="A11601" s="56"/>
    </row>
    <row r="11602" spans="1:1">
      <c r="A11602" s="56"/>
    </row>
    <row r="11603" spans="1:1">
      <c r="A11603" s="56"/>
    </row>
    <row r="11604" spans="1:1">
      <c r="A11604" s="56"/>
    </row>
    <row r="11605" spans="1:1">
      <c r="A11605" s="56"/>
    </row>
    <row r="11606" spans="1:1">
      <c r="A11606" s="56"/>
    </row>
    <row r="11607" spans="1:1">
      <c r="A11607" s="56"/>
    </row>
    <row r="11608" spans="1:1">
      <c r="A11608" s="56"/>
    </row>
    <row r="11609" spans="1:1">
      <c r="A11609" s="56"/>
    </row>
    <row r="11610" spans="1:1">
      <c r="A11610" s="56"/>
    </row>
    <row r="11611" spans="1:1">
      <c r="A11611" s="56"/>
    </row>
    <row r="11612" spans="1:1">
      <c r="A11612" s="56"/>
    </row>
    <row r="11613" spans="1:1">
      <c r="A11613" s="56"/>
    </row>
    <row r="11614" spans="1:1">
      <c r="A11614" s="56"/>
    </row>
    <row r="11615" spans="1:1">
      <c r="A11615" s="56"/>
    </row>
    <row r="11616" spans="1:1">
      <c r="A11616" s="56"/>
    </row>
    <row r="11617" spans="1:1">
      <c r="A11617" s="56"/>
    </row>
    <row r="11618" spans="1:1">
      <c r="A11618" s="56"/>
    </row>
    <row r="11619" spans="1:1">
      <c r="A11619" s="56"/>
    </row>
    <row r="11620" spans="1:1">
      <c r="A11620" s="56"/>
    </row>
    <row r="11621" spans="1:1">
      <c r="A11621" s="56"/>
    </row>
    <row r="11622" spans="1:1">
      <c r="A11622" s="56"/>
    </row>
    <row r="11623" spans="1:1">
      <c r="A11623" s="56"/>
    </row>
    <row r="11624" spans="1:1">
      <c r="A11624" s="56"/>
    </row>
    <row r="11625" spans="1:1">
      <c r="A11625" s="56"/>
    </row>
    <row r="11626" spans="1:1">
      <c r="A11626" s="56"/>
    </row>
    <row r="11627" spans="1:1">
      <c r="A11627" s="56"/>
    </row>
    <row r="11628" spans="1:1">
      <c r="A11628" s="56"/>
    </row>
    <row r="11629" spans="1:1">
      <c r="A11629" s="56"/>
    </row>
    <row r="11630" spans="1:1">
      <c r="A11630" s="56"/>
    </row>
    <row r="11631" spans="1:1">
      <c r="A11631" s="56"/>
    </row>
    <row r="11632" spans="1:1">
      <c r="A11632" s="56"/>
    </row>
    <row r="11633" spans="1:1">
      <c r="A11633" s="56"/>
    </row>
    <row r="11634" spans="1:1">
      <c r="A11634" s="56"/>
    </row>
    <row r="11635" spans="1:1">
      <c r="A11635" s="56"/>
    </row>
    <row r="11636" spans="1:1">
      <c r="A11636" s="56"/>
    </row>
    <row r="11637" spans="1:1">
      <c r="A11637" s="56"/>
    </row>
    <row r="11638" spans="1:1">
      <c r="A11638" s="56"/>
    </row>
    <row r="11639" spans="1:1">
      <c r="A11639" s="56"/>
    </row>
    <row r="11640" spans="1:1">
      <c r="A11640" s="56"/>
    </row>
    <row r="11641" spans="1:1">
      <c r="A11641" s="56"/>
    </row>
    <row r="11642" spans="1:1">
      <c r="A11642" s="56"/>
    </row>
    <row r="11643" spans="1:1">
      <c r="A11643" s="56"/>
    </row>
    <row r="11644" spans="1:1">
      <c r="A11644" s="56"/>
    </row>
    <row r="11645" spans="1:1">
      <c r="A11645" s="56"/>
    </row>
    <row r="11646" spans="1:1">
      <c r="A11646" s="56"/>
    </row>
    <row r="11647" spans="1:1">
      <c r="A11647" s="56"/>
    </row>
    <row r="11648" spans="1:1">
      <c r="A11648" s="56"/>
    </row>
    <row r="11649" spans="1:1">
      <c r="A11649" s="56"/>
    </row>
    <row r="11650" spans="1:1">
      <c r="A11650" s="56"/>
    </row>
    <row r="11651" spans="1:1">
      <c r="A11651" s="56"/>
    </row>
    <row r="11652" spans="1:1">
      <c r="A11652" s="56"/>
    </row>
    <row r="11653" spans="1:1">
      <c r="A11653" s="56"/>
    </row>
    <row r="11654" spans="1:1">
      <c r="A11654" s="56"/>
    </row>
    <row r="11655" spans="1:1">
      <c r="A11655" s="56"/>
    </row>
    <row r="11656" spans="1:1">
      <c r="A11656" s="56"/>
    </row>
    <row r="11657" spans="1:1">
      <c r="A11657" s="56"/>
    </row>
    <row r="11658" spans="1:1">
      <c r="A11658" s="56"/>
    </row>
    <row r="11659" spans="1:1">
      <c r="A11659" s="56"/>
    </row>
    <row r="11660" spans="1:1">
      <c r="A11660" s="56"/>
    </row>
    <row r="11661" spans="1:1">
      <c r="A11661" s="56"/>
    </row>
    <row r="11662" spans="1:1">
      <c r="A11662" s="56"/>
    </row>
    <row r="11663" spans="1:1">
      <c r="A11663" s="56"/>
    </row>
    <row r="11664" spans="1:1">
      <c r="A11664" s="56"/>
    </row>
    <row r="11665" spans="1:1">
      <c r="A11665" s="56"/>
    </row>
    <row r="11666" spans="1:1">
      <c r="A11666" s="56"/>
    </row>
    <row r="11667" spans="1:1">
      <c r="A11667" s="56"/>
    </row>
    <row r="11668" spans="1:1">
      <c r="A11668" s="56"/>
    </row>
    <row r="11669" spans="1:1">
      <c r="A11669" s="56"/>
    </row>
    <row r="11670" spans="1:1">
      <c r="A11670" s="56"/>
    </row>
    <row r="11671" spans="1:1">
      <c r="A11671" s="56"/>
    </row>
    <row r="11672" spans="1:1">
      <c r="A11672" s="56"/>
    </row>
    <row r="11673" spans="1:1">
      <c r="A11673" s="56"/>
    </row>
    <row r="11674" spans="1:1">
      <c r="A11674" s="56"/>
    </row>
    <row r="11675" spans="1:1">
      <c r="A11675" s="56"/>
    </row>
    <row r="11676" spans="1:1">
      <c r="A11676" s="56"/>
    </row>
    <row r="11677" spans="1:1">
      <c r="A11677" s="56"/>
    </row>
    <row r="11678" spans="1:1">
      <c r="A11678" s="56"/>
    </row>
    <row r="11679" spans="1:1">
      <c r="A11679" s="56"/>
    </row>
    <row r="11680" spans="1:1">
      <c r="A11680" s="56"/>
    </row>
    <row r="11681" spans="1:1">
      <c r="A11681" s="56"/>
    </row>
    <row r="11682" spans="1:1">
      <c r="A11682" s="56"/>
    </row>
    <row r="11683" spans="1:1">
      <c r="A11683" s="56"/>
    </row>
    <row r="11684" spans="1:1">
      <c r="A11684" s="56"/>
    </row>
    <row r="11685" spans="1:1">
      <c r="A11685" s="56"/>
    </row>
    <row r="11686" spans="1:1">
      <c r="A11686" s="56"/>
    </row>
    <row r="11687" spans="1:1">
      <c r="A11687" s="56"/>
    </row>
    <row r="11688" spans="1:1">
      <c r="A11688" s="56"/>
    </row>
    <row r="11689" spans="1:1">
      <c r="A11689" s="56"/>
    </row>
    <row r="11690" spans="1:1">
      <c r="A11690" s="56"/>
    </row>
    <row r="11691" spans="1:1">
      <c r="A11691" s="56"/>
    </row>
    <row r="11692" spans="1:1">
      <c r="A11692" s="56"/>
    </row>
    <row r="11693" spans="1:1">
      <c r="A11693" s="56"/>
    </row>
    <row r="11694" spans="1:1">
      <c r="A11694" s="56"/>
    </row>
    <row r="11695" spans="1:1">
      <c r="A11695" s="56"/>
    </row>
    <row r="11696" spans="1:1">
      <c r="A11696" s="56"/>
    </row>
    <row r="11697" spans="1:1">
      <c r="A11697" s="56"/>
    </row>
    <row r="11698" spans="1:1">
      <c r="A11698" s="56"/>
    </row>
    <row r="11699" spans="1:1">
      <c r="A11699" s="56"/>
    </row>
    <row r="11700" spans="1:1">
      <c r="A11700" s="56"/>
    </row>
    <row r="11701" spans="1:1">
      <c r="A11701" s="56"/>
    </row>
    <row r="11702" spans="1:1">
      <c r="A11702" s="56"/>
    </row>
    <row r="11703" spans="1:1">
      <c r="A11703" s="56"/>
    </row>
    <row r="11704" spans="1:1">
      <c r="A11704" s="56"/>
    </row>
    <row r="11705" spans="1:1">
      <c r="A11705" s="56"/>
    </row>
    <row r="11706" spans="1:1">
      <c r="A11706" s="56"/>
    </row>
    <row r="11707" spans="1:1">
      <c r="A11707" s="56"/>
    </row>
    <row r="11708" spans="1:1">
      <c r="A11708" s="56"/>
    </row>
    <row r="11709" spans="1:1">
      <c r="A11709" s="56"/>
    </row>
    <row r="11710" spans="1:1">
      <c r="A11710" s="56"/>
    </row>
    <row r="11711" spans="1:1">
      <c r="A11711" s="56"/>
    </row>
    <row r="11712" spans="1:1">
      <c r="A11712" s="56"/>
    </row>
    <row r="11713" spans="1:1">
      <c r="A11713" s="56"/>
    </row>
    <row r="11714" spans="1:1">
      <c r="A11714" s="56"/>
    </row>
    <row r="11715" spans="1:1">
      <c r="A11715" s="56"/>
    </row>
    <row r="11716" spans="1:1">
      <c r="A11716" s="56"/>
    </row>
    <row r="11717" spans="1:1">
      <c r="A11717" s="56"/>
    </row>
    <row r="11718" spans="1:1">
      <c r="A11718" s="56"/>
    </row>
    <row r="11719" spans="1:1">
      <c r="A11719" s="56"/>
    </row>
    <row r="11720" spans="1:1">
      <c r="A11720" s="56"/>
    </row>
    <row r="11721" spans="1:1">
      <c r="A11721" s="56"/>
    </row>
    <row r="11722" spans="1:1">
      <c r="A11722" s="56"/>
    </row>
    <row r="11723" spans="1:1">
      <c r="A11723" s="56"/>
    </row>
    <row r="11724" spans="1:1">
      <c r="A11724" s="56"/>
    </row>
    <row r="11725" spans="1:1">
      <c r="A11725" s="56"/>
    </row>
    <row r="11726" spans="1:1">
      <c r="A11726" s="56"/>
    </row>
    <row r="11727" spans="1:1">
      <c r="A11727" s="56"/>
    </row>
    <row r="11728" spans="1:1">
      <c r="A11728" s="56"/>
    </row>
    <row r="11729" spans="1:1">
      <c r="A11729" s="56"/>
    </row>
    <row r="11730" spans="1:1">
      <c r="A11730" s="56"/>
    </row>
    <row r="11731" spans="1:1">
      <c r="A11731" s="56"/>
    </row>
    <row r="11732" spans="1:1">
      <c r="A11732" s="56"/>
    </row>
    <row r="11733" spans="1:1">
      <c r="A11733" s="56"/>
    </row>
    <row r="11734" spans="1:1">
      <c r="A11734" s="56"/>
    </row>
    <row r="11735" spans="1:1">
      <c r="A11735" s="56"/>
    </row>
    <row r="11736" spans="1:1">
      <c r="A11736" s="56"/>
    </row>
    <row r="11737" spans="1:1">
      <c r="A11737" s="56"/>
    </row>
    <row r="11738" spans="1:1">
      <c r="A11738" s="56"/>
    </row>
    <row r="11739" spans="1:1">
      <c r="A11739" s="56"/>
    </row>
    <row r="11740" spans="1:1">
      <c r="A11740" s="56"/>
    </row>
    <row r="11741" spans="1:1">
      <c r="A11741" s="56"/>
    </row>
    <row r="11742" spans="1:1">
      <c r="A11742" s="56"/>
    </row>
    <row r="11743" spans="1:1">
      <c r="A11743" s="56"/>
    </row>
    <row r="11744" spans="1:1">
      <c r="A11744" s="56"/>
    </row>
    <row r="11745" spans="1:1">
      <c r="A11745" s="56"/>
    </row>
    <row r="11746" spans="1:1">
      <c r="A11746" s="56"/>
    </row>
    <row r="11747" spans="1:1">
      <c r="A11747" s="56"/>
    </row>
    <row r="11748" spans="1:1">
      <c r="A11748" s="56"/>
    </row>
    <row r="11749" spans="1:1">
      <c r="A11749" s="56"/>
    </row>
    <row r="11750" spans="1:1">
      <c r="A11750" s="56"/>
    </row>
    <row r="11751" spans="1:1">
      <c r="A11751" s="56"/>
    </row>
    <row r="11752" spans="1:1">
      <c r="A11752" s="56"/>
    </row>
    <row r="11753" spans="1:1">
      <c r="A11753" s="56"/>
    </row>
    <row r="11754" spans="1:1">
      <c r="A11754" s="56"/>
    </row>
    <row r="11755" spans="1:1">
      <c r="A11755" s="56"/>
    </row>
    <row r="11756" spans="1:1">
      <c r="A11756" s="56"/>
    </row>
    <row r="11757" spans="1:1">
      <c r="A11757" s="56"/>
    </row>
    <row r="11758" spans="1:1">
      <c r="A11758" s="56"/>
    </row>
    <row r="11759" spans="1:1">
      <c r="A11759" s="56"/>
    </row>
    <row r="11760" spans="1:1">
      <c r="A11760" s="56"/>
    </row>
    <row r="11761" spans="1:1">
      <c r="A11761" s="56"/>
    </row>
    <row r="11762" spans="1:1">
      <c r="A11762" s="56"/>
    </row>
    <row r="11763" spans="1:1">
      <c r="A11763" s="56"/>
    </row>
    <row r="11764" spans="1:1">
      <c r="A11764" s="56"/>
    </row>
    <row r="11765" spans="1:1">
      <c r="A11765" s="56"/>
    </row>
    <row r="11766" spans="1:1">
      <c r="A11766" s="56"/>
    </row>
    <row r="11767" spans="1:1">
      <c r="A11767" s="56"/>
    </row>
    <row r="11768" spans="1:1">
      <c r="A11768" s="56"/>
    </row>
    <row r="11769" spans="1:1">
      <c r="A11769" s="56"/>
    </row>
    <row r="11770" spans="1:1">
      <c r="A11770" s="56"/>
    </row>
    <row r="11771" spans="1:1">
      <c r="A11771" s="56"/>
    </row>
    <row r="11772" spans="1:1">
      <c r="A11772" s="56"/>
    </row>
    <row r="11773" spans="1:1">
      <c r="A11773" s="56"/>
    </row>
    <row r="11774" spans="1:1">
      <c r="A11774" s="56"/>
    </row>
    <row r="11775" spans="1:1">
      <c r="A11775" s="56"/>
    </row>
    <row r="11776" spans="1:1">
      <c r="A11776" s="56"/>
    </row>
    <row r="11777" spans="1:1">
      <c r="A11777" s="56"/>
    </row>
    <row r="11778" spans="1:1">
      <c r="A11778" s="56"/>
    </row>
    <row r="11779" spans="1:1">
      <c r="A11779" s="56"/>
    </row>
    <row r="11780" spans="1:1">
      <c r="A11780" s="56"/>
    </row>
    <row r="11781" spans="1:1">
      <c r="A11781" s="56"/>
    </row>
    <row r="11782" spans="1:1">
      <c r="A11782" s="56"/>
    </row>
    <row r="11783" spans="1:1">
      <c r="A11783" s="56"/>
    </row>
    <row r="11784" spans="1:1">
      <c r="A11784" s="56"/>
    </row>
    <row r="11785" spans="1:1">
      <c r="A11785" s="56"/>
    </row>
    <row r="11786" spans="1:1">
      <c r="A11786" s="56"/>
    </row>
    <row r="11787" spans="1:1">
      <c r="A11787" s="56"/>
    </row>
    <row r="11788" spans="1:1">
      <c r="A11788" s="56"/>
    </row>
    <row r="11789" spans="1:1">
      <c r="A11789" s="56"/>
    </row>
    <row r="11790" spans="1:1">
      <c r="A11790" s="56"/>
    </row>
    <row r="11791" spans="1:1">
      <c r="A11791" s="56"/>
    </row>
    <row r="11792" spans="1:1">
      <c r="A11792" s="56"/>
    </row>
    <row r="11793" spans="1:1">
      <c r="A11793" s="56"/>
    </row>
    <row r="11794" spans="1:1">
      <c r="A11794" s="56"/>
    </row>
    <row r="11795" spans="1:1">
      <c r="A11795" s="56"/>
    </row>
    <row r="11796" spans="1:1">
      <c r="A11796" s="56"/>
    </row>
    <row r="11797" spans="1:1">
      <c r="A11797" s="56"/>
    </row>
    <row r="11798" spans="1:1">
      <c r="A11798" s="56"/>
    </row>
    <row r="11799" spans="1:1">
      <c r="A11799" s="56"/>
    </row>
    <row r="11800" spans="1:1">
      <c r="A11800" s="56"/>
    </row>
    <row r="11801" spans="1:1">
      <c r="A11801" s="56"/>
    </row>
    <row r="11802" spans="1:1">
      <c r="A11802" s="56"/>
    </row>
    <row r="11803" spans="1:1">
      <c r="A11803" s="56"/>
    </row>
    <row r="11804" spans="1:1">
      <c r="A11804" s="56"/>
    </row>
    <row r="11805" spans="1:1">
      <c r="A11805" s="56"/>
    </row>
    <row r="11806" spans="1:1">
      <c r="A11806" s="56"/>
    </row>
    <row r="11807" spans="1:1">
      <c r="A11807" s="56"/>
    </row>
    <row r="11808" spans="1:1">
      <c r="A11808" s="56"/>
    </row>
    <row r="11809" spans="1:1">
      <c r="A11809" s="56"/>
    </row>
    <row r="11810" spans="1:1">
      <c r="A11810" s="56"/>
    </row>
    <row r="11811" spans="1:1">
      <c r="A11811" s="56"/>
    </row>
    <row r="11812" spans="1:1">
      <c r="A11812" s="56"/>
    </row>
    <row r="11813" spans="1:1">
      <c r="A11813" s="56"/>
    </row>
    <row r="11814" spans="1:1">
      <c r="A11814" s="56"/>
    </row>
    <row r="11815" spans="1:1">
      <c r="A11815" s="56"/>
    </row>
    <row r="11816" spans="1:1">
      <c r="A11816" s="56"/>
    </row>
    <row r="11817" spans="1:1">
      <c r="A11817" s="56"/>
    </row>
    <row r="11818" spans="1:1">
      <c r="A11818" s="56"/>
    </row>
    <row r="11819" spans="1:1">
      <c r="A11819" s="56"/>
    </row>
    <row r="11820" spans="1:1">
      <c r="A11820" s="56"/>
    </row>
    <row r="11821" spans="1:1">
      <c r="A11821" s="56"/>
    </row>
    <row r="11822" spans="1:1">
      <c r="A11822" s="56"/>
    </row>
    <row r="11823" spans="1:1">
      <c r="A11823" s="56"/>
    </row>
    <row r="11824" spans="1:1">
      <c r="A11824" s="56"/>
    </row>
    <row r="11825" spans="1:1">
      <c r="A11825" s="56"/>
    </row>
    <row r="11826" spans="1:1">
      <c r="A11826" s="56"/>
    </row>
    <row r="11827" spans="1:1">
      <c r="A11827" s="56"/>
    </row>
    <row r="11828" spans="1:1">
      <c r="A11828" s="56"/>
    </row>
    <row r="11829" spans="1:1">
      <c r="A11829" s="56"/>
    </row>
    <row r="11830" spans="1:1">
      <c r="A11830" s="56"/>
    </row>
    <row r="11831" spans="1:1">
      <c r="A11831" s="56"/>
    </row>
    <row r="11832" spans="1:1">
      <c r="A11832" s="56"/>
    </row>
    <row r="11833" spans="1:1">
      <c r="A11833" s="56"/>
    </row>
    <row r="11834" spans="1:1">
      <c r="A11834" s="56"/>
    </row>
    <row r="11835" spans="1:1">
      <c r="A11835" s="56"/>
    </row>
    <row r="11836" spans="1:1">
      <c r="A11836" s="56"/>
    </row>
    <row r="11837" spans="1:1">
      <c r="A11837" s="56"/>
    </row>
    <row r="11838" spans="1:1">
      <c r="A11838" s="56"/>
    </row>
    <row r="11839" spans="1:1">
      <c r="A11839" s="56"/>
    </row>
    <row r="11840" spans="1:1">
      <c r="A11840" s="56"/>
    </row>
    <row r="11841" spans="1:1">
      <c r="A11841" s="56"/>
    </row>
    <row r="11842" spans="1:1">
      <c r="A11842" s="56"/>
    </row>
    <row r="11843" spans="1:1">
      <c r="A11843" s="56"/>
    </row>
    <row r="11844" spans="1:1">
      <c r="A11844" s="56"/>
    </row>
    <row r="11845" spans="1:1">
      <c r="A11845" s="56"/>
    </row>
    <row r="11846" spans="1:1">
      <c r="A11846" s="56"/>
    </row>
    <row r="11847" spans="1:1">
      <c r="A11847" s="56"/>
    </row>
    <row r="11848" spans="1:1">
      <c r="A11848" s="56"/>
    </row>
    <row r="11849" spans="1:1">
      <c r="A11849" s="56"/>
    </row>
    <row r="11850" spans="1:1">
      <c r="A11850" s="56"/>
    </row>
    <row r="11851" spans="1:1">
      <c r="A11851" s="56"/>
    </row>
    <row r="11852" spans="1:1">
      <c r="A11852" s="56"/>
    </row>
    <row r="11853" spans="1:1">
      <c r="A11853" s="56"/>
    </row>
    <row r="11854" spans="1:1">
      <c r="A11854" s="56"/>
    </row>
    <row r="11855" spans="1:1">
      <c r="A11855" s="56"/>
    </row>
    <row r="11856" spans="1:1">
      <c r="A11856" s="56"/>
    </row>
    <row r="11857" spans="1:1">
      <c r="A11857" s="56"/>
    </row>
    <row r="11858" spans="1:1">
      <c r="A11858" s="56"/>
    </row>
    <row r="11859" spans="1:1">
      <c r="A11859" s="56"/>
    </row>
    <row r="11860" spans="1:1">
      <c r="A11860" s="56"/>
    </row>
    <row r="11861" spans="1:1">
      <c r="A11861" s="56"/>
    </row>
    <row r="11862" spans="1:1">
      <c r="A11862" s="56"/>
    </row>
    <row r="11863" spans="1:1">
      <c r="A11863" s="56"/>
    </row>
    <row r="11864" spans="1:1">
      <c r="A11864" s="56"/>
    </row>
    <row r="11865" spans="1:1">
      <c r="A11865" s="56"/>
    </row>
    <row r="11866" spans="1:1">
      <c r="A11866" s="56"/>
    </row>
    <row r="11867" spans="1:1">
      <c r="A11867" s="56"/>
    </row>
    <row r="11868" spans="1:1">
      <c r="A11868" s="56"/>
    </row>
    <row r="11869" spans="1:1">
      <c r="A11869" s="56"/>
    </row>
    <row r="11870" spans="1:1">
      <c r="A11870" s="56"/>
    </row>
    <row r="11871" spans="1:1">
      <c r="A11871" s="56"/>
    </row>
    <row r="11872" spans="1:1">
      <c r="A11872" s="56"/>
    </row>
    <row r="11873" spans="1:1">
      <c r="A11873" s="56"/>
    </row>
    <row r="11874" spans="1:1">
      <c r="A11874" s="56"/>
    </row>
    <row r="11875" spans="1:1">
      <c r="A11875" s="56"/>
    </row>
    <row r="11876" spans="1:1">
      <c r="A11876" s="56"/>
    </row>
    <row r="11877" spans="1:1">
      <c r="A11877" s="56"/>
    </row>
    <row r="11878" spans="1:1">
      <c r="A11878" s="56"/>
    </row>
    <row r="11879" spans="1:1">
      <c r="A11879" s="56"/>
    </row>
    <row r="11880" spans="1:1">
      <c r="A11880" s="56"/>
    </row>
    <row r="11881" spans="1:1">
      <c r="A11881" s="56"/>
    </row>
    <row r="11882" spans="1:1">
      <c r="A11882" s="56"/>
    </row>
    <row r="11883" spans="1:1">
      <c r="A11883" s="56"/>
    </row>
    <row r="11884" spans="1:1">
      <c r="A11884" s="56"/>
    </row>
    <row r="11885" spans="1:1">
      <c r="A11885" s="56"/>
    </row>
    <row r="11886" spans="1:1">
      <c r="A11886" s="56"/>
    </row>
    <row r="11887" spans="1:1">
      <c r="A11887" s="56"/>
    </row>
    <row r="11888" spans="1:1">
      <c r="A11888" s="56"/>
    </row>
    <row r="11889" spans="1:1">
      <c r="A11889" s="56"/>
    </row>
    <row r="11890" spans="1:1">
      <c r="A11890" s="56"/>
    </row>
    <row r="11891" spans="1:1">
      <c r="A11891" s="56"/>
    </row>
    <row r="11892" spans="1:1">
      <c r="A11892" s="56"/>
    </row>
    <row r="11893" spans="1:1">
      <c r="A11893" s="56"/>
    </row>
    <row r="11894" spans="1:1">
      <c r="A11894" s="56"/>
    </row>
    <row r="11895" spans="1:1">
      <c r="A11895" s="56"/>
    </row>
    <row r="11896" spans="1:1">
      <c r="A11896" s="56"/>
    </row>
    <row r="11897" spans="1:1">
      <c r="A11897" s="56"/>
    </row>
    <row r="11898" spans="1:1">
      <c r="A11898" s="56"/>
    </row>
    <row r="11899" spans="1:1">
      <c r="A11899" s="56"/>
    </row>
    <row r="11900" spans="1:1">
      <c r="A11900" s="56"/>
    </row>
    <row r="11901" spans="1:1">
      <c r="A11901" s="56"/>
    </row>
    <row r="11902" spans="1:1">
      <c r="A11902" s="56"/>
    </row>
    <row r="11903" spans="1:1">
      <c r="A11903" s="56"/>
    </row>
    <row r="11904" spans="1:1">
      <c r="A11904" s="56"/>
    </row>
    <row r="11905" spans="1:1">
      <c r="A11905" s="56"/>
    </row>
    <row r="11906" spans="1:1">
      <c r="A11906" s="56"/>
    </row>
    <row r="11907" spans="1:1">
      <c r="A11907" s="56"/>
    </row>
    <row r="11908" spans="1:1">
      <c r="A11908" s="56"/>
    </row>
    <row r="11909" spans="1:1">
      <c r="A11909" s="56"/>
    </row>
    <row r="11910" spans="1:1">
      <c r="A11910" s="56"/>
    </row>
    <row r="11911" spans="1:1">
      <c r="A11911" s="56"/>
    </row>
    <row r="11912" spans="1:1">
      <c r="A11912" s="56"/>
    </row>
    <row r="11913" spans="1:1">
      <c r="A11913" s="56"/>
    </row>
    <row r="11914" spans="1:1">
      <c r="A11914" s="56"/>
    </row>
    <row r="11915" spans="1:1">
      <c r="A11915" s="56"/>
    </row>
    <row r="11916" spans="1:1">
      <c r="A11916" s="56"/>
    </row>
    <row r="11917" spans="1:1">
      <c r="A11917" s="56"/>
    </row>
    <row r="11918" spans="1:1">
      <c r="A11918" s="56"/>
    </row>
    <row r="11919" spans="1:1">
      <c r="A11919" s="56"/>
    </row>
    <row r="11920" spans="1:1">
      <c r="A11920" s="56"/>
    </row>
    <row r="11921" spans="1:1">
      <c r="A11921" s="56"/>
    </row>
    <row r="11922" spans="1:1">
      <c r="A11922" s="56"/>
    </row>
    <row r="11923" spans="1:1">
      <c r="A11923" s="56"/>
    </row>
    <row r="11924" spans="1:1">
      <c r="A11924" s="56"/>
    </row>
    <row r="11925" spans="1:1">
      <c r="A11925" s="56"/>
    </row>
    <row r="11926" spans="1:1">
      <c r="A11926" s="56"/>
    </row>
    <row r="11927" spans="1:1">
      <c r="A11927" s="56"/>
    </row>
    <row r="11928" spans="1:1">
      <c r="A11928" s="56"/>
    </row>
    <row r="11929" spans="1:1">
      <c r="A11929" s="56"/>
    </row>
    <row r="11930" spans="1:1">
      <c r="A11930" s="56"/>
    </row>
    <row r="11931" spans="1:1">
      <c r="A11931" s="56"/>
    </row>
    <row r="11932" spans="1:1">
      <c r="A11932" s="56"/>
    </row>
    <row r="11933" spans="1:1">
      <c r="A11933" s="56"/>
    </row>
    <row r="11934" spans="1:1">
      <c r="A11934" s="56"/>
    </row>
    <row r="11935" spans="1:1">
      <c r="A11935" s="56"/>
    </row>
    <row r="11936" spans="1:1">
      <c r="A11936" s="56"/>
    </row>
    <row r="11937" spans="1:1">
      <c r="A11937" s="56"/>
    </row>
    <row r="11938" spans="1:1">
      <c r="A11938" s="56"/>
    </row>
    <row r="11939" spans="1:1">
      <c r="A11939" s="56"/>
    </row>
    <row r="11940" spans="1:1">
      <c r="A11940" s="56"/>
    </row>
    <row r="11941" spans="1:1">
      <c r="A11941" s="56"/>
    </row>
    <row r="11942" spans="1:1">
      <c r="A11942" s="56"/>
    </row>
    <row r="11943" spans="1:1">
      <c r="A11943" s="56"/>
    </row>
    <row r="11944" spans="1:1">
      <c r="A11944" s="56"/>
    </row>
    <row r="11945" spans="1:1">
      <c r="A11945" s="56"/>
    </row>
    <row r="11946" spans="1:1">
      <c r="A11946" s="56"/>
    </row>
    <row r="11947" spans="1:1">
      <c r="A11947" s="56"/>
    </row>
    <row r="11948" spans="1:1">
      <c r="A11948" s="56"/>
    </row>
    <row r="11949" spans="1:1">
      <c r="A11949" s="56"/>
    </row>
    <row r="11950" spans="1:1">
      <c r="A11950" s="56"/>
    </row>
    <row r="11951" spans="1:1">
      <c r="A11951" s="56"/>
    </row>
    <row r="11952" spans="1:1">
      <c r="A11952" s="56"/>
    </row>
    <row r="11953" spans="1:1">
      <c r="A11953" s="56"/>
    </row>
    <row r="11954" spans="1:1">
      <c r="A11954" s="56"/>
    </row>
    <row r="11955" spans="1:1">
      <c r="A11955" s="56"/>
    </row>
    <row r="11956" spans="1:1">
      <c r="A11956" s="56"/>
    </row>
    <row r="11957" spans="1:1">
      <c r="A11957" s="56"/>
    </row>
    <row r="11958" spans="1:1">
      <c r="A11958" s="56"/>
    </row>
    <row r="11959" spans="1:1">
      <c r="A11959" s="56"/>
    </row>
    <row r="11960" spans="1:1">
      <c r="A11960" s="56"/>
    </row>
    <row r="11961" spans="1:1">
      <c r="A11961" s="56"/>
    </row>
    <row r="11962" spans="1:1">
      <c r="A11962" s="56"/>
    </row>
    <row r="11963" spans="1:1">
      <c r="A11963" s="56"/>
    </row>
    <row r="11964" spans="1:1">
      <c r="A11964" s="56"/>
    </row>
    <row r="11965" spans="1:1">
      <c r="A11965" s="56"/>
    </row>
    <row r="11966" spans="1:1">
      <c r="A11966" s="56"/>
    </row>
    <row r="11967" spans="1:1">
      <c r="A11967" s="56"/>
    </row>
    <row r="11968" spans="1:1">
      <c r="A11968" s="56"/>
    </row>
    <row r="11969" spans="1:1">
      <c r="A11969" s="56"/>
    </row>
    <row r="11970" spans="1:1">
      <c r="A11970" s="56"/>
    </row>
    <row r="11971" spans="1:1">
      <c r="A11971" s="56"/>
    </row>
    <row r="11972" spans="1:1">
      <c r="A11972" s="56"/>
    </row>
    <row r="11973" spans="1:1">
      <c r="A11973" s="56"/>
    </row>
    <row r="11974" spans="1:1">
      <c r="A11974" s="56"/>
    </row>
    <row r="11975" spans="1:1">
      <c r="A11975" s="56"/>
    </row>
    <row r="11976" spans="1:1">
      <c r="A11976" s="56"/>
    </row>
    <row r="11977" spans="1:1">
      <c r="A11977" s="56"/>
    </row>
    <row r="11978" spans="1:1">
      <c r="A11978" s="56"/>
    </row>
    <row r="11979" spans="1:1">
      <c r="A11979" s="56"/>
    </row>
    <row r="11980" spans="1:1">
      <c r="A11980" s="56"/>
    </row>
    <row r="11981" spans="1:1">
      <c r="A11981" s="56"/>
    </row>
    <row r="11982" spans="1:1">
      <c r="A11982" s="56"/>
    </row>
    <row r="11983" spans="1:1">
      <c r="A11983" s="56"/>
    </row>
    <row r="11984" spans="1:1">
      <c r="A11984" s="56"/>
    </row>
    <row r="11985" spans="1:1">
      <c r="A11985" s="56"/>
    </row>
    <row r="11986" spans="1:1">
      <c r="A11986" s="56"/>
    </row>
    <row r="11987" spans="1:1">
      <c r="A11987" s="56"/>
    </row>
    <row r="11988" spans="1:1">
      <c r="A11988" s="56"/>
    </row>
    <row r="11989" spans="1:1">
      <c r="A11989" s="56"/>
    </row>
    <row r="11990" spans="1:1">
      <c r="A11990" s="56"/>
    </row>
    <row r="11991" spans="1:1">
      <c r="A11991" s="56"/>
    </row>
    <row r="11992" spans="1:1">
      <c r="A11992" s="56"/>
    </row>
    <row r="11993" spans="1:1">
      <c r="A11993" s="56"/>
    </row>
    <row r="11994" spans="1:1">
      <c r="A11994" s="56"/>
    </row>
    <row r="11995" spans="1:1">
      <c r="A11995" s="56"/>
    </row>
    <row r="11996" spans="1:1">
      <c r="A11996" s="56"/>
    </row>
    <row r="11997" spans="1:1">
      <c r="A11997" s="56"/>
    </row>
    <row r="11998" spans="1:1">
      <c r="A11998" s="56"/>
    </row>
    <row r="11999" spans="1:1">
      <c r="A11999" s="56"/>
    </row>
    <row r="12000" spans="1:1">
      <c r="A12000" s="56"/>
    </row>
    <row r="12001" spans="1:1">
      <c r="A12001" s="56"/>
    </row>
    <row r="12002" spans="1:1">
      <c r="A12002" s="56"/>
    </row>
    <row r="12003" spans="1:1">
      <c r="A12003" s="56"/>
    </row>
    <row r="12004" spans="1:1">
      <c r="A12004" s="56"/>
    </row>
    <row r="12005" spans="1:1">
      <c r="A12005" s="56"/>
    </row>
    <row r="12006" spans="1:1">
      <c r="A12006" s="56"/>
    </row>
    <row r="12007" spans="1:1">
      <c r="A12007" s="56"/>
    </row>
    <row r="12008" spans="1:1">
      <c r="A12008" s="56"/>
    </row>
    <row r="12009" spans="1:1">
      <c r="A12009" s="56"/>
    </row>
    <row r="12010" spans="1:1">
      <c r="A12010" s="56"/>
    </row>
    <row r="12011" spans="1:1">
      <c r="A12011" s="56"/>
    </row>
    <row r="12012" spans="1:1">
      <c r="A12012" s="56"/>
    </row>
    <row r="12013" spans="1:1">
      <c r="A12013" s="56"/>
    </row>
    <row r="12014" spans="1:1">
      <c r="A12014" s="56"/>
    </row>
    <row r="12015" spans="1:1">
      <c r="A12015" s="56"/>
    </row>
    <row r="12016" spans="1:1">
      <c r="A12016" s="56"/>
    </row>
    <row r="12017" spans="1:1">
      <c r="A12017" s="56"/>
    </row>
    <row r="12018" spans="1:1">
      <c r="A12018" s="56"/>
    </row>
    <row r="12019" spans="1:1">
      <c r="A12019" s="56"/>
    </row>
    <row r="12020" spans="1:1">
      <c r="A12020" s="56"/>
    </row>
    <row r="12021" spans="1:1">
      <c r="A12021" s="56"/>
    </row>
    <row r="12022" spans="1:1">
      <c r="A12022" s="56"/>
    </row>
    <row r="12023" spans="1:1">
      <c r="A12023" s="56"/>
    </row>
    <row r="12024" spans="1:1">
      <c r="A12024" s="56"/>
    </row>
    <row r="12025" spans="1:1">
      <c r="A12025" s="56"/>
    </row>
    <row r="12026" spans="1:1">
      <c r="A12026" s="56"/>
    </row>
    <row r="12027" spans="1:1">
      <c r="A12027" s="56"/>
    </row>
    <row r="12028" spans="1:1">
      <c r="A12028" s="56"/>
    </row>
    <row r="12029" spans="1:1">
      <c r="A12029" s="56"/>
    </row>
    <row r="12030" spans="1:1">
      <c r="A12030" s="56"/>
    </row>
    <row r="12031" spans="1:1">
      <c r="A12031" s="56"/>
    </row>
    <row r="12032" spans="1:1">
      <c r="A12032" s="56"/>
    </row>
    <row r="12033" spans="1:1">
      <c r="A12033" s="56"/>
    </row>
    <row r="12034" spans="1:1">
      <c r="A12034" s="56"/>
    </row>
    <row r="12035" spans="1:1">
      <c r="A12035" s="56"/>
    </row>
    <row r="12036" spans="1:1">
      <c r="A12036" s="56"/>
    </row>
    <row r="12037" spans="1:1">
      <c r="A12037" s="56"/>
    </row>
    <row r="12038" spans="1:1">
      <c r="A12038" s="56"/>
    </row>
    <row r="12039" spans="1:1">
      <c r="A12039" s="56"/>
    </row>
    <row r="12040" spans="1:1">
      <c r="A12040" s="56"/>
    </row>
    <row r="12041" spans="1:1">
      <c r="A12041" s="56"/>
    </row>
    <row r="12042" spans="1:1">
      <c r="A12042" s="56"/>
    </row>
    <row r="12043" spans="1:1">
      <c r="A12043" s="56"/>
    </row>
    <row r="12044" spans="1:1">
      <c r="A12044" s="56"/>
    </row>
    <row r="12045" spans="1:1">
      <c r="A12045" s="56"/>
    </row>
    <row r="12046" spans="1:1">
      <c r="A12046" s="56"/>
    </row>
    <row r="12047" spans="1:1">
      <c r="A12047" s="56"/>
    </row>
    <row r="12048" spans="1:1">
      <c r="A12048" s="56"/>
    </row>
    <row r="12049" spans="1:1">
      <c r="A12049" s="56"/>
    </row>
    <row r="12050" spans="1:1">
      <c r="A12050" s="56"/>
    </row>
    <row r="12051" spans="1:1">
      <c r="A12051" s="56"/>
    </row>
    <row r="12052" spans="1:1">
      <c r="A12052" s="56"/>
    </row>
    <row r="12053" spans="1:1">
      <c r="A12053" s="56"/>
    </row>
    <row r="12054" spans="1:1">
      <c r="A12054" s="56"/>
    </row>
    <row r="12055" spans="1:1">
      <c r="A12055" s="56"/>
    </row>
    <row r="12056" spans="1:1">
      <c r="A12056" s="56"/>
    </row>
    <row r="12057" spans="1:1">
      <c r="A12057" s="56"/>
    </row>
    <row r="12058" spans="1:1">
      <c r="A12058" s="56"/>
    </row>
    <row r="12059" spans="1:1">
      <c r="A12059" s="56"/>
    </row>
    <row r="12060" spans="1:1">
      <c r="A12060" s="56"/>
    </row>
    <row r="12061" spans="1:1">
      <c r="A12061" s="56"/>
    </row>
    <row r="12062" spans="1:1">
      <c r="A12062" s="56"/>
    </row>
    <row r="12063" spans="1:1">
      <c r="A12063" s="56"/>
    </row>
    <row r="12064" spans="1:1">
      <c r="A12064" s="56"/>
    </row>
    <row r="12065" spans="1:1">
      <c r="A12065" s="56"/>
    </row>
    <row r="12066" spans="1:1">
      <c r="A12066" s="56"/>
    </row>
    <row r="12067" spans="1:1">
      <c r="A12067" s="56"/>
    </row>
    <row r="12068" spans="1:1">
      <c r="A12068" s="56"/>
    </row>
    <row r="12069" spans="1:1">
      <c r="A12069" s="56"/>
    </row>
    <row r="12070" spans="1:1">
      <c r="A12070" s="56"/>
    </row>
    <row r="12071" spans="1:1">
      <c r="A12071" s="56"/>
    </row>
    <row r="12072" spans="1:1">
      <c r="A12072" s="56"/>
    </row>
    <row r="12073" spans="1:1">
      <c r="A12073" s="56"/>
    </row>
    <row r="12074" spans="1:1">
      <c r="A12074" s="56"/>
    </row>
    <row r="12075" spans="1:1">
      <c r="A12075" s="56"/>
    </row>
    <row r="12076" spans="1:1">
      <c r="A12076" s="56"/>
    </row>
    <row r="12077" spans="1:1">
      <c r="A12077" s="56"/>
    </row>
    <row r="12078" spans="1:1">
      <c r="A12078" s="56"/>
    </row>
    <row r="12079" spans="1:1">
      <c r="A12079" s="56"/>
    </row>
    <row r="12080" spans="1:1">
      <c r="A12080" s="56"/>
    </row>
    <row r="12081" spans="1:1">
      <c r="A12081" s="56"/>
    </row>
    <row r="12082" spans="1:1">
      <c r="A12082" s="56"/>
    </row>
    <row r="12083" spans="1:1">
      <c r="A12083" s="56"/>
    </row>
    <row r="12084" spans="1:1">
      <c r="A12084" s="56"/>
    </row>
    <row r="12085" spans="1:1">
      <c r="A12085" s="56"/>
    </row>
    <row r="12086" spans="1:1">
      <c r="A12086" s="56"/>
    </row>
    <row r="12087" spans="1:1">
      <c r="A12087" s="56"/>
    </row>
    <row r="12088" spans="1:1">
      <c r="A12088" s="56"/>
    </row>
    <row r="12089" spans="1:1">
      <c r="A12089" s="56"/>
    </row>
    <row r="12090" spans="1:1">
      <c r="A12090" s="56"/>
    </row>
    <row r="12091" spans="1:1">
      <c r="A12091" s="56"/>
    </row>
    <row r="12092" spans="1:1">
      <c r="A12092" s="56"/>
    </row>
    <row r="12093" spans="1:1">
      <c r="A12093" s="56"/>
    </row>
    <row r="12094" spans="1:1">
      <c r="A12094" s="56"/>
    </row>
    <row r="12095" spans="1:1">
      <c r="A12095" s="56"/>
    </row>
    <row r="12096" spans="1:1">
      <c r="A12096" s="56"/>
    </row>
    <row r="12097" spans="1:1">
      <c r="A12097" s="56"/>
    </row>
    <row r="12098" spans="1:1">
      <c r="A12098" s="56"/>
    </row>
    <row r="12099" spans="1:1">
      <c r="A12099" s="56"/>
    </row>
    <row r="12100" spans="1:1">
      <c r="A12100" s="56"/>
    </row>
    <row r="12101" spans="1:1">
      <c r="A12101" s="56"/>
    </row>
    <row r="12102" spans="1:1">
      <c r="A12102" s="56"/>
    </row>
    <row r="12103" spans="1:1">
      <c r="A12103" s="56"/>
    </row>
    <row r="12104" spans="1:1">
      <c r="A12104" s="56"/>
    </row>
    <row r="12105" spans="1:1">
      <c r="A12105" s="56"/>
    </row>
    <row r="12106" spans="1:1">
      <c r="A12106" s="56"/>
    </row>
    <row r="12107" spans="1:1">
      <c r="A12107" s="56"/>
    </row>
    <row r="12108" spans="1:1">
      <c r="A12108" s="56"/>
    </row>
    <row r="12109" spans="1:1">
      <c r="A12109" s="56"/>
    </row>
    <row r="12110" spans="1:1">
      <c r="A12110" s="56"/>
    </row>
    <row r="12111" spans="1:1">
      <c r="A12111" s="56"/>
    </row>
    <row r="12112" spans="1:1">
      <c r="A12112" s="56"/>
    </row>
    <row r="12113" spans="1:1">
      <c r="A12113" s="56"/>
    </row>
    <row r="12114" spans="1:1">
      <c r="A12114" s="56"/>
    </row>
    <row r="12115" spans="1:1">
      <c r="A12115" s="56"/>
    </row>
    <row r="12116" spans="1:1">
      <c r="A12116" s="56"/>
    </row>
    <row r="12117" spans="1:1">
      <c r="A12117" s="56"/>
    </row>
    <row r="12118" spans="1:1">
      <c r="A12118" s="56"/>
    </row>
    <row r="12119" spans="1:1">
      <c r="A12119" s="56"/>
    </row>
    <row r="12120" spans="1:1">
      <c r="A12120" s="56"/>
    </row>
    <row r="12121" spans="1:1">
      <c r="A12121" s="56"/>
    </row>
    <row r="12122" spans="1:1">
      <c r="A12122" s="56"/>
    </row>
    <row r="12123" spans="1:1">
      <c r="A12123" s="56"/>
    </row>
    <row r="12124" spans="1:1">
      <c r="A12124" s="56"/>
    </row>
    <row r="12125" spans="1:1">
      <c r="A12125" s="56"/>
    </row>
    <row r="12126" spans="1:1">
      <c r="A12126" s="56"/>
    </row>
    <row r="12127" spans="1:1">
      <c r="A12127" s="56"/>
    </row>
    <row r="12128" spans="1:1">
      <c r="A12128" s="56"/>
    </row>
    <row r="12129" spans="1:1">
      <c r="A12129" s="56"/>
    </row>
    <row r="12130" spans="1:1">
      <c r="A12130" s="56"/>
    </row>
    <row r="12131" spans="1:1">
      <c r="A12131" s="56"/>
    </row>
    <row r="12132" spans="1:1">
      <c r="A12132" s="56"/>
    </row>
    <row r="12133" spans="1:1">
      <c r="A12133" s="56"/>
    </row>
    <row r="12134" spans="1:1">
      <c r="A12134" s="56"/>
    </row>
    <row r="12135" spans="1:1">
      <c r="A12135" s="56"/>
    </row>
    <row r="12136" spans="1:1">
      <c r="A12136" s="56"/>
    </row>
    <row r="12137" spans="1:1">
      <c r="A12137" s="56"/>
    </row>
    <row r="12138" spans="1:1">
      <c r="A12138" s="56"/>
    </row>
    <row r="12139" spans="1:1">
      <c r="A12139" s="56"/>
    </row>
    <row r="12140" spans="1:1">
      <c r="A12140" s="56"/>
    </row>
    <row r="12141" spans="1:1">
      <c r="A12141" s="56"/>
    </row>
    <row r="12142" spans="1:1">
      <c r="A12142" s="56"/>
    </row>
    <row r="12143" spans="1:1">
      <c r="A12143" s="56"/>
    </row>
    <row r="12144" spans="1:1">
      <c r="A12144" s="56"/>
    </row>
    <row r="12145" spans="1:1">
      <c r="A12145" s="56"/>
    </row>
    <row r="12146" spans="1:1">
      <c r="A12146" s="56"/>
    </row>
    <row r="12147" spans="1:1">
      <c r="A12147" s="56"/>
    </row>
    <row r="12148" spans="1:1">
      <c r="A12148" s="56"/>
    </row>
    <row r="12149" spans="1:1">
      <c r="A12149" s="56"/>
    </row>
    <row r="12150" spans="1:1">
      <c r="A12150" s="56"/>
    </row>
    <row r="12151" spans="1:1">
      <c r="A12151" s="56"/>
    </row>
    <row r="12152" spans="1:1">
      <c r="A12152" s="56"/>
    </row>
    <row r="12153" spans="1:1">
      <c r="A12153" s="56"/>
    </row>
    <row r="12154" spans="1:1">
      <c r="A12154" s="56"/>
    </row>
    <row r="12155" spans="1:1">
      <c r="A12155" s="56"/>
    </row>
    <row r="12156" spans="1:1">
      <c r="A12156" s="56"/>
    </row>
    <row r="12157" spans="1:1">
      <c r="A12157" s="56"/>
    </row>
    <row r="12158" spans="1:1">
      <c r="A12158" s="56"/>
    </row>
    <row r="12159" spans="1:1">
      <c r="A12159" s="56"/>
    </row>
    <row r="12160" spans="1:1">
      <c r="A12160" s="56"/>
    </row>
    <row r="12161" spans="1:1">
      <c r="A12161" s="56"/>
    </row>
    <row r="12162" spans="1:1">
      <c r="A12162" s="56"/>
    </row>
    <row r="12163" spans="1:1">
      <c r="A12163" s="56"/>
    </row>
    <row r="12164" spans="1:1">
      <c r="A12164" s="56"/>
    </row>
    <row r="12165" spans="1:1">
      <c r="A12165" s="56"/>
    </row>
    <row r="12166" spans="1:1">
      <c r="A12166" s="56"/>
    </row>
    <row r="12167" spans="1:1">
      <c r="A12167" s="56"/>
    </row>
    <row r="12168" spans="1:1">
      <c r="A12168" s="56"/>
    </row>
    <row r="12169" spans="1:1">
      <c r="A12169" s="56"/>
    </row>
    <row r="12170" spans="1:1">
      <c r="A12170" s="56"/>
    </row>
    <row r="12171" spans="1:1">
      <c r="A12171" s="56"/>
    </row>
    <row r="12172" spans="1:1">
      <c r="A12172" s="56"/>
    </row>
    <row r="12173" spans="1:1">
      <c r="A12173" s="56"/>
    </row>
    <row r="12174" spans="1:1">
      <c r="A12174" s="56"/>
    </row>
    <row r="12175" spans="1:1">
      <c r="A12175" s="56"/>
    </row>
    <row r="12176" spans="1:1">
      <c r="A12176" s="56"/>
    </row>
    <row r="12177" spans="1:1">
      <c r="A12177" s="56"/>
    </row>
    <row r="12178" spans="1:1">
      <c r="A12178" s="56"/>
    </row>
    <row r="12179" spans="1:1">
      <c r="A12179" s="56"/>
    </row>
    <row r="12180" spans="1:1">
      <c r="A12180" s="56"/>
    </row>
    <row r="12181" spans="1:1">
      <c r="A12181" s="56"/>
    </row>
    <row r="12182" spans="1:1">
      <c r="A12182" s="56"/>
    </row>
    <row r="12183" spans="1:1">
      <c r="A12183" s="56"/>
    </row>
    <row r="12184" spans="1:1">
      <c r="A12184" s="56"/>
    </row>
    <row r="12185" spans="1:1">
      <c r="A12185" s="56"/>
    </row>
    <row r="12186" spans="1:1">
      <c r="A12186" s="56"/>
    </row>
    <row r="12187" spans="1:1">
      <c r="A12187" s="56"/>
    </row>
    <row r="12188" spans="1:1">
      <c r="A12188" s="56"/>
    </row>
    <row r="12189" spans="1:1">
      <c r="A12189" s="56"/>
    </row>
    <row r="12190" spans="1:1">
      <c r="A12190" s="56"/>
    </row>
    <row r="12191" spans="1:1">
      <c r="A12191" s="56"/>
    </row>
    <row r="12192" spans="1:1">
      <c r="A12192" s="56"/>
    </row>
    <row r="12193" spans="1:1">
      <c r="A12193" s="56"/>
    </row>
    <row r="12194" spans="1:1">
      <c r="A12194" s="56"/>
    </row>
    <row r="12195" spans="1:1">
      <c r="A12195" s="56"/>
    </row>
    <row r="12196" spans="1:1">
      <c r="A12196" s="56"/>
    </row>
    <row r="12197" spans="1:1">
      <c r="A12197" s="56"/>
    </row>
    <row r="12198" spans="1:1">
      <c r="A12198" s="56"/>
    </row>
    <row r="12199" spans="1:1">
      <c r="A12199" s="56"/>
    </row>
    <row r="12200" spans="1:1">
      <c r="A12200" s="56"/>
    </row>
    <row r="12201" spans="1:1">
      <c r="A12201" s="56"/>
    </row>
    <row r="12202" spans="1:1">
      <c r="A12202" s="56"/>
    </row>
    <row r="12203" spans="1:1">
      <c r="A12203" s="56"/>
    </row>
    <row r="12204" spans="1:1">
      <c r="A12204" s="56"/>
    </row>
    <row r="12205" spans="1:1">
      <c r="A12205" s="56"/>
    </row>
    <row r="12206" spans="1:1">
      <c r="A12206" s="56"/>
    </row>
    <row r="12207" spans="1:1">
      <c r="A12207" s="56"/>
    </row>
    <row r="12208" spans="1:1">
      <c r="A12208" s="56"/>
    </row>
    <row r="12209" spans="1:1">
      <c r="A12209" s="56"/>
    </row>
    <row r="12210" spans="1:1">
      <c r="A12210" s="56"/>
    </row>
    <row r="12211" spans="1:1">
      <c r="A12211" s="56"/>
    </row>
    <row r="12212" spans="1:1">
      <c r="A12212" s="56"/>
    </row>
    <row r="12213" spans="1:1">
      <c r="A12213" s="56"/>
    </row>
    <row r="12214" spans="1:1">
      <c r="A12214" s="56"/>
    </row>
    <row r="12215" spans="1:1">
      <c r="A12215" s="56"/>
    </row>
    <row r="12216" spans="1:1">
      <c r="A12216" s="56"/>
    </row>
    <row r="12217" spans="1:1">
      <c r="A12217" s="56"/>
    </row>
    <row r="12218" spans="1:1">
      <c r="A12218" s="56"/>
    </row>
    <row r="12219" spans="1:1">
      <c r="A12219" s="56"/>
    </row>
    <row r="12220" spans="1:1">
      <c r="A12220" s="56"/>
    </row>
    <row r="12221" spans="1:1">
      <c r="A12221" s="56"/>
    </row>
    <row r="12222" spans="1:1">
      <c r="A12222" s="56"/>
    </row>
    <row r="12223" spans="1:1">
      <c r="A12223" s="56"/>
    </row>
    <row r="12224" spans="1:1">
      <c r="A12224" s="56"/>
    </row>
    <row r="12225" spans="1:1">
      <c r="A12225" s="56"/>
    </row>
    <row r="12226" spans="1:1">
      <c r="A12226" s="56"/>
    </row>
    <row r="12227" spans="1:1">
      <c r="A12227" s="56"/>
    </row>
    <row r="12228" spans="1:1">
      <c r="A12228" s="56"/>
    </row>
    <row r="12229" spans="1:1">
      <c r="A12229" s="56"/>
    </row>
    <row r="12230" spans="1:1">
      <c r="A12230" s="56"/>
    </row>
    <row r="12231" spans="1:1">
      <c r="A12231" s="56"/>
    </row>
    <row r="12232" spans="1:1">
      <c r="A12232" s="56"/>
    </row>
    <row r="12233" spans="1:1">
      <c r="A12233" s="56"/>
    </row>
    <row r="12234" spans="1:1">
      <c r="A12234" s="56"/>
    </row>
    <row r="12235" spans="1:1">
      <c r="A12235" s="56"/>
    </row>
    <row r="12236" spans="1:1">
      <c r="A12236" s="56"/>
    </row>
    <row r="12237" spans="1:1">
      <c r="A12237" s="56"/>
    </row>
    <row r="12238" spans="1:1">
      <c r="A12238" s="56"/>
    </row>
    <row r="12239" spans="1:1">
      <c r="A12239" s="56"/>
    </row>
    <row r="12240" spans="1:1">
      <c r="A12240" s="56"/>
    </row>
    <row r="12241" spans="1:1">
      <c r="A12241" s="56"/>
    </row>
    <row r="12242" spans="1:1">
      <c r="A12242" s="56"/>
    </row>
    <row r="12243" spans="1:1">
      <c r="A12243" s="56"/>
    </row>
    <row r="12244" spans="1:1">
      <c r="A12244" s="56"/>
    </row>
    <row r="12245" spans="1:1">
      <c r="A12245" s="56"/>
    </row>
    <row r="12246" spans="1:1">
      <c r="A12246" s="56"/>
    </row>
    <row r="12247" spans="1:1">
      <c r="A12247" s="56"/>
    </row>
    <row r="12248" spans="1:1">
      <c r="A12248" s="56"/>
    </row>
    <row r="12249" spans="1:1">
      <c r="A12249" s="56"/>
    </row>
    <row r="12250" spans="1:1">
      <c r="A12250" s="56"/>
    </row>
    <row r="12251" spans="1:1">
      <c r="A12251" s="56"/>
    </row>
    <row r="12252" spans="1:1">
      <c r="A12252" s="56"/>
    </row>
    <row r="12253" spans="1:1">
      <c r="A12253" s="56"/>
    </row>
    <row r="12254" spans="1:1">
      <c r="A12254" s="56"/>
    </row>
    <row r="12255" spans="1:1">
      <c r="A12255" s="56"/>
    </row>
    <row r="12256" spans="1:1">
      <c r="A12256" s="56"/>
    </row>
    <row r="12257" spans="1:1">
      <c r="A12257" s="56"/>
    </row>
    <row r="12258" spans="1:1">
      <c r="A12258" s="56"/>
    </row>
    <row r="12259" spans="1:1">
      <c r="A12259" s="56"/>
    </row>
    <row r="12260" spans="1:1">
      <c r="A12260" s="56"/>
    </row>
    <row r="12261" spans="1:1">
      <c r="A12261" s="56"/>
    </row>
    <row r="12262" spans="1:1">
      <c r="A12262" s="56"/>
    </row>
    <row r="12263" spans="1:1">
      <c r="A12263" s="56"/>
    </row>
    <row r="12264" spans="1:1">
      <c r="A12264" s="56"/>
    </row>
    <row r="12265" spans="1:1">
      <c r="A12265" s="56"/>
    </row>
    <row r="12266" spans="1:1">
      <c r="A12266" s="56"/>
    </row>
    <row r="12267" spans="1:1">
      <c r="A12267" s="56"/>
    </row>
    <row r="12268" spans="1:1">
      <c r="A12268" s="56"/>
    </row>
    <row r="12269" spans="1:1">
      <c r="A12269" s="56"/>
    </row>
    <row r="12270" spans="1:1">
      <c r="A12270" s="56"/>
    </row>
    <row r="12271" spans="1:1">
      <c r="A12271" s="56"/>
    </row>
    <row r="12272" spans="1:1">
      <c r="A12272" s="56"/>
    </row>
    <row r="12273" spans="1:1">
      <c r="A12273" s="56"/>
    </row>
    <row r="12274" spans="1:1">
      <c r="A12274" s="56"/>
    </row>
    <row r="12275" spans="1:1">
      <c r="A12275" s="56"/>
    </row>
    <row r="12276" spans="1:1">
      <c r="A12276" s="56"/>
    </row>
    <row r="12277" spans="1:1">
      <c r="A12277" s="56"/>
    </row>
    <row r="12278" spans="1:1">
      <c r="A12278" s="56"/>
    </row>
    <row r="12279" spans="1:1">
      <c r="A12279" s="56"/>
    </row>
    <row r="12280" spans="1:1">
      <c r="A12280" s="56"/>
    </row>
    <row r="12281" spans="1:1">
      <c r="A12281" s="56"/>
    </row>
    <row r="12282" spans="1:1">
      <c r="A12282" s="56"/>
    </row>
    <row r="12283" spans="1:1">
      <c r="A12283" s="56"/>
    </row>
    <row r="12284" spans="1:1">
      <c r="A12284" s="56"/>
    </row>
    <row r="12285" spans="1:1">
      <c r="A12285" s="56"/>
    </row>
    <row r="12286" spans="1:1">
      <c r="A12286" s="56"/>
    </row>
    <row r="12287" spans="1:1">
      <c r="A12287" s="56"/>
    </row>
    <row r="12288" spans="1:1">
      <c r="A12288" s="56"/>
    </row>
    <row r="12289" spans="1:1">
      <c r="A12289" s="56"/>
    </row>
    <row r="12290" spans="1:1">
      <c r="A12290" s="56"/>
    </row>
    <row r="12291" spans="1:1">
      <c r="A12291" s="56"/>
    </row>
    <row r="12292" spans="1:1">
      <c r="A12292" s="56"/>
    </row>
    <row r="12293" spans="1:1">
      <c r="A12293" s="56"/>
    </row>
    <row r="12294" spans="1:1">
      <c r="A12294" s="56"/>
    </row>
    <row r="12295" spans="1:1">
      <c r="A12295" s="56"/>
    </row>
    <row r="12296" spans="1:1">
      <c r="A12296" s="56"/>
    </row>
    <row r="12297" spans="1:1">
      <c r="A12297" s="56"/>
    </row>
    <row r="12298" spans="1:1">
      <c r="A12298" s="56"/>
    </row>
    <row r="12299" spans="1:1">
      <c r="A12299" s="56"/>
    </row>
    <row r="12300" spans="1:1">
      <c r="A12300" s="56"/>
    </row>
    <row r="12301" spans="1:1">
      <c r="A12301" s="56"/>
    </row>
    <row r="12302" spans="1:1">
      <c r="A12302" s="56"/>
    </row>
    <row r="12303" spans="1:1">
      <c r="A12303" s="56"/>
    </row>
    <row r="12304" spans="1:1">
      <c r="A12304" s="56"/>
    </row>
    <row r="12305" spans="1:1">
      <c r="A12305" s="56"/>
    </row>
    <row r="12306" spans="1:1">
      <c r="A12306" s="56"/>
    </row>
    <row r="12307" spans="1:1">
      <c r="A12307" s="56"/>
    </row>
    <row r="12308" spans="1:1">
      <c r="A12308" s="56"/>
    </row>
    <row r="12309" spans="1:1">
      <c r="A12309" s="56"/>
    </row>
    <row r="12310" spans="1:1">
      <c r="A12310" s="56"/>
    </row>
    <row r="12311" spans="1:1">
      <c r="A12311" s="56"/>
    </row>
    <row r="12312" spans="1:1">
      <c r="A12312" s="56"/>
    </row>
    <row r="12313" spans="1:1">
      <c r="A12313" s="56"/>
    </row>
    <row r="12314" spans="1:1">
      <c r="A12314" s="56"/>
    </row>
    <row r="12315" spans="1:1">
      <c r="A12315" s="56"/>
    </row>
    <row r="12316" spans="1:1">
      <c r="A12316" s="56"/>
    </row>
    <row r="12317" spans="1:1">
      <c r="A12317" s="56"/>
    </row>
    <row r="12318" spans="1:1">
      <c r="A12318" s="56"/>
    </row>
    <row r="12319" spans="1:1">
      <c r="A12319" s="56"/>
    </row>
    <row r="12320" spans="1:1">
      <c r="A12320" s="56"/>
    </row>
    <row r="12321" spans="1:1">
      <c r="A12321" s="56"/>
    </row>
    <row r="12322" spans="1:1">
      <c r="A12322" s="56"/>
    </row>
    <row r="12323" spans="1:1">
      <c r="A12323" s="56"/>
    </row>
    <row r="12324" spans="1:1">
      <c r="A12324" s="56"/>
    </row>
    <row r="12325" spans="1:1">
      <c r="A12325" s="56"/>
    </row>
    <row r="12326" spans="1:1">
      <c r="A12326" s="56"/>
    </row>
    <row r="12327" spans="1:1">
      <c r="A12327" s="56"/>
    </row>
    <row r="12328" spans="1:1">
      <c r="A12328" s="56"/>
    </row>
    <row r="12329" spans="1:1">
      <c r="A12329" s="56"/>
    </row>
    <row r="12330" spans="1:1">
      <c r="A12330" s="56"/>
    </row>
    <row r="12331" spans="1:1">
      <c r="A12331" s="56"/>
    </row>
    <row r="12332" spans="1:1">
      <c r="A12332" s="56"/>
    </row>
    <row r="12333" spans="1:1">
      <c r="A12333" s="56"/>
    </row>
    <row r="12334" spans="1:1">
      <c r="A12334" s="56"/>
    </row>
    <row r="12335" spans="1:1">
      <c r="A12335" s="56"/>
    </row>
    <row r="12336" spans="1:1">
      <c r="A12336" s="56"/>
    </row>
    <row r="12337" spans="1:1">
      <c r="A12337" s="56"/>
    </row>
    <row r="12338" spans="1:1">
      <c r="A12338" s="56"/>
    </row>
    <row r="12339" spans="1:1">
      <c r="A12339" s="56"/>
    </row>
    <row r="12340" spans="1:1">
      <c r="A12340" s="56"/>
    </row>
    <row r="12341" spans="1:1">
      <c r="A12341" s="56"/>
    </row>
    <row r="12342" spans="1:1">
      <c r="A12342" s="56"/>
    </row>
    <row r="12343" spans="1:1">
      <c r="A12343" s="56"/>
    </row>
    <row r="12344" spans="1:1">
      <c r="A12344" s="56"/>
    </row>
    <row r="12345" spans="1:1">
      <c r="A12345" s="56"/>
    </row>
    <row r="12346" spans="1:1">
      <c r="A12346" s="56"/>
    </row>
    <row r="12347" spans="1:1">
      <c r="A12347" s="56"/>
    </row>
    <row r="12348" spans="1:1">
      <c r="A12348" s="56"/>
    </row>
    <row r="12349" spans="1:1">
      <c r="A12349" s="56"/>
    </row>
    <row r="12350" spans="1:1">
      <c r="A12350" s="56"/>
    </row>
    <row r="12351" spans="1:1">
      <c r="A12351" s="56"/>
    </row>
    <row r="12352" spans="1:1">
      <c r="A12352" s="56"/>
    </row>
    <row r="12353" spans="1:1">
      <c r="A12353" s="56"/>
    </row>
    <row r="12354" spans="1:1">
      <c r="A12354" s="56"/>
    </row>
    <row r="12355" spans="1:1">
      <c r="A12355" s="56"/>
    </row>
    <row r="12356" spans="1:1">
      <c r="A12356" s="56"/>
    </row>
    <row r="12357" spans="1:1">
      <c r="A12357" s="56"/>
    </row>
    <row r="12358" spans="1:1">
      <c r="A12358" s="56"/>
    </row>
    <row r="12359" spans="1:1">
      <c r="A12359" s="56"/>
    </row>
    <row r="12360" spans="1:1">
      <c r="A12360" s="56"/>
    </row>
    <row r="12361" spans="1:1">
      <c r="A12361" s="56"/>
    </row>
    <row r="12362" spans="1:1">
      <c r="A12362" s="56"/>
    </row>
    <row r="12363" spans="1:1">
      <c r="A12363" s="56"/>
    </row>
    <row r="12364" spans="1:1">
      <c r="A12364" s="56"/>
    </row>
    <row r="12365" spans="1:1">
      <c r="A12365" s="56"/>
    </row>
    <row r="12366" spans="1:1">
      <c r="A12366" s="56"/>
    </row>
    <row r="12367" spans="1:1">
      <c r="A12367" s="56"/>
    </row>
    <row r="12368" spans="1:1">
      <c r="A12368" s="56"/>
    </row>
    <row r="12369" spans="1:1">
      <c r="A12369" s="56"/>
    </row>
    <row r="12370" spans="1:1">
      <c r="A12370" s="56"/>
    </row>
    <row r="12371" spans="1:1">
      <c r="A12371" s="56"/>
    </row>
    <row r="12372" spans="1:1">
      <c r="A12372" s="56"/>
    </row>
    <row r="12373" spans="1:1">
      <c r="A12373" s="56"/>
    </row>
    <row r="12374" spans="1:1">
      <c r="A12374" s="56"/>
    </row>
    <row r="12375" spans="1:1">
      <c r="A12375" s="56"/>
    </row>
    <row r="12376" spans="1:1">
      <c r="A12376" s="56"/>
    </row>
    <row r="12377" spans="1:1">
      <c r="A12377" s="56"/>
    </row>
    <row r="12378" spans="1:1">
      <c r="A12378" s="56"/>
    </row>
    <row r="12379" spans="1:1">
      <c r="A12379" s="56"/>
    </row>
    <row r="12380" spans="1:1">
      <c r="A12380" s="56"/>
    </row>
    <row r="12381" spans="1:1">
      <c r="A12381" s="56"/>
    </row>
    <row r="12382" spans="1:1">
      <c r="A12382" s="56"/>
    </row>
    <row r="12383" spans="1:1">
      <c r="A12383" s="56"/>
    </row>
    <row r="12384" spans="1:1">
      <c r="A12384" s="56"/>
    </row>
    <row r="12385" spans="1:1">
      <c r="A12385" s="56"/>
    </row>
    <row r="12386" spans="1:1">
      <c r="A12386" s="56"/>
    </row>
    <row r="12387" spans="1:1">
      <c r="A12387" s="56"/>
    </row>
    <row r="12388" spans="1:1">
      <c r="A12388" s="56"/>
    </row>
    <row r="12389" spans="1:1">
      <c r="A12389" s="56"/>
    </row>
    <row r="12390" spans="1:1">
      <c r="A12390" s="56"/>
    </row>
    <row r="12391" spans="1:1">
      <c r="A12391" s="56"/>
    </row>
    <row r="12392" spans="1:1">
      <c r="A12392" s="56"/>
    </row>
    <row r="12393" spans="1:1">
      <c r="A12393" s="56"/>
    </row>
    <row r="12394" spans="1:1">
      <c r="A12394" s="56"/>
    </row>
    <row r="12395" spans="1:1">
      <c r="A12395" s="56"/>
    </row>
    <row r="12396" spans="1:1">
      <c r="A12396" s="56"/>
    </row>
    <row r="12397" spans="1:1">
      <c r="A12397" s="56"/>
    </row>
    <row r="12398" spans="1:1">
      <c r="A12398" s="56"/>
    </row>
    <row r="12399" spans="1:1">
      <c r="A12399" s="56"/>
    </row>
    <row r="12400" spans="1:1">
      <c r="A12400" s="56"/>
    </row>
    <row r="12401" spans="1:1">
      <c r="A12401" s="56"/>
    </row>
    <row r="12402" spans="1:1">
      <c r="A12402" s="56"/>
    </row>
    <row r="12403" spans="1:1">
      <c r="A12403" s="56"/>
    </row>
    <row r="12404" spans="1:1">
      <c r="A12404" s="56"/>
    </row>
    <row r="12405" spans="1:1">
      <c r="A12405" s="56"/>
    </row>
    <row r="12406" spans="1:1">
      <c r="A12406" s="56"/>
    </row>
    <row r="12407" spans="1:1">
      <c r="A12407" s="56"/>
    </row>
    <row r="12408" spans="1:1">
      <c r="A12408" s="56"/>
    </row>
    <row r="12409" spans="1:1">
      <c r="A12409" s="56"/>
    </row>
    <row r="12410" spans="1:1">
      <c r="A12410" s="56"/>
    </row>
    <row r="12411" spans="1:1">
      <c r="A12411" s="56"/>
    </row>
    <row r="12412" spans="1:1">
      <c r="A12412" s="56"/>
    </row>
    <row r="12413" spans="1:1">
      <c r="A12413" s="56"/>
    </row>
    <row r="12414" spans="1:1">
      <c r="A12414" s="56"/>
    </row>
    <row r="12415" spans="1:1">
      <c r="A12415" s="56"/>
    </row>
    <row r="12416" spans="1:1">
      <c r="A12416" s="56"/>
    </row>
    <row r="12417" spans="1:1">
      <c r="A12417" s="56"/>
    </row>
    <row r="12418" spans="1:1">
      <c r="A12418" s="56"/>
    </row>
    <row r="12419" spans="1:1">
      <c r="A12419" s="56"/>
    </row>
    <row r="12420" spans="1:1">
      <c r="A12420" s="56"/>
    </row>
    <row r="12421" spans="1:1">
      <c r="A12421" s="56"/>
    </row>
    <row r="12422" spans="1:1">
      <c r="A12422" s="56"/>
    </row>
    <row r="12423" spans="1:1">
      <c r="A12423" s="56"/>
    </row>
    <row r="12424" spans="1:1">
      <c r="A12424" s="56"/>
    </row>
    <row r="12425" spans="1:1">
      <c r="A12425" s="56"/>
    </row>
    <row r="12426" spans="1:1">
      <c r="A12426" s="56"/>
    </row>
    <row r="12427" spans="1:1">
      <c r="A12427" s="56"/>
    </row>
    <row r="12428" spans="1:1">
      <c r="A12428" s="56"/>
    </row>
    <row r="12429" spans="1:1">
      <c r="A12429" s="56"/>
    </row>
    <row r="12430" spans="1:1">
      <c r="A12430" s="56"/>
    </row>
    <row r="12431" spans="1:1">
      <c r="A12431" s="56"/>
    </row>
    <row r="12432" spans="1:1">
      <c r="A12432" s="56"/>
    </row>
    <row r="12433" spans="1:1">
      <c r="A12433" s="56"/>
    </row>
    <row r="12434" spans="1:1">
      <c r="A12434" s="56"/>
    </row>
    <row r="12435" spans="1:1">
      <c r="A12435" s="56"/>
    </row>
    <row r="12436" spans="1:1">
      <c r="A12436" s="56"/>
    </row>
    <row r="12437" spans="1:1">
      <c r="A12437" s="56"/>
    </row>
    <row r="12438" spans="1:1">
      <c r="A12438" s="56"/>
    </row>
    <row r="12439" spans="1:1">
      <c r="A12439" s="56"/>
    </row>
    <row r="12440" spans="1:1">
      <c r="A12440" s="56"/>
    </row>
    <row r="12441" spans="1:1">
      <c r="A12441" s="56"/>
    </row>
    <row r="12442" spans="1:1">
      <c r="A12442" s="56"/>
    </row>
    <row r="12443" spans="1:1">
      <c r="A12443" s="56"/>
    </row>
    <row r="12444" spans="1:1">
      <c r="A12444" s="56"/>
    </row>
    <row r="12445" spans="1:1">
      <c r="A12445" s="56"/>
    </row>
    <row r="12446" spans="1:1">
      <c r="A12446" s="56"/>
    </row>
    <row r="12447" spans="1:1">
      <c r="A12447" s="56"/>
    </row>
    <row r="12448" spans="1:1">
      <c r="A12448" s="56"/>
    </row>
    <row r="12449" spans="1:1">
      <c r="A12449" s="56"/>
    </row>
    <row r="12450" spans="1:1">
      <c r="A12450" s="56"/>
    </row>
    <row r="12451" spans="1:1">
      <c r="A12451" s="56"/>
    </row>
    <row r="12452" spans="1:1">
      <c r="A12452" s="56"/>
    </row>
    <row r="12453" spans="1:1">
      <c r="A12453" s="56"/>
    </row>
    <row r="12454" spans="1:1">
      <c r="A12454" s="56"/>
    </row>
    <row r="12455" spans="1:1">
      <c r="A12455" s="56"/>
    </row>
    <row r="12456" spans="1:1">
      <c r="A12456" s="56"/>
    </row>
    <row r="12457" spans="1:1">
      <c r="A12457" s="56"/>
    </row>
    <row r="12458" spans="1:1">
      <c r="A12458" s="56"/>
    </row>
    <row r="12459" spans="1:1">
      <c r="A12459" s="56"/>
    </row>
    <row r="12460" spans="1:1">
      <c r="A12460" s="56"/>
    </row>
    <row r="12461" spans="1:1">
      <c r="A12461" s="56"/>
    </row>
    <row r="12462" spans="1:1">
      <c r="A12462" s="56"/>
    </row>
    <row r="12463" spans="1:1">
      <c r="A12463" s="56"/>
    </row>
    <row r="12464" spans="1:1">
      <c r="A12464" s="56"/>
    </row>
    <row r="12465" spans="1:1">
      <c r="A12465" s="56"/>
    </row>
    <row r="12466" spans="1:1">
      <c r="A12466" s="56"/>
    </row>
    <row r="12467" spans="1:1">
      <c r="A12467" s="56"/>
    </row>
    <row r="12468" spans="1:1">
      <c r="A12468" s="56"/>
    </row>
    <row r="12469" spans="1:1">
      <c r="A12469" s="56"/>
    </row>
    <row r="12470" spans="1:1">
      <c r="A12470" s="56"/>
    </row>
    <row r="12471" spans="1:1">
      <c r="A12471" s="56"/>
    </row>
    <row r="12472" spans="1:1">
      <c r="A12472" s="56"/>
    </row>
    <row r="12473" spans="1:1">
      <c r="A12473" s="56"/>
    </row>
    <row r="12474" spans="1:1">
      <c r="A12474" s="56"/>
    </row>
    <row r="12475" spans="1:1">
      <c r="A12475" s="56"/>
    </row>
    <row r="12476" spans="1:1">
      <c r="A12476" s="56"/>
    </row>
    <row r="12477" spans="1:1">
      <c r="A12477" s="56"/>
    </row>
    <row r="12478" spans="1:1">
      <c r="A12478" s="56"/>
    </row>
    <row r="12479" spans="1:1">
      <c r="A12479" s="56"/>
    </row>
    <row r="12480" spans="1:1">
      <c r="A12480" s="56"/>
    </row>
    <row r="12481" spans="1:1">
      <c r="A12481" s="56"/>
    </row>
    <row r="12482" spans="1:1">
      <c r="A12482" s="56"/>
    </row>
    <row r="12483" spans="1:1">
      <c r="A12483" s="56"/>
    </row>
    <row r="12484" spans="1:1">
      <c r="A12484" s="56"/>
    </row>
    <row r="12485" spans="1:1">
      <c r="A12485" s="56"/>
    </row>
    <row r="12486" spans="1:1">
      <c r="A12486" s="56"/>
    </row>
    <row r="12487" spans="1:1">
      <c r="A12487" s="56"/>
    </row>
    <row r="12488" spans="1:1">
      <c r="A12488" s="56"/>
    </row>
    <row r="12489" spans="1:1">
      <c r="A12489" s="56"/>
    </row>
    <row r="12490" spans="1:1">
      <c r="A12490" s="56"/>
    </row>
    <row r="12491" spans="1:1">
      <c r="A12491" s="56"/>
    </row>
    <row r="12492" spans="1:1">
      <c r="A12492" s="56"/>
    </row>
    <row r="12493" spans="1:1">
      <c r="A12493" s="56"/>
    </row>
    <row r="12494" spans="1:1">
      <c r="A12494" s="56"/>
    </row>
    <row r="12495" spans="1:1">
      <c r="A12495" s="56"/>
    </row>
    <row r="12496" spans="1:1">
      <c r="A12496" s="56"/>
    </row>
    <row r="12497" spans="1:1">
      <c r="A12497" s="56"/>
    </row>
    <row r="12498" spans="1:1">
      <c r="A12498" s="56"/>
    </row>
    <row r="12499" spans="1:1">
      <c r="A12499" s="56"/>
    </row>
    <row r="12500" spans="1:1">
      <c r="A12500" s="56"/>
    </row>
    <row r="12501" spans="1:1">
      <c r="A12501" s="56"/>
    </row>
    <row r="12502" spans="1:1">
      <c r="A12502" s="56"/>
    </row>
    <row r="12503" spans="1:1">
      <c r="A12503" s="56"/>
    </row>
    <row r="12504" spans="1:1">
      <c r="A12504" s="56"/>
    </row>
    <row r="12505" spans="1:1">
      <c r="A12505" s="56"/>
    </row>
    <row r="12506" spans="1:1">
      <c r="A12506" s="56"/>
    </row>
    <row r="12507" spans="1:1">
      <c r="A12507" s="56"/>
    </row>
    <row r="12508" spans="1:1">
      <c r="A12508" s="56"/>
    </row>
    <row r="12509" spans="1:1">
      <c r="A12509" s="56"/>
    </row>
    <row r="12510" spans="1:1">
      <c r="A12510" s="56"/>
    </row>
    <row r="12511" spans="1:1">
      <c r="A12511" s="56"/>
    </row>
    <row r="12512" spans="1:1">
      <c r="A12512" s="56"/>
    </row>
    <row r="12513" spans="1:1">
      <c r="A12513" s="56"/>
    </row>
    <row r="12514" spans="1:1">
      <c r="A12514" s="56"/>
    </row>
    <row r="12515" spans="1:1">
      <c r="A12515" s="56"/>
    </row>
    <row r="12516" spans="1:1">
      <c r="A12516" s="56"/>
    </row>
    <row r="12517" spans="1:1">
      <c r="A12517" s="56"/>
    </row>
    <row r="12518" spans="1:1">
      <c r="A12518" s="56"/>
    </row>
    <row r="12519" spans="1:1">
      <c r="A12519" s="56"/>
    </row>
    <row r="12520" spans="1:1">
      <c r="A12520" s="56"/>
    </row>
    <row r="12521" spans="1:1">
      <c r="A12521" s="56"/>
    </row>
    <row r="12522" spans="1:1">
      <c r="A12522" s="56"/>
    </row>
    <row r="12523" spans="1:1">
      <c r="A12523" s="56"/>
    </row>
    <row r="12524" spans="1:1">
      <c r="A12524" s="56"/>
    </row>
    <row r="12525" spans="1:1">
      <c r="A12525" s="56"/>
    </row>
    <row r="12526" spans="1:1">
      <c r="A12526" s="56"/>
    </row>
    <row r="12527" spans="1:1">
      <c r="A12527" s="56"/>
    </row>
    <row r="12528" spans="1:1">
      <c r="A12528" s="56"/>
    </row>
    <row r="12529" spans="1:1">
      <c r="A12529" s="56"/>
    </row>
    <row r="12530" spans="1:1">
      <c r="A12530" s="56"/>
    </row>
    <row r="12531" spans="1:1">
      <c r="A12531" s="56"/>
    </row>
    <row r="12532" spans="1:1">
      <c r="A12532" s="56"/>
    </row>
    <row r="12533" spans="1:1">
      <c r="A12533" s="56"/>
    </row>
    <row r="12534" spans="1:1">
      <c r="A12534" s="56"/>
    </row>
    <row r="12535" spans="1:1">
      <c r="A12535" s="56"/>
    </row>
    <row r="12536" spans="1:1">
      <c r="A12536" s="56"/>
    </row>
    <row r="12537" spans="1:1">
      <c r="A12537" s="56"/>
    </row>
    <row r="12538" spans="1:1">
      <c r="A12538" s="56"/>
    </row>
    <row r="12539" spans="1:1">
      <c r="A12539" s="56"/>
    </row>
    <row r="12540" spans="1:1">
      <c r="A12540" s="56"/>
    </row>
    <row r="12541" spans="1:1">
      <c r="A12541" s="56"/>
    </row>
    <row r="12542" spans="1:1">
      <c r="A12542" s="56"/>
    </row>
    <row r="12543" spans="1:1">
      <c r="A12543" s="56"/>
    </row>
    <row r="12544" spans="1:1">
      <c r="A12544" s="56"/>
    </row>
    <row r="12545" spans="1:1">
      <c r="A12545" s="56"/>
    </row>
    <row r="12546" spans="1:1">
      <c r="A12546" s="56"/>
    </row>
    <row r="12547" spans="1:1">
      <c r="A12547" s="56"/>
    </row>
    <row r="12548" spans="1:1">
      <c r="A12548" s="56"/>
    </row>
    <row r="12549" spans="1:1">
      <c r="A12549" s="56"/>
    </row>
    <row r="12550" spans="1:1">
      <c r="A12550" s="56"/>
    </row>
    <row r="12551" spans="1:1">
      <c r="A12551" s="56"/>
    </row>
    <row r="12552" spans="1:1">
      <c r="A12552" s="56"/>
    </row>
    <row r="12553" spans="1:1">
      <c r="A12553" s="56"/>
    </row>
    <row r="12554" spans="1:1">
      <c r="A12554" s="56"/>
    </row>
    <row r="12555" spans="1:1">
      <c r="A12555" s="56"/>
    </row>
    <row r="12556" spans="1:1">
      <c r="A12556" s="56"/>
    </row>
    <row r="12557" spans="1:1">
      <c r="A12557" s="56"/>
    </row>
    <row r="12558" spans="1:1">
      <c r="A12558" s="56"/>
    </row>
    <row r="12559" spans="1:1">
      <c r="A12559" s="56"/>
    </row>
    <row r="12560" spans="1:1">
      <c r="A12560" s="56"/>
    </row>
    <row r="12561" spans="1:1">
      <c r="A12561" s="56"/>
    </row>
    <row r="12562" spans="1:1">
      <c r="A12562" s="56"/>
    </row>
    <row r="12563" spans="1:1">
      <c r="A12563" s="56"/>
    </row>
    <row r="12564" spans="1:1">
      <c r="A12564" s="56"/>
    </row>
    <row r="12565" spans="1:1">
      <c r="A12565" s="56"/>
    </row>
    <row r="12566" spans="1:1">
      <c r="A12566" s="56"/>
    </row>
    <row r="12567" spans="1:1">
      <c r="A12567" s="56"/>
    </row>
    <row r="12568" spans="1:1">
      <c r="A12568" s="56"/>
    </row>
    <row r="12569" spans="1:1">
      <c r="A12569" s="56"/>
    </row>
    <row r="12570" spans="1:1">
      <c r="A12570" s="56"/>
    </row>
    <row r="12571" spans="1:1">
      <c r="A12571" s="56"/>
    </row>
    <row r="12572" spans="1:1">
      <c r="A12572" s="56"/>
    </row>
    <row r="12573" spans="1:1">
      <c r="A12573" s="56"/>
    </row>
    <row r="12574" spans="1:1">
      <c r="A12574" s="56"/>
    </row>
    <row r="12575" spans="1:1">
      <c r="A12575" s="56"/>
    </row>
    <row r="12576" spans="1:1">
      <c r="A12576" s="56"/>
    </row>
    <row r="12577" spans="1:1">
      <c r="A12577" s="56"/>
    </row>
    <row r="12578" spans="1:1">
      <c r="A12578" s="56"/>
    </row>
    <row r="12579" spans="1:1">
      <c r="A12579" s="56"/>
    </row>
    <row r="12580" spans="1:1">
      <c r="A12580" s="56"/>
    </row>
    <row r="12581" spans="1:1">
      <c r="A12581" s="56"/>
    </row>
    <row r="12582" spans="1:1">
      <c r="A12582" s="56"/>
    </row>
    <row r="12583" spans="1:1">
      <c r="A12583" s="56"/>
    </row>
    <row r="12584" spans="1:1">
      <c r="A12584" s="56"/>
    </row>
    <row r="12585" spans="1:1">
      <c r="A12585" s="56"/>
    </row>
    <row r="12586" spans="1:1">
      <c r="A12586" s="56"/>
    </row>
    <row r="12587" spans="1:1">
      <c r="A12587" s="56"/>
    </row>
    <row r="12588" spans="1:1">
      <c r="A12588" s="56"/>
    </row>
    <row r="12589" spans="1:1">
      <c r="A12589" s="56"/>
    </row>
    <row r="12590" spans="1:1">
      <c r="A12590" s="56"/>
    </row>
    <row r="12591" spans="1:1">
      <c r="A12591" s="56"/>
    </row>
    <row r="12592" spans="1:1">
      <c r="A12592" s="56"/>
    </row>
    <row r="12593" spans="1:1">
      <c r="A12593" s="56"/>
    </row>
    <row r="12594" spans="1:1">
      <c r="A12594" s="56"/>
    </row>
    <row r="12595" spans="1:1">
      <c r="A12595" s="56"/>
    </row>
    <row r="12596" spans="1:1">
      <c r="A12596" s="56"/>
    </row>
    <row r="12597" spans="1:1">
      <c r="A12597" s="56"/>
    </row>
    <row r="12598" spans="1:1">
      <c r="A12598" s="56"/>
    </row>
    <row r="12599" spans="1:1">
      <c r="A12599" s="56"/>
    </row>
    <row r="12600" spans="1:1">
      <c r="A12600" s="56"/>
    </row>
    <row r="12601" spans="1:1">
      <c r="A12601" s="56"/>
    </row>
    <row r="12602" spans="1:1">
      <c r="A12602" s="56"/>
    </row>
    <row r="12603" spans="1:1">
      <c r="A12603" s="56"/>
    </row>
    <row r="12604" spans="1:1">
      <c r="A12604" s="56"/>
    </row>
    <row r="12605" spans="1:1">
      <c r="A12605" s="56"/>
    </row>
    <row r="12606" spans="1:1">
      <c r="A12606" s="56"/>
    </row>
    <row r="12607" spans="1:1">
      <c r="A12607" s="56"/>
    </row>
    <row r="12608" spans="1:1">
      <c r="A12608" s="56"/>
    </row>
    <row r="12609" spans="1:1">
      <c r="A12609" s="56"/>
    </row>
    <row r="12610" spans="1:1">
      <c r="A12610" s="56"/>
    </row>
    <row r="12611" spans="1:1">
      <c r="A12611" s="56"/>
    </row>
    <row r="12612" spans="1:1">
      <c r="A12612" s="56"/>
    </row>
    <row r="12613" spans="1:1">
      <c r="A12613" s="56"/>
    </row>
    <row r="12614" spans="1:1">
      <c r="A12614" s="56"/>
    </row>
    <row r="12615" spans="1:1">
      <c r="A12615" s="56"/>
    </row>
    <row r="12616" spans="1:1">
      <c r="A12616" s="56"/>
    </row>
    <row r="12617" spans="1:1">
      <c r="A12617" s="56"/>
    </row>
    <row r="12618" spans="1:1">
      <c r="A12618" s="56"/>
    </row>
    <row r="12619" spans="1:1">
      <c r="A12619" s="56"/>
    </row>
    <row r="12620" spans="1:1">
      <c r="A12620" s="56"/>
    </row>
    <row r="12621" spans="1:1">
      <c r="A12621" s="56"/>
    </row>
    <row r="12622" spans="1:1">
      <c r="A12622" s="56"/>
    </row>
    <row r="12623" spans="1:1">
      <c r="A12623" s="56"/>
    </row>
    <row r="12624" spans="1:1">
      <c r="A12624" s="56"/>
    </row>
    <row r="12625" spans="1:1">
      <c r="A12625" s="56"/>
    </row>
    <row r="12626" spans="1:1">
      <c r="A12626" s="56"/>
    </row>
    <row r="12627" spans="1:1">
      <c r="A12627" s="56"/>
    </row>
    <row r="12628" spans="1:1">
      <c r="A12628" s="56"/>
    </row>
    <row r="12629" spans="1:1">
      <c r="A12629" s="56"/>
    </row>
    <row r="12630" spans="1:1">
      <c r="A12630" s="56"/>
    </row>
    <row r="12631" spans="1:1">
      <c r="A12631" s="56"/>
    </row>
    <row r="12632" spans="1:1">
      <c r="A12632" s="56"/>
    </row>
    <row r="12633" spans="1:1">
      <c r="A12633" s="56"/>
    </row>
    <row r="12634" spans="1:1">
      <c r="A12634" s="56"/>
    </row>
    <row r="12635" spans="1:1">
      <c r="A12635" s="56"/>
    </row>
    <row r="12636" spans="1:1">
      <c r="A12636" s="56"/>
    </row>
    <row r="12637" spans="1:1">
      <c r="A12637" s="56"/>
    </row>
    <row r="12638" spans="1:1">
      <c r="A12638" s="56"/>
    </row>
    <row r="12639" spans="1:1">
      <c r="A12639" s="56"/>
    </row>
    <row r="12640" spans="1:1">
      <c r="A12640" s="56"/>
    </row>
    <row r="12641" spans="1:1">
      <c r="A12641" s="56"/>
    </row>
    <row r="12642" spans="1:1">
      <c r="A12642" s="56"/>
    </row>
    <row r="12643" spans="1:1">
      <c r="A12643" s="56"/>
    </row>
    <row r="12644" spans="1:1">
      <c r="A12644" s="56"/>
    </row>
    <row r="12645" spans="1:1">
      <c r="A12645" s="56"/>
    </row>
    <row r="12646" spans="1:1">
      <c r="A12646" s="56"/>
    </row>
    <row r="12647" spans="1:1">
      <c r="A12647" s="56"/>
    </row>
    <row r="12648" spans="1:1">
      <c r="A12648" s="56"/>
    </row>
    <row r="12649" spans="1:1">
      <c r="A12649" s="56"/>
    </row>
    <row r="12650" spans="1:1">
      <c r="A12650" s="56"/>
    </row>
    <row r="12651" spans="1:1">
      <c r="A12651" s="56"/>
    </row>
    <row r="12652" spans="1:1">
      <c r="A12652" s="56"/>
    </row>
    <row r="12653" spans="1:1">
      <c r="A12653" s="56"/>
    </row>
    <row r="12654" spans="1:1">
      <c r="A12654" s="56"/>
    </row>
    <row r="12655" spans="1:1">
      <c r="A12655" s="56"/>
    </row>
    <row r="12656" spans="1:1">
      <c r="A12656" s="56"/>
    </row>
    <row r="12657" spans="1:1">
      <c r="A12657" s="56"/>
    </row>
    <row r="12658" spans="1:1">
      <c r="A12658" s="56"/>
    </row>
    <row r="12659" spans="1:1">
      <c r="A12659" s="56"/>
    </row>
    <row r="12660" spans="1:1">
      <c r="A12660" s="56"/>
    </row>
    <row r="12661" spans="1:1">
      <c r="A12661" s="56"/>
    </row>
    <row r="12662" spans="1:1">
      <c r="A12662" s="56"/>
    </row>
    <row r="12663" spans="1:1">
      <c r="A12663" s="56"/>
    </row>
    <row r="12664" spans="1:1">
      <c r="A12664" s="56"/>
    </row>
    <row r="12665" spans="1:1">
      <c r="A12665" s="56"/>
    </row>
    <row r="12666" spans="1:1">
      <c r="A12666" s="56"/>
    </row>
    <row r="12667" spans="1:1">
      <c r="A12667" s="56"/>
    </row>
    <row r="12668" spans="1:1">
      <c r="A12668" s="56"/>
    </row>
    <row r="12669" spans="1:1">
      <c r="A12669" s="56"/>
    </row>
    <row r="12670" spans="1:1">
      <c r="A12670" s="56"/>
    </row>
    <row r="12671" spans="1:1">
      <c r="A12671" s="56"/>
    </row>
    <row r="12672" spans="1:1">
      <c r="A12672" s="56"/>
    </row>
    <row r="12673" spans="1:1">
      <c r="A12673" s="56"/>
    </row>
    <row r="12674" spans="1:1">
      <c r="A12674" s="56"/>
    </row>
    <row r="12675" spans="1:1">
      <c r="A12675" s="56"/>
    </row>
    <row r="12676" spans="1:1">
      <c r="A12676" s="56"/>
    </row>
    <row r="12677" spans="1:1">
      <c r="A12677" s="56"/>
    </row>
    <row r="12678" spans="1:1">
      <c r="A12678" s="56"/>
    </row>
    <row r="12679" spans="1:1">
      <c r="A12679" s="56"/>
    </row>
    <row r="12680" spans="1:1">
      <c r="A12680" s="56"/>
    </row>
    <row r="12681" spans="1:1">
      <c r="A12681" s="56"/>
    </row>
    <row r="12682" spans="1:1">
      <c r="A12682" s="56"/>
    </row>
    <row r="12683" spans="1:1">
      <c r="A12683" s="56"/>
    </row>
    <row r="12684" spans="1:1">
      <c r="A12684" s="56"/>
    </row>
    <row r="12685" spans="1:1">
      <c r="A12685" s="56"/>
    </row>
    <row r="12686" spans="1:1">
      <c r="A12686" s="56"/>
    </row>
    <row r="12687" spans="1:1">
      <c r="A12687" s="56"/>
    </row>
    <row r="12688" spans="1:1">
      <c r="A12688" s="56"/>
    </row>
    <row r="12689" spans="1:1">
      <c r="A12689" s="56"/>
    </row>
    <row r="12690" spans="1:1">
      <c r="A12690" s="56"/>
    </row>
    <row r="12691" spans="1:1">
      <c r="A12691" s="56"/>
    </row>
    <row r="12692" spans="1:1">
      <c r="A12692" s="56"/>
    </row>
    <row r="12693" spans="1:1">
      <c r="A12693" s="56"/>
    </row>
    <row r="12694" spans="1:1">
      <c r="A12694" s="56"/>
    </row>
    <row r="12695" spans="1:1">
      <c r="A12695" s="56"/>
    </row>
    <row r="12696" spans="1:1">
      <c r="A12696" s="56"/>
    </row>
    <row r="12697" spans="1:1">
      <c r="A12697" s="56"/>
    </row>
    <row r="12698" spans="1:1">
      <c r="A12698" s="56"/>
    </row>
    <row r="12699" spans="1:1">
      <c r="A12699" s="56"/>
    </row>
    <row r="12700" spans="1:1">
      <c r="A12700" s="56"/>
    </row>
    <row r="12701" spans="1:1">
      <c r="A12701" s="56"/>
    </row>
    <row r="12702" spans="1:1">
      <c r="A12702" s="56"/>
    </row>
    <row r="12703" spans="1:1">
      <c r="A12703" s="56"/>
    </row>
    <row r="12704" spans="1:1">
      <c r="A12704" s="56"/>
    </row>
    <row r="12705" spans="1:1">
      <c r="A12705" s="56"/>
    </row>
    <row r="12706" spans="1:1">
      <c r="A12706" s="56"/>
    </row>
    <row r="12707" spans="1:1">
      <c r="A12707" s="56"/>
    </row>
    <row r="12708" spans="1:1">
      <c r="A12708" s="56"/>
    </row>
    <row r="12709" spans="1:1">
      <c r="A12709" s="56"/>
    </row>
    <row r="12710" spans="1:1">
      <c r="A12710" s="56"/>
    </row>
    <row r="12711" spans="1:1">
      <c r="A12711" s="56"/>
    </row>
    <row r="12712" spans="1:1">
      <c r="A12712" s="56"/>
    </row>
    <row r="12713" spans="1:1">
      <c r="A12713" s="56"/>
    </row>
    <row r="12714" spans="1:1">
      <c r="A12714" s="56"/>
    </row>
    <row r="12715" spans="1:1">
      <c r="A12715" s="56"/>
    </row>
    <row r="12716" spans="1:1">
      <c r="A12716" s="56"/>
    </row>
    <row r="12717" spans="1:1">
      <c r="A12717" s="56"/>
    </row>
    <row r="12718" spans="1:1">
      <c r="A12718" s="56"/>
    </row>
    <row r="12719" spans="1:1">
      <c r="A12719" s="56"/>
    </row>
    <row r="12720" spans="1:1">
      <c r="A12720" s="56"/>
    </row>
    <row r="12721" spans="1:1">
      <c r="A12721" s="56"/>
    </row>
    <row r="12722" spans="1:1">
      <c r="A12722" s="56"/>
    </row>
    <row r="12723" spans="1:1">
      <c r="A12723" s="56"/>
    </row>
    <row r="12724" spans="1:1">
      <c r="A12724" s="56"/>
    </row>
    <row r="12725" spans="1:1">
      <c r="A12725" s="56"/>
    </row>
    <row r="12726" spans="1:1">
      <c r="A12726" s="56"/>
    </row>
    <row r="12727" spans="1:1">
      <c r="A12727" s="56"/>
    </row>
    <row r="12728" spans="1:1">
      <c r="A12728" s="56"/>
    </row>
    <row r="12729" spans="1:1">
      <c r="A12729" s="56"/>
    </row>
    <row r="12730" spans="1:1">
      <c r="A12730" s="56"/>
    </row>
    <row r="12731" spans="1:1">
      <c r="A12731" s="56"/>
    </row>
    <row r="12732" spans="1:1">
      <c r="A12732" s="56"/>
    </row>
    <row r="12733" spans="1:1">
      <c r="A12733" s="56"/>
    </row>
    <row r="12734" spans="1:1">
      <c r="A12734" s="56"/>
    </row>
    <row r="12735" spans="1:1">
      <c r="A12735" s="56"/>
    </row>
    <row r="12736" spans="1:1">
      <c r="A12736" s="56"/>
    </row>
    <row r="12737" spans="1:1">
      <c r="A12737" s="56"/>
    </row>
    <row r="12738" spans="1:1">
      <c r="A12738" s="56"/>
    </row>
    <row r="12739" spans="1:1">
      <c r="A12739" s="56"/>
    </row>
    <row r="12740" spans="1:1">
      <c r="A12740" s="56"/>
    </row>
    <row r="12741" spans="1:1">
      <c r="A12741" s="56"/>
    </row>
    <row r="12742" spans="1:1">
      <c r="A12742" s="56"/>
    </row>
    <row r="12743" spans="1:1">
      <c r="A12743" s="56"/>
    </row>
    <row r="12744" spans="1:1">
      <c r="A12744" s="56"/>
    </row>
    <row r="12745" spans="1:1">
      <c r="A12745" s="56"/>
    </row>
    <row r="12746" spans="1:1">
      <c r="A12746" s="56"/>
    </row>
    <row r="12747" spans="1:1">
      <c r="A12747" s="56"/>
    </row>
    <row r="12748" spans="1:1">
      <c r="A12748" s="56"/>
    </row>
    <row r="12749" spans="1:1">
      <c r="A12749" s="56"/>
    </row>
    <row r="12750" spans="1:1">
      <c r="A12750" s="56"/>
    </row>
    <row r="12751" spans="1:1">
      <c r="A12751" s="56"/>
    </row>
    <row r="12752" spans="1:1">
      <c r="A12752" s="56"/>
    </row>
    <row r="12753" spans="1:1">
      <c r="A12753" s="56"/>
    </row>
    <row r="12754" spans="1:1">
      <c r="A12754" s="56"/>
    </row>
    <row r="12755" spans="1:1">
      <c r="A12755" s="56"/>
    </row>
    <row r="12756" spans="1:1">
      <c r="A12756" s="56"/>
    </row>
    <row r="12757" spans="1:1">
      <c r="A12757" s="56"/>
    </row>
    <row r="12758" spans="1:1">
      <c r="A12758" s="56"/>
    </row>
    <row r="12759" spans="1:1">
      <c r="A12759" s="56"/>
    </row>
    <row r="12760" spans="1:1">
      <c r="A12760" s="56"/>
    </row>
    <row r="12761" spans="1:1">
      <c r="A12761" s="56"/>
    </row>
    <row r="12762" spans="1:1">
      <c r="A12762" s="56"/>
    </row>
    <row r="12763" spans="1:1">
      <c r="A12763" s="56"/>
    </row>
    <row r="12764" spans="1:1">
      <c r="A12764" s="56"/>
    </row>
    <row r="12765" spans="1:1">
      <c r="A12765" s="56"/>
    </row>
    <row r="12766" spans="1:1">
      <c r="A12766" s="56"/>
    </row>
    <row r="12767" spans="1:1">
      <c r="A12767" s="56"/>
    </row>
    <row r="12768" spans="1:1">
      <c r="A12768" s="56"/>
    </row>
    <row r="12769" spans="1:1">
      <c r="A12769" s="56"/>
    </row>
    <row r="12770" spans="1:1">
      <c r="A12770" s="56"/>
    </row>
    <row r="12771" spans="1:1">
      <c r="A12771" s="56"/>
    </row>
    <row r="12772" spans="1:1">
      <c r="A12772" s="56"/>
    </row>
    <row r="12773" spans="1:1">
      <c r="A12773" s="56"/>
    </row>
    <row r="12774" spans="1:1">
      <c r="A12774" s="56"/>
    </row>
    <row r="12775" spans="1:1">
      <c r="A12775" s="56"/>
    </row>
    <row r="12776" spans="1:1">
      <c r="A12776" s="56"/>
    </row>
    <row r="12777" spans="1:1">
      <c r="A12777" s="56"/>
    </row>
    <row r="12778" spans="1:1">
      <c r="A12778" s="56"/>
    </row>
    <row r="12779" spans="1:1">
      <c r="A12779" s="56"/>
    </row>
    <row r="12780" spans="1:1">
      <c r="A12780" s="56"/>
    </row>
    <row r="12781" spans="1:1">
      <c r="A12781" s="56"/>
    </row>
    <row r="12782" spans="1:1">
      <c r="A12782" s="56"/>
    </row>
    <row r="12783" spans="1:1">
      <c r="A12783" s="56"/>
    </row>
    <row r="12784" spans="1:1">
      <c r="A12784" s="56"/>
    </row>
    <row r="12785" spans="1:1">
      <c r="A12785" s="56"/>
    </row>
    <row r="12786" spans="1:1">
      <c r="A12786" s="56"/>
    </row>
    <row r="12787" spans="1:1">
      <c r="A12787" s="56"/>
    </row>
    <row r="12788" spans="1:1">
      <c r="A12788" s="56"/>
    </row>
    <row r="12789" spans="1:1">
      <c r="A12789" s="56"/>
    </row>
    <row r="12790" spans="1:1">
      <c r="A12790" s="56"/>
    </row>
    <row r="12791" spans="1:1">
      <c r="A12791" s="56"/>
    </row>
    <row r="12792" spans="1:1">
      <c r="A12792" s="56"/>
    </row>
    <row r="12793" spans="1:1">
      <c r="A12793" s="56"/>
    </row>
    <row r="12794" spans="1:1">
      <c r="A12794" s="56"/>
    </row>
    <row r="12795" spans="1:1">
      <c r="A12795" s="56"/>
    </row>
    <row r="12796" spans="1:1">
      <c r="A12796" s="56"/>
    </row>
    <row r="12797" spans="1:1">
      <c r="A12797" s="56"/>
    </row>
    <row r="12798" spans="1:1">
      <c r="A12798" s="56"/>
    </row>
    <row r="12799" spans="1:1">
      <c r="A12799" s="56"/>
    </row>
    <row r="12800" spans="1:1">
      <c r="A12800" s="56"/>
    </row>
    <row r="12801" spans="1:1">
      <c r="A12801" s="56"/>
    </row>
    <row r="12802" spans="1:1">
      <c r="A12802" s="56"/>
    </row>
    <row r="12803" spans="1:1">
      <c r="A12803" s="56"/>
    </row>
    <row r="12804" spans="1:1">
      <c r="A12804" s="56"/>
    </row>
    <row r="12805" spans="1:1">
      <c r="A12805" s="56"/>
    </row>
    <row r="12806" spans="1:1">
      <c r="A12806" s="56"/>
    </row>
    <row r="12807" spans="1:1">
      <c r="A12807" s="56"/>
    </row>
    <row r="12808" spans="1:1">
      <c r="A12808" s="56"/>
    </row>
    <row r="12809" spans="1:1">
      <c r="A12809" s="56"/>
    </row>
    <row r="12810" spans="1:1">
      <c r="A12810" s="56"/>
    </row>
    <row r="12811" spans="1:1">
      <c r="A12811" s="56"/>
    </row>
    <row r="12812" spans="1:1">
      <c r="A12812" s="56"/>
    </row>
    <row r="12813" spans="1:1">
      <c r="A12813" s="56"/>
    </row>
    <row r="12814" spans="1:1">
      <c r="A12814" s="56"/>
    </row>
    <row r="12815" spans="1:1">
      <c r="A12815" s="56"/>
    </row>
    <row r="12816" spans="1:1">
      <c r="A12816" s="56"/>
    </row>
    <row r="12817" spans="1:1">
      <c r="A12817" s="56"/>
    </row>
    <row r="12818" spans="1:1">
      <c r="A12818" s="56"/>
    </row>
    <row r="12819" spans="1:1">
      <c r="A12819" s="56"/>
    </row>
    <row r="12820" spans="1:1">
      <c r="A12820" s="56"/>
    </row>
    <row r="12821" spans="1:1">
      <c r="A12821" s="56"/>
    </row>
    <row r="12822" spans="1:1">
      <c r="A12822" s="56"/>
    </row>
    <row r="12823" spans="1:1">
      <c r="A12823" s="56"/>
    </row>
    <row r="12824" spans="1:1">
      <c r="A12824" s="56"/>
    </row>
    <row r="12825" spans="1:1">
      <c r="A12825" s="56"/>
    </row>
    <row r="12826" spans="1:1">
      <c r="A12826" s="56"/>
    </row>
    <row r="12827" spans="1:1">
      <c r="A12827" s="56"/>
    </row>
    <row r="12828" spans="1:1">
      <c r="A12828" s="56"/>
    </row>
    <row r="12829" spans="1:1">
      <c r="A12829" s="56"/>
    </row>
    <row r="12830" spans="1:1">
      <c r="A12830" s="56"/>
    </row>
    <row r="12831" spans="1:1">
      <c r="A12831" s="56"/>
    </row>
    <row r="12832" spans="1:1">
      <c r="A12832" s="56"/>
    </row>
    <row r="12833" spans="1:1">
      <c r="A12833" s="56"/>
    </row>
    <row r="12834" spans="1:1">
      <c r="A12834" s="56"/>
    </row>
    <row r="12835" spans="1:1">
      <c r="A12835" s="56"/>
    </row>
    <row r="12836" spans="1:1">
      <c r="A12836" s="56"/>
    </row>
    <row r="12837" spans="1:1">
      <c r="A12837" s="56"/>
    </row>
    <row r="12838" spans="1:1">
      <c r="A12838" s="56"/>
    </row>
    <row r="12839" spans="1:1">
      <c r="A12839" s="56"/>
    </row>
    <row r="12840" spans="1:1">
      <c r="A12840" s="56"/>
    </row>
    <row r="12841" spans="1:1">
      <c r="A12841" s="56"/>
    </row>
    <row r="12842" spans="1:1">
      <c r="A12842" s="56"/>
    </row>
    <row r="12843" spans="1:1">
      <c r="A12843" s="56"/>
    </row>
    <row r="12844" spans="1:1">
      <c r="A12844" s="56"/>
    </row>
    <row r="12845" spans="1:1">
      <c r="A12845" s="56"/>
    </row>
    <row r="12846" spans="1:1">
      <c r="A12846" s="56"/>
    </row>
    <row r="12847" spans="1:1">
      <c r="A12847" s="56"/>
    </row>
    <row r="12848" spans="1:1">
      <c r="A12848" s="56"/>
    </row>
    <row r="12849" spans="1:1">
      <c r="A12849" s="56"/>
    </row>
    <row r="12850" spans="1:1">
      <c r="A12850" s="56"/>
    </row>
    <row r="12851" spans="1:1">
      <c r="A12851" s="56"/>
    </row>
    <row r="12852" spans="1:1">
      <c r="A12852" s="56"/>
    </row>
    <row r="12853" spans="1:1">
      <c r="A12853" s="56"/>
    </row>
    <row r="12854" spans="1:1">
      <c r="A12854" s="56"/>
    </row>
    <row r="12855" spans="1:1">
      <c r="A12855" s="56"/>
    </row>
    <row r="12856" spans="1:1">
      <c r="A12856" s="56"/>
    </row>
    <row r="12857" spans="1:1">
      <c r="A12857" s="56"/>
    </row>
    <row r="12858" spans="1:1">
      <c r="A12858" s="56"/>
    </row>
    <row r="12859" spans="1:1">
      <c r="A12859" s="56"/>
    </row>
    <row r="12860" spans="1:1">
      <c r="A12860" s="56"/>
    </row>
    <row r="12861" spans="1:1">
      <c r="A12861" s="56"/>
    </row>
    <row r="12862" spans="1:1">
      <c r="A12862" s="56"/>
    </row>
    <row r="12863" spans="1:1">
      <c r="A12863" s="56"/>
    </row>
    <row r="12864" spans="1:1">
      <c r="A12864" s="56"/>
    </row>
    <row r="12865" spans="1:1">
      <c r="A12865" s="56"/>
    </row>
    <row r="12866" spans="1:1">
      <c r="A12866" s="56"/>
    </row>
    <row r="12867" spans="1:1">
      <c r="A12867" s="56"/>
    </row>
    <row r="12868" spans="1:1">
      <c r="A12868" s="56"/>
    </row>
    <row r="12869" spans="1:1">
      <c r="A12869" s="56"/>
    </row>
    <row r="12870" spans="1:1">
      <c r="A12870" s="56"/>
    </row>
    <row r="12871" spans="1:1">
      <c r="A12871" s="56"/>
    </row>
    <row r="12872" spans="1:1">
      <c r="A12872" s="56"/>
    </row>
    <row r="12873" spans="1:1">
      <c r="A12873" s="56"/>
    </row>
    <row r="12874" spans="1:1">
      <c r="A12874" s="56"/>
    </row>
    <row r="12875" spans="1:1">
      <c r="A12875" s="56"/>
    </row>
    <row r="12876" spans="1:1">
      <c r="A12876" s="56"/>
    </row>
    <row r="12877" spans="1:1">
      <c r="A12877" s="56"/>
    </row>
    <row r="12878" spans="1:1">
      <c r="A12878" s="56"/>
    </row>
    <row r="12879" spans="1:1">
      <c r="A12879" s="56"/>
    </row>
    <row r="12880" spans="1:1">
      <c r="A12880" s="56"/>
    </row>
    <row r="12881" spans="1:1">
      <c r="A12881" s="56"/>
    </row>
    <row r="12882" spans="1:1">
      <c r="A12882" s="56"/>
    </row>
    <row r="12883" spans="1:1">
      <c r="A12883" s="56"/>
    </row>
    <row r="12884" spans="1:1">
      <c r="A12884" s="56"/>
    </row>
    <row r="12885" spans="1:1">
      <c r="A12885" s="56"/>
    </row>
    <row r="12886" spans="1:1">
      <c r="A12886" s="56"/>
    </row>
    <row r="12887" spans="1:1">
      <c r="A12887" s="56"/>
    </row>
    <row r="12888" spans="1:1">
      <c r="A12888" s="56"/>
    </row>
    <row r="12889" spans="1:1">
      <c r="A12889" s="56"/>
    </row>
    <row r="12890" spans="1:1">
      <c r="A12890" s="56"/>
    </row>
    <row r="12891" spans="1:1">
      <c r="A12891" s="56"/>
    </row>
    <row r="12892" spans="1:1">
      <c r="A12892" s="56"/>
    </row>
    <row r="12893" spans="1:1">
      <c r="A12893" s="56"/>
    </row>
    <row r="12894" spans="1:1">
      <c r="A12894" s="56"/>
    </row>
    <row r="12895" spans="1:1">
      <c r="A12895" s="56"/>
    </row>
    <row r="12896" spans="1:1">
      <c r="A12896" s="56"/>
    </row>
    <row r="12897" spans="1:1">
      <c r="A12897" s="56"/>
    </row>
    <row r="12898" spans="1:1">
      <c r="A12898" s="56"/>
    </row>
    <row r="12899" spans="1:1">
      <c r="A12899" s="56"/>
    </row>
    <row r="12900" spans="1:1">
      <c r="A12900" s="56"/>
    </row>
    <row r="12901" spans="1:1">
      <c r="A12901" s="56"/>
    </row>
    <row r="12902" spans="1:1">
      <c r="A12902" s="56"/>
    </row>
    <row r="12903" spans="1:1">
      <c r="A12903" s="56"/>
    </row>
    <row r="12904" spans="1:1">
      <c r="A12904" s="56"/>
    </row>
    <row r="12905" spans="1:1">
      <c r="A12905" s="56"/>
    </row>
    <row r="12906" spans="1:1">
      <c r="A12906" s="56"/>
    </row>
    <row r="12907" spans="1:1">
      <c r="A12907" s="56"/>
    </row>
    <row r="12908" spans="1:1">
      <c r="A12908" s="56"/>
    </row>
    <row r="12909" spans="1:1">
      <c r="A12909" s="56"/>
    </row>
    <row r="12910" spans="1:1">
      <c r="A12910" s="56"/>
    </row>
    <row r="12911" spans="1:1">
      <c r="A12911" s="56"/>
    </row>
    <row r="12912" spans="1:1">
      <c r="A12912" s="56"/>
    </row>
    <row r="12913" spans="1:1">
      <c r="A12913" s="56"/>
    </row>
    <row r="12914" spans="1:1">
      <c r="A12914" s="56"/>
    </row>
    <row r="12915" spans="1:1">
      <c r="A12915" s="56"/>
    </row>
    <row r="12916" spans="1:1">
      <c r="A12916" s="56"/>
    </row>
    <row r="12917" spans="1:1">
      <c r="A12917" s="56"/>
    </row>
    <row r="12918" spans="1:1">
      <c r="A12918" s="56"/>
    </row>
    <row r="12919" spans="1:1">
      <c r="A12919" s="56"/>
    </row>
    <row r="12920" spans="1:1">
      <c r="A12920" s="56"/>
    </row>
    <row r="12921" spans="1:1">
      <c r="A12921" s="56"/>
    </row>
    <row r="12922" spans="1:1">
      <c r="A12922" s="56"/>
    </row>
    <row r="12923" spans="1:1">
      <c r="A12923" s="56"/>
    </row>
    <row r="12924" spans="1:1">
      <c r="A12924" s="56"/>
    </row>
    <row r="12925" spans="1:1">
      <c r="A12925" s="56"/>
    </row>
    <row r="12926" spans="1:1">
      <c r="A12926" s="56"/>
    </row>
    <row r="12927" spans="1:1">
      <c r="A12927" s="56"/>
    </row>
    <row r="12928" spans="1:1">
      <c r="A12928" s="56"/>
    </row>
    <row r="12929" spans="1:1">
      <c r="A12929" s="56"/>
    </row>
    <row r="12930" spans="1:1">
      <c r="A12930" s="56"/>
    </row>
    <row r="12931" spans="1:1">
      <c r="A12931" s="56"/>
    </row>
    <row r="12932" spans="1:1">
      <c r="A12932" s="56"/>
    </row>
    <row r="12933" spans="1:1">
      <c r="A12933" s="56"/>
    </row>
    <row r="12934" spans="1:1">
      <c r="A12934" s="56"/>
    </row>
    <row r="12935" spans="1:1">
      <c r="A12935" s="56"/>
    </row>
    <row r="12936" spans="1:1">
      <c r="A12936" s="56"/>
    </row>
    <row r="12937" spans="1:1">
      <c r="A12937" s="56"/>
    </row>
    <row r="12938" spans="1:1">
      <c r="A12938" s="56"/>
    </row>
    <row r="12939" spans="1:1">
      <c r="A12939" s="56"/>
    </row>
    <row r="12940" spans="1:1">
      <c r="A12940" s="56"/>
    </row>
    <row r="12941" spans="1:1">
      <c r="A12941" s="56"/>
    </row>
    <row r="12942" spans="1:1">
      <c r="A12942" s="56"/>
    </row>
    <row r="12943" spans="1:1">
      <c r="A12943" s="56"/>
    </row>
    <row r="12944" spans="1:1">
      <c r="A12944" s="56"/>
    </row>
    <row r="12945" spans="1:1">
      <c r="A12945" s="56"/>
    </row>
    <row r="12946" spans="1:1">
      <c r="A12946" s="56"/>
    </row>
    <row r="12947" spans="1:1">
      <c r="A12947" s="56"/>
    </row>
    <row r="12948" spans="1:1">
      <c r="A12948" s="56"/>
    </row>
    <row r="12949" spans="1:1">
      <c r="A12949" s="56"/>
    </row>
    <row r="12950" spans="1:1">
      <c r="A12950" s="56"/>
    </row>
    <row r="12951" spans="1:1">
      <c r="A12951" s="56"/>
    </row>
    <row r="12952" spans="1:1">
      <c r="A12952" s="56"/>
    </row>
    <row r="12953" spans="1:1">
      <c r="A12953" s="56"/>
    </row>
    <row r="12954" spans="1:1">
      <c r="A12954" s="56"/>
    </row>
    <row r="12955" spans="1:1">
      <c r="A12955" s="56"/>
    </row>
    <row r="12956" spans="1:1">
      <c r="A12956" s="56"/>
    </row>
    <row r="12957" spans="1:1">
      <c r="A12957" s="56"/>
    </row>
    <row r="12958" spans="1:1">
      <c r="A12958" s="56"/>
    </row>
    <row r="12959" spans="1:1">
      <c r="A12959" s="56"/>
    </row>
    <row r="12960" spans="1:1">
      <c r="A12960" s="56"/>
    </row>
    <row r="12961" spans="1:1">
      <c r="A12961" s="56"/>
    </row>
    <row r="12962" spans="1:1">
      <c r="A12962" s="56"/>
    </row>
    <row r="12963" spans="1:1">
      <c r="A12963" s="56"/>
    </row>
    <row r="12964" spans="1:1">
      <c r="A12964" s="56"/>
    </row>
    <row r="12965" spans="1:1">
      <c r="A12965" s="56"/>
    </row>
    <row r="12966" spans="1:1">
      <c r="A12966" s="56"/>
    </row>
    <row r="12967" spans="1:1">
      <c r="A12967" s="56"/>
    </row>
    <row r="12968" spans="1:1">
      <c r="A12968" s="56"/>
    </row>
    <row r="12969" spans="1:1">
      <c r="A12969" s="56"/>
    </row>
    <row r="12970" spans="1:1">
      <c r="A12970" s="56"/>
    </row>
    <row r="12971" spans="1:1">
      <c r="A12971" s="56"/>
    </row>
    <row r="12972" spans="1:1">
      <c r="A12972" s="56"/>
    </row>
    <row r="12973" spans="1:1">
      <c r="A12973" s="56"/>
    </row>
    <row r="12974" spans="1:1">
      <c r="A12974" s="56"/>
    </row>
    <row r="12975" spans="1:1">
      <c r="A12975" s="56"/>
    </row>
    <row r="12976" spans="1:1">
      <c r="A12976" s="56"/>
    </row>
    <row r="12977" spans="1:1">
      <c r="A12977" s="56"/>
    </row>
    <row r="12978" spans="1:1">
      <c r="A12978" s="56"/>
    </row>
    <row r="12979" spans="1:1">
      <c r="A12979" s="56"/>
    </row>
    <row r="12980" spans="1:1">
      <c r="A12980" s="56"/>
    </row>
    <row r="12981" spans="1:1">
      <c r="A12981" s="56"/>
    </row>
    <row r="12982" spans="1:1">
      <c r="A12982" s="56"/>
    </row>
    <row r="12983" spans="1:1">
      <c r="A12983" s="56"/>
    </row>
    <row r="12984" spans="1:1">
      <c r="A12984" s="56"/>
    </row>
    <row r="12985" spans="1:1">
      <c r="A12985" s="56"/>
    </row>
    <row r="12986" spans="1:1">
      <c r="A12986" s="56"/>
    </row>
    <row r="12987" spans="1:1">
      <c r="A12987" s="56"/>
    </row>
    <row r="12988" spans="1:1">
      <c r="A12988" s="56"/>
    </row>
    <row r="12989" spans="1:1">
      <c r="A12989" s="56"/>
    </row>
    <row r="12990" spans="1:1">
      <c r="A12990" s="56"/>
    </row>
    <row r="12991" spans="1:1">
      <c r="A12991" s="56"/>
    </row>
    <row r="12992" spans="1:1">
      <c r="A12992" s="56"/>
    </row>
    <row r="12993" spans="1:1">
      <c r="A12993" s="56"/>
    </row>
    <row r="12994" spans="1:1">
      <c r="A12994" s="56"/>
    </row>
    <row r="12995" spans="1:1">
      <c r="A12995" s="56"/>
    </row>
    <row r="12996" spans="1:1">
      <c r="A12996" s="56"/>
    </row>
    <row r="12997" spans="1:1">
      <c r="A12997" s="56"/>
    </row>
    <row r="12998" spans="1:1">
      <c r="A12998" s="56"/>
    </row>
    <row r="12999" spans="1:1">
      <c r="A12999" s="56"/>
    </row>
    <row r="13000" spans="1:1">
      <c r="A13000" s="56"/>
    </row>
    <row r="13001" spans="1:1">
      <c r="A13001" s="56"/>
    </row>
    <row r="13002" spans="1:1">
      <c r="A13002" s="56"/>
    </row>
    <row r="13003" spans="1:1">
      <c r="A13003" s="56"/>
    </row>
    <row r="13004" spans="1:1">
      <c r="A13004" s="56"/>
    </row>
    <row r="13005" spans="1:1">
      <c r="A13005" s="56"/>
    </row>
    <row r="13006" spans="1:1">
      <c r="A13006" s="56"/>
    </row>
    <row r="13007" spans="1:1">
      <c r="A13007" s="56"/>
    </row>
    <row r="13008" spans="1:1">
      <c r="A13008" s="56"/>
    </row>
    <row r="13009" spans="1:1">
      <c r="A13009" s="56"/>
    </row>
    <row r="13010" spans="1:1">
      <c r="A13010" s="56"/>
    </row>
    <row r="13011" spans="1:1">
      <c r="A13011" s="56"/>
    </row>
    <row r="13012" spans="1:1">
      <c r="A13012" s="56"/>
    </row>
    <row r="13013" spans="1:1">
      <c r="A13013" s="56"/>
    </row>
    <row r="13014" spans="1:1">
      <c r="A13014" s="56"/>
    </row>
    <row r="13015" spans="1:1">
      <c r="A13015" s="56"/>
    </row>
    <row r="13016" spans="1:1">
      <c r="A13016" s="56"/>
    </row>
    <row r="13017" spans="1:1">
      <c r="A13017" s="56"/>
    </row>
    <row r="13018" spans="1:1">
      <c r="A13018" s="56"/>
    </row>
    <row r="13019" spans="1:1">
      <c r="A13019" s="56"/>
    </row>
    <row r="13020" spans="1:1">
      <c r="A13020" s="56"/>
    </row>
    <row r="13021" spans="1:1">
      <c r="A13021" s="56"/>
    </row>
    <row r="13022" spans="1:1">
      <c r="A13022" s="56"/>
    </row>
    <row r="13023" spans="1:1">
      <c r="A13023" s="56"/>
    </row>
    <row r="13024" spans="1:1">
      <c r="A13024" s="56"/>
    </row>
    <row r="13025" spans="1:1">
      <c r="A13025" s="56"/>
    </row>
    <row r="13026" spans="1:1">
      <c r="A13026" s="56"/>
    </row>
    <row r="13027" spans="1:1">
      <c r="A13027" s="56"/>
    </row>
    <row r="13028" spans="1:1">
      <c r="A13028" s="56"/>
    </row>
    <row r="13029" spans="1:1">
      <c r="A13029" s="56"/>
    </row>
    <row r="13030" spans="1:1">
      <c r="A13030" s="56"/>
    </row>
    <row r="13031" spans="1:1">
      <c r="A13031" s="56"/>
    </row>
    <row r="13032" spans="1:1">
      <c r="A13032" s="56"/>
    </row>
    <row r="13033" spans="1:1">
      <c r="A13033" s="56"/>
    </row>
    <row r="13034" spans="1:1">
      <c r="A13034" s="56"/>
    </row>
    <row r="13035" spans="1:1">
      <c r="A13035" s="56"/>
    </row>
    <row r="13036" spans="1:1">
      <c r="A13036" s="56"/>
    </row>
    <row r="13037" spans="1:1">
      <c r="A13037" s="56"/>
    </row>
    <row r="13038" spans="1:1">
      <c r="A13038" s="56"/>
    </row>
    <row r="13039" spans="1:1">
      <c r="A13039" s="56"/>
    </row>
    <row r="13040" spans="1:1">
      <c r="A13040" s="56"/>
    </row>
    <row r="13041" spans="1:1">
      <c r="A13041" s="56"/>
    </row>
    <row r="13042" spans="1:1">
      <c r="A13042" s="56"/>
    </row>
    <row r="13043" spans="1:1">
      <c r="A13043" s="56"/>
    </row>
    <row r="13044" spans="1:1">
      <c r="A13044" s="56"/>
    </row>
    <row r="13045" spans="1:1">
      <c r="A13045" s="56"/>
    </row>
    <row r="13046" spans="1:1">
      <c r="A13046" s="56"/>
    </row>
    <row r="13047" spans="1:1">
      <c r="A13047" s="56"/>
    </row>
    <row r="13048" spans="1:1">
      <c r="A13048" s="56"/>
    </row>
    <row r="13049" spans="1:1">
      <c r="A13049" s="56"/>
    </row>
    <row r="13050" spans="1:1">
      <c r="A13050" s="56"/>
    </row>
    <row r="13051" spans="1:1">
      <c r="A13051" s="56"/>
    </row>
    <row r="13052" spans="1:1">
      <c r="A13052" s="56"/>
    </row>
    <row r="13053" spans="1:1">
      <c r="A13053" s="56"/>
    </row>
    <row r="13054" spans="1:1">
      <c r="A13054" s="56"/>
    </row>
    <row r="13055" spans="1:1">
      <c r="A13055" s="56"/>
    </row>
    <row r="13056" spans="1:1">
      <c r="A13056" s="56"/>
    </row>
    <row r="13057" spans="1:1">
      <c r="A13057" s="56"/>
    </row>
    <row r="13058" spans="1:1">
      <c r="A13058" s="56"/>
    </row>
    <row r="13059" spans="1:1">
      <c r="A13059" s="56"/>
    </row>
    <row r="13060" spans="1:1">
      <c r="A13060" s="56"/>
    </row>
    <row r="13061" spans="1:1">
      <c r="A13061" s="56"/>
    </row>
    <row r="13062" spans="1:1">
      <c r="A13062" s="56"/>
    </row>
    <row r="13063" spans="1:1">
      <c r="A13063" s="56"/>
    </row>
    <row r="13064" spans="1:1">
      <c r="A13064" s="56"/>
    </row>
    <row r="13065" spans="1:1">
      <c r="A13065" s="56"/>
    </row>
    <row r="13066" spans="1:1">
      <c r="A13066" s="56"/>
    </row>
    <row r="13067" spans="1:1">
      <c r="A13067" s="56"/>
    </row>
    <row r="13068" spans="1:1">
      <c r="A13068" s="56"/>
    </row>
    <row r="13069" spans="1:1">
      <c r="A13069" s="56"/>
    </row>
    <row r="13070" spans="1:1">
      <c r="A13070" s="56"/>
    </row>
    <row r="13071" spans="1:1">
      <c r="A13071" s="56"/>
    </row>
    <row r="13072" spans="1:1">
      <c r="A13072" s="56"/>
    </row>
    <row r="13073" spans="1:1">
      <c r="A13073" s="56"/>
    </row>
    <row r="13074" spans="1:1">
      <c r="A13074" s="56"/>
    </row>
    <row r="13075" spans="1:1">
      <c r="A13075" s="56"/>
    </row>
    <row r="13076" spans="1:1">
      <c r="A13076" s="56"/>
    </row>
    <row r="13077" spans="1:1">
      <c r="A13077" s="56"/>
    </row>
    <row r="13078" spans="1:1">
      <c r="A13078" s="56"/>
    </row>
    <row r="13079" spans="1:1">
      <c r="A13079" s="56"/>
    </row>
    <row r="13080" spans="1:1">
      <c r="A13080" s="56"/>
    </row>
    <row r="13081" spans="1:1">
      <c r="A13081" s="56"/>
    </row>
    <row r="13082" spans="1:1">
      <c r="A13082" s="56"/>
    </row>
    <row r="13083" spans="1:1">
      <c r="A13083" s="56"/>
    </row>
    <row r="13084" spans="1:1">
      <c r="A13084" s="56"/>
    </row>
    <row r="13085" spans="1:1">
      <c r="A13085" s="56"/>
    </row>
    <row r="13086" spans="1:1">
      <c r="A13086" s="56"/>
    </row>
    <row r="13087" spans="1:1">
      <c r="A13087" s="56"/>
    </row>
    <row r="13088" spans="1:1">
      <c r="A13088" s="56"/>
    </row>
    <row r="13089" spans="1:1">
      <c r="A13089" s="56"/>
    </row>
    <row r="13090" spans="1:1">
      <c r="A13090" s="56"/>
    </row>
    <row r="13091" spans="1:1">
      <c r="A13091" s="56"/>
    </row>
    <row r="13092" spans="1:1">
      <c r="A13092" s="56"/>
    </row>
    <row r="13093" spans="1:1">
      <c r="A13093" s="56"/>
    </row>
    <row r="13094" spans="1:1">
      <c r="A13094" s="56"/>
    </row>
    <row r="13095" spans="1:1">
      <c r="A13095" s="56"/>
    </row>
    <row r="13096" spans="1:1">
      <c r="A13096" s="56"/>
    </row>
    <row r="13097" spans="1:1">
      <c r="A13097" s="56"/>
    </row>
    <row r="13098" spans="1:1">
      <c r="A13098" s="56"/>
    </row>
    <row r="13099" spans="1:1">
      <c r="A13099" s="56"/>
    </row>
    <row r="13100" spans="1:1">
      <c r="A13100" s="56"/>
    </row>
    <row r="13101" spans="1:1">
      <c r="A13101" s="56"/>
    </row>
    <row r="13102" spans="1:1">
      <c r="A13102" s="56"/>
    </row>
    <row r="13103" spans="1:1">
      <c r="A13103" s="56"/>
    </row>
    <row r="13104" spans="1:1">
      <c r="A13104" s="56"/>
    </row>
    <row r="13105" spans="1:1">
      <c r="A13105" s="56"/>
    </row>
    <row r="13106" spans="1:1">
      <c r="A13106" s="56"/>
    </row>
    <row r="13107" spans="1:1">
      <c r="A13107" s="56"/>
    </row>
    <row r="13108" spans="1:1">
      <c r="A13108" s="56"/>
    </row>
    <row r="13109" spans="1:1">
      <c r="A13109" s="56"/>
    </row>
    <row r="13110" spans="1:1">
      <c r="A13110" s="56"/>
    </row>
    <row r="13111" spans="1:1">
      <c r="A13111" s="56"/>
    </row>
    <row r="13112" spans="1:1">
      <c r="A13112" s="56"/>
    </row>
    <row r="13113" spans="1:1">
      <c r="A13113" s="56"/>
    </row>
    <row r="13114" spans="1:1">
      <c r="A13114" s="56"/>
    </row>
    <row r="13115" spans="1:1">
      <c r="A13115" s="56"/>
    </row>
    <row r="13116" spans="1:1">
      <c r="A13116" s="56"/>
    </row>
    <row r="13117" spans="1:1">
      <c r="A13117" s="56"/>
    </row>
    <row r="13118" spans="1:1">
      <c r="A13118" s="56"/>
    </row>
    <row r="13119" spans="1:1">
      <c r="A13119" s="56"/>
    </row>
    <row r="13120" spans="1:1">
      <c r="A13120" s="56"/>
    </row>
    <row r="13121" spans="1:1">
      <c r="A13121" s="56"/>
    </row>
    <row r="13122" spans="1:1">
      <c r="A13122" s="56"/>
    </row>
    <row r="13123" spans="1:1">
      <c r="A13123" s="56"/>
    </row>
    <row r="13124" spans="1:1">
      <c r="A13124" s="56"/>
    </row>
    <row r="13125" spans="1:1">
      <c r="A13125" s="56"/>
    </row>
    <row r="13126" spans="1:1">
      <c r="A13126" s="56"/>
    </row>
    <row r="13127" spans="1:1">
      <c r="A13127" s="56"/>
    </row>
    <row r="13128" spans="1:1">
      <c r="A13128" s="56"/>
    </row>
    <row r="13129" spans="1:1">
      <c r="A13129" s="56"/>
    </row>
    <row r="13130" spans="1:1">
      <c r="A13130" s="56"/>
    </row>
    <row r="13131" spans="1:1">
      <c r="A13131" s="56"/>
    </row>
    <row r="13132" spans="1:1">
      <c r="A13132" s="56"/>
    </row>
    <row r="13133" spans="1:1">
      <c r="A13133" s="56"/>
    </row>
    <row r="13134" spans="1:1">
      <c r="A13134" s="56"/>
    </row>
    <row r="13135" spans="1:1">
      <c r="A13135" s="56"/>
    </row>
    <row r="13136" spans="1:1">
      <c r="A13136" s="56"/>
    </row>
    <row r="13137" spans="1:1">
      <c r="A13137" s="56"/>
    </row>
    <row r="13138" spans="1:1">
      <c r="A13138" s="56"/>
    </row>
    <row r="13139" spans="1:1">
      <c r="A13139" s="56"/>
    </row>
    <row r="13140" spans="1:1">
      <c r="A13140" s="56"/>
    </row>
    <row r="13141" spans="1:1">
      <c r="A13141" s="56"/>
    </row>
    <row r="13142" spans="1:1">
      <c r="A13142" s="56"/>
    </row>
    <row r="13143" spans="1:1">
      <c r="A13143" s="56"/>
    </row>
    <row r="13144" spans="1:1">
      <c r="A13144" s="56"/>
    </row>
    <row r="13145" spans="1:1">
      <c r="A13145" s="56"/>
    </row>
    <row r="13146" spans="1:1">
      <c r="A13146" s="56"/>
    </row>
    <row r="13147" spans="1:1">
      <c r="A13147" s="56"/>
    </row>
    <row r="13148" spans="1:1">
      <c r="A13148" s="56"/>
    </row>
    <row r="13149" spans="1:1">
      <c r="A13149" s="56"/>
    </row>
    <row r="13150" spans="1:1">
      <c r="A13150" s="56"/>
    </row>
    <row r="13151" spans="1:1">
      <c r="A13151" s="56"/>
    </row>
    <row r="13152" spans="1:1">
      <c r="A13152" s="56"/>
    </row>
    <row r="13153" spans="1:1">
      <c r="A13153" s="56"/>
    </row>
    <row r="13154" spans="1:1">
      <c r="A13154" s="56"/>
    </row>
    <row r="13155" spans="1:1">
      <c r="A13155" s="56"/>
    </row>
    <row r="13156" spans="1:1">
      <c r="A13156" s="56"/>
    </row>
    <row r="13157" spans="1:1">
      <c r="A13157" s="56"/>
    </row>
    <row r="13158" spans="1:1">
      <c r="A13158" s="56"/>
    </row>
    <row r="13159" spans="1:1">
      <c r="A13159" s="56"/>
    </row>
    <row r="13160" spans="1:1">
      <c r="A13160" s="56"/>
    </row>
    <row r="13161" spans="1:1">
      <c r="A13161" s="56"/>
    </row>
    <row r="13162" spans="1:1">
      <c r="A13162" s="56"/>
    </row>
    <row r="13163" spans="1:1">
      <c r="A13163" s="56"/>
    </row>
    <row r="13164" spans="1:1">
      <c r="A13164" s="56"/>
    </row>
    <row r="13165" spans="1:1">
      <c r="A13165" s="56"/>
    </row>
    <row r="13166" spans="1:1">
      <c r="A13166" s="56"/>
    </row>
    <row r="13167" spans="1:1">
      <c r="A13167" s="56"/>
    </row>
    <row r="13168" spans="1:1">
      <c r="A13168" s="56"/>
    </row>
    <row r="13169" spans="1:1">
      <c r="A13169" s="56"/>
    </row>
    <row r="13170" spans="1:1">
      <c r="A13170" s="56"/>
    </row>
    <row r="13171" spans="1:1">
      <c r="A13171" s="56"/>
    </row>
    <row r="13172" spans="1:1">
      <c r="A13172" s="56"/>
    </row>
    <row r="13173" spans="1:1">
      <c r="A13173" s="56"/>
    </row>
    <row r="13174" spans="1:1">
      <c r="A13174" s="56"/>
    </row>
    <row r="13175" spans="1:1">
      <c r="A13175" s="56"/>
    </row>
    <row r="13176" spans="1:1">
      <c r="A13176" s="56"/>
    </row>
    <row r="13177" spans="1:1">
      <c r="A13177" s="56"/>
    </row>
    <row r="13178" spans="1:1">
      <c r="A13178" s="56"/>
    </row>
    <row r="13179" spans="1:1">
      <c r="A13179" s="56"/>
    </row>
    <row r="13180" spans="1:1">
      <c r="A13180" s="56"/>
    </row>
    <row r="13181" spans="1:1">
      <c r="A13181" s="56"/>
    </row>
    <row r="13182" spans="1:1">
      <c r="A13182" s="56"/>
    </row>
    <row r="13183" spans="1:1">
      <c r="A13183" s="56"/>
    </row>
    <row r="13184" spans="1:1">
      <c r="A13184" s="56"/>
    </row>
    <row r="13185" spans="1:1">
      <c r="A13185" s="56"/>
    </row>
    <row r="13186" spans="1:1">
      <c r="A13186" s="56"/>
    </row>
    <row r="13187" spans="1:1">
      <c r="A13187" s="56"/>
    </row>
    <row r="13188" spans="1:1">
      <c r="A13188" s="56"/>
    </row>
    <row r="13189" spans="1:1">
      <c r="A13189" s="56"/>
    </row>
    <row r="13190" spans="1:1">
      <c r="A13190" s="56"/>
    </row>
    <row r="13191" spans="1:1">
      <c r="A13191" s="56"/>
    </row>
    <row r="13192" spans="1:1">
      <c r="A13192" s="56"/>
    </row>
    <row r="13193" spans="1:1">
      <c r="A13193" s="56"/>
    </row>
    <row r="13194" spans="1:1">
      <c r="A13194" s="56"/>
    </row>
    <row r="13195" spans="1:1">
      <c r="A13195" s="56"/>
    </row>
    <row r="13196" spans="1:1">
      <c r="A13196" s="56"/>
    </row>
    <row r="13197" spans="1:1">
      <c r="A13197" s="56"/>
    </row>
    <row r="13198" spans="1:1">
      <c r="A13198" s="56"/>
    </row>
    <row r="13199" spans="1:1">
      <c r="A13199" s="56"/>
    </row>
    <row r="13200" spans="1:1">
      <c r="A13200" s="56"/>
    </row>
    <row r="13201" spans="1:1">
      <c r="A13201" s="56"/>
    </row>
    <row r="13202" spans="1:1">
      <c r="A13202" s="56"/>
    </row>
    <row r="13203" spans="1:1">
      <c r="A13203" s="56"/>
    </row>
    <row r="13204" spans="1:1">
      <c r="A13204" s="56"/>
    </row>
    <row r="13205" spans="1:1">
      <c r="A13205" s="56"/>
    </row>
    <row r="13206" spans="1:1">
      <c r="A13206" s="56"/>
    </row>
    <row r="13207" spans="1:1">
      <c r="A13207" s="56"/>
    </row>
    <row r="13208" spans="1:1">
      <c r="A13208" s="56"/>
    </row>
    <row r="13209" spans="1:1">
      <c r="A13209" s="56"/>
    </row>
    <row r="13210" spans="1:1">
      <c r="A13210" s="56"/>
    </row>
    <row r="13211" spans="1:1">
      <c r="A13211" s="56"/>
    </row>
    <row r="13212" spans="1:1">
      <c r="A13212" s="56"/>
    </row>
    <row r="13213" spans="1:1">
      <c r="A13213" s="56"/>
    </row>
    <row r="13214" spans="1:1">
      <c r="A13214" s="56"/>
    </row>
    <row r="13215" spans="1:1">
      <c r="A13215" s="56"/>
    </row>
    <row r="13216" spans="1:1">
      <c r="A13216" s="56"/>
    </row>
    <row r="13217" spans="1:1">
      <c r="A13217" s="56"/>
    </row>
    <row r="13218" spans="1:1">
      <c r="A13218" s="56"/>
    </row>
    <row r="13219" spans="1:1">
      <c r="A13219" s="56"/>
    </row>
    <row r="13220" spans="1:1">
      <c r="A13220" s="56"/>
    </row>
    <row r="13221" spans="1:1">
      <c r="A13221" s="56"/>
    </row>
    <row r="13222" spans="1:1">
      <c r="A13222" s="56"/>
    </row>
    <row r="13223" spans="1:1">
      <c r="A13223" s="56"/>
    </row>
    <row r="13224" spans="1:1">
      <c r="A13224" s="56"/>
    </row>
    <row r="13225" spans="1:1">
      <c r="A13225" s="56"/>
    </row>
    <row r="13226" spans="1:1">
      <c r="A13226" s="56"/>
    </row>
    <row r="13227" spans="1:1">
      <c r="A13227" s="56"/>
    </row>
    <row r="13228" spans="1:1">
      <c r="A13228" s="56"/>
    </row>
    <row r="13229" spans="1:1">
      <c r="A13229" s="56"/>
    </row>
    <row r="13230" spans="1:1">
      <c r="A13230" s="56"/>
    </row>
    <row r="13231" spans="1:1">
      <c r="A13231" s="56"/>
    </row>
    <row r="13232" spans="1:1">
      <c r="A13232" s="56"/>
    </row>
    <row r="13233" spans="1:1">
      <c r="A13233" s="56"/>
    </row>
    <row r="13234" spans="1:1">
      <c r="A13234" s="56"/>
    </row>
    <row r="13235" spans="1:1">
      <c r="A13235" s="56"/>
    </row>
    <row r="13236" spans="1:1">
      <c r="A13236" s="56"/>
    </row>
    <row r="13237" spans="1:1">
      <c r="A13237" s="56"/>
    </row>
    <row r="13238" spans="1:1">
      <c r="A13238" s="56"/>
    </row>
    <row r="13239" spans="1:1">
      <c r="A13239" s="56"/>
    </row>
    <row r="13240" spans="1:1">
      <c r="A13240" s="56"/>
    </row>
    <row r="13241" spans="1:1">
      <c r="A13241" s="56"/>
    </row>
    <row r="13242" spans="1:1">
      <c r="A13242" s="56"/>
    </row>
    <row r="13243" spans="1:1">
      <c r="A13243" s="56"/>
    </row>
    <row r="13244" spans="1:1">
      <c r="A13244" s="56"/>
    </row>
    <row r="13245" spans="1:1">
      <c r="A13245" s="56"/>
    </row>
    <row r="13246" spans="1:1">
      <c r="A13246" s="56"/>
    </row>
    <row r="13247" spans="1:1">
      <c r="A13247" s="56"/>
    </row>
    <row r="13248" spans="1:1">
      <c r="A13248" s="56"/>
    </row>
    <row r="13249" spans="1:1">
      <c r="A13249" s="56"/>
    </row>
    <row r="13250" spans="1:1">
      <c r="A13250" s="56"/>
    </row>
    <row r="13251" spans="1:1">
      <c r="A13251" s="56"/>
    </row>
    <row r="13252" spans="1:1">
      <c r="A13252" s="56"/>
    </row>
    <row r="13253" spans="1:1">
      <c r="A13253" s="56"/>
    </row>
    <row r="13254" spans="1:1">
      <c r="A13254" s="56"/>
    </row>
    <row r="13255" spans="1:1">
      <c r="A13255" s="56"/>
    </row>
    <row r="13256" spans="1:1">
      <c r="A13256" s="56"/>
    </row>
    <row r="13257" spans="1:1">
      <c r="A13257" s="56"/>
    </row>
    <row r="13258" spans="1:1">
      <c r="A13258" s="56"/>
    </row>
    <row r="13259" spans="1:1">
      <c r="A13259" s="56"/>
    </row>
    <row r="13260" spans="1:1">
      <c r="A13260" s="56"/>
    </row>
    <row r="13261" spans="1:1">
      <c r="A13261" s="56"/>
    </row>
    <row r="13262" spans="1:1">
      <c r="A13262" s="56"/>
    </row>
    <row r="13263" spans="1:1">
      <c r="A13263" s="56"/>
    </row>
    <row r="13264" spans="1:1">
      <c r="A13264" s="56"/>
    </row>
    <row r="13265" spans="1:1">
      <c r="A13265" s="56"/>
    </row>
    <row r="13266" spans="1:1">
      <c r="A13266" s="56"/>
    </row>
    <row r="13267" spans="1:1">
      <c r="A13267" s="56"/>
    </row>
    <row r="13268" spans="1:1">
      <c r="A13268" s="56"/>
    </row>
    <row r="13269" spans="1:1">
      <c r="A13269" s="56"/>
    </row>
    <row r="13270" spans="1:1">
      <c r="A13270" s="56"/>
    </row>
    <row r="13271" spans="1:1">
      <c r="A13271" s="56"/>
    </row>
    <row r="13272" spans="1:1">
      <c r="A13272" s="56"/>
    </row>
    <row r="13273" spans="1:1">
      <c r="A13273" s="56"/>
    </row>
    <row r="13274" spans="1:1">
      <c r="A13274" s="56"/>
    </row>
    <row r="13275" spans="1:1">
      <c r="A13275" s="56"/>
    </row>
    <row r="13276" spans="1:1">
      <c r="A13276" s="56"/>
    </row>
    <row r="13277" spans="1:1">
      <c r="A13277" s="56"/>
    </row>
    <row r="13278" spans="1:1">
      <c r="A13278" s="56"/>
    </row>
    <row r="13279" spans="1:1">
      <c r="A13279" s="56"/>
    </row>
    <row r="13280" spans="1:1">
      <c r="A13280" s="56"/>
    </row>
    <row r="13281" spans="1:1">
      <c r="A13281" s="56"/>
    </row>
    <row r="13282" spans="1:1">
      <c r="A13282" s="56"/>
    </row>
    <row r="13283" spans="1:1">
      <c r="A13283" s="56"/>
    </row>
    <row r="13284" spans="1:1">
      <c r="A13284" s="56"/>
    </row>
    <row r="13285" spans="1:1">
      <c r="A13285" s="56"/>
    </row>
    <row r="13286" spans="1:1">
      <c r="A13286" s="56"/>
    </row>
    <row r="13287" spans="1:1">
      <c r="A13287" s="56"/>
    </row>
    <row r="13288" spans="1:1">
      <c r="A13288" s="56"/>
    </row>
    <row r="13289" spans="1:1">
      <c r="A13289" s="56"/>
    </row>
    <row r="13290" spans="1:1">
      <c r="A13290" s="56"/>
    </row>
    <row r="13291" spans="1:1">
      <c r="A13291" s="56"/>
    </row>
    <row r="13292" spans="1:1">
      <c r="A13292" s="56"/>
    </row>
    <row r="13293" spans="1:1">
      <c r="A13293" s="56"/>
    </row>
    <row r="13294" spans="1:1">
      <c r="A13294" s="56"/>
    </row>
    <row r="13295" spans="1:1">
      <c r="A13295" s="56"/>
    </row>
    <row r="13296" spans="1:1">
      <c r="A13296" s="56"/>
    </row>
    <row r="13297" spans="1:1">
      <c r="A13297" s="56"/>
    </row>
    <row r="13298" spans="1:1">
      <c r="A13298" s="56"/>
    </row>
    <row r="13299" spans="1:1">
      <c r="A13299" s="56"/>
    </row>
    <row r="13300" spans="1:1">
      <c r="A13300" s="56"/>
    </row>
    <row r="13301" spans="1:1">
      <c r="A13301" s="56"/>
    </row>
    <row r="13302" spans="1:1">
      <c r="A13302" s="56"/>
    </row>
    <row r="13303" spans="1:1">
      <c r="A13303" s="56"/>
    </row>
    <row r="13304" spans="1:1">
      <c r="A13304" s="56"/>
    </row>
    <row r="13305" spans="1:1">
      <c r="A13305" s="56"/>
    </row>
    <row r="13306" spans="1:1">
      <c r="A13306" s="56"/>
    </row>
    <row r="13307" spans="1:1">
      <c r="A13307" s="56"/>
    </row>
    <row r="13308" spans="1:1">
      <c r="A13308" s="56"/>
    </row>
    <row r="13309" spans="1:1">
      <c r="A13309" s="56"/>
    </row>
    <row r="13310" spans="1:1">
      <c r="A13310" s="56"/>
    </row>
    <row r="13311" spans="1:1">
      <c r="A13311" s="56"/>
    </row>
    <row r="13312" spans="1:1">
      <c r="A13312" s="56"/>
    </row>
    <row r="13313" spans="1:1">
      <c r="A13313" s="56"/>
    </row>
    <row r="13314" spans="1:1">
      <c r="A13314" s="56"/>
    </row>
    <row r="13315" spans="1:1">
      <c r="A13315" s="56"/>
    </row>
    <row r="13316" spans="1:1">
      <c r="A13316" s="56"/>
    </row>
    <row r="13317" spans="1:1">
      <c r="A13317" s="56"/>
    </row>
    <row r="13318" spans="1:1">
      <c r="A13318" s="56"/>
    </row>
    <row r="13319" spans="1:1">
      <c r="A13319" s="56"/>
    </row>
    <row r="13320" spans="1:1">
      <c r="A13320" s="56"/>
    </row>
    <row r="13321" spans="1:1">
      <c r="A13321" s="56"/>
    </row>
    <row r="13322" spans="1:1">
      <c r="A13322" s="56"/>
    </row>
    <row r="13323" spans="1:1">
      <c r="A13323" s="56"/>
    </row>
    <row r="13324" spans="1:1">
      <c r="A13324" s="56"/>
    </row>
    <row r="13325" spans="1:1">
      <c r="A13325" s="56"/>
    </row>
    <row r="13326" spans="1:1">
      <c r="A13326" s="56"/>
    </row>
    <row r="13327" spans="1:1">
      <c r="A13327" s="56"/>
    </row>
    <row r="13328" spans="1:1">
      <c r="A13328" s="56"/>
    </row>
    <row r="13329" spans="1:1">
      <c r="A13329" s="56"/>
    </row>
    <row r="13330" spans="1:1">
      <c r="A13330" s="56"/>
    </row>
    <row r="13331" spans="1:1">
      <c r="A13331" s="56"/>
    </row>
    <row r="13332" spans="1:1">
      <c r="A13332" s="56"/>
    </row>
    <row r="13333" spans="1:1">
      <c r="A13333" s="56"/>
    </row>
    <row r="13334" spans="1:1">
      <c r="A13334" s="56"/>
    </row>
    <row r="13335" spans="1:1">
      <c r="A13335" s="56"/>
    </row>
    <row r="13336" spans="1:1">
      <c r="A13336" s="56"/>
    </row>
    <row r="13337" spans="1:1">
      <c r="A13337" s="56"/>
    </row>
    <row r="13338" spans="1:1">
      <c r="A13338" s="56"/>
    </row>
    <row r="13339" spans="1:1">
      <c r="A13339" s="56"/>
    </row>
    <row r="13340" spans="1:1">
      <c r="A13340" s="56"/>
    </row>
    <row r="13341" spans="1:1">
      <c r="A13341" s="56"/>
    </row>
    <row r="13342" spans="1:1">
      <c r="A13342" s="56"/>
    </row>
    <row r="13343" spans="1:1">
      <c r="A13343" s="56"/>
    </row>
    <row r="13344" spans="1:1">
      <c r="A13344" s="56"/>
    </row>
    <row r="13345" spans="1:1">
      <c r="A13345" s="56"/>
    </row>
    <row r="13346" spans="1:1">
      <c r="A13346" s="56"/>
    </row>
    <row r="13347" spans="1:1">
      <c r="A13347" s="56"/>
    </row>
    <row r="13348" spans="1:1">
      <c r="A13348" s="56"/>
    </row>
    <row r="13349" spans="1:1">
      <c r="A13349" s="56"/>
    </row>
    <row r="13350" spans="1:1">
      <c r="A13350" s="56"/>
    </row>
    <row r="13351" spans="1:1">
      <c r="A13351" s="56"/>
    </row>
    <row r="13352" spans="1:1">
      <c r="A13352" s="56"/>
    </row>
    <row r="13353" spans="1:1">
      <c r="A13353" s="56"/>
    </row>
    <row r="13354" spans="1:1">
      <c r="A13354" s="56"/>
    </row>
    <row r="13355" spans="1:1">
      <c r="A13355" s="56"/>
    </row>
    <row r="13356" spans="1:1">
      <c r="A13356" s="56"/>
    </row>
    <row r="13357" spans="1:1">
      <c r="A13357" s="56"/>
    </row>
    <row r="13358" spans="1:1">
      <c r="A13358" s="56"/>
    </row>
    <row r="13359" spans="1:1">
      <c r="A13359" s="56"/>
    </row>
    <row r="13360" spans="1:1">
      <c r="A13360" s="56"/>
    </row>
    <row r="13361" spans="1:1">
      <c r="A13361" s="56"/>
    </row>
    <row r="13362" spans="1:1">
      <c r="A13362" s="56"/>
    </row>
    <row r="13363" spans="1:1">
      <c r="A13363" s="56"/>
    </row>
    <row r="13364" spans="1:1">
      <c r="A13364" s="56"/>
    </row>
    <row r="13365" spans="1:1">
      <c r="A13365" s="56"/>
    </row>
    <row r="13366" spans="1:1">
      <c r="A13366" s="56"/>
    </row>
    <row r="13367" spans="1:1">
      <c r="A13367" s="56"/>
    </row>
    <row r="13368" spans="1:1">
      <c r="A13368" s="56"/>
    </row>
    <row r="13369" spans="1:1">
      <c r="A13369" s="56"/>
    </row>
    <row r="13370" spans="1:1">
      <c r="A13370" s="56"/>
    </row>
    <row r="13371" spans="1:1">
      <c r="A13371" s="56"/>
    </row>
    <row r="13372" spans="1:1">
      <c r="A13372" s="56"/>
    </row>
    <row r="13373" spans="1:1">
      <c r="A13373" s="56"/>
    </row>
    <row r="13374" spans="1:1">
      <c r="A13374" s="56"/>
    </row>
    <row r="13375" spans="1:1">
      <c r="A13375" s="56"/>
    </row>
    <row r="13376" spans="1:1">
      <c r="A13376" s="56"/>
    </row>
    <row r="13377" spans="1:1">
      <c r="A13377" s="56"/>
    </row>
    <row r="13378" spans="1:1">
      <c r="A13378" s="56"/>
    </row>
    <row r="13379" spans="1:1">
      <c r="A13379" s="56"/>
    </row>
    <row r="13380" spans="1:1">
      <c r="A13380" s="56"/>
    </row>
    <row r="13381" spans="1:1">
      <c r="A13381" s="56"/>
    </row>
    <row r="13382" spans="1:1">
      <c r="A13382" s="56"/>
    </row>
    <row r="13383" spans="1:1">
      <c r="A13383" s="56"/>
    </row>
    <row r="13384" spans="1:1">
      <c r="A13384" s="56"/>
    </row>
    <row r="13385" spans="1:1">
      <c r="A13385" s="56"/>
    </row>
    <row r="13386" spans="1:1">
      <c r="A13386" s="56"/>
    </row>
    <row r="13387" spans="1:1">
      <c r="A13387" s="56"/>
    </row>
    <row r="13388" spans="1:1">
      <c r="A13388" s="56"/>
    </row>
    <row r="13389" spans="1:1">
      <c r="A13389" s="56"/>
    </row>
    <row r="13390" spans="1:1">
      <c r="A13390" s="56"/>
    </row>
    <row r="13391" spans="1:1">
      <c r="A13391" s="56"/>
    </row>
    <row r="13392" spans="1:1">
      <c r="A13392" s="56"/>
    </row>
    <row r="13393" spans="1:1">
      <c r="A13393" s="56"/>
    </row>
    <row r="13394" spans="1:1">
      <c r="A13394" s="56"/>
    </row>
    <row r="13395" spans="1:1">
      <c r="A13395" s="56"/>
    </row>
    <row r="13396" spans="1:1">
      <c r="A13396" s="56"/>
    </row>
    <row r="13397" spans="1:1">
      <c r="A13397" s="56"/>
    </row>
    <row r="13398" spans="1:1">
      <c r="A13398" s="56"/>
    </row>
    <row r="13399" spans="1:1">
      <c r="A13399" s="56"/>
    </row>
    <row r="13400" spans="1:1">
      <c r="A13400" s="56"/>
    </row>
    <row r="13401" spans="1:1">
      <c r="A13401" s="56"/>
    </row>
    <row r="13402" spans="1:1">
      <c r="A13402" s="56"/>
    </row>
    <row r="13403" spans="1:1">
      <c r="A13403" s="56"/>
    </row>
    <row r="13404" spans="1:1">
      <c r="A13404" s="56"/>
    </row>
    <row r="13405" spans="1:1">
      <c r="A13405" s="56"/>
    </row>
    <row r="13406" spans="1:1">
      <c r="A13406" s="56"/>
    </row>
    <row r="13407" spans="1:1">
      <c r="A13407" s="56"/>
    </row>
    <row r="13408" spans="1:1">
      <c r="A13408" s="56"/>
    </row>
    <row r="13409" spans="1:1">
      <c r="A13409" s="56"/>
    </row>
    <row r="13410" spans="1:1">
      <c r="A13410" s="56"/>
    </row>
    <row r="13411" spans="1:1">
      <c r="A13411" s="56"/>
    </row>
    <row r="13412" spans="1:1">
      <c r="A13412" s="56"/>
    </row>
    <row r="13413" spans="1:1">
      <c r="A13413" s="56"/>
    </row>
    <row r="13414" spans="1:1">
      <c r="A13414" s="56"/>
    </row>
    <row r="13415" spans="1:1">
      <c r="A13415" s="56"/>
    </row>
    <row r="13416" spans="1:1">
      <c r="A13416" s="56"/>
    </row>
    <row r="13417" spans="1:1">
      <c r="A13417" s="56"/>
    </row>
    <row r="13418" spans="1:1">
      <c r="A13418" s="56"/>
    </row>
    <row r="13419" spans="1:1">
      <c r="A13419" s="56"/>
    </row>
    <row r="13420" spans="1:1">
      <c r="A13420" s="56"/>
    </row>
    <row r="13421" spans="1:1">
      <c r="A13421" s="56"/>
    </row>
    <row r="13422" spans="1:1">
      <c r="A13422" s="56"/>
    </row>
    <row r="13423" spans="1:1">
      <c r="A13423" s="56"/>
    </row>
    <row r="13424" spans="1:1">
      <c r="A13424" s="56"/>
    </row>
    <row r="13425" spans="1:1">
      <c r="A13425" s="56"/>
    </row>
    <row r="13426" spans="1:1">
      <c r="A13426" s="56"/>
    </row>
    <row r="13427" spans="1:1">
      <c r="A13427" s="56"/>
    </row>
    <row r="13428" spans="1:1">
      <c r="A13428" s="56"/>
    </row>
    <row r="13429" spans="1:1">
      <c r="A13429" s="56"/>
    </row>
    <row r="13430" spans="1:1">
      <c r="A13430" s="56"/>
    </row>
    <row r="13431" spans="1:1">
      <c r="A13431" s="56"/>
    </row>
    <row r="13432" spans="1:1">
      <c r="A13432" s="56"/>
    </row>
    <row r="13433" spans="1:1">
      <c r="A13433" s="56"/>
    </row>
    <row r="13434" spans="1:1">
      <c r="A13434" s="56"/>
    </row>
    <row r="13435" spans="1:1">
      <c r="A13435" s="56"/>
    </row>
    <row r="13436" spans="1:1">
      <c r="A13436" s="56"/>
    </row>
    <row r="13437" spans="1:1">
      <c r="A13437" s="56"/>
    </row>
    <row r="13438" spans="1:1">
      <c r="A13438" s="56"/>
    </row>
    <row r="13439" spans="1:1">
      <c r="A13439" s="56"/>
    </row>
    <row r="13440" spans="1:1">
      <c r="A13440" s="56"/>
    </row>
    <row r="13441" spans="1:1">
      <c r="A13441" s="56"/>
    </row>
    <row r="13442" spans="1:1">
      <c r="A13442" s="56"/>
    </row>
    <row r="13443" spans="1:1">
      <c r="A13443" s="56"/>
    </row>
    <row r="13444" spans="1:1">
      <c r="A13444" s="56"/>
    </row>
    <row r="13445" spans="1:1">
      <c r="A13445" s="56"/>
    </row>
    <row r="13446" spans="1:1">
      <c r="A13446" s="56"/>
    </row>
    <row r="13447" spans="1:1">
      <c r="A13447" s="56"/>
    </row>
    <row r="13448" spans="1:1">
      <c r="A13448" s="56"/>
    </row>
    <row r="13449" spans="1:1">
      <c r="A13449" s="56"/>
    </row>
    <row r="13450" spans="1:1">
      <c r="A13450" s="56"/>
    </row>
    <row r="13451" spans="1:1">
      <c r="A13451" s="56"/>
    </row>
    <row r="13452" spans="1:1">
      <c r="A13452" s="56"/>
    </row>
    <row r="13453" spans="1:1">
      <c r="A13453" s="56"/>
    </row>
    <row r="13454" spans="1:1">
      <c r="A13454" s="56"/>
    </row>
    <row r="13455" spans="1:1">
      <c r="A13455" s="56"/>
    </row>
    <row r="13456" spans="1:1">
      <c r="A13456" s="56"/>
    </row>
    <row r="13457" spans="1:1">
      <c r="A13457" s="56"/>
    </row>
    <row r="13458" spans="1:1">
      <c r="A13458" s="56"/>
    </row>
    <row r="13459" spans="1:1">
      <c r="A13459" s="56"/>
    </row>
    <row r="13460" spans="1:1">
      <c r="A13460" s="56"/>
    </row>
    <row r="13461" spans="1:1">
      <c r="A13461" s="56"/>
    </row>
    <row r="13462" spans="1:1">
      <c r="A13462" s="56"/>
    </row>
    <row r="13463" spans="1:1">
      <c r="A13463" s="56"/>
    </row>
    <row r="13464" spans="1:1">
      <c r="A13464" s="56"/>
    </row>
    <row r="13465" spans="1:1">
      <c r="A13465" s="56"/>
    </row>
    <row r="13466" spans="1:1">
      <c r="A13466" s="56"/>
    </row>
    <row r="13467" spans="1:1">
      <c r="A13467" s="56"/>
    </row>
    <row r="13468" spans="1:1">
      <c r="A13468" s="56"/>
    </row>
    <row r="13469" spans="1:1">
      <c r="A13469" s="56"/>
    </row>
    <row r="13470" spans="1:1">
      <c r="A13470" s="56"/>
    </row>
    <row r="13471" spans="1:1">
      <c r="A13471" s="56"/>
    </row>
    <row r="13472" spans="1:1">
      <c r="A13472" s="56"/>
    </row>
    <row r="13473" spans="1:1">
      <c r="A13473" s="56"/>
    </row>
    <row r="13474" spans="1:1">
      <c r="A13474" s="56"/>
    </row>
    <row r="13475" spans="1:1">
      <c r="A13475" s="56"/>
    </row>
    <row r="13476" spans="1:1">
      <c r="A13476" s="56"/>
    </row>
    <row r="13477" spans="1:1">
      <c r="A13477" s="56"/>
    </row>
    <row r="13478" spans="1:1">
      <c r="A13478" s="56"/>
    </row>
    <row r="13479" spans="1:1">
      <c r="A13479" s="56"/>
    </row>
    <row r="13480" spans="1:1">
      <c r="A13480" s="56"/>
    </row>
    <row r="13481" spans="1:1">
      <c r="A13481" s="56"/>
    </row>
    <row r="13482" spans="1:1">
      <c r="A13482" s="56"/>
    </row>
    <row r="13483" spans="1:1">
      <c r="A13483" s="56"/>
    </row>
    <row r="13484" spans="1:1">
      <c r="A13484" s="56"/>
    </row>
    <row r="13485" spans="1:1">
      <c r="A13485" s="56"/>
    </row>
    <row r="13486" spans="1:1">
      <c r="A13486" s="56"/>
    </row>
    <row r="13487" spans="1:1">
      <c r="A13487" s="56"/>
    </row>
    <row r="13488" spans="1:1">
      <c r="A13488" s="56"/>
    </row>
    <row r="13489" spans="1:1">
      <c r="A13489" s="56"/>
    </row>
    <row r="13490" spans="1:1">
      <c r="A13490" s="56"/>
    </row>
    <row r="13491" spans="1:1">
      <c r="A13491" s="56"/>
    </row>
    <row r="13492" spans="1:1">
      <c r="A13492" s="56"/>
    </row>
    <row r="13493" spans="1:1">
      <c r="A13493" s="56"/>
    </row>
    <row r="13494" spans="1:1">
      <c r="A13494" s="56"/>
    </row>
    <row r="13495" spans="1:1">
      <c r="A13495" s="56"/>
    </row>
    <row r="13496" spans="1:1">
      <c r="A13496" s="56"/>
    </row>
    <row r="13497" spans="1:1">
      <c r="A13497" s="56"/>
    </row>
    <row r="13498" spans="1:1">
      <c r="A13498" s="56"/>
    </row>
    <row r="13499" spans="1:1">
      <c r="A13499" s="56"/>
    </row>
    <row r="13500" spans="1:1">
      <c r="A13500" s="56"/>
    </row>
    <row r="13501" spans="1:1">
      <c r="A13501" s="56"/>
    </row>
    <row r="13502" spans="1:1">
      <c r="A13502" s="56"/>
    </row>
    <row r="13503" spans="1:1">
      <c r="A13503" s="56"/>
    </row>
    <row r="13504" spans="1:1">
      <c r="A13504" s="56"/>
    </row>
    <row r="13505" spans="1:1">
      <c r="A13505" s="56"/>
    </row>
    <row r="13506" spans="1:1">
      <c r="A13506" s="56"/>
    </row>
    <row r="13507" spans="1:1">
      <c r="A13507" s="56"/>
    </row>
    <row r="13508" spans="1:1">
      <c r="A13508" s="56"/>
    </row>
    <row r="13509" spans="1:1">
      <c r="A13509" s="56"/>
    </row>
    <row r="13510" spans="1:1">
      <c r="A13510" s="56"/>
    </row>
    <row r="13511" spans="1:1">
      <c r="A13511" s="56"/>
    </row>
    <row r="13512" spans="1:1">
      <c r="A13512" s="56"/>
    </row>
    <row r="13513" spans="1:1">
      <c r="A13513" s="56"/>
    </row>
    <row r="13514" spans="1:1">
      <c r="A13514" s="56"/>
    </row>
    <row r="13515" spans="1:1">
      <c r="A13515" s="56"/>
    </row>
    <row r="13516" spans="1:1">
      <c r="A13516" s="56"/>
    </row>
    <row r="13517" spans="1:1">
      <c r="A13517" s="56"/>
    </row>
    <row r="13518" spans="1:1">
      <c r="A13518" s="56"/>
    </row>
    <row r="13519" spans="1:1">
      <c r="A13519" s="56"/>
    </row>
    <row r="13520" spans="1:1">
      <c r="A13520" s="56"/>
    </row>
    <row r="13521" spans="1:1">
      <c r="A13521" s="56"/>
    </row>
    <row r="13522" spans="1:1">
      <c r="A13522" s="56"/>
    </row>
    <row r="13523" spans="1:1">
      <c r="A13523" s="56"/>
    </row>
    <row r="13524" spans="1:1">
      <c r="A13524" s="56"/>
    </row>
    <row r="13525" spans="1:1">
      <c r="A13525" s="56"/>
    </row>
    <row r="13526" spans="1:1">
      <c r="A13526" s="56"/>
    </row>
    <row r="13527" spans="1:1">
      <c r="A13527" s="56"/>
    </row>
    <row r="13528" spans="1:1">
      <c r="A13528" s="56"/>
    </row>
    <row r="13529" spans="1:1">
      <c r="A13529" s="56"/>
    </row>
    <row r="13530" spans="1:1">
      <c r="A13530" s="56"/>
    </row>
    <row r="13531" spans="1:1">
      <c r="A13531" s="56"/>
    </row>
    <row r="13532" spans="1:1">
      <c r="A13532" s="56"/>
    </row>
    <row r="13533" spans="1:1">
      <c r="A13533" s="56"/>
    </row>
    <row r="13534" spans="1:1">
      <c r="A13534" s="56"/>
    </row>
    <row r="13535" spans="1:1">
      <c r="A13535" s="56"/>
    </row>
    <row r="13536" spans="1:1">
      <c r="A13536" s="56"/>
    </row>
    <row r="13537" spans="1:1">
      <c r="A13537" s="56"/>
    </row>
    <row r="13538" spans="1:1">
      <c r="A13538" s="56"/>
    </row>
    <row r="13539" spans="1:1">
      <c r="A13539" s="56"/>
    </row>
    <row r="13540" spans="1:1">
      <c r="A13540" s="56"/>
    </row>
    <row r="13541" spans="1:1">
      <c r="A13541" s="56"/>
    </row>
    <row r="13542" spans="1:1">
      <c r="A13542" s="56"/>
    </row>
    <row r="13543" spans="1:1">
      <c r="A13543" s="56"/>
    </row>
    <row r="13544" spans="1:1">
      <c r="A13544" s="56"/>
    </row>
    <row r="13545" spans="1:1">
      <c r="A13545" s="56"/>
    </row>
    <row r="13546" spans="1:1">
      <c r="A13546" s="56"/>
    </row>
    <row r="13547" spans="1:1">
      <c r="A13547" s="56"/>
    </row>
    <row r="13548" spans="1:1">
      <c r="A13548" s="56"/>
    </row>
    <row r="13549" spans="1:1">
      <c r="A13549" s="56"/>
    </row>
    <row r="13550" spans="1:1">
      <c r="A13550" s="56"/>
    </row>
    <row r="13551" spans="1:1">
      <c r="A13551" s="56"/>
    </row>
    <row r="13552" spans="1:1">
      <c r="A13552" s="56"/>
    </row>
    <row r="13553" spans="1:1">
      <c r="A13553" s="56"/>
    </row>
    <row r="13554" spans="1:1">
      <c r="A13554" s="56"/>
    </row>
    <row r="13555" spans="1:1">
      <c r="A13555" s="56"/>
    </row>
    <row r="13556" spans="1:1">
      <c r="A13556" s="56"/>
    </row>
    <row r="13557" spans="1:1">
      <c r="A13557" s="56"/>
    </row>
    <row r="13558" spans="1:1">
      <c r="A13558" s="56"/>
    </row>
    <row r="13559" spans="1:1">
      <c r="A13559" s="56"/>
    </row>
    <row r="13560" spans="1:1">
      <c r="A13560" s="56"/>
    </row>
    <row r="13561" spans="1:1">
      <c r="A13561" s="56"/>
    </row>
    <row r="13562" spans="1:1">
      <c r="A13562" s="56"/>
    </row>
    <row r="13563" spans="1:1">
      <c r="A13563" s="56"/>
    </row>
    <row r="13564" spans="1:1">
      <c r="A13564" s="56"/>
    </row>
    <row r="13565" spans="1:1">
      <c r="A13565" s="56"/>
    </row>
    <row r="13566" spans="1:1">
      <c r="A13566" s="56"/>
    </row>
    <row r="13567" spans="1:1">
      <c r="A13567" s="56"/>
    </row>
    <row r="13568" spans="1:1">
      <c r="A13568" s="56"/>
    </row>
    <row r="13569" spans="1:1">
      <c r="A13569" s="56"/>
    </row>
    <row r="13570" spans="1:1">
      <c r="A13570" s="56"/>
    </row>
    <row r="13571" spans="1:1">
      <c r="A13571" s="56"/>
    </row>
    <row r="13572" spans="1:1">
      <c r="A13572" s="56"/>
    </row>
    <row r="13573" spans="1:1">
      <c r="A13573" s="56"/>
    </row>
    <row r="13574" spans="1:1">
      <c r="A13574" s="56"/>
    </row>
    <row r="13575" spans="1:1">
      <c r="A13575" s="56"/>
    </row>
    <row r="13576" spans="1:1">
      <c r="A13576" s="56"/>
    </row>
    <row r="13577" spans="1:1">
      <c r="A13577" s="56"/>
    </row>
    <row r="13578" spans="1:1">
      <c r="A13578" s="56"/>
    </row>
    <row r="13579" spans="1:1">
      <c r="A13579" s="56"/>
    </row>
    <row r="13580" spans="1:1">
      <c r="A13580" s="56"/>
    </row>
    <row r="13581" spans="1:1">
      <c r="A13581" s="56"/>
    </row>
    <row r="13582" spans="1:1">
      <c r="A13582" s="56"/>
    </row>
    <row r="13583" spans="1:1">
      <c r="A13583" s="56"/>
    </row>
    <row r="13584" spans="1:1">
      <c r="A13584" s="56"/>
    </row>
    <row r="13585" spans="1:1">
      <c r="A13585" s="56"/>
    </row>
    <row r="13586" spans="1:1">
      <c r="A13586" s="56"/>
    </row>
    <row r="13587" spans="1:1">
      <c r="A13587" s="56"/>
    </row>
    <row r="13588" spans="1:1">
      <c r="A13588" s="56"/>
    </row>
    <row r="13589" spans="1:1">
      <c r="A13589" s="56"/>
    </row>
    <row r="13590" spans="1:1">
      <c r="A13590" s="56"/>
    </row>
    <row r="13591" spans="1:1">
      <c r="A13591" s="56"/>
    </row>
    <row r="13592" spans="1:1">
      <c r="A13592" s="56"/>
    </row>
    <row r="13593" spans="1:1">
      <c r="A13593" s="56"/>
    </row>
    <row r="13594" spans="1:1">
      <c r="A13594" s="56"/>
    </row>
    <row r="13595" spans="1:1">
      <c r="A13595" s="56"/>
    </row>
    <row r="13596" spans="1:1">
      <c r="A13596" s="56"/>
    </row>
    <row r="13597" spans="1:1">
      <c r="A13597" s="56"/>
    </row>
    <row r="13598" spans="1:1">
      <c r="A13598" s="56"/>
    </row>
    <row r="13599" spans="1:1">
      <c r="A13599" s="56"/>
    </row>
    <row r="13600" spans="1:1">
      <c r="A13600" s="56"/>
    </row>
    <row r="13601" spans="1:1">
      <c r="A13601" s="56"/>
    </row>
    <row r="13602" spans="1:1">
      <c r="A13602" s="56"/>
    </row>
    <row r="13603" spans="1:1">
      <c r="A13603" s="56"/>
    </row>
    <row r="13604" spans="1:1">
      <c r="A13604" s="56"/>
    </row>
    <row r="13605" spans="1:1">
      <c r="A13605" s="56"/>
    </row>
    <row r="13606" spans="1:1">
      <c r="A13606" s="56"/>
    </row>
    <row r="13607" spans="1:1">
      <c r="A13607" s="56"/>
    </row>
    <row r="13608" spans="1:1">
      <c r="A13608" s="56"/>
    </row>
    <row r="13609" spans="1:1">
      <c r="A13609" s="56"/>
    </row>
    <row r="13610" spans="1:1">
      <c r="A13610" s="56"/>
    </row>
    <row r="13611" spans="1:1">
      <c r="A13611" s="56"/>
    </row>
    <row r="13612" spans="1:1">
      <c r="A13612" s="56"/>
    </row>
    <row r="13613" spans="1:1">
      <c r="A13613" s="56"/>
    </row>
    <row r="13614" spans="1:1">
      <c r="A13614" s="56"/>
    </row>
    <row r="13615" spans="1:1">
      <c r="A13615" s="56"/>
    </row>
    <row r="13616" spans="1:1">
      <c r="A13616" s="56"/>
    </row>
    <row r="13617" spans="1:1">
      <c r="A13617" s="56"/>
    </row>
    <row r="13618" spans="1:1">
      <c r="A13618" s="56"/>
    </row>
    <row r="13619" spans="1:1">
      <c r="A13619" s="56"/>
    </row>
    <row r="13620" spans="1:1">
      <c r="A13620" s="56"/>
    </row>
    <row r="13621" spans="1:1">
      <c r="A13621" s="56"/>
    </row>
    <row r="13622" spans="1:1">
      <c r="A13622" s="56"/>
    </row>
    <row r="13623" spans="1:1">
      <c r="A13623" s="56"/>
    </row>
    <row r="13624" spans="1:1">
      <c r="A13624" s="56"/>
    </row>
    <row r="13625" spans="1:1">
      <c r="A13625" s="56"/>
    </row>
    <row r="13626" spans="1:1">
      <c r="A13626" s="56"/>
    </row>
    <row r="13627" spans="1:1">
      <c r="A13627" s="56"/>
    </row>
    <row r="13628" spans="1:1">
      <c r="A13628" s="56"/>
    </row>
    <row r="13629" spans="1:1">
      <c r="A13629" s="56"/>
    </row>
    <row r="13630" spans="1:1">
      <c r="A13630" s="56"/>
    </row>
    <row r="13631" spans="1:1">
      <c r="A13631" s="56"/>
    </row>
    <row r="13632" spans="1:1">
      <c r="A13632" s="56"/>
    </row>
    <row r="13633" spans="1:1">
      <c r="A13633" s="56"/>
    </row>
    <row r="13634" spans="1:1">
      <c r="A13634" s="56"/>
    </row>
    <row r="13635" spans="1:1">
      <c r="A13635" s="56"/>
    </row>
    <row r="13636" spans="1:1">
      <c r="A13636" s="56"/>
    </row>
    <row r="13637" spans="1:1">
      <c r="A13637" s="56"/>
    </row>
    <row r="13638" spans="1:1">
      <c r="A13638" s="56"/>
    </row>
    <row r="13639" spans="1:1">
      <c r="A13639" s="56"/>
    </row>
    <row r="13640" spans="1:1">
      <c r="A13640" s="56"/>
    </row>
    <row r="13641" spans="1:1">
      <c r="A13641" s="56"/>
    </row>
    <row r="13642" spans="1:1">
      <c r="A13642" s="56"/>
    </row>
    <row r="13643" spans="1:1">
      <c r="A13643" s="56"/>
    </row>
    <row r="13644" spans="1:1">
      <c r="A13644" s="56"/>
    </row>
    <row r="13645" spans="1:1">
      <c r="A13645" s="56"/>
    </row>
    <row r="13646" spans="1:1">
      <c r="A13646" s="56"/>
    </row>
    <row r="13647" spans="1:1">
      <c r="A13647" s="56"/>
    </row>
    <row r="13648" spans="1:1">
      <c r="A13648" s="56"/>
    </row>
    <row r="13649" spans="1:1">
      <c r="A13649" s="56"/>
    </row>
    <row r="13650" spans="1:1">
      <c r="A13650" s="56"/>
    </row>
    <row r="13651" spans="1:1">
      <c r="A13651" s="56"/>
    </row>
    <row r="13652" spans="1:1">
      <c r="A13652" s="56"/>
    </row>
    <row r="13653" spans="1:1">
      <c r="A13653" s="56"/>
    </row>
    <row r="13654" spans="1:1">
      <c r="A13654" s="56"/>
    </row>
    <row r="13655" spans="1:1">
      <c r="A13655" s="56"/>
    </row>
    <row r="13656" spans="1:1">
      <c r="A13656" s="56"/>
    </row>
    <row r="13657" spans="1:1">
      <c r="A13657" s="56"/>
    </row>
    <row r="13658" spans="1:1">
      <c r="A13658" s="56"/>
    </row>
    <row r="13659" spans="1:1">
      <c r="A13659" s="56"/>
    </row>
    <row r="13660" spans="1:1">
      <c r="A13660" s="56"/>
    </row>
    <row r="13661" spans="1:1">
      <c r="A13661" s="56"/>
    </row>
    <row r="13662" spans="1:1">
      <c r="A13662" s="56"/>
    </row>
    <row r="13663" spans="1:1">
      <c r="A13663" s="56"/>
    </row>
    <row r="13664" spans="1:1">
      <c r="A13664" s="56"/>
    </row>
    <row r="13665" spans="1:1">
      <c r="A13665" s="56"/>
    </row>
    <row r="13666" spans="1:1">
      <c r="A13666" s="56"/>
    </row>
    <row r="13667" spans="1:1">
      <c r="A13667" s="56"/>
    </row>
    <row r="13668" spans="1:1">
      <c r="A13668" s="56"/>
    </row>
    <row r="13669" spans="1:1">
      <c r="A13669" s="56"/>
    </row>
    <row r="13670" spans="1:1">
      <c r="A13670" s="56"/>
    </row>
    <row r="13671" spans="1:1">
      <c r="A13671" s="56"/>
    </row>
    <row r="13672" spans="1:1">
      <c r="A13672" s="56"/>
    </row>
    <row r="13673" spans="1:1">
      <c r="A13673" s="56"/>
    </row>
    <row r="13674" spans="1:1">
      <c r="A13674" s="56"/>
    </row>
    <row r="13675" spans="1:1">
      <c r="A13675" s="56"/>
    </row>
    <row r="13676" spans="1:1">
      <c r="A13676" s="56"/>
    </row>
    <row r="13677" spans="1:1">
      <c r="A13677" s="56"/>
    </row>
    <row r="13678" spans="1:1">
      <c r="A13678" s="56"/>
    </row>
    <row r="13679" spans="1:1">
      <c r="A13679" s="56"/>
    </row>
    <row r="13680" spans="1:1">
      <c r="A13680" s="56"/>
    </row>
    <row r="13681" spans="1:1">
      <c r="A13681" s="56"/>
    </row>
    <row r="13682" spans="1:1">
      <c r="A13682" s="56"/>
    </row>
    <row r="13683" spans="1:1">
      <c r="A13683" s="56"/>
    </row>
    <row r="13684" spans="1:1">
      <c r="A13684" s="56"/>
    </row>
    <row r="13685" spans="1:1">
      <c r="A13685" s="56"/>
    </row>
    <row r="13686" spans="1:1">
      <c r="A13686" s="56"/>
    </row>
    <row r="13687" spans="1:1">
      <c r="A13687" s="56"/>
    </row>
    <row r="13688" spans="1:1">
      <c r="A13688" s="56"/>
    </row>
    <row r="13689" spans="1:1">
      <c r="A13689" s="56"/>
    </row>
    <row r="13690" spans="1:1">
      <c r="A13690" s="56"/>
    </row>
    <row r="13691" spans="1:1">
      <c r="A13691" s="56"/>
    </row>
    <row r="13692" spans="1:1">
      <c r="A13692" s="56"/>
    </row>
    <row r="13693" spans="1:1">
      <c r="A13693" s="56"/>
    </row>
    <row r="13694" spans="1:1">
      <c r="A13694" s="56"/>
    </row>
    <row r="13695" spans="1:1">
      <c r="A13695" s="56"/>
    </row>
    <row r="13696" spans="1:1">
      <c r="A13696" s="56"/>
    </row>
    <row r="13697" spans="1:1">
      <c r="A13697" s="56"/>
    </row>
    <row r="13698" spans="1:1">
      <c r="A13698" s="56"/>
    </row>
    <row r="13699" spans="1:1">
      <c r="A13699" s="56"/>
    </row>
    <row r="13700" spans="1:1">
      <c r="A13700" s="56"/>
    </row>
    <row r="13701" spans="1:1">
      <c r="A13701" s="56"/>
    </row>
    <row r="13702" spans="1:1">
      <c r="A13702" s="56"/>
    </row>
    <row r="13703" spans="1:1">
      <c r="A13703" s="56"/>
    </row>
    <row r="13704" spans="1:1">
      <c r="A13704" s="56"/>
    </row>
    <row r="13705" spans="1:1">
      <c r="A13705" s="56"/>
    </row>
    <row r="13706" spans="1:1">
      <c r="A13706" s="56"/>
    </row>
    <row r="13707" spans="1:1">
      <c r="A13707" s="56"/>
    </row>
    <row r="13708" spans="1:1">
      <c r="A13708" s="56"/>
    </row>
    <row r="13709" spans="1:1">
      <c r="A13709" s="56"/>
    </row>
    <row r="13710" spans="1:1">
      <c r="A13710" s="56"/>
    </row>
    <row r="13711" spans="1:1">
      <c r="A13711" s="56"/>
    </row>
    <row r="13712" spans="1:1">
      <c r="A13712" s="56"/>
    </row>
    <row r="13713" spans="1:1">
      <c r="A13713" s="56"/>
    </row>
    <row r="13714" spans="1:1">
      <c r="A13714" s="56"/>
    </row>
    <row r="13715" spans="1:1">
      <c r="A13715" s="56"/>
    </row>
    <row r="13716" spans="1:1">
      <c r="A13716" s="56"/>
    </row>
    <row r="13717" spans="1:1">
      <c r="A13717" s="56"/>
    </row>
    <row r="13718" spans="1:1">
      <c r="A13718" s="56"/>
    </row>
    <row r="13719" spans="1:1">
      <c r="A13719" s="56"/>
    </row>
    <row r="13720" spans="1:1">
      <c r="A13720" s="56"/>
    </row>
    <row r="13721" spans="1:1">
      <c r="A13721" s="56"/>
    </row>
    <row r="13722" spans="1:1">
      <c r="A13722" s="56"/>
    </row>
    <row r="13723" spans="1:1">
      <c r="A13723" s="56"/>
    </row>
    <row r="13724" spans="1:1">
      <c r="A13724" s="56"/>
    </row>
    <row r="13725" spans="1:1">
      <c r="A13725" s="56"/>
    </row>
    <row r="13726" spans="1:1">
      <c r="A13726" s="56"/>
    </row>
    <row r="13727" spans="1:1">
      <c r="A13727" s="56"/>
    </row>
    <row r="13728" spans="1:1">
      <c r="A13728" s="56"/>
    </row>
    <row r="13729" spans="1:1">
      <c r="A13729" s="56"/>
    </row>
    <row r="13730" spans="1:1">
      <c r="A13730" s="56"/>
    </row>
    <row r="13731" spans="1:1">
      <c r="A13731" s="56"/>
    </row>
    <row r="13732" spans="1:1">
      <c r="A13732" s="56"/>
    </row>
    <row r="13733" spans="1:1">
      <c r="A13733" s="56"/>
    </row>
    <row r="13734" spans="1:1">
      <c r="A13734" s="56"/>
    </row>
    <row r="13735" spans="1:1">
      <c r="A13735" s="56"/>
    </row>
    <row r="13736" spans="1:1">
      <c r="A13736" s="56"/>
    </row>
    <row r="13737" spans="1:1">
      <c r="A13737" s="56"/>
    </row>
    <row r="13738" spans="1:1">
      <c r="A13738" s="56"/>
    </row>
    <row r="13739" spans="1:1">
      <c r="A13739" s="56"/>
    </row>
    <row r="13740" spans="1:1">
      <c r="A13740" s="56"/>
    </row>
    <row r="13741" spans="1:1">
      <c r="A13741" s="56"/>
    </row>
    <row r="13742" spans="1:1">
      <c r="A13742" s="56"/>
    </row>
    <row r="13743" spans="1:1">
      <c r="A13743" s="56"/>
    </row>
    <row r="13744" spans="1:1">
      <c r="A13744" s="56"/>
    </row>
    <row r="13745" spans="1:1">
      <c r="A13745" s="56"/>
    </row>
    <row r="13746" spans="1:1">
      <c r="A13746" s="56"/>
    </row>
    <row r="13747" spans="1:1">
      <c r="A13747" s="56"/>
    </row>
    <row r="13748" spans="1:1">
      <c r="A13748" s="56"/>
    </row>
    <row r="13749" spans="1:1">
      <c r="A13749" s="56"/>
    </row>
    <row r="13750" spans="1:1">
      <c r="A13750" s="56"/>
    </row>
    <row r="13751" spans="1:1">
      <c r="A13751" s="56"/>
    </row>
    <row r="13752" spans="1:1">
      <c r="A13752" s="56"/>
    </row>
    <row r="13753" spans="1:1">
      <c r="A13753" s="56"/>
    </row>
    <row r="13754" spans="1:1">
      <c r="A13754" s="56"/>
    </row>
    <row r="13755" spans="1:1">
      <c r="A13755" s="56"/>
    </row>
    <row r="13756" spans="1:1">
      <c r="A13756" s="56"/>
    </row>
    <row r="13757" spans="1:1">
      <c r="A13757" s="56"/>
    </row>
    <row r="13758" spans="1:1">
      <c r="A13758" s="56"/>
    </row>
    <row r="13759" spans="1:1">
      <c r="A13759" s="56"/>
    </row>
    <row r="13760" spans="1:1">
      <c r="A13760" s="56"/>
    </row>
    <row r="13761" spans="1:1">
      <c r="A13761" s="56"/>
    </row>
    <row r="13762" spans="1:1">
      <c r="A13762" s="56"/>
    </row>
    <row r="13763" spans="1:1">
      <c r="A13763" s="56"/>
    </row>
    <row r="13764" spans="1:1">
      <c r="A13764" s="56"/>
    </row>
    <row r="13765" spans="1:1">
      <c r="A13765" s="56"/>
    </row>
    <row r="13766" spans="1:1">
      <c r="A13766" s="56"/>
    </row>
    <row r="13767" spans="1:1">
      <c r="A13767" s="56"/>
    </row>
    <row r="13768" spans="1:1">
      <c r="A13768" s="56"/>
    </row>
    <row r="13769" spans="1:1">
      <c r="A13769" s="56"/>
    </row>
    <row r="13770" spans="1:1">
      <c r="A13770" s="56"/>
    </row>
    <row r="13771" spans="1:1">
      <c r="A13771" s="56"/>
    </row>
    <row r="13772" spans="1:1">
      <c r="A13772" s="56"/>
    </row>
    <row r="13773" spans="1:1">
      <c r="A13773" s="56"/>
    </row>
    <row r="13774" spans="1:1">
      <c r="A13774" s="56"/>
    </row>
    <row r="13775" spans="1:1">
      <c r="A13775" s="56"/>
    </row>
    <row r="13776" spans="1:1">
      <c r="A13776" s="56"/>
    </row>
    <row r="13777" spans="1:1">
      <c r="A13777" s="56"/>
    </row>
    <row r="13778" spans="1:1">
      <c r="A13778" s="56"/>
    </row>
    <row r="13779" spans="1:1">
      <c r="A13779" s="56"/>
    </row>
    <row r="13780" spans="1:1">
      <c r="A13780" s="56"/>
    </row>
    <row r="13781" spans="1:1">
      <c r="A13781" s="56"/>
    </row>
    <row r="13782" spans="1:1">
      <c r="A13782" s="56"/>
    </row>
    <row r="13783" spans="1:1">
      <c r="A13783" s="56"/>
    </row>
    <row r="13784" spans="1:1">
      <c r="A13784" s="56"/>
    </row>
    <row r="13785" spans="1:1">
      <c r="A13785" s="56"/>
    </row>
    <row r="13786" spans="1:1">
      <c r="A13786" s="56"/>
    </row>
    <row r="13787" spans="1:1">
      <c r="A13787" s="56"/>
    </row>
    <row r="13788" spans="1:1">
      <c r="A13788" s="56"/>
    </row>
    <row r="13789" spans="1:1">
      <c r="A13789" s="56"/>
    </row>
    <row r="13790" spans="1:1">
      <c r="A13790" s="56"/>
    </row>
    <row r="13791" spans="1:1">
      <c r="A13791" s="56"/>
    </row>
    <row r="13792" spans="1:1">
      <c r="A13792" s="56"/>
    </row>
    <row r="13793" spans="1:1">
      <c r="A13793" s="56"/>
    </row>
    <row r="13794" spans="1:1">
      <c r="A13794" s="56"/>
    </row>
    <row r="13795" spans="1:1">
      <c r="A13795" s="56"/>
    </row>
    <row r="13796" spans="1:1">
      <c r="A13796" s="56"/>
    </row>
    <row r="13797" spans="1:1">
      <c r="A13797" s="56"/>
    </row>
    <row r="13798" spans="1:1">
      <c r="A13798" s="56"/>
    </row>
    <row r="13799" spans="1:1">
      <c r="A13799" s="56"/>
    </row>
    <row r="13800" spans="1:1">
      <c r="A13800" s="56"/>
    </row>
    <row r="13801" spans="1:1">
      <c r="A13801" s="56"/>
    </row>
    <row r="13802" spans="1:1">
      <c r="A13802" s="56"/>
    </row>
    <row r="13803" spans="1:1">
      <c r="A13803" s="56"/>
    </row>
    <row r="13804" spans="1:1">
      <c r="A13804" s="56"/>
    </row>
    <row r="13805" spans="1:1">
      <c r="A13805" s="56"/>
    </row>
    <row r="13806" spans="1:1">
      <c r="A13806" s="56"/>
    </row>
    <row r="13807" spans="1:1">
      <c r="A13807" s="56"/>
    </row>
    <row r="13808" spans="1:1">
      <c r="A13808" s="56"/>
    </row>
    <row r="13809" spans="1:1">
      <c r="A13809" s="56"/>
    </row>
    <row r="13810" spans="1:1">
      <c r="A13810" s="56"/>
    </row>
    <row r="13811" spans="1:1">
      <c r="A13811" s="56"/>
    </row>
    <row r="13812" spans="1:1">
      <c r="A13812" s="56"/>
    </row>
    <row r="13813" spans="1:1">
      <c r="A13813" s="56"/>
    </row>
    <row r="13814" spans="1:1">
      <c r="A13814" s="56"/>
    </row>
    <row r="13815" spans="1:1">
      <c r="A13815" s="56"/>
    </row>
    <row r="13816" spans="1:1">
      <c r="A13816" s="56"/>
    </row>
    <row r="13817" spans="1:1">
      <c r="A13817" s="56"/>
    </row>
    <row r="13818" spans="1:1">
      <c r="A13818" s="56"/>
    </row>
    <row r="13819" spans="1:1">
      <c r="A13819" s="56"/>
    </row>
    <row r="13820" spans="1:1">
      <c r="A13820" s="56"/>
    </row>
    <row r="13821" spans="1:1">
      <c r="A13821" s="56"/>
    </row>
    <row r="13822" spans="1:1">
      <c r="A13822" s="56"/>
    </row>
    <row r="13823" spans="1:1">
      <c r="A13823" s="56"/>
    </row>
    <row r="13824" spans="1:1">
      <c r="A13824" s="56"/>
    </row>
    <row r="13825" spans="1:1">
      <c r="A13825" s="56"/>
    </row>
    <row r="13826" spans="1:1">
      <c r="A13826" s="56"/>
    </row>
    <row r="13827" spans="1:1">
      <c r="A13827" s="56"/>
    </row>
    <row r="13828" spans="1:1">
      <c r="A13828" s="56"/>
    </row>
    <row r="13829" spans="1:1">
      <c r="A13829" s="56"/>
    </row>
    <row r="13830" spans="1:1">
      <c r="A13830" s="56"/>
    </row>
    <row r="13831" spans="1:1">
      <c r="A13831" s="56"/>
    </row>
    <row r="13832" spans="1:1">
      <c r="A13832" s="56"/>
    </row>
    <row r="13833" spans="1:1">
      <c r="A13833" s="56"/>
    </row>
    <row r="13834" spans="1:1">
      <c r="A13834" s="56"/>
    </row>
    <row r="13835" spans="1:1">
      <c r="A13835" s="56"/>
    </row>
    <row r="13836" spans="1:1">
      <c r="A13836" s="56"/>
    </row>
    <row r="13837" spans="1:1">
      <c r="A13837" s="56"/>
    </row>
    <row r="13838" spans="1:1">
      <c r="A13838" s="56"/>
    </row>
    <row r="13839" spans="1:1">
      <c r="A13839" s="56"/>
    </row>
    <row r="13840" spans="1:1">
      <c r="A13840" s="56"/>
    </row>
    <row r="13841" spans="1:1">
      <c r="A13841" s="56"/>
    </row>
    <row r="13842" spans="1:1">
      <c r="A13842" s="56"/>
    </row>
    <row r="13843" spans="1:1">
      <c r="A13843" s="56"/>
    </row>
    <row r="13844" spans="1:1">
      <c r="A13844" s="56"/>
    </row>
    <row r="13845" spans="1:1">
      <c r="A13845" s="56"/>
    </row>
    <row r="13846" spans="1:1">
      <c r="A13846" s="56"/>
    </row>
    <row r="13847" spans="1:1">
      <c r="A13847" s="56"/>
    </row>
    <row r="13848" spans="1:1">
      <c r="A13848" s="56"/>
    </row>
    <row r="13849" spans="1:1">
      <c r="A13849" s="56"/>
    </row>
    <row r="13850" spans="1:1">
      <c r="A13850" s="56"/>
    </row>
    <row r="13851" spans="1:1">
      <c r="A13851" s="56"/>
    </row>
    <row r="13852" spans="1:1">
      <c r="A13852" s="56"/>
    </row>
    <row r="13853" spans="1:1">
      <c r="A13853" s="56"/>
    </row>
    <row r="13854" spans="1:1">
      <c r="A13854" s="56"/>
    </row>
    <row r="13855" spans="1:1">
      <c r="A13855" s="56"/>
    </row>
    <row r="13856" spans="1:1">
      <c r="A13856" s="56"/>
    </row>
    <row r="13857" spans="1:1">
      <c r="A13857" s="56"/>
    </row>
    <row r="13858" spans="1:1">
      <c r="A13858" s="56"/>
    </row>
    <row r="13859" spans="1:1">
      <c r="A13859" s="56"/>
    </row>
    <row r="13860" spans="1:1">
      <c r="A13860" s="56"/>
    </row>
    <row r="13861" spans="1:1">
      <c r="A13861" s="56"/>
    </row>
    <row r="13862" spans="1:1">
      <c r="A13862" s="56"/>
    </row>
    <row r="13863" spans="1:1">
      <c r="A13863" s="56"/>
    </row>
    <row r="13864" spans="1:1">
      <c r="A13864" s="56"/>
    </row>
    <row r="13865" spans="1:1">
      <c r="A13865" s="56"/>
    </row>
    <row r="13866" spans="1:1">
      <c r="A13866" s="56"/>
    </row>
    <row r="13867" spans="1:1">
      <c r="A13867" s="56"/>
    </row>
    <row r="13868" spans="1:1">
      <c r="A13868" s="56"/>
    </row>
    <row r="13869" spans="1:1">
      <c r="A13869" s="56"/>
    </row>
    <row r="13870" spans="1:1">
      <c r="A13870" s="56"/>
    </row>
    <row r="13871" spans="1:1">
      <c r="A13871" s="56"/>
    </row>
    <row r="13872" spans="1:1">
      <c r="A13872" s="56"/>
    </row>
    <row r="13873" spans="1:1">
      <c r="A13873" s="56"/>
    </row>
    <row r="13874" spans="1:1">
      <c r="A13874" s="56"/>
    </row>
    <row r="13875" spans="1:1">
      <c r="A13875" s="56"/>
    </row>
    <row r="13876" spans="1:1">
      <c r="A13876" s="56"/>
    </row>
    <row r="13877" spans="1:1">
      <c r="A13877" s="56"/>
    </row>
    <row r="13878" spans="1:1">
      <c r="A13878" s="56"/>
    </row>
    <row r="13879" spans="1:1">
      <c r="A13879" s="56"/>
    </row>
    <row r="13880" spans="1:1">
      <c r="A13880" s="56"/>
    </row>
    <row r="13881" spans="1:1">
      <c r="A13881" s="56"/>
    </row>
    <row r="13882" spans="1:1">
      <c r="A13882" s="56"/>
    </row>
    <row r="13883" spans="1:1">
      <c r="A13883" s="56"/>
    </row>
    <row r="13884" spans="1:1">
      <c r="A13884" s="56"/>
    </row>
    <row r="13885" spans="1:1">
      <c r="A13885" s="56"/>
    </row>
    <row r="13886" spans="1:1">
      <c r="A13886" s="56"/>
    </row>
    <row r="13887" spans="1:1">
      <c r="A13887" s="56"/>
    </row>
    <row r="13888" spans="1:1">
      <c r="A13888" s="56"/>
    </row>
    <row r="13889" spans="1:1">
      <c r="A13889" s="56"/>
    </row>
    <row r="13890" spans="1:1">
      <c r="A13890" s="56"/>
    </row>
    <row r="13891" spans="1:1">
      <c r="A13891" s="56"/>
    </row>
    <row r="13892" spans="1:1">
      <c r="A13892" s="56"/>
    </row>
    <row r="13893" spans="1:1">
      <c r="A13893" s="56"/>
    </row>
    <row r="13894" spans="1:1">
      <c r="A13894" s="56"/>
    </row>
    <row r="13895" spans="1:1">
      <c r="A13895" s="56"/>
    </row>
    <row r="13896" spans="1:1">
      <c r="A13896" s="56"/>
    </row>
    <row r="13897" spans="1:1">
      <c r="A13897" s="56"/>
    </row>
    <row r="13898" spans="1:1">
      <c r="A13898" s="56"/>
    </row>
    <row r="13899" spans="1:1">
      <c r="A13899" s="56"/>
    </row>
    <row r="13900" spans="1:1">
      <c r="A13900" s="56"/>
    </row>
    <row r="13901" spans="1:1">
      <c r="A13901" s="56"/>
    </row>
    <row r="13902" spans="1:1">
      <c r="A13902" s="56"/>
    </row>
    <row r="13903" spans="1:1">
      <c r="A13903" s="56"/>
    </row>
    <row r="13904" spans="1:1">
      <c r="A13904" s="56"/>
    </row>
    <row r="13905" spans="1:1">
      <c r="A13905" s="56"/>
    </row>
    <row r="13906" spans="1:1">
      <c r="A13906" s="56"/>
    </row>
    <row r="13907" spans="1:1">
      <c r="A13907" s="56"/>
    </row>
    <row r="13908" spans="1:1">
      <c r="A13908" s="56"/>
    </row>
    <row r="13909" spans="1:1">
      <c r="A13909" s="56"/>
    </row>
    <row r="13910" spans="1:1">
      <c r="A13910" s="56"/>
    </row>
    <row r="13911" spans="1:1">
      <c r="A13911" s="56"/>
    </row>
    <row r="13912" spans="1:1">
      <c r="A13912" s="56"/>
    </row>
    <row r="13913" spans="1:1">
      <c r="A13913" s="56"/>
    </row>
    <row r="13914" spans="1:1">
      <c r="A13914" s="56"/>
    </row>
    <row r="13915" spans="1:1">
      <c r="A13915" s="56"/>
    </row>
    <row r="13916" spans="1:1">
      <c r="A13916" s="56"/>
    </row>
    <row r="13917" spans="1:1">
      <c r="A13917" s="56"/>
    </row>
    <row r="13918" spans="1:1">
      <c r="A13918" s="56"/>
    </row>
    <row r="13919" spans="1:1">
      <c r="A13919" s="56"/>
    </row>
    <row r="13920" spans="1:1">
      <c r="A13920" s="56"/>
    </row>
    <row r="13921" spans="1:1">
      <c r="A13921" s="56"/>
    </row>
    <row r="13922" spans="1:1">
      <c r="A13922" s="56"/>
    </row>
    <row r="13923" spans="1:1">
      <c r="A13923" s="56"/>
    </row>
    <row r="13924" spans="1:1">
      <c r="A13924" s="56"/>
    </row>
    <row r="13925" spans="1:1">
      <c r="A13925" s="56"/>
    </row>
    <row r="13926" spans="1:1">
      <c r="A13926" s="56"/>
    </row>
    <row r="13927" spans="1:1">
      <c r="A13927" s="56"/>
    </row>
    <row r="13928" spans="1:1">
      <c r="A13928" s="56"/>
    </row>
    <row r="13929" spans="1:1">
      <c r="A13929" s="56"/>
    </row>
    <row r="13930" spans="1:1">
      <c r="A13930" s="56"/>
    </row>
    <row r="13931" spans="1:1">
      <c r="A13931" s="56"/>
    </row>
    <row r="13932" spans="1:1">
      <c r="A13932" s="56"/>
    </row>
    <row r="13933" spans="1:1">
      <c r="A13933" s="56"/>
    </row>
    <row r="13934" spans="1:1">
      <c r="A13934" s="56"/>
    </row>
    <row r="13935" spans="1:1">
      <c r="A13935" s="56"/>
    </row>
    <row r="13936" spans="1:1">
      <c r="A13936" s="56"/>
    </row>
    <row r="13937" spans="1:1">
      <c r="A13937" s="56"/>
    </row>
    <row r="13938" spans="1:1">
      <c r="A13938" s="56"/>
    </row>
    <row r="13939" spans="1:1">
      <c r="A13939" s="56"/>
    </row>
    <row r="13940" spans="1:1">
      <c r="A13940" s="56"/>
    </row>
    <row r="13941" spans="1:1">
      <c r="A13941" s="56"/>
    </row>
    <row r="13942" spans="1:1">
      <c r="A13942" s="56"/>
    </row>
    <row r="13943" spans="1:1">
      <c r="A13943" s="56"/>
    </row>
    <row r="13944" spans="1:1">
      <c r="A13944" s="56"/>
    </row>
    <row r="13945" spans="1:1">
      <c r="A13945" s="56"/>
    </row>
    <row r="13946" spans="1:1">
      <c r="A13946" s="56"/>
    </row>
    <row r="13947" spans="1:1">
      <c r="A13947" s="56"/>
    </row>
    <row r="13948" spans="1:1">
      <c r="A13948" s="56"/>
    </row>
    <row r="13949" spans="1:1">
      <c r="A13949" s="56"/>
    </row>
    <row r="13950" spans="1:1">
      <c r="A13950" s="56"/>
    </row>
    <row r="13951" spans="1:1">
      <c r="A13951" s="56"/>
    </row>
    <row r="13952" spans="1:1">
      <c r="A13952" s="56"/>
    </row>
    <row r="13953" spans="1:1">
      <c r="A13953" s="56"/>
    </row>
    <row r="13954" spans="1:1">
      <c r="A13954" s="56"/>
    </row>
    <row r="13955" spans="1:1">
      <c r="A13955" s="56"/>
    </row>
    <row r="13956" spans="1:1">
      <c r="A13956" s="56"/>
    </row>
    <row r="13957" spans="1:1">
      <c r="A13957" s="56"/>
    </row>
    <row r="13958" spans="1:1">
      <c r="A13958" s="56"/>
    </row>
    <row r="13959" spans="1:1">
      <c r="A13959" s="56"/>
    </row>
    <row r="13960" spans="1:1">
      <c r="A13960" s="56"/>
    </row>
    <row r="13961" spans="1:1">
      <c r="A13961" s="56"/>
    </row>
    <row r="13962" spans="1:1">
      <c r="A13962" s="56"/>
    </row>
    <row r="13963" spans="1:1">
      <c r="A13963" s="56"/>
    </row>
    <row r="13964" spans="1:1">
      <c r="A13964" s="56"/>
    </row>
    <row r="13965" spans="1:1">
      <c r="A13965" s="56"/>
    </row>
    <row r="13966" spans="1:1">
      <c r="A13966" s="56"/>
    </row>
    <row r="13967" spans="1:1">
      <c r="A13967" s="56"/>
    </row>
    <row r="13968" spans="1:1">
      <c r="A13968" s="56"/>
    </row>
    <row r="13969" spans="1:1">
      <c r="A13969" s="56"/>
    </row>
    <row r="13970" spans="1:1">
      <c r="A13970" s="56"/>
    </row>
    <row r="13971" spans="1:1">
      <c r="A13971" s="56"/>
    </row>
    <row r="13972" spans="1:1">
      <c r="A13972" s="56"/>
    </row>
    <row r="13973" spans="1:1">
      <c r="A13973" s="56"/>
    </row>
    <row r="13974" spans="1:1">
      <c r="A13974" s="56"/>
    </row>
    <row r="13975" spans="1:1">
      <c r="A13975" s="56"/>
    </row>
    <row r="13976" spans="1:1">
      <c r="A13976" s="56"/>
    </row>
    <row r="13977" spans="1:1">
      <c r="A13977" s="56"/>
    </row>
    <row r="13978" spans="1:1">
      <c r="A13978" s="56"/>
    </row>
    <row r="13979" spans="1:1">
      <c r="A13979" s="56"/>
    </row>
    <row r="13980" spans="1:1">
      <c r="A13980" s="56"/>
    </row>
    <row r="13981" spans="1:1">
      <c r="A13981" s="56"/>
    </row>
    <row r="13982" spans="1:1">
      <c r="A13982" s="56"/>
    </row>
    <row r="13983" spans="1:1">
      <c r="A13983" s="56"/>
    </row>
    <row r="13984" spans="1:1">
      <c r="A13984" s="56"/>
    </row>
    <row r="13985" spans="1:1">
      <c r="A13985" s="56"/>
    </row>
    <row r="13986" spans="1:1">
      <c r="A13986" s="56"/>
    </row>
    <row r="13987" spans="1:1">
      <c r="A13987" s="56"/>
    </row>
    <row r="13988" spans="1:1">
      <c r="A13988" s="56"/>
    </row>
    <row r="13989" spans="1:1">
      <c r="A13989" s="56"/>
    </row>
    <row r="13990" spans="1:1">
      <c r="A13990" s="56"/>
    </row>
    <row r="13991" spans="1:1">
      <c r="A13991" s="56"/>
    </row>
    <row r="13992" spans="1:1">
      <c r="A13992" s="56"/>
    </row>
    <row r="13993" spans="1:1">
      <c r="A13993" s="56"/>
    </row>
    <row r="13994" spans="1:1">
      <c r="A13994" s="56"/>
    </row>
    <row r="13995" spans="1:1">
      <c r="A13995" s="56"/>
    </row>
    <row r="13996" spans="1:1">
      <c r="A13996" s="56"/>
    </row>
    <row r="13997" spans="1:1">
      <c r="A13997" s="56"/>
    </row>
    <row r="13998" spans="1:1">
      <c r="A13998" s="56"/>
    </row>
    <row r="13999" spans="1:1">
      <c r="A13999" s="56"/>
    </row>
    <row r="14000" spans="1:1">
      <c r="A14000" s="56"/>
    </row>
    <row r="14001" spans="1:1">
      <c r="A14001" s="56"/>
    </row>
    <row r="14002" spans="1:1">
      <c r="A14002" s="56"/>
    </row>
    <row r="14003" spans="1:1">
      <c r="A14003" s="56"/>
    </row>
    <row r="14004" spans="1:1">
      <c r="A14004" s="56"/>
    </row>
    <row r="14005" spans="1:1">
      <c r="A14005" s="56"/>
    </row>
    <row r="14006" spans="1:1">
      <c r="A14006" s="56"/>
    </row>
    <row r="14007" spans="1:1">
      <c r="A14007" s="56"/>
    </row>
    <row r="14008" spans="1:1">
      <c r="A14008" s="56"/>
    </row>
    <row r="14009" spans="1:1">
      <c r="A14009" s="56"/>
    </row>
    <row r="14010" spans="1:1">
      <c r="A14010" s="56"/>
    </row>
    <row r="14011" spans="1:1">
      <c r="A14011" s="56"/>
    </row>
    <row r="14012" spans="1:1">
      <c r="A14012" s="56"/>
    </row>
    <row r="14013" spans="1:1">
      <c r="A14013" s="56"/>
    </row>
    <row r="14014" spans="1:1">
      <c r="A14014" s="56"/>
    </row>
    <row r="14015" spans="1:1">
      <c r="A14015" s="56"/>
    </row>
    <row r="14016" spans="1:1">
      <c r="A14016" s="56"/>
    </row>
    <row r="14017" spans="1:1">
      <c r="A14017" s="56"/>
    </row>
    <row r="14018" spans="1:1">
      <c r="A14018" s="56"/>
    </row>
    <row r="14019" spans="1:1">
      <c r="A14019" s="56"/>
    </row>
    <row r="14020" spans="1:1">
      <c r="A14020" s="56"/>
    </row>
    <row r="14021" spans="1:1">
      <c r="A14021" s="56"/>
    </row>
    <row r="14022" spans="1:1">
      <c r="A14022" s="56"/>
    </row>
    <row r="14023" spans="1:1">
      <c r="A14023" s="56"/>
    </row>
    <row r="14024" spans="1:1">
      <c r="A14024" s="56"/>
    </row>
    <row r="14025" spans="1:1">
      <c r="A14025" s="56"/>
    </row>
    <row r="14026" spans="1:1">
      <c r="A14026" s="56"/>
    </row>
    <row r="14027" spans="1:1">
      <c r="A14027" s="56"/>
    </row>
    <row r="14028" spans="1:1">
      <c r="A14028" s="56"/>
    </row>
    <row r="14029" spans="1:1">
      <c r="A14029" s="56"/>
    </row>
    <row r="14030" spans="1:1">
      <c r="A14030" s="56"/>
    </row>
    <row r="14031" spans="1:1">
      <c r="A14031" s="56"/>
    </row>
    <row r="14032" spans="1:1">
      <c r="A14032" s="56"/>
    </row>
    <row r="14033" spans="1:1">
      <c r="A14033" s="56"/>
    </row>
    <row r="14034" spans="1:1">
      <c r="A14034" s="56"/>
    </row>
    <row r="14035" spans="1:1">
      <c r="A14035" s="56"/>
    </row>
    <row r="14036" spans="1:1">
      <c r="A14036" s="56"/>
    </row>
    <row r="14037" spans="1:1">
      <c r="A14037" s="56"/>
    </row>
    <row r="14038" spans="1:1">
      <c r="A14038" s="56"/>
    </row>
    <row r="14039" spans="1:1">
      <c r="A14039" s="56"/>
    </row>
    <row r="14040" spans="1:1">
      <c r="A14040" s="56"/>
    </row>
    <row r="14041" spans="1:1">
      <c r="A14041" s="56"/>
    </row>
    <row r="14042" spans="1:1">
      <c r="A14042" s="56"/>
    </row>
    <row r="14043" spans="1:1">
      <c r="A14043" s="56"/>
    </row>
    <row r="14044" spans="1:1">
      <c r="A14044" s="56"/>
    </row>
    <row r="14045" spans="1:1">
      <c r="A14045" s="56"/>
    </row>
    <row r="14046" spans="1:1">
      <c r="A14046" s="56"/>
    </row>
    <row r="14047" spans="1:1">
      <c r="A14047" s="56"/>
    </row>
    <row r="14048" spans="1:1">
      <c r="A14048" s="56"/>
    </row>
    <row r="14049" spans="1:1">
      <c r="A14049" s="56"/>
    </row>
    <row r="14050" spans="1:1">
      <c r="A14050" s="56"/>
    </row>
    <row r="14051" spans="1:1">
      <c r="A14051" s="56"/>
    </row>
    <row r="14052" spans="1:1">
      <c r="A14052" s="56"/>
    </row>
    <row r="14053" spans="1:1">
      <c r="A14053" s="56"/>
    </row>
    <row r="14054" spans="1:1">
      <c r="A14054" s="56"/>
    </row>
    <row r="14055" spans="1:1">
      <c r="A14055" s="56"/>
    </row>
    <row r="14056" spans="1:1">
      <c r="A14056" s="56"/>
    </row>
    <row r="14057" spans="1:1">
      <c r="A14057" s="56"/>
    </row>
    <row r="14058" spans="1:1">
      <c r="A14058" s="56"/>
    </row>
    <row r="14059" spans="1:1">
      <c r="A14059" s="56"/>
    </row>
    <row r="14060" spans="1:1">
      <c r="A14060" s="56"/>
    </row>
    <row r="14061" spans="1:1">
      <c r="A14061" s="56"/>
    </row>
    <row r="14062" spans="1:1">
      <c r="A14062" s="56"/>
    </row>
    <row r="14063" spans="1:1">
      <c r="A14063" s="56"/>
    </row>
    <row r="14064" spans="1:1">
      <c r="A14064" s="56"/>
    </row>
    <row r="14065" spans="1:1">
      <c r="A14065" s="56"/>
    </row>
    <row r="14066" spans="1:1">
      <c r="A14066" s="56"/>
    </row>
    <row r="14067" spans="1:1">
      <c r="A14067" s="56"/>
    </row>
    <row r="14068" spans="1:1">
      <c r="A14068" s="56"/>
    </row>
    <row r="14069" spans="1:1">
      <c r="A14069" s="56"/>
    </row>
    <row r="14070" spans="1:1">
      <c r="A14070" s="56"/>
    </row>
    <row r="14071" spans="1:1">
      <c r="A14071" s="56"/>
    </row>
    <row r="14072" spans="1:1">
      <c r="A14072" s="56"/>
    </row>
    <row r="14073" spans="1:1">
      <c r="A14073" s="56"/>
    </row>
    <row r="14074" spans="1:1">
      <c r="A14074" s="56"/>
    </row>
    <row r="14075" spans="1:1">
      <c r="A14075" s="56"/>
    </row>
    <row r="14076" spans="1:1">
      <c r="A14076" s="56"/>
    </row>
    <row r="14077" spans="1:1">
      <c r="A14077" s="56"/>
    </row>
    <row r="14078" spans="1:1">
      <c r="A14078" s="56"/>
    </row>
    <row r="14079" spans="1:1">
      <c r="A14079" s="56"/>
    </row>
    <row r="14080" spans="1:1">
      <c r="A14080" s="56"/>
    </row>
    <row r="14081" spans="1:1">
      <c r="A14081" s="56"/>
    </row>
    <row r="14082" spans="1:1">
      <c r="A14082" s="56"/>
    </row>
    <row r="14083" spans="1:1">
      <c r="A14083" s="56"/>
    </row>
    <row r="14084" spans="1:1">
      <c r="A14084" s="56"/>
    </row>
    <row r="14085" spans="1:1">
      <c r="A14085" s="56"/>
    </row>
    <row r="14086" spans="1:1">
      <c r="A14086" s="56"/>
    </row>
    <row r="14087" spans="1:1">
      <c r="A14087" s="56"/>
    </row>
    <row r="14088" spans="1:1">
      <c r="A14088" s="56"/>
    </row>
    <row r="14089" spans="1:1">
      <c r="A14089" s="56"/>
    </row>
    <row r="14090" spans="1:1">
      <c r="A14090" s="56"/>
    </row>
    <row r="14091" spans="1:1">
      <c r="A14091" s="56"/>
    </row>
    <row r="14092" spans="1:1">
      <c r="A14092" s="56"/>
    </row>
    <row r="14093" spans="1:1">
      <c r="A14093" s="56"/>
    </row>
    <row r="14094" spans="1:1">
      <c r="A14094" s="56"/>
    </row>
    <row r="14095" spans="1:1">
      <c r="A14095" s="56"/>
    </row>
    <row r="14096" spans="1:1">
      <c r="A14096" s="56"/>
    </row>
    <row r="14097" spans="1:1">
      <c r="A14097" s="56"/>
    </row>
    <row r="14098" spans="1:1">
      <c r="A14098" s="56"/>
    </row>
    <row r="14099" spans="1:1">
      <c r="A14099" s="56"/>
    </row>
    <row r="14100" spans="1:1">
      <c r="A14100" s="56"/>
    </row>
    <row r="14101" spans="1:1">
      <c r="A14101" s="56"/>
    </row>
    <row r="14102" spans="1:1">
      <c r="A14102" s="56"/>
    </row>
    <row r="14103" spans="1:1">
      <c r="A14103" s="56"/>
    </row>
    <row r="14104" spans="1:1">
      <c r="A14104" s="56"/>
    </row>
    <row r="14105" spans="1:1">
      <c r="A14105" s="56"/>
    </row>
    <row r="14106" spans="1:1">
      <c r="A14106" s="56"/>
    </row>
    <row r="14107" spans="1:1">
      <c r="A14107" s="56"/>
    </row>
    <row r="14108" spans="1:1">
      <c r="A14108" s="56"/>
    </row>
    <row r="14109" spans="1:1">
      <c r="A14109" s="56"/>
    </row>
    <row r="14110" spans="1:1">
      <c r="A14110" s="56"/>
    </row>
    <row r="14111" spans="1:1">
      <c r="A14111" s="56"/>
    </row>
    <row r="14112" spans="1:1">
      <c r="A14112" s="56"/>
    </row>
    <row r="14113" spans="1:1">
      <c r="A14113" s="56"/>
    </row>
    <row r="14114" spans="1:1">
      <c r="A14114" s="56"/>
    </row>
    <row r="14115" spans="1:1">
      <c r="A14115" s="56"/>
    </row>
    <row r="14116" spans="1:1">
      <c r="A14116" s="56"/>
    </row>
    <row r="14117" spans="1:1">
      <c r="A14117" s="56"/>
    </row>
    <row r="14118" spans="1:1">
      <c r="A14118" s="56"/>
    </row>
    <row r="14119" spans="1:1">
      <c r="A14119" s="56"/>
    </row>
    <row r="14120" spans="1:1">
      <c r="A14120" s="56"/>
    </row>
    <row r="14121" spans="1:1">
      <c r="A14121" s="56"/>
    </row>
    <row r="14122" spans="1:1">
      <c r="A14122" s="56"/>
    </row>
    <row r="14123" spans="1:1">
      <c r="A14123" s="56"/>
    </row>
    <row r="14124" spans="1:1">
      <c r="A14124" s="56"/>
    </row>
    <row r="14125" spans="1:1">
      <c r="A14125" s="56"/>
    </row>
    <row r="14126" spans="1:1">
      <c r="A14126" s="56"/>
    </row>
    <row r="14127" spans="1:1">
      <c r="A14127" s="56"/>
    </row>
    <row r="14128" spans="1:1">
      <c r="A14128" s="56"/>
    </row>
    <row r="14129" spans="1:1">
      <c r="A14129" s="56"/>
    </row>
    <row r="14130" spans="1:1">
      <c r="A14130" s="56"/>
    </row>
    <row r="14131" spans="1:1">
      <c r="A14131" s="56"/>
    </row>
    <row r="14132" spans="1:1">
      <c r="A14132" s="56"/>
    </row>
    <row r="14133" spans="1:1">
      <c r="A14133" s="56"/>
    </row>
    <row r="14134" spans="1:1">
      <c r="A14134" s="56"/>
    </row>
    <row r="14135" spans="1:1">
      <c r="A14135" s="56"/>
    </row>
    <row r="14136" spans="1:1">
      <c r="A14136" s="56"/>
    </row>
    <row r="14137" spans="1:1">
      <c r="A14137" s="56"/>
    </row>
    <row r="14138" spans="1:1">
      <c r="A14138" s="56"/>
    </row>
    <row r="14139" spans="1:1">
      <c r="A14139" s="56"/>
    </row>
    <row r="14140" spans="1:1">
      <c r="A14140" s="56"/>
    </row>
    <row r="14141" spans="1:1">
      <c r="A14141" s="56"/>
    </row>
    <row r="14142" spans="1:1">
      <c r="A14142" s="56"/>
    </row>
    <row r="14143" spans="1:1">
      <c r="A14143" s="56"/>
    </row>
    <row r="14144" spans="1:1">
      <c r="A14144" s="56"/>
    </row>
    <row r="14145" spans="1:1">
      <c r="A14145" s="56"/>
    </row>
    <row r="14146" spans="1:1">
      <c r="A14146" s="56"/>
    </row>
    <row r="14147" spans="1:1">
      <c r="A14147" s="56"/>
    </row>
    <row r="14148" spans="1:1">
      <c r="A14148" s="56"/>
    </row>
    <row r="14149" spans="1:1">
      <c r="A14149" s="56"/>
    </row>
    <row r="14150" spans="1:1">
      <c r="A14150" s="56"/>
    </row>
    <row r="14151" spans="1:1">
      <c r="A14151" s="56"/>
    </row>
    <row r="14152" spans="1:1">
      <c r="A14152" s="56"/>
    </row>
    <row r="14153" spans="1:1">
      <c r="A14153" s="56"/>
    </row>
    <row r="14154" spans="1:1">
      <c r="A14154" s="56"/>
    </row>
    <row r="14155" spans="1:1">
      <c r="A14155" s="56"/>
    </row>
    <row r="14156" spans="1:1">
      <c r="A14156" s="56"/>
    </row>
    <row r="14157" spans="1:1">
      <c r="A14157" s="56"/>
    </row>
    <row r="14158" spans="1:1">
      <c r="A14158" s="56"/>
    </row>
    <row r="14159" spans="1:1">
      <c r="A14159" s="56"/>
    </row>
    <row r="14160" spans="1:1">
      <c r="A14160" s="56"/>
    </row>
    <row r="14161" spans="1:1">
      <c r="A14161" s="56"/>
    </row>
    <row r="14162" spans="1:1">
      <c r="A14162" s="56"/>
    </row>
    <row r="14163" spans="1:1">
      <c r="A14163" s="56"/>
    </row>
    <row r="14164" spans="1:1">
      <c r="A14164" s="56"/>
    </row>
    <row r="14165" spans="1:1">
      <c r="A14165" s="56"/>
    </row>
    <row r="14166" spans="1:1">
      <c r="A14166" s="56"/>
    </row>
    <row r="14167" spans="1:1">
      <c r="A14167" s="56"/>
    </row>
    <row r="14168" spans="1:1">
      <c r="A14168" s="56"/>
    </row>
    <row r="14169" spans="1:1">
      <c r="A14169" s="56"/>
    </row>
    <row r="14170" spans="1:1">
      <c r="A14170" s="56"/>
    </row>
    <row r="14171" spans="1:1">
      <c r="A14171" s="56"/>
    </row>
    <row r="14172" spans="1:1">
      <c r="A14172" s="56"/>
    </row>
    <row r="14173" spans="1:1">
      <c r="A14173" s="56"/>
    </row>
    <row r="14174" spans="1:1">
      <c r="A14174" s="56"/>
    </row>
    <row r="14175" spans="1:1">
      <c r="A14175" s="56"/>
    </row>
    <row r="14176" spans="1:1">
      <c r="A14176" s="56"/>
    </row>
    <row r="14177" spans="1:1">
      <c r="A14177" s="56"/>
    </row>
    <row r="14178" spans="1:1">
      <c r="A14178" s="56"/>
    </row>
    <row r="14179" spans="1:1">
      <c r="A14179" s="56"/>
    </row>
    <row r="14180" spans="1:1">
      <c r="A14180" s="56"/>
    </row>
    <row r="14181" spans="1:1">
      <c r="A14181" s="56"/>
    </row>
    <row r="14182" spans="1:1">
      <c r="A14182" s="56"/>
    </row>
    <row r="14183" spans="1:1">
      <c r="A14183" s="56"/>
    </row>
    <row r="14184" spans="1:1">
      <c r="A14184" s="56"/>
    </row>
    <row r="14185" spans="1:1">
      <c r="A14185" s="56"/>
    </row>
    <row r="14186" spans="1:1">
      <c r="A14186" s="56"/>
    </row>
    <row r="14187" spans="1:1">
      <c r="A14187" s="56"/>
    </row>
    <row r="14188" spans="1:1">
      <c r="A14188" s="56"/>
    </row>
    <row r="14189" spans="1:1">
      <c r="A14189" s="56"/>
    </row>
    <row r="14190" spans="1:1">
      <c r="A14190" s="56"/>
    </row>
    <row r="14191" spans="1:1">
      <c r="A14191" s="56"/>
    </row>
    <row r="14192" spans="1:1">
      <c r="A14192" s="56"/>
    </row>
    <row r="14193" spans="1:1">
      <c r="A14193" s="56"/>
    </row>
    <row r="14194" spans="1:1">
      <c r="A14194" s="56"/>
    </row>
    <row r="14195" spans="1:1">
      <c r="A14195" s="56"/>
    </row>
    <row r="14196" spans="1:1">
      <c r="A14196" s="56"/>
    </row>
    <row r="14197" spans="1:1">
      <c r="A14197" s="56"/>
    </row>
    <row r="14198" spans="1:1">
      <c r="A14198" s="56"/>
    </row>
    <row r="14199" spans="1:1">
      <c r="A14199" s="56"/>
    </row>
    <row r="14200" spans="1:1">
      <c r="A14200" s="56"/>
    </row>
    <row r="14201" spans="1:1">
      <c r="A14201" s="56"/>
    </row>
    <row r="14202" spans="1:1">
      <c r="A14202" s="56"/>
    </row>
    <row r="14203" spans="1:1">
      <c r="A14203" s="56"/>
    </row>
    <row r="14204" spans="1:1">
      <c r="A14204" s="56"/>
    </row>
    <row r="14205" spans="1:1">
      <c r="A14205" s="56"/>
    </row>
    <row r="14206" spans="1:1">
      <c r="A14206" s="56"/>
    </row>
    <row r="14207" spans="1:1">
      <c r="A14207" s="56"/>
    </row>
    <row r="14208" spans="1:1">
      <c r="A14208" s="56"/>
    </row>
    <row r="14209" spans="1:1">
      <c r="A14209" s="56"/>
    </row>
    <row r="14210" spans="1:1">
      <c r="A14210" s="56"/>
    </row>
    <row r="14211" spans="1:1">
      <c r="A14211" s="56"/>
    </row>
    <row r="14212" spans="1:1">
      <c r="A14212" s="56"/>
    </row>
    <row r="14213" spans="1:1">
      <c r="A14213" s="56"/>
    </row>
    <row r="14214" spans="1:1">
      <c r="A14214" s="56"/>
    </row>
    <row r="14215" spans="1:1">
      <c r="A14215" s="56"/>
    </row>
    <row r="14216" spans="1:1">
      <c r="A14216" s="56"/>
    </row>
    <row r="14217" spans="1:1">
      <c r="A14217" s="56"/>
    </row>
    <row r="14218" spans="1:1">
      <c r="A14218" s="56"/>
    </row>
    <row r="14219" spans="1:1">
      <c r="A14219" s="56"/>
    </row>
    <row r="14220" spans="1:1">
      <c r="A14220" s="56"/>
    </row>
    <row r="14221" spans="1:1">
      <c r="A14221" s="56"/>
    </row>
    <row r="14222" spans="1:1">
      <c r="A14222" s="56"/>
    </row>
    <row r="14223" spans="1:1">
      <c r="A14223" s="56"/>
    </row>
    <row r="14224" spans="1:1">
      <c r="A14224" s="56"/>
    </row>
    <row r="14225" spans="1:1">
      <c r="A14225" s="56"/>
    </row>
    <row r="14226" spans="1:1">
      <c r="A14226" s="56"/>
    </row>
    <row r="14227" spans="1:1">
      <c r="A14227" s="56"/>
    </row>
    <row r="14228" spans="1:1">
      <c r="A14228" s="56"/>
    </row>
    <row r="14229" spans="1:1">
      <c r="A14229" s="56"/>
    </row>
    <row r="14230" spans="1:1">
      <c r="A14230" s="56"/>
    </row>
    <row r="14231" spans="1:1">
      <c r="A14231" s="56"/>
    </row>
    <row r="14232" spans="1:1">
      <c r="A14232" s="56"/>
    </row>
    <row r="14233" spans="1:1">
      <c r="A14233" s="56"/>
    </row>
    <row r="14234" spans="1:1">
      <c r="A14234" s="56"/>
    </row>
    <row r="14235" spans="1:1">
      <c r="A14235" s="56"/>
    </row>
    <row r="14236" spans="1:1">
      <c r="A14236" s="56"/>
    </row>
    <row r="14237" spans="1:1">
      <c r="A14237" s="56"/>
    </row>
    <row r="14238" spans="1:1">
      <c r="A14238" s="56"/>
    </row>
    <row r="14239" spans="1:1">
      <c r="A14239" s="56"/>
    </row>
    <row r="14240" spans="1:1">
      <c r="A14240" s="56"/>
    </row>
    <row r="14241" spans="1:1">
      <c r="A14241" s="56"/>
    </row>
    <row r="14242" spans="1:1">
      <c r="A14242" s="56"/>
    </row>
    <row r="14243" spans="1:1">
      <c r="A14243" s="56"/>
    </row>
    <row r="14244" spans="1:1">
      <c r="A14244" s="56"/>
    </row>
    <row r="14245" spans="1:1">
      <c r="A14245" s="56"/>
    </row>
    <row r="14246" spans="1:1">
      <c r="A14246" s="56"/>
    </row>
    <row r="14247" spans="1:1">
      <c r="A14247" s="56"/>
    </row>
    <row r="14248" spans="1:1">
      <c r="A14248" s="56"/>
    </row>
    <row r="14249" spans="1:1">
      <c r="A14249" s="56"/>
    </row>
    <row r="14250" spans="1:1">
      <c r="A14250" s="56"/>
    </row>
    <row r="14251" spans="1:1">
      <c r="A14251" s="56"/>
    </row>
    <row r="14252" spans="1:1">
      <c r="A14252" s="56"/>
    </row>
    <row r="14253" spans="1:1">
      <c r="A14253" s="56"/>
    </row>
    <row r="14254" spans="1:1">
      <c r="A14254" s="56"/>
    </row>
    <row r="14255" spans="1:1">
      <c r="A14255" s="56"/>
    </row>
    <row r="14256" spans="1:1">
      <c r="A14256" s="56"/>
    </row>
    <row r="14257" spans="1:1">
      <c r="A14257" s="56"/>
    </row>
    <row r="14258" spans="1:1">
      <c r="A14258" s="56"/>
    </row>
    <row r="14259" spans="1:1">
      <c r="A14259" s="56"/>
    </row>
    <row r="14260" spans="1:1">
      <c r="A14260" s="56"/>
    </row>
    <row r="14261" spans="1:1">
      <c r="A14261" s="56"/>
    </row>
    <row r="14262" spans="1:1">
      <c r="A14262" s="56"/>
    </row>
    <row r="14263" spans="1:1">
      <c r="A14263" s="56"/>
    </row>
    <row r="14264" spans="1:1">
      <c r="A14264" s="56"/>
    </row>
    <row r="14265" spans="1:1">
      <c r="A14265" s="56"/>
    </row>
    <row r="14266" spans="1:1">
      <c r="A14266" s="56"/>
    </row>
    <row r="14267" spans="1:1">
      <c r="A14267" s="56"/>
    </row>
    <row r="14268" spans="1:1">
      <c r="A14268" s="56"/>
    </row>
    <row r="14269" spans="1:1">
      <c r="A14269" s="56"/>
    </row>
    <row r="14270" spans="1:1">
      <c r="A14270" s="56"/>
    </row>
    <row r="14271" spans="1:1">
      <c r="A14271" s="56"/>
    </row>
    <row r="14272" spans="1:1">
      <c r="A14272" s="56"/>
    </row>
    <row r="14273" spans="1:1">
      <c r="A14273" s="56"/>
    </row>
    <row r="14274" spans="1:1">
      <c r="A14274" s="56"/>
    </row>
    <row r="14275" spans="1:1">
      <c r="A14275" s="56"/>
    </row>
    <row r="14276" spans="1:1">
      <c r="A14276" s="56"/>
    </row>
    <row r="14277" spans="1:1">
      <c r="A14277" s="56"/>
    </row>
    <row r="14278" spans="1:1">
      <c r="A14278" s="56"/>
    </row>
    <row r="14279" spans="1:1">
      <c r="A14279" s="56"/>
    </row>
    <row r="14280" spans="1:1">
      <c r="A14280" s="56"/>
    </row>
    <row r="14281" spans="1:1">
      <c r="A14281" s="56"/>
    </row>
    <row r="14282" spans="1:1">
      <c r="A14282" s="56"/>
    </row>
    <row r="14283" spans="1:1">
      <c r="A14283" s="56"/>
    </row>
    <row r="14284" spans="1:1">
      <c r="A14284" s="56"/>
    </row>
    <row r="14285" spans="1:1">
      <c r="A14285" s="56"/>
    </row>
    <row r="14286" spans="1:1">
      <c r="A14286" s="56"/>
    </row>
    <row r="14287" spans="1:1">
      <c r="A14287" s="56"/>
    </row>
    <row r="14288" spans="1:1">
      <c r="A14288" s="56"/>
    </row>
    <row r="14289" spans="1:1">
      <c r="A14289" s="56"/>
    </row>
    <row r="14290" spans="1:1">
      <c r="A14290" s="56"/>
    </row>
    <row r="14291" spans="1:1">
      <c r="A14291" s="56"/>
    </row>
    <row r="14292" spans="1:1">
      <c r="A14292" s="56"/>
    </row>
    <row r="14293" spans="1:1">
      <c r="A14293" s="56"/>
    </row>
    <row r="14294" spans="1:1">
      <c r="A14294" s="56"/>
    </row>
    <row r="14295" spans="1:1">
      <c r="A14295" s="56"/>
    </row>
    <row r="14296" spans="1:1">
      <c r="A14296" s="56"/>
    </row>
    <row r="14297" spans="1:1">
      <c r="A14297" s="56"/>
    </row>
    <row r="14298" spans="1:1">
      <c r="A14298" s="56"/>
    </row>
    <row r="14299" spans="1:1">
      <c r="A14299" s="56"/>
    </row>
    <row r="14300" spans="1:1">
      <c r="A14300" s="56"/>
    </row>
    <row r="14301" spans="1:1">
      <c r="A14301" s="56"/>
    </row>
    <row r="14302" spans="1:1">
      <c r="A14302" s="56"/>
    </row>
    <row r="14303" spans="1:1">
      <c r="A14303" s="56"/>
    </row>
    <row r="14304" spans="1:1">
      <c r="A14304" s="56"/>
    </row>
    <row r="14305" spans="1:1">
      <c r="A14305" s="56"/>
    </row>
    <row r="14306" spans="1:1">
      <c r="A14306" s="56"/>
    </row>
    <row r="14307" spans="1:1">
      <c r="A14307" s="56"/>
    </row>
    <row r="14308" spans="1:1">
      <c r="A14308" s="56"/>
    </row>
    <row r="14309" spans="1:1">
      <c r="A14309" s="56"/>
    </row>
    <row r="14310" spans="1:1">
      <c r="A14310" s="56"/>
    </row>
    <row r="14311" spans="1:1">
      <c r="A14311" s="56"/>
    </row>
    <row r="14312" spans="1:1">
      <c r="A14312" s="56"/>
    </row>
    <row r="14313" spans="1:1">
      <c r="A14313" s="56"/>
    </row>
    <row r="14314" spans="1:1">
      <c r="A14314" s="56"/>
    </row>
    <row r="14315" spans="1:1">
      <c r="A14315" s="56"/>
    </row>
    <row r="14316" spans="1:1">
      <c r="A14316" s="56"/>
    </row>
    <row r="14317" spans="1:1">
      <c r="A14317" s="56"/>
    </row>
    <row r="14318" spans="1:1">
      <c r="A14318" s="56"/>
    </row>
    <row r="14319" spans="1:1">
      <c r="A14319" s="56"/>
    </row>
    <row r="14320" spans="1:1">
      <c r="A14320" s="56"/>
    </row>
    <row r="14321" spans="1:1">
      <c r="A14321" s="56"/>
    </row>
    <row r="14322" spans="1:1">
      <c r="A14322" s="56"/>
    </row>
    <row r="14323" spans="1:1">
      <c r="A14323" s="56"/>
    </row>
    <row r="14324" spans="1:1">
      <c r="A14324" s="56"/>
    </row>
    <row r="14325" spans="1:1">
      <c r="A14325" s="56"/>
    </row>
    <row r="14326" spans="1:1">
      <c r="A14326" s="56"/>
    </row>
    <row r="14327" spans="1:1">
      <c r="A14327" s="56"/>
    </row>
    <row r="14328" spans="1:1">
      <c r="A14328" s="56"/>
    </row>
    <row r="14329" spans="1:1">
      <c r="A14329" s="56"/>
    </row>
    <row r="14330" spans="1:1">
      <c r="A14330" s="56"/>
    </row>
    <row r="14331" spans="1:1">
      <c r="A14331" s="56"/>
    </row>
    <row r="14332" spans="1:1">
      <c r="A14332" s="56"/>
    </row>
    <row r="14333" spans="1:1">
      <c r="A14333" s="56"/>
    </row>
    <row r="14334" spans="1:1">
      <c r="A14334" s="56"/>
    </row>
    <row r="14335" spans="1:1">
      <c r="A14335" s="56"/>
    </row>
    <row r="14336" spans="1:1">
      <c r="A14336" s="56"/>
    </row>
    <row r="14337" spans="1:1">
      <c r="A14337" s="56"/>
    </row>
    <row r="14338" spans="1:1">
      <c r="A14338" s="56"/>
    </row>
    <row r="14339" spans="1:1">
      <c r="A14339" s="56"/>
    </row>
    <row r="14340" spans="1:1">
      <c r="A14340" s="56"/>
    </row>
    <row r="14341" spans="1:1">
      <c r="A14341" s="56"/>
    </row>
    <row r="14342" spans="1:1">
      <c r="A14342" s="56"/>
    </row>
    <row r="14343" spans="1:1">
      <c r="A14343" s="56"/>
    </row>
    <row r="14344" spans="1:1">
      <c r="A14344" s="56"/>
    </row>
    <row r="14345" spans="1:1">
      <c r="A14345" s="56"/>
    </row>
    <row r="14346" spans="1:1">
      <c r="A14346" s="56"/>
    </row>
    <row r="14347" spans="1:1">
      <c r="A14347" s="56"/>
    </row>
    <row r="14348" spans="1:1">
      <c r="A14348" s="56"/>
    </row>
    <row r="14349" spans="1:1">
      <c r="A14349" s="56"/>
    </row>
    <row r="14350" spans="1:1">
      <c r="A14350" s="56"/>
    </row>
    <row r="14351" spans="1:1">
      <c r="A14351" s="56"/>
    </row>
    <row r="14352" spans="1:1">
      <c r="A14352" s="56"/>
    </row>
    <row r="14353" spans="1:1">
      <c r="A14353" s="56"/>
    </row>
    <row r="14354" spans="1:1">
      <c r="A14354" s="56"/>
    </row>
    <row r="14355" spans="1:1">
      <c r="A14355" s="56"/>
    </row>
    <row r="14356" spans="1:1">
      <c r="A14356" s="56"/>
    </row>
    <row r="14357" spans="1:1">
      <c r="A14357" s="56"/>
    </row>
    <row r="14358" spans="1:1">
      <c r="A14358" s="56"/>
    </row>
    <row r="14359" spans="1:1">
      <c r="A14359" s="56"/>
    </row>
    <row r="14360" spans="1:1">
      <c r="A14360" s="56"/>
    </row>
    <row r="14361" spans="1:1">
      <c r="A14361" s="56"/>
    </row>
    <row r="14362" spans="1:1">
      <c r="A14362" s="56"/>
    </row>
    <row r="14363" spans="1:1">
      <c r="A14363" s="56"/>
    </row>
    <row r="14364" spans="1:1">
      <c r="A14364" s="56"/>
    </row>
    <row r="14365" spans="1:1">
      <c r="A14365" s="56"/>
    </row>
    <row r="14366" spans="1:1">
      <c r="A14366" s="56"/>
    </row>
    <row r="14367" spans="1:1">
      <c r="A14367" s="56"/>
    </row>
    <row r="14368" spans="1:1">
      <c r="A14368" s="56"/>
    </row>
    <row r="14369" spans="1:1">
      <c r="A14369" s="56"/>
    </row>
    <row r="14370" spans="1:1">
      <c r="A14370" s="56"/>
    </row>
    <row r="14371" spans="1:1">
      <c r="A14371" s="56"/>
    </row>
    <row r="14372" spans="1:1">
      <c r="A14372" s="56"/>
    </row>
    <row r="14373" spans="1:1">
      <c r="A14373" s="56"/>
    </row>
    <row r="14374" spans="1:1">
      <c r="A14374" s="56"/>
    </row>
    <row r="14375" spans="1:1">
      <c r="A14375" s="56"/>
    </row>
    <row r="14376" spans="1:1">
      <c r="A14376" s="56"/>
    </row>
    <row r="14377" spans="1:1">
      <c r="A14377" s="56"/>
    </row>
    <row r="14378" spans="1:1">
      <c r="A14378" s="56"/>
    </row>
    <row r="14379" spans="1:1">
      <c r="A14379" s="56"/>
    </row>
    <row r="14380" spans="1:1">
      <c r="A14380" s="56"/>
    </row>
    <row r="14381" spans="1:1">
      <c r="A14381" s="56"/>
    </row>
    <row r="14382" spans="1:1">
      <c r="A14382" s="56"/>
    </row>
    <row r="14383" spans="1:1">
      <c r="A14383" s="56"/>
    </row>
    <row r="14384" spans="1:1">
      <c r="A14384" s="56"/>
    </row>
    <row r="14385" spans="1:1">
      <c r="A14385" s="56"/>
    </row>
    <row r="14386" spans="1:1">
      <c r="A14386" s="56"/>
    </row>
    <row r="14387" spans="1:1">
      <c r="A14387" s="56"/>
    </row>
    <row r="14388" spans="1:1">
      <c r="A14388" s="56"/>
    </row>
    <row r="14389" spans="1:1">
      <c r="A14389" s="56"/>
    </row>
    <row r="14390" spans="1:1">
      <c r="A14390" s="56"/>
    </row>
    <row r="14391" spans="1:1">
      <c r="A14391" s="56"/>
    </row>
    <row r="14392" spans="1:1">
      <c r="A14392" s="56"/>
    </row>
    <row r="14393" spans="1:1">
      <c r="A14393" s="56"/>
    </row>
    <row r="14394" spans="1:1">
      <c r="A14394" s="56"/>
    </row>
    <row r="14395" spans="1:1">
      <c r="A14395" s="56"/>
    </row>
    <row r="14396" spans="1:1">
      <c r="A14396" s="56"/>
    </row>
    <row r="14397" spans="1:1">
      <c r="A14397" s="56"/>
    </row>
    <row r="14398" spans="1:1">
      <c r="A14398" s="56"/>
    </row>
    <row r="14399" spans="1:1">
      <c r="A14399" s="56"/>
    </row>
    <row r="14400" spans="1:1">
      <c r="A14400" s="56"/>
    </row>
    <row r="14401" spans="1:1">
      <c r="A14401" s="56"/>
    </row>
    <row r="14402" spans="1:1">
      <c r="A14402" s="56"/>
    </row>
    <row r="14403" spans="1:1">
      <c r="A14403" s="56"/>
    </row>
    <row r="14404" spans="1:1">
      <c r="A14404" s="56"/>
    </row>
    <row r="14405" spans="1:1">
      <c r="A14405" s="56"/>
    </row>
    <row r="14406" spans="1:1">
      <c r="A14406" s="56"/>
    </row>
    <row r="14407" spans="1:1">
      <c r="A14407" s="56"/>
    </row>
    <row r="14408" spans="1:1">
      <c r="A14408" s="56"/>
    </row>
    <row r="14409" spans="1:1">
      <c r="A14409" s="56"/>
    </row>
    <row r="14410" spans="1:1">
      <c r="A14410" s="56"/>
    </row>
    <row r="14411" spans="1:1">
      <c r="A14411" s="56"/>
    </row>
    <row r="14412" spans="1:1">
      <c r="A14412" s="56"/>
    </row>
    <row r="14413" spans="1:1">
      <c r="A14413" s="56"/>
    </row>
    <row r="14414" spans="1:1">
      <c r="A14414" s="56"/>
    </row>
    <row r="14415" spans="1:1">
      <c r="A14415" s="56"/>
    </row>
    <row r="14416" spans="1:1">
      <c r="A14416" s="56"/>
    </row>
    <row r="14417" spans="1:1">
      <c r="A14417" s="56"/>
    </row>
    <row r="14418" spans="1:1">
      <c r="A14418" s="56"/>
    </row>
    <row r="14419" spans="1:1">
      <c r="A14419" s="56"/>
    </row>
    <row r="14420" spans="1:1">
      <c r="A14420" s="56"/>
    </row>
    <row r="14421" spans="1:1">
      <c r="A14421" s="56"/>
    </row>
    <row r="14422" spans="1:1">
      <c r="A14422" s="56"/>
    </row>
    <row r="14423" spans="1:1">
      <c r="A14423" s="56"/>
    </row>
    <row r="14424" spans="1:1">
      <c r="A14424" s="56"/>
    </row>
    <row r="14425" spans="1:1">
      <c r="A14425" s="56"/>
    </row>
    <row r="14426" spans="1:1">
      <c r="A14426" s="56"/>
    </row>
    <row r="14427" spans="1:1">
      <c r="A14427" s="56"/>
    </row>
    <row r="14428" spans="1:1">
      <c r="A14428" s="56"/>
    </row>
    <row r="14429" spans="1:1">
      <c r="A14429" s="56"/>
    </row>
    <row r="14430" spans="1:1">
      <c r="A14430" s="56"/>
    </row>
    <row r="14431" spans="1:1">
      <c r="A14431" s="56"/>
    </row>
    <row r="14432" spans="1:1">
      <c r="A14432" s="56"/>
    </row>
    <row r="14433" spans="1:1">
      <c r="A14433" s="56"/>
    </row>
    <row r="14434" spans="1:1">
      <c r="A14434" s="56"/>
    </row>
    <row r="14435" spans="1:1">
      <c r="A14435" s="56"/>
    </row>
    <row r="14436" spans="1:1">
      <c r="A14436" s="56"/>
    </row>
    <row r="14437" spans="1:1">
      <c r="A14437" s="56"/>
    </row>
    <row r="14438" spans="1:1">
      <c r="A14438" s="56"/>
    </row>
    <row r="14439" spans="1:1">
      <c r="A14439" s="56"/>
    </row>
    <row r="14440" spans="1:1">
      <c r="A14440" s="56"/>
    </row>
    <row r="14441" spans="1:1">
      <c r="A14441" s="56"/>
    </row>
    <row r="14442" spans="1:1">
      <c r="A14442" s="56"/>
    </row>
    <row r="14443" spans="1:1">
      <c r="A14443" s="56"/>
    </row>
    <row r="14444" spans="1:1">
      <c r="A14444" s="56"/>
    </row>
    <row r="14445" spans="1:1">
      <c r="A14445" s="56"/>
    </row>
    <row r="14446" spans="1:1">
      <c r="A14446" s="56"/>
    </row>
    <row r="14447" spans="1:1">
      <c r="A14447" s="56"/>
    </row>
    <row r="14448" spans="1:1">
      <c r="A14448" s="56"/>
    </row>
    <row r="14449" spans="1:1">
      <c r="A14449" s="56"/>
    </row>
    <row r="14450" spans="1:1">
      <c r="A14450" s="56"/>
    </row>
    <row r="14451" spans="1:1">
      <c r="A14451" s="56"/>
    </row>
    <row r="14452" spans="1:1">
      <c r="A14452" s="56"/>
    </row>
    <row r="14453" spans="1:1">
      <c r="A14453" s="56"/>
    </row>
    <row r="14454" spans="1:1">
      <c r="A14454" s="56"/>
    </row>
    <row r="14455" spans="1:1">
      <c r="A14455" s="56"/>
    </row>
    <row r="14456" spans="1:1">
      <c r="A14456" s="56"/>
    </row>
    <row r="14457" spans="1:1">
      <c r="A14457" s="56"/>
    </row>
    <row r="14458" spans="1:1">
      <c r="A14458" s="56"/>
    </row>
    <row r="14459" spans="1:1">
      <c r="A14459" s="56"/>
    </row>
    <row r="14460" spans="1:1">
      <c r="A14460" s="56"/>
    </row>
    <row r="14461" spans="1:1">
      <c r="A14461" s="56"/>
    </row>
    <row r="14462" spans="1:1">
      <c r="A14462" s="56"/>
    </row>
    <row r="14463" spans="1:1">
      <c r="A14463" s="56"/>
    </row>
    <row r="14464" spans="1:1">
      <c r="A14464" s="56"/>
    </row>
    <row r="14465" spans="1:1">
      <c r="A14465" s="56"/>
    </row>
    <row r="14466" spans="1:1">
      <c r="A14466" s="56"/>
    </row>
    <row r="14467" spans="1:1">
      <c r="A14467" s="56"/>
    </row>
    <row r="14468" spans="1:1">
      <c r="A14468" s="56"/>
    </row>
    <row r="14469" spans="1:1">
      <c r="A14469" s="56"/>
    </row>
    <row r="14470" spans="1:1">
      <c r="A14470" s="56"/>
    </row>
    <row r="14471" spans="1:1">
      <c r="A14471" s="56"/>
    </row>
    <row r="14472" spans="1:1">
      <c r="A14472" s="56"/>
    </row>
    <row r="14473" spans="1:1">
      <c r="A14473" s="56"/>
    </row>
    <row r="14474" spans="1:1">
      <c r="A14474" s="56"/>
    </row>
    <row r="14475" spans="1:1">
      <c r="A14475" s="56"/>
    </row>
    <row r="14476" spans="1:1">
      <c r="A14476" s="56"/>
    </row>
    <row r="14477" spans="1:1">
      <c r="A14477" s="56"/>
    </row>
    <row r="14478" spans="1:1">
      <c r="A14478" s="56"/>
    </row>
    <row r="14479" spans="1:1">
      <c r="A14479" s="56"/>
    </row>
    <row r="14480" spans="1:1">
      <c r="A14480" s="56"/>
    </row>
    <row r="14481" spans="1:1">
      <c r="A14481" s="56"/>
    </row>
    <row r="14482" spans="1:1">
      <c r="A14482" s="56"/>
    </row>
    <row r="14483" spans="1:1">
      <c r="A14483" s="56"/>
    </row>
    <row r="14484" spans="1:1">
      <c r="A14484" s="56"/>
    </row>
    <row r="14485" spans="1:1">
      <c r="A14485" s="56"/>
    </row>
    <row r="14486" spans="1:1">
      <c r="A14486" s="56"/>
    </row>
    <row r="14487" spans="1:1">
      <c r="A14487" s="56"/>
    </row>
    <row r="14488" spans="1:1">
      <c r="A14488" s="56"/>
    </row>
    <row r="14489" spans="1:1">
      <c r="A14489" s="56"/>
    </row>
    <row r="14490" spans="1:1">
      <c r="A14490" s="56"/>
    </row>
    <row r="14491" spans="1:1">
      <c r="A14491" s="56"/>
    </row>
    <row r="14492" spans="1:1">
      <c r="A14492" s="56"/>
    </row>
    <row r="14493" spans="1:1">
      <c r="A14493" s="56"/>
    </row>
    <row r="14494" spans="1:1">
      <c r="A14494" s="56"/>
    </row>
    <row r="14495" spans="1:1">
      <c r="A14495" s="56"/>
    </row>
    <row r="14496" spans="1:1">
      <c r="A14496" s="56"/>
    </row>
    <row r="14497" spans="1:1">
      <c r="A14497" s="56"/>
    </row>
    <row r="14498" spans="1:1">
      <c r="A14498" s="56"/>
    </row>
    <row r="14499" spans="1:1">
      <c r="A14499" s="56"/>
    </row>
    <row r="14500" spans="1:1">
      <c r="A14500" s="56"/>
    </row>
    <row r="14501" spans="1:1">
      <c r="A14501" s="56"/>
    </row>
    <row r="14502" spans="1:1">
      <c r="A14502" s="56"/>
    </row>
    <row r="14503" spans="1:1">
      <c r="A14503" s="56"/>
    </row>
    <row r="14504" spans="1:1">
      <c r="A14504" s="56"/>
    </row>
    <row r="14505" spans="1:1">
      <c r="A14505" s="56"/>
    </row>
    <row r="14506" spans="1:1">
      <c r="A14506" s="56"/>
    </row>
    <row r="14507" spans="1:1">
      <c r="A14507" s="56"/>
    </row>
    <row r="14508" spans="1:1">
      <c r="A14508" s="56"/>
    </row>
    <row r="14509" spans="1:1">
      <c r="A14509" s="56"/>
    </row>
    <row r="14510" spans="1:1">
      <c r="A14510" s="56"/>
    </row>
    <row r="14511" spans="1:1">
      <c r="A14511" s="56"/>
    </row>
    <row r="14512" spans="1:1">
      <c r="A14512" s="56"/>
    </row>
    <row r="14513" spans="1:1">
      <c r="A14513" s="56"/>
    </row>
    <row r="14514" spans="1:1">
      <c r="A14514" s="56"/>
    </row>
    <row r="14515" spans="1:1">
      <c r="A14515" s="56"/>
    </row>
    <row r="14516" spans="1:1">
      <c r="A14516" s="56"/>
    </row>
    <row r="14517" spans="1:1">
      <c r="A14517" s="56"/>
    </row>
    <row r="14518" spans="1:1">
      <c r="A14518" s="56"/>
    </row>
    <row r="14519" spans="1:1">
      <c r="A14519" s="56"/>
    </row>
    <row r="14520" spans="1:1">
      <c r="A14520" s="56"/>
    </row>
    <row r="14521" spans="1:1">
      <c r="A14521" s="56"/>
    </row>
    <row r="14522" spans="1:1">
      <c r="A14522" s="56"/>
    </row>
    <row r="14523" spans="1:1">
      <c r="A14523" s="56"/>
    </row>
    <row r="14524" spans="1:1">
      <c r="A14524" s="56"/>
    </row>
    <row r="14525" spans="1:1">
      <c r="A14525" s="56"/>
    </row>
    <row r="14526" spans="1:1">
      <c r="A14526" s="56"/>
    </row>
    <row r="14527" spans="1:1">
      <c r="A14527" s="56"/>
    </row>
    <row r="14528" spans="1:1">
      <c r="A14528" s="56"/>
    </row>
    <row r="14529" spans="1:1">
      <c r="A14529" s="56"/>
    </row>
    <row r="14530" spans="1:1">
      <c r="A14530" s="56"/>
    </row>
    <row r="14531" spans="1:1">
      <c r="A14531" s="56"/>
    </row>
    <row r="14532" spans="1:1">
      <c r="A14532" s="56"/>
    </row>
    <row r="14533" spans="1:1">
      <c r="A14533" s="56"/>
    </row>
    <row r="14534" spans="1:1">
      <c r="A14534" s="56"/>
    </row>
    <row r="14535" spans="1:1">
      <c r="A14535" s="56"/>
    </row>
    <row r="14536" spans="1:1">
      <c r="A14536" s="56"/>
    </row>
    <row r="14537" spans="1:1">
      <c r="A14537" s="56"/>
    </row>
    <row r="14538" spans="1:1">
      <c r="A14538" s="56"/>
    </row>
    <row r="14539" spans="1:1">
      <c r="A14539" s="56"/>
    </row>
    <row r="14540" spans="1:1">
      <c r="A14540" s="56"/>
    </row>
    <row r="14541" spans="1:1">
      <c r="A14541" s="56"/>
    </row>
    <row r="14542" spans="1:1">
      <c r="A14542" s="56"/>
    </row>
    <row r="14543" spans="1:1">
      <c r="A14543" s="56"/>
    </row>
    <row r="14544" spans="1:1">
      <c r="A14544" s="56"/>
    </row>
    <row r="14545" spans="1:1">
      <c r="A14545" s="56"/>
    </row>
    <row r="14546" spans="1:1">
      <c r="A14546" s="56"/>
    </row>
    <row r="14547" spans="1:1">
      <c r="A14547" s="56"/>
    </row>
    <row r="14548" spans="1:1">
      <c r="A14548" s="56"/>
    </row>
    <row r="14549" spans="1:1">
      <c r="A14549" s="56"/>
    </row>
    <row r="14550" spans="1:1">
      <c r="A14550" s="56"/>
    </row>
    <row r="14551" spans="1:1">
      <c r="A14551" s="56"/>
    </row>
    <row r="14552" spans="1:1">
      <c r="A14552" s="56"/>
    </row>
    <row r="14553" spans="1:1">
      <c r="A14553" s="56"/>
    </row>
    <row r="14554" spans="1:1">
      <c r="A14554" s="56"/>
    </row>
    <row r="14555" spans="1:1">
      <c r="A14555" s="56"/>
    </row>
    <row r="14556" spans="1:1">
      <c r="A14556" s="56"/>
    </row>
    <row r="14557" spans="1:1">
      <c r="A14557" s="56"/>
    </row>
    <row r="14558" spans="1:1">
      <c r="A14558" s="56"/>
    </row>
    <row r="14559" spans="1:1">
      <c r="A14559" s="56"/>
    </row>
    <row r="14560" spans="1:1">
      <c r="A14560" s="56"/>
    </row>
    <row r="14561" spans="1:1">
      <c r="A14561" s="56"/>
    </row>
    <row r="14562" spans="1:1">
      <c r="A14562" s="56"/>
    </row>
    <row r="14563" spans="1:1">
      <c r="A14563" s="56"/>
    </row>
    <row r="14564" spans="1:1">
      <c r="A14564" s="56"/>
    </row>
    <row r="14565" spans="1:1">
      <c r="A14565" s="56"/>
    </row>
    <row r="14566" spans="1:1">
      <c r="A14566" s="56"/>
    </row>
    <row r="14567" spans="1:1">
      <c r="A14567" s="56"/>
    </row>
    <row r="14568" spans="1:1">
      <c r="A14568" s="56"/>
    </row>
    <row r="14569" spans="1:1">
      <c r="A14569" s="56"/>
    </row>
    <row r="14570" spans="1:1">
      <c r="A14570" s="56"/>
    </row>
    <row r="14571" spans="1:1">
      <c r="A14571" s="56"/>
    </row>
    <row r="14572" spans="1:1">
      <c r="A14572" s="56"/>
    </row>
    <row r="14573" spans="1:1">
      <c r="A14573" s="56"/>
    </row>
    <row r="14574" spans="1:1">
      <c r="A14574" s="56"/>
    </row>
    <row r="14575" spans="1:1">
      <c r="A14575" s="56"/>
    </row>
    <row r="14576" spans="1:1">
      <c r="A14576" s="56"/>
    </row>
    <row r="14577" spans="1:1">
      <c r="A14577" s="56"/>
    </row>
    <row r="14578" spans="1:1">
      <c r="A14578" s="56"/>
    </row>
    <row r="14579" spans="1:1">
      <c r="A14579" s="56"/>
    </row>
    <row r="14580" spans="1:1">
      <c r="A14580" s="56"/>
    </row>
    <row r="14581" spans="1:1">
      <c r="A14581" s="56"/>
    </row>
    <row r="14582" spans="1:1">
      <c r="A14582" s="56"/>
    </row>
    <row r="14583" spans="1:1">
      <c r="A14583" s="56"/>
    </row>
    <row r="14584" spans="1:1">
      <c r="A14584" s="56"/>
    </row>
    <row r="14585" spans="1:1">
      <c r="A14585" s="56"/>
    </row>
    <row r="14586" spans="1:1">
      <c r="A14586" s="56"/>
    </row>
    <row r="14587" spans="1:1">
      <c r="A14587" s="56"/>
    </row>
    <row r="14588" spans="1:1">
      <c r="A14588" s="56"/>
    </row>
    <row r="14589" spans="1:1">
      <c r="A14589" s="56"/>
    </row>
    <row r="14590" spans="1:1">
      <c r="A14590" s="56"/>
    </row>
    <row r="14591" spans="1:1">
      <c r="A14591" s="56"/>
    </row>
    <row r="14592" spans="1:1">
      <c r="A14592" s="56"/>
    </row>
    <row r="14593" spans="1:1">
      <c r="A14593" s="56"/>
    </row>
    <row r="14594" spans="1:1">
      <c r="A14594" s="56"/>
    </row>
    <row r="14595" spans="1:1">
      <c r="A14595" s="56"/>
    </row>
    <row r="14596" spans="1:1">
      <c r="A14596" s="56"/>
    </row>
    <row r="14597" spans="1:1">
      <c r="A14597" s="56"/>
    </row>
    <row r="14598" spans="1:1">
      <c r="A14598" s="56"/>
    </row>
    <row r="14599" spans="1:1">
      <c r="A14599" s="56"/>
    </row>
    <row r="14600" spans="1:1">
      <c r="A14600" s="56"/>
    </row>
    <row r="14601" spans="1:1">
      <c r="A14601" s="56"/>
    </row>
    <row r="14602" spans="1:1">
      <c r="A14602" s="56"/>
    </row>
    <row r="14603" spans="1:1">
      <c r="A14603" s="56"/>
    </row>
    <row r="14604" spans="1:1">
      <c r="A14604" s="56"/>
    </row>
    <row r="14605" spans="1:1">
      <c r="A14605" s="56"/>
    </row>
    <row r="14606" spans="1:1">
      <c r="A14606" s="56"/>
    </row>
    <row r="14607" spans="1:1">
      <c r="A14607" s="56"/>
    </row>
    <row r="14608" spans="1:1">
      <c r="A14608" s="56"/>
    </row>
    <row r="14609" spans="1:1">
      <c r="A14609" s="56"/>
    </row>
    <row r="14610" spans="1:1">
      <c r="A14610" s="56"/>
    </row>
    <row r="14611" spans="1:1">
      <c r="A14611" s="56"/>
    </row>
    <row r="14612" spans="1:1">
      <c r="A14612" s="56"/>
    </row>
    <row r="14613" spans="1:1">
      <c r="A14613" s="56"/>
    </row>
    <row r="14614" spans="1:1">
      <c r="A14614" s="56"/>
    </row>
    <row r="14615" spans="1:1">
      <c r="A14615" s="56"/>
    </row>
    <row r="14616" spans="1:1">
      <c r="A14616" s="56"/>
    </row>
    <row r="14617" spans="1:1">
      <c r="A14617" s="56"/>
    </row>
    <row r="14618" spans="1:1">
      <c r="A14618" s="56"/>
    </row>
    <row r="14619" spans="1:1">
      <c r="A14619" s="56"/>
    </row>
    <row r="14620" spans="1:1">
      <c r="A14620" s="56"/>
    </row>
    <row r="14621" spans="1:1">
      <c r="A14621" s="56"/>
    </row>
    <row r="14622" spans="1:1">
      <c r="A14622" s="56"/>
    </row>
    <row r="14623" spans="1:1">
      <c r="A14623" s="56"/>
    </row>
    <row r="14624" spans="1:1">
      <c r="A14624" s="56"/>
    </row>
    <row r="14625" spans="1:1">
      <c r="A14625" s="56"/>
    </row>
    <row r="14626" spans="1:1">
      <c r="A14626" s="56"/>
    </row>
    <row r="14627" spans="1:1">
      <c r="A14627" s="56"/>
    </row>
    <row r="14628" spans="1:1">
      <c r="A14628" s="56"/>
    </row>
    <row r="14629" spans="1:1">
      <c r="A14629" s="56"/>
    </row>
    <row r="14630" spans="1:1">
      <c r="A14630" s="56"/>
    </row>
    <row r="14631" spans="1:1">
      <c r="A14631" s="56"/>
    </row>
    <row r="14632" spans="1:1">
      <c r="A14632" s="56"/>
    </row>
    <row r="14633" spans="1:1">
      <c r="A14633" s="56"/>
    </row>
    <row r="14634" spans="1:1">
      <c r="A14634" s="56"/>
    </row>
    <row r="14635" spans="1:1">
      <c r="A14635" s="56"/>
    </row>
    <row r="14636" spans="1:1">
      <c r="A14636" s="56"/>
    </row>
    <row r="14637" spans="1:1">
      <c r="A14637" s="56"/>
    </row>
    <row r="14638" spans="1:1">
      <c r="A14638" s="56"/>
    </row>
    <row r="14639" spans="1:1">
      <c r="A14639" s="56"/>
    </row>
    <row r="14640" spans="1:1">
      <c r="A14640" s="56"/>
    </row>
    <row r="14641" spans="1:1">
      <c r="A14641" s="56"/>
    </row>
    <row r="14642" spans="1:1">
      <c r="A14642" s="56"/>
    </row>
    <row r="14643" spans="1:1">
      <c r="A14643" s="56"/>
    </row>
    <row r="14644" spans="1:1">
      <c r="A14644" s="56"/>
    </row>
    <row r="14645" spans="1:1">
      <c r="A14645" s="56"/>
    </row>
    <row r="14646" spans="1:1">
      <c r="A14646" s="56"/>
    </row>
    <row r="14647" spans="1:1">
      <c r="A14647" s="56"/>
    </row>
    <row r="14648" spans="1:1">
      <c r="A14648" s="56"/>
    </row>
    <row r="14649" spans="1:1">
      <c r="A14649" s="56"/>
    </row>
    <row r="14650" spans="1:1">
      <c r="A14650" s="56"/>
    </row>
    <row r="14651" spans="1:1">
      <c r="A14651" s="56"/>
    </row>
    <row r="14652" spans="1:1">
      <c r="A14652" s="56"/>
    </row>
    <row r="14653" spans="1:1">
      <c r="A14653" s="56"/>
    </row>
    <row r="14654" spans="1:1">
      <c r="A14654" s="56"/>
    </row>
    <row r="14655" spans="1:1">
      <c r="A14655" s="56"/>
    </row>
    <row r="14656" spans="1:1">
      <c r="A14656" s="56"/>
    </row>
    <row r="14657" spans="1:1">
      <c r="A14657" s="56"/>
    </row>
    <row r="14658" spans="1:1">
      <c r="A14658" s="56"/>
    </row>
    <row r="14659" spans="1:1">
      <c r="A14659" s="56"/>
    </row>
    <row r="14660" spans="1:1">
      <c r="A14660" s="56"/>
    </row>
    <row r="14661" spans="1:1">
      <c r="A14661" s="56"/>
    </row>
    <row r="14662" spans="1:1">
      <c r="A14662" s="56"/>
    </row>
    <row r="14663" spans="1:1">
      <c r="A14663" s="56"/>
    </row>
    <row r="14664" spans="1:1">
      <c r="A14664" s="56"/>
    </row>
    <row r="14665" spans="1:1">
      <c r="A14665" s="56"/>
    </row>
    <row r="14666" spans="1:1">
      <c r="A14666" s="56"/>
    </row>
    <row r="14667" spans="1:1">
      <c r="A14667" s="56"/>
    </row>
    <row r="14668" spans="1:1">
      <c r="A14668" s="56"/>
    </row>
    <row r="14669" spans="1:1">
      <c r="A14669" s="56"/>
    </row>
    <row r="14670" spans="1:1">
      <c r="A14670" s="56"/>
    </row>
    <row r="14671" spans="1:1">
      <c r="A14671" s="56"/>
    </row>
    <row r="14672" spans="1:1">
      <c r="A14672" s="56"/>
    </row>
    <row r="14673" spans="1:1">
      <c r="A14673" s="56"/>
    </row>
    <row r="14674" spans="1:1">
      <c r="A14674" s="56"/>
    </row>
    <row r="14675" spans="1:1">
      <c r="A14675" s="56"/>
    </row>
    <row r="14676" spans="1:1">
      <c r="A14676" s="56"/>
    </row>
    <row r="14677" spans="1:1">
      <c r="A14677" s="56"/>
    </row>
    <row r="14678" spans="1:1">
      <c r="A14678" s="56"/>
    </row>
    <row r="14679" spans="1:1">
      <c r="A14679" s="56"/>
    </row>
    <row r="14680" spans="1:1">
      <c r="A14680" s="56"/>
    </row>
    <row r="14681" spans="1:1">
      <c r="A14681" s="56"/>
    </row>
    <row r="14682" spans="1:1">
      <c r="A14682" s="56"/>
    </row>
    <row r="14683" spans="1:1">
      <c r="A14683" s="56"/>
    </row>
    <row r="14684" spans="1:1">
      <c r="A14684" s="56"/>
    </row>
    <row r="14685" spans="1:1">
      <c r="A14685" s="56"/>
    </row>
    <row r="14686" spans="1:1">
      <c r="A14686" s="56"/>
    </row>
    <row r="14687" spans="1:1">
      <c r="A14687" s="56"/>
    </row>
    <row r="14688" spans="1:1">
      <c r="A14688" s="56"/>
    </row>
    <row r="14689" spans="1:1">
      <c r="A14689" s="56"/>
    </row>
    <row r="14690" spans="1:1">
      <c r="A14690" s="56"/>
    </row>
    <row r="14691" spans="1:1">
      <c r="A14691" s="56"/>
    </row>
    <row r="14692" spans="1:1">
      <c r="A14692" s="56"/>
    </row>
    <row r="14693" spans="1:1">
      <c r="A14693" s="56"/>
    </row>
    <row r="14694" spans="1:1">
      <c r="A14694" s="56"/>
    </row>
    <row r="14695" spans="1:1">
      <c r="A14695" s="56"/>
    </row>
    <row r="14696" spans="1:1">
      <c r="A14696" s="56"/>
    </row>
    <row r="14697" spans="1:1">
      <c r="A14697" s="56"/>
    </row>
    <row r="14698" spans="1:1">
      <c r="A14698" s="56"/>
    </row>
    <row r="14699" spans="1:1">
      <c r="A14699" s="56"/>
    </row>
    <row r="14700" spans="1:1">
      <c r="A14700" s="56"/>
    </row>
    <row r="14701" spans="1:1">
      <c r="A14701" s="56"/>
    </row>
    <row r="14702" spans="1:1">
      <c r="A14702" s="56"/>
    </row>
    <row r="14703" spans="1:1">
      <c r="A14703" s="56"/>
    </row>
    <row r="14704" spans="1:1">
      <c r="A14704" s="56"/>
    </row>
    <row r="14705" spans="1:1">
      <c r="A14705" s="56"/>
    </row>
    <row r="14706" spans="1:1">
      <c r="A14706" s="56"/>
    </row>
    <row r="14707" spans="1:1">
      <c r="A14707" s="56"/>
    </row>
    <row r="14708" spans="1:1">
      <c r="A14708" s="56"/>
    </row>
    <row r="14709" spans="1:1">
      <c r="A14709" s="56"/>
    </row>
    <row r="14710" spans="1:1">
      <c r="A14710" s="56"/>
    </row>
    <row r="14711" spans="1:1">
      <c r="A14711" s="56"/>
    </row>
    <row r="14712" spans="1:1">
      <c r="A14712" s="56"/>
    </row>
    <row r="14713" spans="1:1">
      <c r="A14713" s="56"/>
    </row>
    <row r="14714" spans="1:1">
      <c r="A14714" s="56"/>
    </row>
    <row r="14715" spans="1:1">
      <c r="A14715" s="56"/>
    </row>
    <row r="14716" spans="1:1">
      <c r="A14716" s="56"/>
    </row>
    <row r="14717" spans="1:1">
      <c r="A14717" s="56"/>
    </row>
    <row r="14718" spans="1:1">
      <c r="A14718" s="56"/>
    </row>
    <row r="14719" spans="1:1">
      <c r="A14719" s="56"/>
    </row>
    <row r="14720" spans="1:1">
      <c r="A14720" s="56"/>
    </row>
    <row r="14721" spans="1:1">
      <c r="A14721" s="56"/>
    </row>
    <row r="14722" spans="1:1">
      <c r="A14722" s="56"/>
    </row>
    <row r="14723" spans="1:1">
      <c r="A14723" s="56"/>
    </row>
    <row r="14724" spans="1:1">
      <c r="A14724" s="56"/>
    </row>
    <row r="14725" spans="1:1">
      <c r="A14725" s="56"/>
    </row>
    <row r="14726" spans="1:1">
      <c r="A14726" s="56"/>
    </row>
    <row r="14727" spans="1:1">
      <c r="A14727" s="56"/>
    </row>
    <row r="14728" spans="1:1">
      <c r="A14728" s="56"/>
    </row>
    <row r="14729" spans="1:1">
      <c r="A14729" s="56"/>
    </row>
    <row r="14730" spans="1:1">
      <c r="A14730" s="56"/>
    </row>
    <row r="14731" spans="1:1">
      <c r="A14731" s="56"/>
    </row>
    <row r="14732" spans="1:1">
      <c r="A14732" s="56"/>
    </row>
    <row r="14733" spans="1:1">
      <c r="A14733" s="56"/>
    </row>
    <row r="14734" spans="1:1">
      <c r="A14734" s="56"/>
    </row>
    <row r="14735" spans="1:1">
      <c r="A14735" s="56"/>
    </row>
    <row r="14736" spans="1:1">
      <c r="A14736" s="56"/>
    </row>
    <row r="14737" spans="1:1">
      <c r="A14737" s="56"/>
    </row>
    <row r="14738" spans="1:1">
      <c r="A14738" s="56"/>
    </row>
    <row r="14739" spans="1:1">
      <c r="A14739" s="56"/>
    </row>
    <row r="14740" spans="1:1">
      <c r="A14740" s="56"/>
    </row>
    <row r="14741" spans="1:1">
      <c r="A14741" s="56"/>
    </row>
    <row r="14742" spans="1:1">
      <c r="A14742" s="56"/>
    </row>
    <row r="14743" spans="1:1">
      <c r="A14743" s="56"/>
    </row>
    <row r="14744" spans="1:1">
      <c r="A14744" s="56"/>
    </row>
    <row r="14745" spans="1:1">
      <c r="A14745" s="56"/>
    </row>
    <row r="14746" spans="1:1">
      <c r="A14746" s="56"/>
    </row>
    <row r="14747" spans="1:1">
      <c r="A14747" s="56"/>
    </row>
    <row r="14748" spans="1:1">
      <c r="A14748" s="56"/>
    </row>
    <row r="14749" spans="1:1">
      <c r="A14749" s="56"/>
    </row>
    <row r="14750" spans="1:1">
      <c r="A14750" s="56"/>
    </row>
    <row r="14751" spans="1:1">
      <c r="A14751" s="56"/>
    </row>
    <row r="14752" spans="1:1">
      <c r="A14752" s="56"/>
    </row>
    <row r="14753" spans="1:1">
      <c r="A14753" s="56"/>
    </row>
    <row r="14754" spans="1:1">
      <c r="A14754" s="56"/>
    </row>
    <row r="14755" spans="1:1">
      <c r="A14755" s="56"/>
    </row>
    <row r="14756" spans="1:1">
      <c r="A14756" s="56"/>
    </row>
    <row r="14757" spans="1:1">
      <c r="A14757" s="56"/>
    </row>
    <row r="14758" spans="1:1">
      <c r="A14758" s="56"/>
    </row>
    <row r="14759" spans="1:1">
      <c r="A14759" s="56"/>
    </row>
    <row r="14760" spans="1:1">
      <c r="A14760" s="56"/>
    </row>
    <row r="14761" spans="1:1">
      <c r="A14761" s="56"/>
    </row>
    <row r="14762" spans="1:1">
      <c r="A14762" s="56"/>
    </row>
    <row r="14763" spans="1:1">
      <c r="A14763" s="56"/>
    </row>
    <row r="14764" spans="1:1">
      <c r="A14764" s="56"/>
    </row>
    <row r="14765" spans="1:1">
      <c r="A14765" s="56"/>
    </row>
    <row r="14766" spans="1:1">
      <c r="A14766" s="56"/>
    </row>
    <row r="14767" spans="1:1">
      <c r="A14767" s="56"/>
    </row>
    <row r="14768" spans="1:1">
      <c r="A14768" s="56"/>
    </row>
    <row r="14769" spans="1:1">
      <c r="A14769" s="56"/>
    </row>
    <row r="14770" spans="1:1">
      <c r="A14770" s="56"/>
    </row>
    <row r="14771" spans="1:1">
      <c r="A14771" s="56"/>
    </row>
    <row r="14772" spans="1:1">
      <c r="A14772" s="56"/>
    </row>
    <row r="14773" spans="1:1">
      <c r="A14773" s="56"/>
    </row>
    <row r="14774" spans="1:1">
      <c r="A14774" s="56"/>
    </row>
    <row r="14775" spans="1:1">
      <c r="A14775" s="56"/>
    </row>
    <row r="14776" spans="1:1">
      <c r="A14776" s="56"/>
    </row>
    <row r="14777" spans="1:1">
      <c r="A14777" s="56"/>
    </row>
    <row r="14778" spans="1:1">
      <c r="A14778" s="56"/>
    </row>
    <row r="14779" spans="1:1">
      <c r="A14779" s="56"/>
    </row>
    <row r="14780" spans="1:1">
      <c r="A14780" s="56"/>
    </row>
    <row r="14781" spans="1:1">
      <c r="A14781" s="56"/>
    </row>
    <row r="14782" spans="1:1">
      <c r="A14782" s="56"/>
    </row>
    <row r="14783" spans="1:1">
      <c r="A14783" s="56"/>
    </row>
    <row r="14784" spans="1:1">
      <c r="A14784" s="56"/>
    </row>
    <row r="14785" spans="1:1">
      <c r="A14785" s="56"/>
    </row>
    <row r="14786" spans="1:1">
      <c r="A14786" s="56"/>
    </row>
    <row r="14787" spans="1:1">
      <c r="A14787" s="56"/>
    </row>
    <row r="14788" spans="1:1">
      <c r="A14788" s="56"/>
    </row>
    <row r="14789" spans="1:1">
      <c r="A14789" s="56"/>
    </row>
    <row r="14790" spans="1:1">
      <c r="A14790" s="56"/>
    </row>
    <row r="14791" spans="1:1">
      <c r="A14791" s="56"/>
    </row>
    <row r="14792" spans="1:1">
      <c r="A14792" s="56"/>
    </row>
    <row r="14793" spans="1:1">
      <c r="A14793" s="56"/>
    </row>
    <row r="14794" spans="1:1">
      <c r="A14794" s="56"/>
    </row>
    <row r="14795" spans="1:1">
      <c r="A14795" s="56"/>
    </row>
    <row r="14796" spans="1:1">
      <c r="A14796" s="56"/>
    </row>
    <row r="14797" spans="1:1">
      <c r="A14797" s="56"/>
    </row>
    <row r="14798" spans="1:1">
      <c r="A14798" s="56"/>
    </row>
    <row r="14799" spans="1:1">
      <c r="A14799" s="56"/>
    </row>
    <row r="14800" spans="1:1">
      <c r="A14800" s="56"/>
    </row>
    <row r="14801" spans="1:1">
      <c r="A14801" s="56"/>
    </row>
    <row r="14802" spans="1:1">
      <c r="A14802" s="56"/>
    </row>
    <row r="14803" spans="1:1">
      <c r="A14803" s="56"/>
    </row>
    <row r="14804" spans="1:1">
      <c r="A14804" s="56"/>
    </row>
    <row r="14805" spans="1:1">
      <c r="A14805" s="56"/>
    </row>
    <row r="14806" spans="1:1">
      <c r="A14806" s="56"/>
    </row>
    <row r="14807" spans="1:1">
      <c r="A14807" s="56"/>
    </row>
    <row r="14808" spans="1:1">
      <c r="A14808" s="56"/>
    </row>
    <row r="14809" spans="1:1">
      <c r="A14809" s="56"/>
    </row>
    <row r="14810" spans="1:1">
      <c r="A14810" s="56"/>
    </row>
    <row r="14811" spans="1:1">
      <c r="A14811" s="56"/>
    </row>
    <row r="14812" spans="1:1">
      <c r="A14812" s="56"/>
    </row>
    <row r="14813" spans="1:1">
      <c r="A14813" s="56"/>
    </row>
    <row r="14814" spans="1:1">
      <c r="A14814" s="56"/>
    </row>
    <row r="14815" spans="1:1">
      <c r="A14815" s="56"/>
    </row>
    <row r="14816" spans="1:1">
      <c r="A14816" s="56"/>
    </row>
    <row r="14817" spans="1:1">
      <c r="A14817" s="56"/>
    </row>
    <row r="14818" spans="1:1">
      <c r="A14818" s="56"/>
    </row>
    <row r="14819" spans="1:1">
      <c r="A14819" s="56"/>
    </row>
    <row r="14820" spans="1:1">
      <c r="A14820" s="56"/>
    </row>
    <row r="14821" spans="1:1">
      <c r="A14821" s="56"/>
    </row>
    <row r="14822" spans="1:1">
      <c r="A14822" s="56"/>
    </row>
    <row r="14823" spans="1:1">
      <c r="A14823" s="56"/>
    </row>
    <row r="14824" spans="1:1">
      <c r="A14824" s="56"/>
    </row>
    <row r="14825" spans="1:1">
      <c r="A14825" s="56"/>
    </row>
    <row r="14826" spans="1:1">
      <c r="A14826" s="56"/>
    </row>
    <row r="14827" spans="1:1">
      <c r="A14827" s="56"/>
    </row>
    <row r="14828" spans="1:1">
      <c r="A14828" s="56"/>
    </row>
    <row r="14829" spans="1:1">
      <c r="A14829" s="56"/>
    </row>
    <row r="14830" spans="1:1">
      <c r="A14830" s="56"/>
    </row>
    <row r="14831" spans="1:1">
      <c r="A14831" s="56"/>
    </row>
    <row r="14832" spans="1:1">
      <c r="A14832" s="56"/>
    </row>
    <row r="14833" spans="1:1">
      <c r="A14833" s="56"/>
    </row>
    <row r="14834" spans="1:1">
      <c r="A14834" s="56"/>
    </row>
    <row r="14835" spans="1:1">
      <c r="A14835" s="56"/>
    </row>
    <row r="14836" spans="1:1">
      <c r="A14836" s="56"/>
    </row>
    <row r="14837" spans="1:1">
      <c r="A14837" s="56"/>
    </row>
    <row r="14838" spans="1:1">
      <c r="A14838" s="56"/>
    </row>
    <row r="14839" spans="1:1">
      <c r="A14839" s="56"/>
    </row>
    <row r="14840" spans="1:1">
      <c r="A14840" s="56"/>
    </row>
    <row r="14841" spans="1:1">
      <c r="A14841" s="56"/>
    </row>
    <row r="14842" spans="1:1">
      <c r="A14842" s="56"/>
    </row>
    <row r="14843" spans="1:1">
      <c r="A14843" s="56"/>
    </row>
    <row r="14844" spans="1:1">
      <c r="A14844" s="56"/>
    </row>
    <row r="14845" spans="1:1">
      <c r="A14845" s="56"/>
    </row>
    <row r="14846" spans="1:1">
      <c r="A14846" s="56"/>
    </row>
    <row r="14847" spans="1:1">
      <c r="A14847" s="56"/>
    </row>
    <row r="14848" spans="1:1">
      <c r="A14848" s="56"/>
    </row>
    <row r="14849" spans="1:1">
      <c r="A14849" s="56"/>
    </row>
    <row r="14850" spans="1:1">
      <c r="A14850" s="56"/>
    </row>
    <row r="14851" spans="1:1">
      <c r="A14851" s="56"/>
    </row>
    <row r="14852" spans="1:1">
      <c r="A14852" s="56"/>
    </row>
    <row r="14853" spans="1:1">
      <c r="A14853" s="56"/>
    </row>
    <row r="14854" spans="1:1">
      <c r="A14854" s="56"/>
    </row>
    <row r="14855" spans="1:1">
      <c r="A14855" s="56"/>
    </row>
    <row r="14856" spans="1:1">
      <c r="A14856" s="56"/>
    </row>
    <row r="14857" spans="1:1">
      <c r="A14857" s="56"/>
    </row>
    <row r="14858" spans="1:1">
      <c r="A14858" s="56"/>
    </row>
    <row r="14859" spans="1:1">
      <c r="A14859" s="56"/>
    </row>
    <row r="14860" spans="1:1">
      <c r="A14860" s="56"/>
    </row>
    <row r="14861" spans="1:1">
      <c r="A14861" s="56"/>
    </row>
    <row r="14862" spans="1:1">
      <c r="A14862" s="56"/>
    </row>
    <row r="14863" spans="1:1">
      <c r="A14863" s="56"/>
    </row>
    <row r="14864" spans="1:1">
      <c r="A14864" s="56"/>
    </row>
    <row r="14865" spans="1:1">
      <c r="A14865" s="56"/>
    </row>
    <row r="14866" spans="1:1">
      <c r="A14866" s="56"/>
    </row>
    <row r="14867" spans="1:1">
      <c r="A14867" s="56"/>
    </row>
    <row r="14868" spans="1:1">
      <c r="A14868" s="56"/>
    </row>
    <row r="14869" spans="1:1">
      <c r="A14869" s="56"/>
    </row>
    <row r="14870" spans="1:1">
      <c r="A14870" s="56"/>
    </row>
    <row r="14871" spans="1:1">
      <c r="A14871" s="56"/>
    </row>
    <row r="14872" spans="1:1">
      <c r="A14872" s="56"/>
    </row>
    <row r="14873" spans="1:1">
      <c r="A14873" s="56"/>
    </row>
    <row r="14874" spans="1:1">
      <c r="A14874" s="56"/>
    </row>
    <row r="14875" spans="1:1">
      <c r="A14875" s="56"/>
    </row>
    <row r="14876" spans="1:1">
      <c r="A14876" s="56"/>
    </row>
    <row r="14877" spans="1:1">
      <c r="A14877" s="56"/>
    </row>
    <row r="14878" spans="1:1">
      <c r="A14878" s="56"/>
    </row>
    <row r="14879" spans="1:1">
      <c r="A14879" s="56"/>
    </row>
    <row r="14880" spans="1:1">
      <c r="A14880" s="56"/>
    </row>
    <row r="14881" spans="1:1">
      <c r="A14881" s="56"/>
    </row>
    <row r="14882" spans="1:1">
      <c r="A14882" s="56"/>
    </row>
    <row r="14883" spans="1:1">
      <c r="A14883" s="56"/>
    </row>
    <row r="14884" spans="1:1">
      <c r="A14884" s="56"/>
    </row>
    <row r="14885" spans="1:1">
      <c r="A14885" s="56"/>
    </row>
    <row r="14886" spans="1:1">
      <c r="A14886" s="56"/>
    </row>
    <row r="14887" spans="1:1">
      <c r="A14887" s="56"/>
    </row>
    <row r="14888" spans="1:1">
      <c r="A14888" s="56"/>
    </row>
    <row r="14889" spans="1:1">
      <c r="A14889" s="56"/>
    </row>
    <row r="14890" spans="1:1">
      <c r="A14890" s="56"/>
    </row>
    <row r="14891" spans="1:1">
      <c r="A14891" s="56"/>
    </row>
    <row r="14892" spans="1:1">
      <c r="A14892" s="56"/>
    </row>
    <row r="14893" spans="1:1">
      <c r="A14893" s="56"/>
    </row>
    <row r="14894" spans="1:1">
      <c r="A14894" s="56"/>
    </row>
    <row r="14895" spans="1:1">
      <c r="A14895" s="56"/>
    </row>
    <row r="14896" spans="1:1">
      <c r="A14896" s="56"/>
    </row>
    <row r="14897" spans="1:1">
      <c r="A14897" s="56"/>
    </row>
    <row r="14898" spans="1:1">
      <c r="A14898" s="56"/>
    </row>
    <row r="14899" spans="1:1">
      <c r="A14899" s="56"/>
    </row>
    <row r="14900" spans="1:1">
      <c r="A14900" s="56"/>
    </row>
    <row r="14901" spans="1:1">
      <c r="A14901" s="56"/>
    </row>
    <row r="14902" spans="1:1">
      <c r="A14902" s="56"/>
    </row>
    <row r="14903" spans="1:1">
      <c r="A14903" s="56"/>
    </row>
    <row r="14904" spans="1:1">
      <c r="A14904" s="56"/>
    </row>
    <row r="14905" spans="1:1">
      <c r="A14905" s="56"/>
    </row>
    <row r="14906" spans="1:1">
      <c r="A14906" s="56"/>
    </row>
    <row r="14907" spans="1:1">
      <c r="A14907" s="56"/>
    </row>
    <row r="14908" spans="1:1">
      <c r="A14908" s="56"/>
    </row>
    <row r="14909" spans="1:1">
      <c r="A14909" s="56"/>
    </row>
    <row r="14910" spans="1:1">
      <c r="A14910" s="56"/>
    </row>
    <row r="14911" spans="1:1">
      <c r="A14911" s="56"/>
    </row>
    <row r="14912" spans="1:1">
      <c r="A14912" s="56"/>
    </row>
    <row r="14913" spans="1:1">
      <c r="A14913" s="56"/>
    </row>
    <row r="14914" spans="1:1">
      <c r="A14914" s="56"/>
    </row>
    <row r="14915" spans="1:1">
      <c r="A14915" s="56"/>
    </row>
    <row r="14916" spans="1:1">
      <c r="A14916" s="56"/>
    </row>
    <row r="14917" spans="1:1">
      <c r="A14917" s="56"/>
    </row>
    <row r="14918" spans="1:1">
      <c r="A14918" s="56"/>
    </row>
    <row r="14919" spans="1:1">
      <c r="A14919" s="56"/>
    </row>
    <row r="14920" spans="1:1">
      <c r="A14920" s="56"/>
    </row>
    <row r="14921" spans="1:1">
      <c r="A14921" s="56"/>
    </row>
    <row r="14922" spans="1:1">
      <c r="A14922" s="56"/>
    </row>
    <row r="14923" spans="1:1">
      <c r="A14923" s="56"/>
    </row>
    <row r="14924" spans="1:1">
      <c r="A14924" s="56"/>
    </row>
    <row r="14925" spans="1:1">
      <c r="A14925" s="56"/>
    </row>
    <row r="14926" spans="1:1">
      <c r="A14926" s="56"/>
    </row>
    <row r="14927" spans="1:1">
      <c r="A14927" s="56"/>
    </row>
    <row r="14928" spans="1:1">
      <c r="A14928" s="56"/>
    </row>
    <row r="14929" spans="1:1">
      <c r="A14929" s="56"/>
    </row>
    <row r="14930" spans="1:1">
      <c r="A14930" s="56"/>
    </row>
    <row r="14931" spans="1:1">
      <c r="A14931" s="56"/>
    </row>
    <row r="14932" spans="1:1">
      <c r="A14932" s="56"/>
    </row>
    <row r="14933" spans="1:1">
      <c r="A14933" s="56"/>
    </row>
    <row r="14934" spans="1:1">
      <c r="A14934" s="56"/>
    </row>
    <row r="14935" spans="1:1">
      <c r="A14935" s="56"/>
    </row>
    <row r="14936" spans="1:1">
      <c r="A14936" s="56"/>
    </row>
    <row r="14937" spans="1:1">
      <c r="A14937" s="56"/>
    </row>
    <row r="14938" spans="1:1">
      <c r="A14938" s="56"/>
    </row>
    <row r="14939" spans="1:1">
      <c r="A14939" s="56"/>
    </row>
    <row r="14940" spans="1:1">
      <c r="A14940" s="56"/>
    </row>
    <row r="14941" spans="1:1">
      <c r="A14941" s="56"/>
    </row>
    <row r="14942" spans="1:1">
      <c r="A14942" s="56"/>
    </row>
    <row r="14943" spans="1:1">
      <c r="A14943" s="56"/>
    </row>
    <row r="14944" spans="1:1">
      <c r="A14944" s="56"/>
    </row>
    <row r="14945" spans="1:1">
      <c r="A14945" s="56"/>
    </row>
    <row r="14946" spans="1:1">
      <c r="A14946" s="56"/>
    </row>
    <row r="14947" spans="1:1">
      <c r="A14947" s="56"/>
    </row>
    <row r="14948" spans="1:1">
      <c r="A14948" s="56"/>
    </row>
    <row r="14949" spans="1:1">
      <c r="A14949" s="56"/>
    </row>
    <row r="14950" spans="1:1">
      <c r="A14950" s="56"/>
    </row>
    <row r="14951" spans="1:1">
      <c r="A14951" s="56"/>
    </row>
    <row r="14952" spans="1:1">
      <c r="A14952" s="56"/>
    </row>
    <row r="14953" spans="1:1">
      <c r="A14953" s="56"/>
    </row>
    <row r="14954" spans="1:1">
      <c r="A14954" s="56"/>
    </row>
    <row r="14955" spans="1:1">
      <c r="A14955" s="56"/>
    </row>
    <row r="14956" spans="1:1">
      <c r="A14956" s="56"/>
    </row>
    <row r="14957" spans="1:1">
      <c r="A14957" s="56"/>
    </row>
    <row r="14958" spans="1:1">
      <c r="A14958" s="56"/>
    </row>
    <row r="14959" spans="1:1">
      <c r="A14959" s="56"/>
    </row>
    <row r="14960" spans="1:1">
      <c r="A14960" s="56"/>
    </row>
    <row r="14961" spans="1:1">
      <c r="A14961" s="56"/>
    </row>
    <row r="14962" spans="1:1">
      <c r="A14962" s="56"/>
    </row>
    <row r="14963" spans="1:1">
      <c r="A14963" s="56"/>
    </row>
    <row r="14964" spans="1:1">
      <c r="A14964" s="56"/>
    </row>
    <row r="14965" spans="1:1">
      <c r="A14965" s="56"/>
    </row>
    <row r="14966" spans="1:1">
      <c r="A14966" s="56"/>
    </row>
    <row r="14967" spans="1:1">
      <c r="A14967" s="56"/>
    </row>
    <row r="14968" spans="1:1">
      <c r="A14968" s="56"/>
    </row>
    <row r="14969" spans="1:1">
      <c r="A14969" s="56"/>
    </row>
    <row r="14970" spans="1:1">
      <c r="A14970" s="56"/>
    </row>
    <row r="14971" spans="1:1">
      <c r="A14971" s="56"/>
    </row>
    <row r="14972" spans="1:1">
      <c r="A14972" s="56"/>
    </row>
    <row r="14973" spans="1:1">
      <c r="A14973" s="56"/>
    </row>
    <row r="14974" spans="1:1">
      <c r="A14974" s="56"/>
    </row>
    <row r="14975" spans="1:1">
      <c r="A14975" s="56"/>
    </row>
    <row r="14976" spans="1:1">
      <c r="A14976" s="56"/>
    </row>
    <row r="14977" spans="1:1">
      <c r="A14977" s="56"/>
    </row>
    <row r="14978" spans="1:1">
      <c r="A14978" s="56"/>
    </row>
    <row r="14979" spans="1:1">
      <c r="A14979" s="56"/>
    </row>
    <row r="14980" spans="1:1">
      <c r="A14980" s="56"/>
    </row>
    <row r="14981" spans="1:1">
      <c r="A14981" s="56"/>
    </row>
    <row r="14982" spans="1:1">
      <c r="A14982" s="56"/>
    </row>
    <row r="14983" spans="1:1">
      <c r="A14983" s="56"/>
    </row>
    <row r="14984" spans="1:1">
      <c r="A14984" s="56"/>
    </row>
    <row r="14985" spans="1:1">
      <c r="A14985" s="56"/>
    </row>
    <row r="14986" spans="1:1">
      <c r="A14986" s="56"/>
    </row>
    <row r="14987" spans="1:1">
      <c r="A14987" s="56"/>
    </row>
    <row r="14988" spans="1:1">
      <c r="A14988" s="56"/>
    </row>
    <row r="14989" spans="1:1">
      <c r="A14989" s="56"/>
    </row>
    <row r="14990" spans="1:1">
      <c r="A14990" s="56"/>
    </row>
    <row r="14991" spans="1:1">
      <c r="A14991" s="56"/>
    </row>
    <row r="14992" spans="1:1">
      <c r="A14992" s="56"/>
    </row>
    <row r="14993" spans="1:1">
      <c r="A14993" s="56"/>
    </row>
    <row r="14994" spans="1:1">
      <c r="A14994" s="56"/>
    </row>
    <row r="14995" spans="1:1">
      <c r="A14995" s="56"/>
    </row>
    <row r="14996" spans="1:1">
      <c r="A14996" s="56"/>
    </row>
    <row r="14997" spans="1:1">
      <c r="A14997" s="56"/>
    </row>
    <row r="14998" spans="1:1">
      <c r="A14998" s="56"/>
    </row>
    <row r="14999" spans="1:1">
      <c r="A14999" s="56"/>
    </row>
    <row r="15000" spans="1:1">
      <c r="A15000" s="56"/>
    </row>
    <row r="15001" spans="1:1">
      <c r="A15001" s="56"/>
    </row>
    <row r="15002" spans="1:1">
      <c r="A15002" s="56"/>
    </row>
    <row r="15003" spans="1:1">
      <c r="A15003" s="56"/>
    </row>
    <row r="15004" spans="1:1">
      <c r="A15004" s="56"/>
    </row>
    <row r="15005" spans="1:1">
      <c r="A15005" s="56"/>
    </row>
    <row r="15006" spans="1:1">
      <c r="A15006" s="56"/>
    </row>
    <row r="15007" spans="1:1">
      <c r="A15007" s="56"/>
    </row>
    <row r="15008" spans="1:1">
      <c r="A15008" s="56"/>
    </row>
    <row r="15009" spans="1:1">
      <c r="A15009" s="56"/>
    </row>
    <row r="15010" spans="1:1">
      <c r="A15010" s="56"/>
    </row>
    <row r="15011" spans="1:1">
      <c r="A15011" s="56"/>
    </row>
    <row r="15012" spans="1:1">
      <c r="A15012" s="56"/>
    </row>
    <row r="15013" spans="1:1">
      <c r="A15013" s="56"/>
    </row>
    <row r="15014" spans="1:1">
      <c r="A15014" s="56"/>
    </row>
    <row r="15015" spans="1:1">
      <c r="A15015" s="56"/>
    </row>
    <row r="15016" spans="1:1">
      <c r="A15016" s="56"/>
    </row>
    <row r="15017" spans="1:1">
      <c r="A15017" s="56"/>
    </row>
    <row r="15018" spans="1:1">
      <c r="A15018" s="56"/>
    </row>
    <row r="15019" spans="1:1">
      <c r="A15019" s="56"/>
    </row>
    <row r="15020" spans="1:1">
      <c r="A15020" s="56"/>
    </row>
    <row r="15021" spans="1:1">
      <c r="A15021" s="56"/>
    </row>
    <row r="15022" spans="1:1">
      <c r="A15022" s="56"/>
    </row>
    <row r="15023" spans="1:1">
      <c r="A15023" s="56"/>
    </row>
    <row r="15024" spans="1:1">
      <c r="A15024" s="56"/>
    </row>
    <row r="15025" spans="1:1">
      <c r="A15025" s="56"/>
    </row>
    <row r="15026" spans="1:1">
      <c r="A15026" s="56"/>
    </row>
    <row r="15027" spans="1:1">
      <c r="A15027" s="56"/>
    </row>
    <row r="15028" spans="1:1">
      <c r="A15028" s="56"/>
    </row>
    <row r="15029" spans="1:1">
      <c r="A15029" s="56"/>
    </row>
    <row r="15030" spans="1:1">
      <c r="A15030" s="56"/>
    </row>
    <row r="15031" spans="1:1">
      <c r="A15031" s="56"/>
    </row>
    <row r="15032" spans="1:1">
      <c r="A15032" s="56"/>
    </row>
    <row r="15033" spans="1:1">
      <c r="A15033" s="56"/>
    </row>
    <row r="15034" spans="1:1">
      <c r="A15034" s="56"/>
    </row>
    <row r="15035" spans="1:1">
      <c r="A15035" s="56"/>
    </row>
    <row r="15036" spans="1:1">
      <c r="A15036" s="56"/>
    </row>
    <row r="15037" spans="1:1">
      <c r="A15037" s="56"/>
    </row>
    <row r="15038" spans="1:1">
      <c r="A15038" s="56"/>
    </row>
    <row r="15039" spans="1:1">
      <c r="A15039" s="56"/>
    </row>
    <row r="15040" spans="1:1">
      <c r="A15040" s="56"/>
    </row>
    <row r="15041" spans="1:1">
      <c r="A15041" s="56"/>
    </row>
    <row r="15042" spans="1:1">
      <c r="A15042" s="56"/>
    </row>
    <row r="15043" spans="1:1">
      <c r="A15043" s="56"/>
    </row>
    <row r="15044" spans="1:1">
      <c r="A15044" s="56"/>
    </row>
    <row r="15045" spans="1:1">
      <c r="A15045" s="56"/>
    </row>
    <row r="15046" spans="1:1">
      <c r="A15046" s="56"/>
    </row>
    <row r="15047" spans="1:1">
      <c r="A15047" s="56"/>
    </row>
    <row r="15048" spans="1:1">
      <c r="A15048" s="56"/>
    </row>
    <row r="15049" spans="1:1">
      <c r="A15049" s="56"/>
    </row>
    <row r="15050" spans="1:1">
      <c r="A15050" s="56"/>
    </row>
    <row r="15051" spans="1:1">
      <c r="A15051" s="56"/>
    </row>
    <row r="15052" spans="1:1">
      <c r="A15052" s="56"/>
    </row>
    <row r="15053" spans="1:1">
      <c r="A15053" s="56"/>
    </row>
    <row r="15054" spans="1:1">
      <c r="A15054" s="56"/>
    </row>
    <row r="15055" spans="1:1">
      <c r="A15055" s="56"/>
    </row>
    <row r="15056" spans="1:1">
      <c r="A15056" s="56"/>
    </row>
    <row r="15057" spans="1:1">
      <c r="A15057" s="56"/>
    </row>
    <row r="15058" spans="1:1">
      <c r="A15058" s="56"/>
    </row>
    <row r="15059" spans="1:1">
      <c r="A15059" s="56"/>
    </row>
    <row r="15060" spans="1:1">
      <c r="A15060" s="56"/>
    </row>
    <row r="15061" spans="1:1">
      <c r="A15061" s="56"/>
    </row>
    <row r="15062" spans="1:1">
      <c r="A15062" s="56"/>
    </row>
    <row r="15063" spans="1:1">
      <c r="A15063" s="56"/>
    </row>
    <row r="15064" spans="1:1">
      <c r="A15064" s="56"/>
    </row>
    <row r="15065" spans="1:1">
      <c r="A15065" s="56"/>
    </row>
    <row r="15066" spans="1:1">
      <c r="A15066" s="56"/>
    </row>
    <row r="15067" spans="1:1">
      <c r="A15067" s="56"/>
    </row>
    <row r="15068" spans="1:1">
      <c r="A15068" s="56"/>
    </row>
    <row r="15069" spans="1:1">
      <c r="A15069" s="56"/>
    </row>
    <row r="15070" spans="1:1">
      <c r="A15070" s="56"/>
    </row>
    <row r="15071" spans="1:1">
      <c r="A15071" s="56"/>
    </row>
    <row r="15072" spans="1:1">
      <c r="A15072" s="56"/>
    </row>
    <row r="15073" spans="1:1">
      <c r="A15073" s="56"/>
    </row>
    <row r="15074" spans="1:1">
      <c r="A15074" s="56"/>
    </row>
    <row r="15075" spans="1:1">
      <c r="A15075" s="56"/>
    </row>
    <row r="15076" spans="1:1">
      <c r="A15076" s="56"/>
    </row>
    <row r="15077" spans="1:1">
      <c r="A15077" s="56"/>
    </row>
    <row r="15078" spans="1:1">
      <c r="A15078" s="56"/>
    </row>
    <row r="15079" spans="1:1">
      <c r="A15079" s="56"/>
    </row>
    <row r="15080" spans="1:1">
      <c r="A15080" s="56"/>
    </row>
    <row r="15081" spans="1:1">
      <c r="A15081" s="56"/>
    </row>
    <row r="15082" spans="1:1">
      <c r="A15082" s="56"/>
    </row>
    <row r="15083" spans="1:1">
      <c r="A15083" s="56"/>
    </row>
    <row r="15084" spans="1:1">
      <c r="A15084" s="56"/>
    </row>
    <row r="15085" spans="1:1">
      <c r="A15085" s="56"/>
    </row>
    <row r="15086" spans="1:1">
      <c r="A15086" s="56"/>
    </row>
    <row r="15087" spans="1:1">
      <c r="A15087" s="56"/>
    </row>
    <row r="15088" spans="1:1">
      <c r="A15088" s="56"/>
    </row>
    <row r="15089" spans="1:1">
      <c r="A15089" s="56"/>
    </row>
    <row r="15090" spans="1:1">
      <c r="A15090" s="56"/>
    </row>
    <row r="15091" spans="1:1">
      <c r="A15091" s="56"/>
    </row>
    <row r="15092" spans="1:1">
      <c r="A15092" s="56"/>
    </row>
    <row r="15093" spans="1:1">
      <c r="A15093" s="56"/>
    </row>
    <row r="15094" spans="1:1">
      <c r="A15094" s="56"/>
    </row>
    <row r="15095" spans="1:1">
      <c r="A15095" s="56"/>
    </row>
    <row r="15096" spans="1:1">
      <c r="A15096" s="56"/>
    </row>
    <row r="15097" spans="1:1">
      <c r="A15097" s="56"/>
    </row>
    <row r="15098" spans="1:1">
      <c r="A15098" s="56"/>
    </row>
    <row r="15099" spans="1:1">
      <c r="A15099" s="56"/>
    </row>
    <row r="15100" spans="1:1">
      <c r="A15100" s="56"/>
    </row>
    <row r="15101" spans="1:1">
      <c r="A15101" s="56"/>
    </row>
    <row r="15102" spans="1:1">
      <c r="A15102" s="56"/>
    </row>
    <row r="15103" spans="1:1">
      <c r="A15103" s="56"/>
    </row>
    <row r="15104" spans="1:1">
      <c r="A15104" s="56"/>
    </row>
    <row r="15105" spans="1:1">
      <c r="A15105" s="56"/>
    </row>
    <row r="15106" spans="1:1">
      <c r="A15106" s="56"/>
    </row>
    <row r="15107" spans="1:1">
      <c r="A15107" s="56"/>
    </row>
    <row r="15108" spans="1:1">
      <c r="A15108" s="56"/>
    </row>
    <row r="15109" spans="1:1">
      <c r="A15109" s="56"/>
    </row>
    <row r="15110" spans="1:1">
      <c r="A15110" s="56"/>
    </row>
    <row r="15111" spans="1:1">
      <c r="A15111" s="56"/>
    </row>
    <row r="15112" spans="1:1">
      <c r="A15112" s="56"/>
    </row>
    <row r="15113" spans="1:1">
      <c r="A15113" s="56"/>
    </row>
    <row r="15114" spans="1:1">
      <c r="A15114" s="56"/>
    </row>
    <row r="15115" spans="1:1">
      <c r="A15115" s="56"/>
    </row>
    <row r="15116" spans="1:1">
      <c r="A15116" s="56"/>
    </row>
    <row r="15117" spans="1:1">
      <c r="A15117" s="56"/>
    </row>
    <row r="15118" spans="1:1">
      <c r="A15118" s="56"/>
    </row>
    <row r="15119" spans="1:1">
      <c r="A15119" s="56"/>
    </row>
    <row r="15120" spans="1:1">
      <c r="A15120" s="56"/>
    </row>
    <row r="15121" spans="1:1">
      <c r="A15121" s="56"/>
    </row>
    <row r="15122" spans="1:1">
      <c r="A15122" s="56"/>
    </row>
    <row r="15123" spans="1:1">
      <c r="A15123" s="56"/>
    </row>
    <row r="15124" spans="1:1">
      <c r="A15124" s="56"/>
    </row>
    <row r="15125" spans="1:1">
      <c r="A15125" s="56"/>
    </row>
    <row r="15126" spans="1:1">
      <c r="A15126" s="56"/>
    </row>
    <row r="15127" spans="1:1">
      <c r="A15127" s="56"/>
    </row>
    <row r="15128" spans="1:1">
      <c r="A15128" s="56"/>
    </row>
    <row r="15129" spans="1:1">
      <c r="A15129" s="56"/>
    </row>
    <row r="15130" spans="1:1">
      <c r="A15130" s="56"/>
    </row>
    <row r="15131" spans="1:1">
      <c r="A15131" s="56"/>
    </row>
    <row r="15132" spans="1:1">
      <c r="A15132" s="56"/>
    </row>
    <row r="15133" spans="1:1">
      <c r="A15133" s="56"/>
    </row>
    <row r="15134" spans="1:1">
      <c r="A15134" s="56"/>
    </row>
    <row r="15135" spans="1:1">
      <c r="A15135" s="56"/>
    </row>
    <row r="15136" spans="1:1">
      <c r="A15136" s="56"/>
    </row>
    <row r="15137" spans="1:1">
      <c r="A15137" s="56"/>
    </row>
    <row r="15138" spans="1:1">
      <c r="A15138" s="56"/>
    </row>
    <row r="15139" spans="1:1">
      <c r="A15139" s="56"/>
    </row>
    <row r="15140" spans="1:1">
      <c r="A15140" s="56"/>
    </row>
    <row r="15141" spans="1:1">
      <c r="A15141" s="56"/>
    </row>
    <row r="15142" spans="1:1">
      <c r="A15142" s="56"/>
    </row>
    <row r="15143" spans="1:1">
      <c r="A15143" s="56"/>
    </row>
    <row r="15144" spans="1:1">
      <c r="A15144" s="56"/>
    </row>
    <row r="15145" spans="1:1">
      <c r="A15145" s="56"/>
    </row>
    <row r="15146" spans="1:1">
      <c r="A15146" s="56"/>
    </row>
    <row r="15147" spans="1:1">
      <c r="A15147" s="56"/>
    </row>
    <row r="15148" spans="1:1">
      <c r="A15148" s="56"/>
    </row>
    <row r="15149" spans="1:1">
      <c r="A15149" s="56"/>
    </row>
    <row r="15150" spans="1:1">
      <c r="A15150" s="56"/>
    </row>
    <row r="15151" spans="1:1">
      <c r="A15151" s="56"/>
    </row>
    <row r="15152" spans="1:1">
      <c r="A15152" s="56"/>
    </row>
    <row r="15153" spans="1:1">
      <c r="A15153" s="56"/>
    </row>
    <row r="15154" spans="1:1">
      <c r="A15154" s="56"/>
    </row>
    <row r="15155" spans="1:1">
      <c r="A15155" s="56"/>
    </row>
    <row r="15156" spans="1:1">
      <c r="A15156" s="56"/>
    </row>
    <row r="15157" spans="1:1">
      <c r="A15157" s="56"/>
    </row>
    <row r="15158" spans="1:1">
      <c r="A15158" s="56"/>
    </row>
    <row r="15159" spans="1:1">
      <c r="A15159" s="56"/>
    </row>
    <row r="15160" spans="1:1">
      <c r="A15160" s="56"/>
    </row>
    <row r="15161" spans="1:1">
      <c r="A15161" s="56"/>
    </row>
    <row r="15162" spans="1:1">
      <c r="A15162" s="56"/>
    </row>
    <row r="15163" spans="1:1">
      <c r="A15163" s="56"/>
    </row>
    <row r="15164" spans="1:1">
      <c r="A15164" s="56"/>
    </row>
    <row r="15165" spans="1:1">
      <c r="A15165" s="56"/>
    </row>
    <row r="15166" spans="1:1">
      <c r="A15166" s="56"/>
    </row>
    <row r="15167" spans="1:1">
      <c r="A15167" s="56"/>
    </row>
    <row r="15168" spans="1:1">
      <c r="A15168" s="56"/>
    </row>
    <row r="15169" spans="1:1">
      <c r="A15169" s="56"/>
    </row>
    <row r="15170" spans="1:1">
      <c r="A15170" s="56"/>
    </row>
    <row r="15171" spans="1:1">
      <c r="A15171" s="56"/>
    </row>
    <row r="15172" spans="1:1">
      <c r="A15172" s="56"/>
    </row>
    <row r="15173" spans="1:1">
      <c r="A15173" s="56"/>
    </row>
    <row r="15174" spans="1:1">
      <c r="A15174" s="56"/>
    </row>
    <row r="15175" spans="1:1">
      <c r="A15175" s="56"/>
    </row>
    <row r="15176" spans="1:1">
      <c r="A15176" s="56"/>
    </row>
    <row r="15177" spans="1:1">
      <c r="A15177" s="56"/>
    </row>
    <row r="15178" spans="1:1">
      <c r="A15178" s="56"/>
    </row>
    <row r="15179" spans="1:1">
      <c r="A15179" s="56"/>
    </row>
    <row r="15180" spans="1:1">
      <c r="A15180" s="56"/>
    </row>
    <row r="15181" spans="1:1">
      <c r="A15181" s="56"/>
    </row>
    <row r="15182" spans="1:1">
      <c r="A15182" s="56"/>
    </row>
    <row r="15183" spans="1:1">
      <c r="A15183" s="56"/>
    </row>
    <row r="15184" spans="1:1">
      <c r="A15184" s="56"/>
    </row>
    <row r="15185" spans="1:1">
      <c r="A15185" s="56"/>
    </row>
    <row r="15186" spans="1:1">
      <c r="A15186" s="56"/>
    </row>
    <row r="15187" spans="1:1">
      <c r="A15187" s="56"/>
    </row>
    <row r="15188" spans="1:1">
      <c r="A15188" s="56"/>
    </row>
    <row r="15189" spans="1:1">
      <c r="A15189" s="56"/>
    </row>
    <row r="15190" spans="1:1">
      <c r="A15190" s="56"/>
    </row>
    <row r="15191" spans="1:1">
      <c r="A15191" s="56"/>
    </row>
    <row r="15192" spans="1:1">
      <c r="A15192" s="56"/>
    </row>
    <row r="15193" spans="1:1">
      <c r="A15193" s="56"/>
    </row>
    <row r="15194" spans="1:1">
      <c r="A15194" s="56"/>
    </row>
    <row r="15195" spans="1:1">
      <c r="A15195" s="56"/>
    </row>
    <row r="15196" spans="1:1">
      <c r="A15196" s="56"/>
    </row>
    <row r="15197" spans="1:1">
      <c r="A15197" s="56"/>
    </row>
    <row r="15198" spans="1:1">
      <c r="A15198" s="56"/>
    </row>
    <row r="15199" spans="1:1">
      <c r="A15199" s="56"/>
    </row>
    <row r="15200" spans="1:1">
      <c r="A15200" s="56"/>
    </row>
    <row r="15201" spans="1:1">
      <c r="A15201" s="56"/>
    </row>
    <row r="15202" spans="1:1">
      <c r="A15202" s="56"/>
    </row>
    <row r="15203" spans="1:1">
      <c r="A15203" s="56"/>
    </row>
    <row r="15204" spans="1:1">
      <c r="A15204" s="56"/>
    </row>
    <row r="15205" spans="1:1">
      <c r="A15205" s="56"/>
    </row>
    <row r="15206" spans="1:1">
      <c r="A15206" s="56"/>
    </row>
    <row r="15207" spans="1:1">
      <c r="A15207" s="56"/>
    </row>
    <row r="15208" spans="1:1">
      <c r="A15208" s="56"/>
    </row>
    <row r="15209" spans="1:1">
      <c r="A15209" s="56"/>
    </row>
    <row r="15210" spans="1:1">
      <c r="A15210" s="56"/>
    </row>
    <row r="15211" spans="1:1">
      <c r="A15211" s="56"/>
    </row>
    <row r="15212" spans="1:1">
      <c r="A15212" s="56"/>
    </row>
    <row r="15213" spans="1:1">
      <c r="A15213" s="56"/>
    </row>
    <row r="15214" spans="1:1">
      <c r="A15214" s="56"/>
    </row>
    <row r="15215" spans="1:1">
      <c r="A15215" s="56"/>
    </row>
    <row r="15216" spans="1:1">
      <c r="A15216" s="56"/>
    </row>
    <row r="15217" spans="1:1">
      <c r="A15217" s="56"/>
    </row>
    <row r="15218" spans="1:1">
      <c r="A15218" s="56"/>
    </row>
    <row r="15219" spans="1:1">
      <c r="A15219" s="56"/>
    </row>
    <row r="15220" spans="1:1">
      <c r="A15220" s="56"/>
    </row>
    <row r="15221" spans="1:1">
      <c r="A15221" s="56"/>
    </row>
    <row r="15222" spans="1:1">
      <c r="A15222" s="56"/>
    </row>
    <row r="15223" spans="1:1">
      <c r="A15223" s="56"/>
    </row>
    <row r="15224" spans="1:1">
      <c r="A15224" s="56"/>
    </row>
    <row r="15225" spans="1:1">
      <c r="A15225" s="56"/>
    </row>
    <row r="15226" spans="1:1">
      <c r="A15226" s="56"/>
    </row>
    <row r="15227" spans="1:1">
      <c r="A15227" s="56"/>
    </row>
    <row r="15228" spans="1:1">
      <c r="A15228" s="56"/>
    </row>
    <row r="15229" spans="1:1">
      <c r="A15229" s="56"/>
    </row>
    <row r="15230" spans="1:1">
      <c r="A15230" s="56"/>
    </row>
    <row r="15231" spans="1:1">
      <c r="A15231" s="56"/>
    </row>
    <row r="15232" spans="1:1">
      <c r="A15232" s="56"/>
    </row>
    <row r="15233" spans="1:1">
      <c r="A15233" s="56"/>
    </row>
    <row r="15234" spans="1:1">
      <c r="A15234" s="56"/>
    </row>
    <row r="15235" spans="1:1">
      <c r="A15235" s="56"/>
    </row>
    <row r="15236" spans="1:1">
      <c r="A15236" s="56"/>
    </row>
    <row r="15237" spans="1:1">
      <c r="A15237" s="56"/>
    </row>
    <row r="15238" spans="1:1">
      <c r="A15238" s="56"/>
    </row>
    <row r="15239" spans="1:1">
      <c r="A15239" s="56"/>
    </row>
    <row r="15240" spans="1:1">
      <c r="A15240" s="56"/>
    </row>
    <row r="15241" spans="1:1">
      <c r="A15241" s="56"/>
    </row>
    <row r="15242" spans="1:1">
      <c r="A15242" s="56"/>
    </row>
    <row r="15243" spans="1:1">
      <c r="A15243" s="56"/>
    </row>
    <row r="15244" spans="1:1">
      <c r="A15244" s="56"/>
    </row>
    <row r="15245" spans="1:1">
      <c r="A15245" s="56"/>
    </row>
    <row r="15246" spans="1:1">
      <c r="A15246" s="56"/>
    </row>
    <row r="15247" spans="1:1">
      <c r="A15247" s="56"/>
    </row>
    <row r="15248" spans="1:1">
      <c r="A15248" s="56"/>
    </row>
    <row r="15249" spans="1:1">
      <c r="A15249" s="56"/>
    </row>
    <row r="15250" spans="1:1">
      <c r="A15250" s="56"/>
    </row>
    <row r="15251" spans="1:1">
      <c r="A15251" s="56"/>
    </row>
    <row r="15252" spans="1:1">
      <c r="A15252" s="56"/>
    </row>
    <row r="15253" spans="1:1">
      <c r="A15253" s="56"/>
    </row>
    <row r="15254" spans="1:1">
      <c r="A15254" s="56"/>
    </row>
    <row r="15255" spans="1:1">
      <c r="A15255" s="56"/>
    </row>
    <row r="15256" spans="1:1">
      <c r="A15256" s="56"/>
    </row>
    <row r="15257" spans="1:1">
      <c r="A15257" s="56"/>
    </row>
    <row r="15258" spans="1:1">
      <c r="A15258" s="56"/>
    </row>
    <row r="15259" spans="1:1">
      <c r="A15259" s="56"/>
    </row>
    <row r="15260" spans="1:1">
      <c r="A15260" s="56"/>
    </row>
    <row r="15261" spans="1:1">
      <c r="A15261" s="56"/>
    </row>
    <row r="15262" spans="1:1">
      <c r="A15262" s="56"/>
    </row>
    <row r="15263" spans="1:1">
      <c r="A15263" s="56"/>
    </row>
    <row r="15264" spans="1:1">
      <c r="A15264" s="56"/>
    </row>
    <row r="15265" spans="1:1">
      <c r="A15265" s="56"/>
    </row>
    <row r="15266" spans="1:1">
      <c r="A15266" s="56"/>
    </row>
    <row r="15267" spans="1:1">
      <c r="A15267" s="56"/>
    </row>
    <row r="15268" spans="1:1">
      <c r="A15268" s="56"/>
    </row>
    <row r="15269" spans="1:1">
      <c r="A15269" s="56"/>
    </row>
    <row r="15270" spans="1:1">
      <c r="A15270" s="56"/>
    </row>
    <row r="15271" spans="1:1">
      <c r="A15271" s="56"/>
    </row>
    <row r="15272" spans="1:1">
      <c r="A15272" s="56"/>
    </row>
    <row r="15273" spans="1:1">
      <c r="A15273" s="56"/>
    </row>
    <row r="15274" spans="1:1">
      <c r="A15274" s="56"/>
    </row>
    <row r="15275" spans="1:1">
      <c r="A15275" s="56"/>
    </row>
    <row r="15276" spans="1:1">
      <c r="A15276" s="56"/>
    </row>
    <row r="15277" spans="1:1">
      <c r="A15277" s="56"/>
    </row>
    <row r="15278" spans="1:1">
      <c r="A15278" s="56"/>
    </row>
    <row r="15279" spans="1:1">
      <c r="A15279" s="56"/>
    </row>
    <row r="15280" spans="1:1">
      <c r="A15280" s="56"/>
    </row>
    <row r="15281" spans="1:1">
      <c r="A15281" s="56"/>
    </row>
    <row r="15282" spans="1:1">
      <c r="A15282" s="56"/>
    </row>
    <row r="15283" spans="1:1">
      <c r="A15283" s="56"/>
    </row>
    <row r="15284" spans="1:1">
      <c r="A15284" s="56"/>
    </row>
    <row r="15285" spans="1:1">
      <c r="A15285" s="56"/>
    </row>
    <row r="15286" spans="1:1">
      <c r="A15286" s="56"/>
    </row>
    <row r="15287" spans="1:1">
      <c r="A15287" s="56"/>
    </row>
    <row r="15288" spans="1:1">
      <c r="A15288" s="56"/>
    </row>
    <row r="15289" spans="1:1">
      <c r="A15289" s="56"/>
    </row>
    <row r="15290" spans="1:1">
      <c r="A15290" s="56"/>
    </row>
    <row r="15291" spans="1:1">
      <c r="A15291" s="56"/>
    </row>
    <row r="15292" spans="1:1">
      <c r="A15292" s="56"/>
    </row>
    <row r="15293" spans="1:1">
      <c r="A15293" s="56"/>
    </row>
    <row r="15294" spans="1:1">
      <c r="A15294" s="56"/>
    </row>
    <row r="15295" spans="1:1">
      <c r="A15295" s="56"/>
    </row>
    <row r="15296" spans="1:1">
      <c r="A15296" s="56"/>
    </row>
    <row r="15297" spans="1:1">
      <c r="A15297" s="56"/>
    </row>
    <row r="15298" spans="1:1">
      <c r="A15298" s="56"/>
    </row>
    <row r="15299" spans="1:1">
      <c r="A15299" s="56"/>
    </row>
    <row r="15300" spans="1:1">
      <c r="A15300" s="56"/>
    </row>
    <row r="15301" spans="1:1">
      <c r="A15301" s="56"/>
    </row>
    <row r="15302" spans="1:1">
      <c r="A15302" s="56"/>
    </row>
    <row r="15303" spans="1:1">
      <c r="A15303" s="56"/>
    </row>
    <row r="15304" spans="1:1">
      <c r="A15304" s="56"/>
    </row>
    <row r="15305" spans="1:1">
      <c r="A15305" s="56"/>
    </row>
    <row r="15306" spans="1:1">
      <c r="A15306" s="56"/>
    </row>
    <row r="15307" spans="1:1">
      <c r="A15307" s="56"/>
    </row>
    <row r="15308" spans="1:1">
      <c r="A15308" s="56"/>
    </row>
    <row r="15309" spans="1:1">
      <c r="A15309" s="56"/>
    </row>
    <row r="15310" spans="1:1">
      <c r="A15310" s="56"/>
    </row>
    <row r="15311" spans="1:1">
      <c r="A15311" s="56"/>
    </row>
    <row r="15312" spans="1:1">
      <c r="A15312" s="56"/>
    </row>
    <row r="15313" spans="1:1">
      <c r="A15313" s="56"/>
    </row>
    <row r="15314" spans="1:1">
      <c r="A15314" s="56"/>
    </row>
    <row r="15315" spans="1:1">
      <c r="A15315" s="56"/>
    </row>
    <row r="15316" spans="1:1">
      <c r="A15316" s="56"/>
    </row>
    <row r="15317" spans="1:1">
      <c r="A15317" s="56"/>
    </row>
    <row r="15318" spans="1:1">
      <c r="A15318" s="56"/>
    </row>
    <row r="15319" spans="1:1">
      <c r="A15319" s="56"/>
    </row>
    <row r="15320" spans="1:1">
      <c r="A15320" s="56"/>
    </row>
    <row r="15321" spans="1:1">
      <c r="A15321" s="56"/>
    </row>
    <row r="15322" spans="1:1">
      <c r="A15322" s="56"/>
    </row>
    <row r="15323" spans="1:1">
      <c r="A15323" s="56"/>
    </row>
    <row r="15324" spans="1:1">
      <c r="A15324" s="56"/>
    </row>
    <row r="15325" spans="1:1">
      <c r="A15325" s="56"/>
    </row>
    <row r="15326" spans="1:1">
      <c r="A15326" s="56"/>
    </row>
    <row r="15327" spans="1:1">
      <c r="A15327" s="56"/>
    </row>
    <row r="15328" spans="1:1">
      <c r="A15328" s="56"/>
    </row>
    <row r="15329" spans="1:1">
      <c r="A15329" s="56"/>
    </row>
    <row r="15330" spans="1:1">
      <c r="A15330" s="56"/>
    </row>
    <row r="15331" spans="1:1">
      <c r="A15331" s="56"/>
    </row>
    <row r="15332" spans="1:1">
      <c r="A15332" s="56"/>
    </row>
    <row r="15333" spans="1:1">
      <c r="A15333" s="56"/>
    </row>
    <row r="15334" spans="1:1">
      <c r="A15334" s="56"/>
    </row>
    <row r="15335" spans="1:1">
      <c r="A15335" s="56"/>
    </row>
    <row r="15336" spans="1:1">
      <c r="A15336" s="56"/>
    </row>
    <row r="15337" spans="1:1">
      <c r="A15337" s="56"/>
    </row>
    <row r="15338" spans="1:1">
      <c r="A15338" s="56"/>
    </row>
    <row r="15339" spans="1:1">
      <c r="A15339" s="56"/>
    </row>
    <row r="15340" spans="1:1">
      <c r="A15340" s="56"/>
    </row>
    <row r="15341" spans="1:1">
      <c r="A15341" s="56"/>
    </row>
    <row r="15342" spans="1:1">
      <c r="A15342" s="56"/>
    </row>
    <row r="15343" spans="1:1">
      <c r="A15343" s="56"/>
    </row>
    <row r="15344" spans="1:1">
      <c r="A15344" s="56"/>
    </row>
    <row r="15345" spans="1:1">
      <c r="A15345" s="56"/>
    </row>
    <row r="15346" spans="1:1">
      <c r="A15346" s="56"/>
    </row>
    <row r="15347" spans="1:1">
      <c r="A15347" s="56"/>
    </row>
    <row r="15348" spans="1:1">
      <c r="A15348" s="56"/>
    </row>
    <row r="15349" spans="1:1">
      <c r="A15349" s="56"/>
    </row>
    <row r="15350" spans="1:1">
      <c r="A15350" s="56"/>
    </row>
    <row r="15351" spans="1:1">
      <c r="A15351" s="56"/>
    </row>
    <row r="15352" spans="1:1">
      <c r="A15352" s="56"/>
    </row>
    <row r="15353" spans="1:1">
      <c r="A15353" s="56"/>
    </row>
    <row r="15354" spans="1:1">
      <c r="A15354" s="56"/>
    </row>
    <row r="15355" spans="1:1">
      <c r="A15355" s="56"/>
    </row>
    <row r="15356" spans="1:1">
      <c r="A15356" s="56"/>
    </row>
    <row r="15357" spans="1:1">
      <c r="A15357" s="56"/>
    </row>
    <row r="15358" spans="1:1">
      <c r="A15358" s="56"/>
    </row>
    <row r="15359" spans="1:1">
      <c r="A15359" s="56"/>
    </row>
    <row r="15360" spans="1:1">
      <c r="A15360" s="56"/>
    </row>
    <row r="15361" spans="1:1">
      <c r="A15361" s="56"/>
    </row>
    <row r="15362" spans="1:1">
      <c r="A15362" s="56"/>
    </row>
    <row r="15363" spans="1:1">
      <c r="A15363" s="56"/>
    </row>
    <row r="15364" spans="1:1">
      <c r="A15364" s="56"/>
    </row>
    <row r="15365" spans="1:1">
      <c r="A15365" s="56"/>
    </row>
    <row r="15366" spans="1:1">
      <c r="A15366" s="56"/>
    </row>
    <row r="15367" spans="1:1">
      <c r="A15367" s="56"/>
    </row>
    <row r="15368" spans="1:1">
      <c r="A15368" s="56"/>
    </row>
    <row r="15369" spans="1:1">
      <c r="A15369" s="56"/>
    </row>
    <row r="15370" spans="1:1">
      <c r="A15370" s="56"/>
    </row>
    <row r="15371" spans="1:1">
      <c r="A15371" s="56"/>
    </row>
    <row r="15372" spans="1:1">
      <c r="A15372" s="56"/>
    </row>
    <row r="15373" spans="1:1">
      <c r="A15373" s="56"/>
    </row>
    <row r="15374" spans="1:1">
      <c r="A15374" s="56"/>
    </row>
    <row r="15375" spans="1:1">
      <c r="A15375" s="56"/>
    </row>
    <row r="15376" spans="1:1">
      <c r="A15376" s="56"/>
    </row>
    <row r="15377" spans="1:1">
      <c r="A15377" s="56"/>
    </row>
    <row r="15378" spans="1:1">
      <c r="A15378" s="56"/>
    </row>
    <row r="15379" spans="1:1">
      <c r="A15379" s="56"/>
    </row>
    <row r="15380" spans="1:1">
      <c r="A15380" s="56"/>
    </row>
    <row r="15381" spans="1:1">
      <c r="A15381" s="56"/>
    </row>
    <row r="15382" spans="1:1">
      <c r="A15382" s="56"/>
    </row>
    <row r="15383" spans="1:1">
      <c r="A15383" s="56"/>
    </row>
    <row r="15384" spans="1:1">
      <c r="A15384" s="56"/>
    </row>
    <row r="15385" spans="1:1">
      <c r="A15385" s="56"/>
    </row>
    <row r="15386" spans="1:1">
      <c r="A15386" s="56"/>
    </row>
    <row r="15387" spans="1:1">
      <c r="A15387" s="56"/>
    </row>
    <row r="15388" spans="1:1">
      <c r="A15388" s="56"/>
    </row>
    <row r="15389" spans="1:1">
      <c r="A15389" s="56"/>
    </row>
    <row r="15390" spans="1:1">
      <c r="A15390" s="56"/>
    </row>
    <row r="15391" spans="1:1">
      <c r="A15391" s="56"/>
    </row>
    <row r="15392" spans="1:1">
      <c r="A15392" s="56"/>
    </row>
    <row r="15393" spans="1:1">
      <c r="A15393" s="56"/>
    </row>
    <row r="15394" spans="1:1">
      <c r="A15394" s="56"/>
    </row>
    <row r="15395" spans="1:1">
      <c r="A15395" s="56"/>
    </row>
    <row r="15396" spans="1:1">
      <c r="A15396" s="56"/>
    </row>
    <row r="15397" spans="1:1">
      <c r="A15397" s="56"/>
    </row>
    <row r="15398" spans="1:1">
      <c r="A15398" s="56"/>
    </row>
    <row r="15399" spans="1:1">
      <c r="A15399" s="56"/>
    </row>
    <row r="15400" spans="1:1">
      <c r="A15400" s="56"/>
    </row>
    <row r="15401" spans="1:1">
      <c r="A15401" s="56"/>
    </row>
    <row r="15402" spans="1:1">
      <c r="A15402" s="56"/>
    </row>
    <row r="15403" spans="1:1">
      <c r="A15403" s="56"/>
    </row>
    <row r="15404" spans="1:1">
      <c r="A15404" s="56"/>
    </row>
    <row r="15405" spans="1:1">
      <c r="A15405" s="56"/>
    </row>
    <row r="15406" spans="1:1">
      <c r="A15406" s="56"/>
    </row>
    <row r="15407" spans="1:1">
      <c r="A15407" s="56"/>
    </row>
    <row r="15408" spans="1:1">
      <c r="A15408" s="56"/>
    </row>
    <row r="15409" spans="1:1">
      <c r="A15409" s="56"/>
    </row>
    <row r="15410" spans="1:1">
      <c r="A15410" s="56"/>
    </row>
    <row r="15411" spans="1:1">
      <c r="A15411" s="56"/>
    </row>
    <row r="15412" spans="1:1">
      <c r="A15412" s="56"/>
    </row>
    <row r="15413" spans="1:1">
      <c r="A15413" s="56"/>
    </row>
    <row r="15414" spans="1:1">
      <c r="A15414" s="56"/>
    </row>
    <row r="15415" spans="1:1">
      <c r="A15415" s="56"/>
    </row>
    <row r="15416" spans="1:1">
      <c r="A15416" s="56"/>
    </row>
    <row r="15417" spans="1:1">
      <c r="A15417" s="56"/>
    </row>
    <row r="15418" spans="1:1">
      <c r="A15418" s="56"/>
    </row>
    <row r="15419" spans="1:1">
      <c r="A15419" s="56"/>
    </row>
    <row r="15420" spans="1:1">
      <c r="A15420" s="56"/>
    </row>
    <row r="15421" spans="1:1">
      <c r="A15421" s="56"/>
    </row>
    <row r="15422" spans="1:1">
      <c r="A15422" s="56"/>
    </row>
    <row r="15423" spans="1:1">
      <c r="A15423" s="56"/>
    </row>
    <row r="15424" spans="1:1">
      <c r="A15424" s="56"/>
    </row>
    <row r="15425" spans="1:1">
      <c r="A15425" s="56"/>
    </row>
    <row r="15426" spans="1:1">
      <c r="A15426" s="56"/>
    </row>
    <row r="15427" spans="1:1">
      <c r="A15427" s="56"/>
    </row>
    <row r="15428" spans="1:1">
      <c r="A15428" s="56"/>
    </row>
    <row r="15429" spans="1:1">
      <c r="A15429" s="56"/>
    </row>
    <row r="15430" spans="1:1">
      <c r="A15430" s="56"/>
    </row>
    <row r="15431" spans="1:1">
      <c r="A15431" s="56"/>
    </row>
    <row r="15432" spans="1:1">
      <c r="A15432" s="56"/>
    </row>
    <row r="15433" spans="1:1">
      <c r="A15433" s="56"/>
    </row>
    <row r="15434" spans="1:1">
      <c r="A15434" s="56"/>
    </row>
    <row r="15435" spans="1:1">
      <c r="A15435" s="56"/>
    </row>
    <row r="15436" spans="1:1">
      <c r="A15436" s="56"/>
    </row>
    <row r="15437" spans="1:1">
      <c r="A15437" s="56"/>
    </row>
    <row r="15438" spans="1:1">
      <c r="A15438" s="56"/>
    </row>
    <row r="15439" spans="1:1">
      <c r="A15439" s="56"/>
    </row>
    <row r="15440" spans="1:1">
      <c r="A15440" s="56"/>
    </row>
    <row r="15441" spans="1:1">
      <c r="A15441" s="56"/>
    </row>
    <row r="15442" spans="1:1">
      <c r="A15442" s="56"/>
    </row>
    <row r="15443" spans="1:1">
      <c r="A15443" s="56"/>
    </row>
    <row r="15444" spans="1:1">
      <c r="A15444" s="56"/>
    </row>
    <row r="15445" spans="1:1">
      <c r="A15445" s="56"/>
    </row>
    <row r="15446" spans="1:1">
      <c r="A15446" s="56"/>
    </row>
    <row r="15447" spans="1:1">
      <c r="A15447" s="56"/>
    </row>
    <row r="15448" spans="1:1">
      <c r="A15448" s="56"/>
    </row>
    <row r="15449" spans="1:1">
      <c r="A15449" s="56"/>
    </row>
    <row r="15450" spans="1:1">
      <c r="A15450" s="56"/>
    </row>
    <row r="15451" spans="1:1">
      <c r="A15451" s="56"/>
    </row>
    <row r="15452" spans="1:1">
      <c r="A15452" s="56"/>
    </row>
    <row r="15453" spans="1:1">
      <c r="A15453" s="56"/>
    </row>
    <row r="15454" spans="1:1">
      <c r="A15454" s="56"/>
    </row>
    <row r="15455" spans="1:1">
      <c r="A15455" s="56"/>
    </row>
    <row r="15456" spans="1:1">
      <c r="A15456" s="56"/>
    </row>
    <row r="15457" spans="1:1">
      <c r="A15457" s="56"/>
    </row>
    <row r="15458" spans="1:1">
      <c r="A15458" s="56"/>
    </row>
    <row r="15459" spans="1:1">
      <c r="A15459" s="56"/>
    </row>
    <row r="15460" spans="1:1">
      <c r="A15460" s="56"/>
    </row>
    <row r="15461" spans="1:1">
      <c r="A15461" s="56"/>
    </row>
    <row r="15462" spans="1:1">
      <c r="A15462" s="56"/>
    </row>
    <row r="15463" spans="1:1">
      <c r="A15463" s="56"/>
    </row>
    <row r="15464" spans="1:1">
      <c r="A15464" s="56"/>
    </row>
    <row r="15465" spans="1:1">
      <c r="A15465" s="56"/>
    </row>
    <row r="15466" spans="1:1">
      <c r="A15466" s="56"/>
    </row>
    <row r="15467" spans="1:1">
      <c r="A15467" s="56"/>
    </row>
    <row r="15468" spans="1:1">
      <c r="A15468" s="56"/>
    </row>
    <row r="15469" spans="1:1">
      <c r="A15469" s="56"/>
    </row>
    <row r="15470" spans="1:1">
      <c r="A15470" s="56"/>
    </row>
    <row r="15471" spans="1:1">
      <c r="A15471" s="56"/>
    </row>
    <row r="15472" spans="1:1">
      <c r="A15472" s="56"/>
    </row>
    <row r="15473" spans="1:1">
      <c r="A15473" s="56"/>
    </row>
    <row r="15474" spans="1:1">
      <c r="A15474" s="56"/>
    </row>
    <row r="15475" spans="1:1">
      <c r="A15475" s="56"/>
    </row>
    <row r="15476" spans="1:1">
      <c r="A15476" s="56"/>
    </row>
    <row r="15477" spans="1:1">
      <c r="A15477" s="56"/>
    </row>
    <row r="15478" spans="1:1">
      <c r="A15478" s="56"/>
    </row>
    <row r="15479" spans="1:1">
      <c r="A15479" s="56"/>
    </row>
    <row r="15480" spans="1:1">
      <c r="A15480" s="56"/>
    </row>
    <row r="15481" spans="1:1">
      <c r="A15481" s="56"/>
    </row>
    <row r="15482" spans="1:1">
      <c r="A15482" s="56"/>
    </row>
    <row r="15483" spans="1:1">
      <c r="A15483" s="56"/>
    </row>
    <row r="15484" spans="1:1">
      <c r="A15484" s="56"/>
    </row>
    <row r="15485" spans="1:1">
      <c r="A15485" s="56"/>
    </row>
    <row r="15486" spans="1:1">
      <c r="A15486" s="56"/>
    </row>
    <row r="15487" spans="1:1">
      <c r="A15487" s="56"/>
    </row>
    <row r="15488" spans="1:1">
      <c r="A15488" s="56"/>
    </row>
    <row r="15489" spans="1:1">
      <c r="A15489" s="56"/>
    </row>
    <row r="15490" spans="1:1">
      <c r="A15490" s="56"/>
    </row>
    <row r="15491" spans="1:1">
      <c r="A15491" s="56"/>
    </row>
    <row r="15492" spans="1:1">
      <c r="A15492" s="56"/>
    </row>
    <row r="15493" spans="1:1">
      <c r="A15493" s="56"/>
    </row>
    <row r="15494" spans="1:1">
      <c r="A15494" s="56"/>
    </row>
    <row r="15495" spans="1:1">
      <c r="A15495" s="56"/>
    </row>
    <row r="15496" spans="1:1">
      <c r="A15496" s="56"/>
    </row>
    <row r="15497" spans="1:1">
      <c r="A15497" s="56"/>
    </row>
    <row r="15498" spans="1:1">
      <c r="A15498" s="56"/>
    </row>
    <row r="15499" spans="1:1">
      <c r="A15499" s="56"/>
    </row>
    <row r="15500" spans="1:1">
      <c r="A15500" s="56"/>
    </row>
    <row r="15501" spans="1:1">
      <c r="A15501" s="56"/>
    </row>
    <row r="15502" spans="1:1">
      <c r="A15502" s="56"/>
    </row>
    <row r="15503" spans="1:1">
      <c r="A15503" s="56"/>
    </row>
    <row r="15504" spans="1:1">
      <c r="A15504" s="56"/>
    </row>
    <row r="15505" spans="1:1">
      <c r="A15505" s="56"/>
    </row>
    <row r="15506" spans="1:1">
      <c r="A15506" s="56"/>
    </row>
    <row r="15507" spans="1:1">
      <c r="A15507" s="56"/>
    </row>
    <row r="15508" spans="1:1">
      <c r="A15508" s="56"/>
    </row>
    <row r="15509" spans="1:1">
      <c r="A15509" s="56"/>
    </row>
    <row r="15510" spans="1:1">
      <c r="A15510" s="56"/>
    </row>
    <row r="15511" spans="1:1">
      <c r="A15511" s="56"/>
    </row>
    <row r="15512" spans="1:1">
      <c r="A15512" s="56"/>
    </row>
    <row r="15513" spans="1:1">
      <c r="A15513" s="56"/>
    </row>
    <row r="15514" spans="1:1">
      <c r="A15514" s="56"/>
    </row>
    <row r="15515" spans="1:1">
      <c r="A15515" s="56"/>
    </row>
    <row r="15516" spans="1:1">
      <c r="A15516" s="56"/>
    </row>
    <row r="15517" spans="1:1">
      <c r="A15517" s="56"/>
    </row>
    <row r="15518" spans="1:1">
      <c r="A15518" s="56"/>
    </row>
    <row r="15519" spans="1:1">
      <c r="A15519" s="56"/>
    </row>
    <row r="15520" spans="1:1">
      <c r="A15520" s="56"/>
    </row>
    <row r="15521" spans="1:1">
      <c r="A15521" s="56"/>
    </row>
    <row r="15522" spans="1:1">
      <c r="A15522" s="56"/>
    </row>
    <row r="15523" spans="1:1">
      <c r="A15523" s="56"/>
    </row>
    <row r="15524" spans="1:1">
      <c r="A15524" s="56"/>
    </row>
    <row r="15525" spans="1:1">
      <c r="A15525" s="56"/>
    </row>
    <row r="15526" spans="1:1">
      <c r="A15526" s="56"/>
    </row>
    <row r="15527" spans="1:1">
      <c r="A15527" s="56"/>
    </row>
    <row r="15528" spans="1:1">
      <c r="A15528" s="56"/>
    </row>
    <row r="15529" spans="1:1">
      <c r="A15529" s="56"/>
    </row>
    <row r="15530" spans="1:1">
      <c r="A15530" s="56"/>
    </row>
    <row r="15531" spans="1:1">
      <c r="A15531" s="56"/>
    </row>
    <row r="15532" spans="1:1">
      <c r="A15532" s="56"/>
    </row>
    <row r="15533" spans="1:1">
      <c r="A15533" s="56"/>
    </row>
    <row r="15534" spans="1:1">
      <c r="A15534" s="56"/>
    </row>
    <row r="15535" spans="1:1">
      <c r="A15535" s="56"/>
    </row>
    <row r="15536" spans="1:1">
      <c r="A15536" s="56"/>
    </row>
    <row r="15537" spans="1:1">
      <c r="A15537" s="56"/>
    </row>
    <row r="15538" spans="1:1">
      <c r="A15538" s="56"/>
    </row>
    <row r="15539" spans="1:1">
      <c r="A15539" s="56"/>
    </row>
    <row r="15540" spans="1:1">
      <c r="A15540" s="56"/>
    </row>
    <row r="15541" spans="1:1">
      <c r="A15541" s="56"/>
    </row>
    <row r="15542" spans="1:1">
      <c r="A15542" s="56"/>
    </row>
    <row r="15543" spans="1:1">
      <c r="A15543" s="56"/>
    </row>
    <row r="15544" spans="1:1">
      <c r="A15544" s="56"/>
    </row>
    <row r="15545" spans="1:1">
      <c r="A15545" s="56"/>
    </row>
    <row r="15546" spans="1:1">
      <c r="A15546" s="56"/>
    </row>
    <row r="15547" spans="1:1">
      <c r="A15547" s="56"/>
    </row>
    <row r="15548" spans="1:1">
      <c r="A15548" s="56"/>
    </row>
    <row r="15549" spans="1:1">
      <c r="A15549" s="56"/>
    </row>
    <row r="15550" spans="1:1">
      <c r="A15550" s="56"/>
    </row>
    <row r="15551" spans="1:1">
      <c r="A15551" s="56"/>
    </row>
    <row r="15552" spans="1:1">
      <c r="A15552" s="56"/>
    </row>
    <row r="15553" spans="1:1">
      <c r="A15553" s="56"/>
    </row>
    <row r="15554" spans="1:1">
      <c r="A15554" s="56"/>
    </row>
    <row r="15555" spans="1:1">
      <c r="A15555" s="56"/>
    </row>
    <row r="15556" spans="1:1">
      <c r="A15556" s="56"/>
    </row>
    <row r="15557" spans="1:1">
      <c r="A15557" s="56"/>
    </row>
    <row r="15558" spans="1:1">
      <c r="A15558" s="56"/>
    </row>
    <row r="15559" spans="1:1">
      <c r="A15559" s="56"/>
    </row>
    <row r="15560" spans="1:1">
      <c r="A15560" s="56"/>
    </row>
    <row r="15561" spans="1:1">
      <c r="A15561" s="56"/>
    </row>
    <row r="15562" spans="1:1">
      <c r="A15562" s="56"/>
    </row>
    <row r="15563" spans="1:1">
      <c r="A15563" s="56"/>
    </row>
    <row r="15564" spans="1:1">
      <c r="A15564" s="56"/>
    </row>
    <row r="15565" spans="1:1">
      <c r="A15565" s="56"/>
    </row>
    <row r="15566" spans="1:1">
      <c r="A15566" s="56"/>
    </row>
    <row r="15567" spans="1:1">
      <c r="A15567" s="56"/>
    </row>
    <row r="15568" spans="1:1">
      <c r="A15568" s="56"/>
    </row>
    <row r="15569" spans="1:1">
      <c r="A15569" s="56"/>
    </row>
    <row r="15570" spans="1:1">
      <c r="A15570" s="56"/>
    </row>
    <row r="15571" spans="1:1">
      <c r="A15571" s="56"/>
    </row>
    <row r="15572" spans="1:1">
      <c r="A15572" s="56"/>
    </row>
    <row r="15573" spans="1:1">
      <c r="A15573" s="56"/>
    </row>
    <row r="15574" spans="1:1">
      <c r="A15574" s="56"/>
    </row>
    <row r="15575" spans="1:1">
      <c r="A15575" s="56"/>
    </row>
    <row r="15576" spans="1:1">
      <c r="A15576" s="56"/>
    </row>
    <row r="15577" spans="1:1">
      <c r="A15577" s="56"/>
    </row>
    <row r="15578" spans="1:1">
      <c r="A15578" s="56"/>
    </row>
    <row r="15579" spans="1:1">
      <c r="A15579" s="56"/>
    </row>
    <row r="15580" spans="1:1">
      <c r="A15580" s="56"/>
    </row>
    <row r="15581" spans="1:1">
      <c r="A15581" s="56"/>
    </row>
    <row r="15582" spans="1:1">
      <c r="A15582" s="56"/>
    </row>
    <row r="15583" spans="1:1">
      <c r="A15583" s="56"/>
    </row>
    <row r="15584" spans="1:1">
      <c r="A15584" s="56"/>
    </row>
    <row r="15585" spans="1:1">
      <c r="A15585" s="56"/>
    </row>
    <row r="15586" spans="1:1">
      <c r="A15586" s="56"/>
    </row>
    <row r="15587" spans="1:1">
      <c r="A15587" s="56"/>
    </row>
    <row r="15588" spans="1:1">
      <c r="A15588" s="56"/>
    </row>
    <row r="15589" spans="1:1">
      <c r="A15589" s="56"/>
    </row>
    <row r="15590" spans="1:1">
      <c r="A15590" s="56"/>
    </row>
    <row r="15591" spans="1:1">
      <c r="A15591" s="56"/>
    </row>
    <row r="15592" spans="1:1">
      <c r="A15592" s="56"/>
    </row>
    <row r="15593" spans="1:1">
      <c r="A15593" s="56"/>
    </row>
    <row r="15594" spans="1:1">
      <c r="A15594" s="56"/>
    </row>
    <row r="15595" spans="1:1">
      <c r="A15595" s="56"/>
    </row>
    <row r="15596" spans="1:1">
      <c r="A15596" s="56"/>
    </row>
    <row r="15597" spans="1:1">
      <c r="A15597" s="56"/>
    </row>
    <row r="15598" spans="1:1">
      <c r="A15598" s="56"/>
    </row>
    <row r="15599" spans="1:1">
      <c r="A15599" s="56"/>
    </row>
    <row r="15600" spans="1:1">
      <c r="A15600" s="56"/>
    </row>
    <row r="15601" spans="1:1">
      <c r="A15601" s="56"/>
    </row>
    <row r="15602" spans="1:1">
      <c r="A15602" s="56"/>
    </row>
    <row r="15603" spans="1:1">
      <c r="A15603" s="56"/>
    </row>
    <row r="15604" spans="1:1">
      <c r="A15604" s="56"/>
    </row>
    <row r="15605" spans="1:1">
      <c r="A15605" s="56"/>
    </row>
    <row r="15606" spans="1:1">
      <c r="A15606" s="56"/>
    </row>
    <row r="15607" spans="1:1">
      <c r="A15607" s="56"/>
    </row>
    <row r="15608" spans="1:1">
      <c r="A15608" s="56"/>
    </row>
    <row r="15609" spans="1:1">
      <c r="A15609" s="56"/>
    </row>
    <row r="15610" spans="1:1">
      <c r="A15610" s="56"/>
    </row>
    <row r="15611" spans="1:1">
      <c r="A15611" s="56"/>
    </row>
    <row r="15612" spans="1:1">
      <c r="A15612" s="56"/>
    </row>
    <row r="15613" spans="1:1">
      <c r="A15613" s="56"/>
    </row>
    <row r="15614" spans="1:1">
      <c r="A15614" s="56"/>
    </row>
    <row r="15615" spans="1:1">
      <c r="A15615" s="56"/>
    </row>
    <row r="15616" spans="1:1">
      <c r="A15616" s="56"/>
    </row>
    <row r="15617" spans="1:1">
      <c r="A15617" s="56"/>
    </row>
    <row r="15618" spans="1:1">
      <c r="A15618" s="56"/>
    </row>
    <row r="15619" spans="1:1">
      <c r="A15619" s="56"/>
    </row>
    <row r="15620" spans="1:1">
      <c r="A15620" s="56"/>
    </row>
    <row r="15621" spans="1:1">
      <c r="A15621" s="56"/>
    </row>
    <row r="15622" spans="1:1">
      <c r="A15622" s="56"/>
    </row>
    <row r="15623" spans="1:1">
      <c r="A15623" s="56"/>
    </row>
    <row r="15624" spans="1:1">
      <c r="A15624" s="56"/>
    </row>
    <row r="15625" spans="1:1">
      <c r="A15625" s="56"/>
    </row>
    <row r="15626" spans="1:1">
      <c r="A15626" s="56"/>
    </row>
    <row r="15627" spans="1:1">
      <c r="A15627" s="56"/>
    </row>
    <row r="15628" spans="1:1">
      <c r="A15628" s="56"/>
    </row>
    <row r="15629" spans="1:1">
      <c r="A15629" s="56"/>
    </row>
    <row r="15630" spans="1:1">
      <c r="A15630" s="56"/>
    </row>
    <row r="15631" spans="1:1">
      <c r="A15631" s="56"/>
    </row>
    <row r="15632" spans="1:1">
      <c r="A15632" s="56"/>
    </row>
    <row r="15633" spans="1:1">
      <c r="A15633" s="56"/>
    </row>
    <row r="15634" spans="1:1">
      <c r="A15634" s="56"/>
    </row>
    <row r="15635" spans="1:1">
      <c r="A15635" s="56"/>
    </row>
    <row r="15636" spans="1:1">
      <c r="A15636" s="56"/>
    </row>
    <row r="15637" spans="1:1">
      <c r="A15637" s="56"/>
    </row>
    <row r="15638" spans="1:1">
      <c r="A15638" s="56"/>
    </row>
    <row r="15639" spans="1:1">
      <c r="A15639" s="56"/>
    </row>
    <row r="15640" spans="1:1">
      <c r="A15640" s="56"/>
    </row>
    <row r="15641" spans="1:1">
      <c r="A15641" s="56"/>
    </row>
    <row r="15642" spans="1:1">
      <c r="A15642" s="56"/>
    </row>
    <row r="15643" spans="1:1">
      <c r="A15643" s="56"/>
    </row>
    <row r="15644" spans="1:1">
      <c r="A15644" s="56"/>
    </row>
    <row r="15645" spans="1:1">
      <c r="A15645" s="56"/>
    </row>
    <row r="15646" spans="1:1">
      <c r="A15646" s="56"/>
    </row>
    <row r="15647" spans="1:1">
      <c r="A15647" s="56"/>
    </row>
    <row r="15648" spans="1:1">
      <c r="A15648" s="56"/>
    </row>
    <row r="15649" spans="1:1">
      <c r="A15649" s="56"/>
    </row>
    <row r="15650" spans="1:1">
      <c r="A15650" s="56"/>
    </row>
    <row r="15651" spans="1:1">
      <c r="A15651" s="56"/>
    </row>
    <row r="15652" spans="1:1">
      <c r="A15652" s="56"/>
    </row>
    <row r="15653" spans="1:1">
      <c r="A15653" s="56"/>
    </row>
    <row r="15654" spans="1:1">
      <c r="A15654" s="56"/>
    </row>
    <row r="15655" spans="1:1">
      <c r="A15655" s="56"/>
    </row>
    <row r="15656" spans="1:1">
      <c r="A15656" s="56"/>
    </row>
    <row r="15657" spans="1:1">
      <c r="A15657" s="56"/>
    </row>
    <row r="15658" spans="1:1">
      <c r="A15658" s="56"/>
    </row>
    <row r="15659" spans="1:1">
      <c r="A15659" s="56"/>
    </row>
    <row r="15660" spans="1:1">
      <c r="A15660" s="56"/>
    </row>
    <row r="15661" spans="1:1">
      <c r="A15661" s="56"/>
    </row>
    <row r="15662" spans="1:1">
      <c r="A15662" s="56"/>
    </row>
    <row r="15663" spans="1:1">
      <c r="A15663" s="56"/>
    </row>
    <row r="15664" spans="1:1">
      <c r="A15664" s="56"/>
    </row>
    <row r="15665" spans="1:1">
      <c r="A15665" s="56"/>
    </row>
    <row r="15666" spans="1:1">
      <c r="A15666" s="56"/>
    </row>
    <row r="15667" spans="1:1">
      <c r="A15667" s="56"/>
    </row>
    <row r="15668" spans="1:1">
      <c r="A15668" s="56"/>
    </row>
    <row r="15669" spans="1:1">
      <c r="A15669" s="56"/>
    </row>
    <row r="15670" spans="1:1">
      <c r="A15670" s="56"/>
    </row>
    <row r="15671" spans="1:1">
      <c r="A15671" s="56"/>
    </row>
    <row r="15672" spans="1:1">
      <c r="A15672" s="56"/>
    </row>
    <row r="15673" spans="1:1">
      <c r="A15673" s="56"/>
    </row>
    <row r="15674" spans="1:1">
      <c r="A15674" s="56"/>
    </row>
    <row r="15675" spans="1:1">
      <c r="A15675" s="56"/>
    </row>
    <row r="15676" spans="1:1">
      <c r="A15676" s="56"/>
    </row>
    <row r="15677" spans="1:1">
      <c r="A15677" s="56"/>
    </row>
    <row r="15678" spans="1:1">
      <c r="A15678" s="56"/>
    </row>
    <row r="15679" spans="1:1">
      <c r="A15679" s="56"/>
    </row>
    <row r="15680" spans="1:1">
      <c r="A15680" s="56"/>
    </row>
    <row r="15681" spans="1:1">
      <c r="A15681" s="56"/>
    </row>
    <row r="15682" spans="1:1">
      <c r="A15682" s="56"/>
    </row>
    <row r="15683" spans="1:1">
      <c r="A15683" s="56"/>
    </row>
    <row r="15684" spans="1:1">
      <c r="A15684" s="56"/>
    </row>
    <row r="15685" spans="1:1">
      <c r="A15685" s="56"/>
    </row>
    <row r="15686" spans="1:1">
      <c r="A15686" s="56"/>
    </row>
    <row r="15687" spans="1:1">
      <c r="A15687" s="56"/>
    </row>
    <row r="15688" spans="1:1">
      <c r="A15688" s="56"/>
    </row>
    <row r="15689" spans="1:1">
      <c r="A15689" s="56"/>
    </row>
    <row r="15690" spans="1:1">
      <c r="A15690" s="56"/>
    </row>
    <row r="15691" spans="1:1">
      <c r="A15691" s="56"/>
    </row>
    <row r="15692" spans="1:1">
      <c r="A15692" s="56"/>
    </row>
    <row r="15693" spans="1:1">
      <c r="A15693" s="56"/>
    </row>
    <row r="15694" spans="1:1">
      <c r="A15694" s="56"/>
    </row>
    <row r="15695" spans="1:1">
      <c r="A15695" s="56"/>
    </row>
    <row r="15696" spans="1:1">
      <c r="A15696" s="56"/>
    </row>
    <row r="15697" spans="1:1">
      <c r="A15697" s="56"/>
    </row>
    <row r="15698" spans="1:1">
      <c r="A15698" s="56"/>
    </row>
    <row r="15699" spans="1:1">
      <c r="A15699" s="56"/>
    </row>
    <row r="15700" spans="1:1">
      <c r="A15700" s="56"/>
    </row>
    <row r="15701" spans="1:1">
      <c r="A15701" s="56"/>
    </row>
    <row r="15702" spans="1:1">
      <c r="A15702" s="56"/>
    </row>
    <row r="15703" spans="1:1">
      <c r="A15703" s="56"/>
    </row>
    <row r="15704" spans="1:1">
      <c r="A15704" s="56"/>
    </row>
    <row r="15705" spans="1:1">
      <c r="A15705" s="56"/>
    </row>
    <row r="15706" spans="1:1">
      <c r="A15706" s="56"/>
    </row>
    <row r="15707" spans="1:1">
      <c r="A15707" s="56"/>
    </row>
    <row r="15708" spans="1:1">
      <c r="A15708" s="56"/>
    </row>
    <row r="15709" spans="1:1">
      <c r="A15709" s="56"/>
    </row>
    <row r="15710" spans="1:1">
      <c r="A15710" s="56"/>
    </row>
    <row r="15711" spans="1:1">
      <c r="A15711" s="56"/>
    </row>
    <row r="15712" spans="1:1">
      <c r="A15712" s="56"/>
    </row>
    <row r="15713" spans="1:1">
      <c r="A15713" s="56"/>
    </row>
    <row r="15714" spans="1:1">
      <c r="A15714" s="56"/>
    </row>
    <row r="15715" spans="1:1">
      <c r="A15715" s="56"/>
    </row>
    <row r="15716" spans="1:1">
      <c r="A15716" s="56"/>
    </row>
    <row r="15717" spans="1:1">
      <c r="A15717" s="56"/>
    </row>
    <row r="15718" spans="1:1">
      <c r="A15718" s="56"/>
    </row>
    <row r="15719" spans="1:1">
      <c r="A15719" s="56"/>
    </row>
    <row r="15720" spans="1:1">
      <c r="A15720" s="56"/>
    </row>
    <row r="15721" spans="1:1">
      <c r="A15721" s="56"/>
    </row>
    <row r="15722" spans="1:1">
      <c r="A15722" s="56"/>
    </row>
    <row r="15723" spans="1:1">
      <c r="A15723" s="56"/>
    </row>
    <row r="15724" spans="1:1">
      <c r="A15724" s="56"/>
    </row>
    <row r="15725" spans="1:1">
      <c r="A15725" s="56"/>
    </row>
    <row r="15726" spans="1:1">
      <c r="A15726" s="56"/>
    </row>
    <row r="15727" spans="1:1">
      <c r="A15727" s="56"/>
    </row>
    <row r="15728" spans="1:1">
      <c r="A15728" s="56"/>
    </row>
    <row r="15729" spans="1:1">
      <c r="A15729" s="56"/>
    </row>
    <row r="15730" spans="1:1">
      <c r="A15730" s="56"/>
    </row>
    <row r="15731" spans="1:1">
      <c r="A15731" s="56"/>
    </row>
    <row r="15732" spans="1:1">
      <c r="A15732" s="56"/>
    </row>
    <row r="15733" spans="1:1">
      <c r="A15733" s="56"/>
    </row>
    <row r="15734" spans="1:1">
      <c r="A15734" s="56"/>
    </row>
    <row r="15735" spans="1:1">
      <c r="A15735" s="56"/>
    </row>
    <row r="15736" spans="1:1">
      <c r="A15736" s="56"/>
    </row>
    <row r="15737" spans="1:1">
      <c r="A15737" s="56"/>
    </row>
    <row r="15738" spans="1:1">
      <c r="A15738" s="56"/>
    </row>
    <row r="15739" spans="1:1">
      <c r="A15739" s="56"/>
    </row>
    <row r="15740" spans="1:1">
      <c r="A15740" s="56"/>
    </row>
    <row r="15741" spans="1:1">
      <c r="A15741" s="56"/>
    </row>
    <row r="15742" spans="1:1">
      <c r="A15742" s="56"/>
    </row>
    <row r="15743" spans="1:1">
      <c r="A15743" s="56"/>
    </row>
    <row r="15744" spans="1:1">
      <c r="A15744" s="56"/>
    </row>
    <row r="15745" spans="1:1">
      <c r="A15745" s="56"/>
    </row>
    <row r="15746" spans="1:1">
      <c r="A15746" s="56"/>
    </row>
    <row r="15747" spans="1:1">
      <c r="A15747" s="56"/>
    </row>
    <row r="15748" spans="1:1">
      <c r="A15748" s="56"/>
    </row>
    <row r="15749" spans="1:1">
      <c r="A15749" s="56"/>
    </row>
    <row r="15750" spans="1:1">
      <c r="A15750" s="56"/>
    </row>
    <row r="15751" spans="1:1">
      <c r="A15751" s="56"/>
    </row>
    <row r="15752" spans="1:1">
      <c r="A15752" s="56"/>
    </row>
    <row r="15753" spans="1:1">
      <c r="A15753" s="56"/>
    </row>
    <row r="15754" spans="1:1">
      <c r="A15754" s="56"/>
    </row>
    <row r="15755" spans="1:1">
      <c r="A15755" s="56"/>
    </row>
    <row r="15756" spans="1:1">
      <c r="A15756" s="56"/>
    </row>
    <row r="15757" spans="1:1">
      <c r="A15757" s="56"/>
    </row>
    <row r="15758" spans="1:1">
      <c r="A15758" s="56"/>
    </row>
    <row r="15759" spans="1:1">
      <c r="A15759" s="56"/>
    </row>
    <row r="15760" spans="1:1">
      <c r="A15760" s="56"/>
    </row>
    <row r="15761" spans="1:1">
      <c r="A15761" s="56"/>
    </row>
    <row r="15762" spans="1:1">
      <c r="A15762" s="56"/>
    </row>
    <row r="15763" spans="1:1">
      <c r="A15763" s="56"/>
    </row>
    <row r="15764" spans="1:1">
      <c r="A15764" s="56"/>
    </row>
    <row r="15765" spans="1:1">
      <c r="A15765" s="56"/>
    </row>
    <row r="15766" spans="1:1">
      <c r="A15766" s="56"/>
    </row>
    <row r="15767" spans="1:1">
      <c r="A15767" s="56"/>
    </row>
    <row r="15768" spans="1:1">
      <c r="A15768" s="56"/>
    </row>
    <row r="15769" spans="1:1">
      <c r="A15769" s="56"/>
    </row>
    <row r="15770" spans="1:1">
      <c r="A15770" s="56"/>
    </row>
    <row r="15771" spans="1:1">
      <c r="A15771" s="56"/>
    </row>
    <row r="15772" spans="1:1">
      <c r="A15772" s="56"/>
    </row>
    <row r="15773" spans="1:1">
      <c r="A15773" s="56"/>
    </row>
    <row r="15774" spans="1:1">
      <c r="A15774" s="56"/>
    </row>
    <row r="15775" spans="1:1">
      <c r="A15775" s="56"/>
    </row>
    <row r="15776" spans="1:1">
      <c r="A15776" s="56"/>
    </row>
    <row r="15777" spans="1:1">
      <c r="A15777" s="56"/>
    </row>
    <row r="15778" spans="1:1">
      <c r="A15778" s="56"/>
    </row>
    <row r="15779" spans="1:1">
      <c r="A15779" s="56"/>
    </row>
    <row r="15780" spans="1:1">
      <c r="A15780" s="56"/>
    </row>
    <row r="15781" spans="1:1">
      <c r="A15781" s="56"/>
    </row>
    <row r="15782" spans="1:1">
      <c r="A15782" s="56"/>
    </row>
    <row r="15783" spans="1:1">
      <c r="A15783" s="56"/>
    </row>
    <row r="15784" spans="1:1">
      <c r="A15784" s="56"/>
    </row>
    <row r="15785" spans="1:1">
      <c r="A15785" s="56"/>
    </row>
    <row r="15786" spans="1:1">
      <c r="A15786" s="56"/>
    </row>
    <row r="15787" spans="1:1">
      <c r="A15787" s="56"/>
    </row>
    <row r="15788" spans="1:1">
      <c r="A15788" s="56"/>
    </row>
    <row r="15789" spans="1:1">
      <c r="A15789" s="56"/>
    </row>
    <row r="15790" spans="1:1">
      <c r="A15790" s="56"/>
    </row>
    <row r="15791" spans="1:1">
      <c r="A15791" s="56"/>
    </row>
    <row r="15792" spans="1:1">
      <c r="A15792" s="56"/>
    </row>
    <row r="15793" spans="1:1">
      <c r="A15793" s="56"/>
    </row>
    <row r="15794" spans="1:1">
      <c r="A15794" s="56"/>
    </row>
    <row r="15795" spans="1:1">
      <c r="A15795" s="56"/>
    </row>
    <row r="15796" spans="1:1">
      <c r="A15796" s="56"/>
    </row>
    <row r="15797" spans="1:1">
      <c r="A15797" s="56"/>
    </row>
    <row r="15798" spans="1:1">
      <c r="A15798" s="56"/>
    </row>
    <row r="15799" spans="1:1">
      <c r="A15799" s="56"/>
    </row>
    <row r="15800" spans="1:1">
      <c r="A15800" s="56"/>
    </row>
    <row r="15801" spans="1:1">
      <c r="A15801" s="56"/>
    </row>
    <row r="15802" spans="1:1">
      <c r="A15802" s="56"/>
    </row>
    <row r="15803" spans="1:1">
      <c r="A15803" s="56"/>
    </row>
    <row r="15804" spans="1:1">
      <c r="A15804" s="56"/>
    </row>
    <row r="15805" spans="1:1">
      <c r="A15805" s="56"/>
    </row>
    <row r="15806" spans="1:1">
      <c r="A15806" s="56"/>
    </row>
    <row r="15807" spans="1:1">
      <c r="A15807" s="56"/>
    </row>
    <row r="15808" spans="1:1">
      <c r="A15808" s="56"/>
    </row>
    <row r="15809" spans="1:1">
      <c r="A15809" s="56"/>
    </row>
    <row r="15810" spans="1:1">
      <c r="A15810" s="56"/>
    </row>
    <row r="15811" spans="1:1">
      <c r="A15811" s="56"/>
    </row>
    <row r="15812" spans="1:1">
      <c r="A15812" s="56"/>
    </row>
    <row r="15813" spans="1:1">
      <c r="A15813" s="56"/>
    </row>
    <row r="15814" spans="1:1">
      <c r="A15814" s="56"/>
    </row>
    <row r="15815" spans="1:1">
      <c r="A15815" s="56"/>
    </row>
    <row r="15816" spans="1:1">
      <c r="A15816" s="56"/>
    </row>
    <row r="15817" spans="1:1">
      <c r="A15817" s="56"/>
    </row>
    <row r="15818" spans="1:1">
      <c r="A15818" s="56"/>
    </row>
    <row r="15819" spans="1:1">
      <c r="A15819" s="56"/>
    </row>
    <row r="15820" spans="1:1">
      <c r="A15820" s="56"/>
    </row>
    <row r="15821" spans="1:1">
      <c r="A15821" s="56"/>
    </row>
    <row r="15822" spans="1:1">
      <c r="A15822" s="56"/>
    </row>
    <row r="15823" spans="1:1">
      <c r="A15823" s="56"/>
    </row>
    <row r="15824" spans="1:1">
      <c r="A15824" s="56"/>
    </row>
    <row r="15825" spans="1:1">
      <c r="A15825" s="56"/>
    </row>
    <row r="15826" spans="1:1">
      <c r="A15826" s="56"/>
    </row>
    <row r="15827" spans="1:1">
      <c r="A15827" s="56"/>
    </row>
    <row r="15828" spans="1:1">
      <c r="A15828" s="56"/>
    </row>
    <row r="15829" spans="1:1">
      <c r="A15829" s="56"/>
    </row>
    <row r="15830" spans="1:1">
      <c r="A15830" s="56"/>
    </row>
    <row r="15831" spans="1:1">
      <c r="A15831" s="56"/>
    </row>
    <row r="15832" spans="1:1">
      <c r="A15832" s="56"/>
    </row>
    <row r="15833" spans="1:1">
      <c r="A15833" s="56"/>
    </row>
    <row r="15834" spans="1:1">
      <c r="A15834" s="56"/>
    </row>
    <row r="15835" spans="1:1">
      <c r="A15835" s="56"/>
    </row>
    <row r="15836" spans="1:1">
      <c r="A15836" s="56"/>
    </row>
    <row r="15837" spans="1:1">
      <c r="A15837" s="56"/>
    </row>
    <row r="15838" spans="1:1">
      <c r="A15838" s="56"/>
    </row>
    <row r="15839" spans="1:1">
      <c r="A15839" s="56"/>
    </row>
    <row r="15840" spans="1:1">
      <c r="A15840" s="56"/>
    </row>
    <row r="15841" spans="1:1">
      <c r="A15841" s="56"/>
    </row>
    <row r="15842" spans="1:1">
      <c r="A15842" s="56"/>
    </row>
    <row r="15843" spans="1:1">
      <c r="A15843" s="56"/>
    </row>
    <row r="15844" spans="1:1">
      <c r="A15844" s="56"/>
    </row>
    <row r="15845" spans="1:1">
      <c r="A15845" s="56"/>
    </row>
    <row r="15846" spans="1:1">
      <c r="A15846" s="56"/>
    </row>
    <row r="15847" spans="1:1">
      <c r="A15847" s="56"/>
    </row>
    <row r="15848" spans="1:1">
      <c r="A15848" s="56"/>
    </row>
    <row r="15849" spans="1:1">
      <c r="A15849" s="56"/>
    </row>
    <row r="15850" spans="1:1">
      <c r="A15850" s="56"/>
    </row>
    <row r="15851" spans="1:1">
      <c r="A15851" s="56"/>
    </row>
    <row r="15852" spans="1:1">
      <c r="A15852" s="56"/>
    </row>
    <row r="15853" spans="1:1">
      <c r="A15853" s="56"/>
    </row>
    <row r="15854" spans="1:1">
      <c r="A15854" s="56"/>
    </row>
    <row r="15855" spans="1:1">
      <c r="A15855" s="56"/>
    </row>
    <row r="15856" spans="1:1">
      <c r="A15856" s="56"/>
    </row>
    <row r="15857" spans="1:1">
      <c r="A15857" s="56"/>
    </row>
    <row r="15858" spans="1:1">
      <c r="A15858" s="56"/>
    </row>
    <row r="15859" spans="1:1">
      <c r="A15859" s="56"/>
    </row>
    <row r="15860" spans="1:1">
      <c r="A15860" s="56"/>
    </row>
    <row r="15861" spans="1:1">
      <c r="A15861" s="56"/>
    </row>
    <row r="15862" spans="1:1">
      <c r="A15862" s="56"/>
    </row>
    <row r="15863" spans="1:1">
      <c r="A15863" s="56"/>
    </row>
    <row r="15864" spans="1:1">
      <c r="A15864" s="56"/>
    </row>
    <row r="15865" spans="1:1">
      <c r="A15865" s="56"/>
    </row>
    <row r="15866" spans="1:1">
      <c r="A15866" s="56"/>
    </row>
    <row r="15867" spans="1:1">
      <c r="A15867" s="56"/>
    </row>
    <row r="15868" spans="1:1">
      <c r="A15868" s="56"/>
    </row>
    <row r="15869" spans="1:1">
      <c r="A15869" s="56"/>
    </row>
    <row r="15870" spans="1:1">
      <c r="A15870" s="56"/>
    </row>
    <row r="15871" spans="1:1">
      <c r="A15871" s="56"/>
    </row>
    <row r="15872" spans="1:1">
      <c r="A15872" s="56"/>
    </row>
    <row r="15873" spans="1:1">
      <c r="A15873" s="56"/>
    </row>
    <row r="15874" spans="1:1">
      <c r="A15874" s="56"/>
    </row>
    <row r="15875" spans="1:1">
      <c r="A15875" s="56"/>
    </row>
    <row r="15876" spans="1:1">
      <c r="A15876" s="56"/>
    </row>
    <row r="15877" spans="1:1">
      <c r="A15877" s="56"/>
    </row>
    <row r="15878" spans="1:1">
      <c r="A15878" s="56"/>
    </row>
    <row r="15879" spans="1:1">
      <c r="A15879" s="56"/>
    </row>
    <row r="15880" spans="1:1">
      <c r="A15880" s="56"/>
    </row>
    <row r="15881" spans="1:1">
      <c r="A15881" s="56"/>
    </row>
    <row r="15882" spans="1:1">
      <c r="A15882" s="56"/>
    </row>
    <row r="15883" spans="1:1">
      <c r="A15883" s="56"/>
    </row>
    <row r="15884" spans="1:1">
      <c r="A15884" s="56"/>
    </row>
    <row r="15885" spans="1:1">
      <c r="A15885" s="56"/>
    </row>
    <row r="15886" spans="1:1">
      <c r="A15886" s="56"/>
    </row>
    <row r="15887" spans="1:1">
      <c r="A15887" s="56"/>
    </row>
    <row r="15888" spans="1:1">
      <c r="A15888" s="56"/>
    </row>
    <row r="15889" spans="1:1">
      <c r="A15889" s="56"/>
    </row>
    <row r="15890" spans="1:1">
      <c r="A15890" s="56"/>
    </row>
    <row r="15891" spans="1:1">
      <c r="A15891" s="56"/>
    </row>
    <row r="15892" spans="1:1">
      <c r="A15892" s="56"/>
    </row>
    <row r="15893" spans="1:1">
      <c r="A15893" s="56"/>
    </row>
    <row r="15894" spans="1:1">
      <c r="A15894" s="56"/>
    </row>
    <row r="15895" spans="1:1">
      <c r="A15895" s="56"/>
    </row>
    <row r="15896" spans="1:1">
      <c r="A15896" s="56"/>
    </row>
    <row r="15897" spans="1:1">
      <c r="A15897" s="56"/>
    </row>
    <row r="15898" spans="1:1">
      <c r="A15898" s="56"/>
    </row>
    <row r="15899" spans="1:1">
      <c r="A15899" s="56"/>
    </row>
    <row r="15900" spans="1:1">
      <c r="A15900" s="56"/>
    </row>
    <row r="15901" spans="1:1">
      <c r="A15901" s="56"/>
    </row>
    <row r="15902" spans="1:1">
      <c r="A15902" s="56"/>
    </row>
    <row r="15903" spans="1:1">
      <c r="A15903" s="56"/>
    </row>
    <row r="15904" spans="1:1">
      <c r="A15904" s="56"/>
    </row>
    <row r="15905" spans="1:1">
      <c r="A15905" s="56"/>
    </row>
    <row r="15906" spans="1:1">
      <c r="A15906" s="56"/>
    </row>
    <row r="15907" spans="1:1">
      <c r="A15907" s="56"/>
    </row>
    <row r="15908" spans="1:1">
      <c r="A15908" s="56"/>
    </row>
    <row r="15909" spans="1:1">
      <c r="A15909" s="56"/>
    </row>
    <row r="15910" spans="1:1">
      <c r="A15910" s="56"/>
    </row>
    <row r="15911" spans="1:1">
      <c r="A15911" s="56"/>
    </row>
    <row r="15912" spans="1:1">
      <c r="A15912" s="56"/>
    </row>
    <row r="15913" spans="1:1">
      <c r="A15913" s="56"/>
    </row>
    <row r="15914" spans="1:1">
      <c r="A15914" s="56"/>
    </row>
    <row r="15915" spans="1:1">
      <c r="A15915" s="56"/>
    </row>
    <row r="15916" spans="1:1">
      <c r="A15916" s="56"/>
    </row>
    <row r="15917" spans="1:1">
      <c r="A15917" s="56"/>
    </row>
    <row r="15918" spans="1:1">
      <c r="A15918" s="56"/>
    </row>
    <row r="15919" spans="1:1">
      <c r="A15919" s="56"/>
    </row>
    <row r="15920" spans="1:1">
      <c r="A15920" s="56"/>
    </row>
    <row r="15921" spans="1:1">
      <c r="A15921" s="56"/>
    </row>
    <row r="15922" spans="1:1">
      <c r="A15922" s="56"/>
    </row>
    <row r="15923" spans="1:1">
      <c r="A15923" s="56"/>
    </row>
    <row r="15924" spans="1:1">
      <c r="A15924" s="56"/>
    </row>
    <row r="15925" spans="1:1">
      <c r="A15925" s="56"/>
    </row>
    <row r="15926" spans="1:1">
      <c r="A15926" s="56"/>
    </row>
    <row r="15927" spans="1:1">
      <c r="A15927" s="56"/>
    </row>
    <row r="15928" spans="1:1">
      <c r="A15928" s="56"/>
    </row>
    <row r="15929" spans="1:1">
      <c r="A15929" s="56"/>
    </row>
    <row r="15930" spans="1:1">
      <c r="A15930" s="56"/>
    </row>
    <row r="15931" spans="1:1">
      <c r="A15931" s="56"/>
    </row>
    <row r="15932" spans="1:1">
      <c r="A15932" s="56"/>
    </row>
    <row r="15933" spans="1:1">
      <c r="A15933" s="56"/>
    </row>
    <row r="15934" spans="1:1">
      <c r="A15934" s="56"/>
    </row>
    <row r="15935" spans="1:1">
      <c r="A15935" s="56"/>
    </row>
    <row r="15936" spans="1:1">
      <c r="A15936" s="56"/>
    </row>
    <row r="15937" spans="1:1">
      <c r="A15937" s="56"/>
    </row>
    <row r="15938" spans="1:1">
      <c r="A15938" s="56"/>
    </row>
    <row r="15939" spans="1:1">
      <c r="A15939" s="56"/>
    </row>
    <row r="15940" spans="1:1">
      <c r="A15940" s="56"/>
    </row>
    <row r="15941" spans="1:1">
      <c r="A15941" s="56"/>
    </row>
    <row r="15942" spans="1:1">
      <c r="A15942" s="56"/>
    </row>
    <row r="15943" spans="1:1">
      <c r="A15943" s="56"/>
    </row>
    <row r="15944" spans="1:1">
      <c r="A15944" s="56"/>
    </row>
    <row r="15945" spans="1:1">
      <c r="A15945" s="56"/>
    </row>
    <row r="15946" spans="1:1">
      <c r="A15946" s="56"/>
    </row>
    <row r="15947" spans="1:1">
      <c r="A15947" s="56"/>
    </row>
    <row r="15948" spans="1:1">
      <c r="A15948" s="56"/>
    </row>
    <row r="15949" spans="1:1">
      <c r="A15949" s="56"/>
    </row>
    <row r="15950" spans="1:1">
      <c r="A15950" s="56"/>
    </row>
    <row r="15951" spans="1:1">
      <c r="A15951" s="56"/>
    </row>
    <row r="15952" spans="1:1">
      <c r="A15952" s="56"/>
    </row>
    <row r="15953" spans="1:1">
      <c r="A15953" s="56"/>
    </row>
    <row r="15954" spans="1:1">
      <c r="A15954" s="56"/>
    </row>
    <row r="15955" spans="1:1">
      <c r="A15955" s="56"/>
    </row>
    <row r="15956" spans="1:1">
      <c r="A15956" s="56"/>
    </row>
    <row r="15957" spans="1:1">
      <c r="A15957" s="56"/>
    </row>
    <row r="15958" spans="1:1">
      <c r="A15958" s="56"/>
    </row>
    <row r="15959" spans="1:1">
      <c r="A15959" s="56"/>
    </row>
    <row r="15960" spans="1:1">
      <c r="A15960" s="56"/>
    </row>
    <row r="15961" spans="1:1">
      <c r="A15961" s="56"/>
    </row>
    <row r="15962" spans="1:1">
      <c r="A15962" s="56"/>
    </row>
    <row r="15963" spans="1:1">
      <c r="A15963" s="56"/>
    </row>
    <row r="15964" spans="1:1">
      <c r="A15964" s="56"/>
    </row>
    <row r="15965" spans="1:1">
      <c r="A15965" s="56"/>
    </row>
    <row r="15966" spans="1:1">
      <c r="A15966" s="56"/>
    </row>
    <row r="15967" spans="1:1">
      <c r="A15967" s="56"/>
    </row>
    <row r="15968" spans="1:1">
      <c r="A15968" s="56"/>
    </row>
    <row r="15969" spans="1:1">
      <c r="A15969" s="56"/>
    </row>
    <row r="15970" spans="1:1">
      <c r="A15970" s="56"/>
    </row>
    <row r="15971" spans="1:1">
      <c r="A15971" s="56"/>
    </row>
    <row r="15972" spans="1:1">
      <c r="A15972" s="56"/>
    </row>
    <row r="15973" spans="1:1">
      <c r="A15973" s="56"/>
    </row>
    <row r="15974" spans="1:1">
      <c r="A15974" s="56"/>
    </row>
    <row r="15975" spans="1:1">
      <c r="A15975" s="56"/>
    </row>
    <row r="15976" spans="1:1">
      <c r="A15976" s="56"/>
    </row>
    <row r="15977" spans="1:1">
      <c r="A15977" s="56"/>
    </row>
    <row r="15978" spans="1:1">
      <c r="A15978" s="56"/>
    </row>
    <row r="15979" spans="1:1">
      <c r="A15979" s="56"/>
    </row>
    <row r="15980" spans="1:1">
      <c r="A15980" s="56"/>
    </row>
    <row r="15981" spans="1:1">
      <c r="A15981" s="56"/>
    </row>
    <row r="15982" spans="1:1">
      <c r="A15982" s="56"/>
    </row>
    <row r="15983" spans="1:1">
      <c r="A15983" s="56"/>
    </row>
    <row r="15984" spans="1:1">
      <c r="A15984" s="56"/>
    </row>
    <row r="15985" spans="1:1">
      <c r="A15985" s="56"/>
    </row>
    <row r="15986" spans="1:1">
      <c r="A15986" s="56"/>
    </row>
    <row r="15987" spans="1:1">
      <c r="A15987" s="56"/>
    </row>
    <row r="15988" spans="1:1">
      <c r="A15988" s="56"/>
    </row>
    <row r="15989" spans="1:1">
      <c r="A15989" s="56"/>
    </row>
    <row r="15990" spans="1:1">
      <c r="A15990" s="56"/>
    </row>
    <row r="15991" spans="1:1">
      <c r="A15991" s="56"/>
    </row>
    <row r="15992" spans="1:1">
      <c r="A15992" s="56"/>
    </row>
    <row r="15993" spans="1:1">
      <c r="A15993" s="56"/>
    </row>
    <row r="15994" spans="1:1">
      <c r="A15994" s="56"/>
    </row>
    <row r="15995" spans="1:1">
      <c r="A15995" s="56"/>
    </row>
    <row r="15996" spans="1:1">
      <c r="A15996" s="56"/>
    </row>
    <row r="15997" spans="1:1">
      <c r="A15997" s="56"/>
    </row>
    <row r="15998" spans="1:1">
      <c r="A15998" s="56"/>
    </row>
    <row r="15999" spans="1:1">
      <c r="A15999" s="56"/>
    </row>
    <row r="16000" spans="1:1">
      <c r="A16000" s="56"/>
    </row>
    <row r="16001" spans="1:1">
      <c r="A16001" s="56"/>
    </row>
    <row r="16002" spans="1:1">
      <c r="A16002" s="56"/>
    </row>
    <row r="16003" spans="1:1">
      <c r="A16003" s="56"/>
    </row>
    <row r="16004" spans="1:1">
      <c r="A16004" s="56"/>
    </row>
    <row r="16005" spans="1:1">
      <c r="A16005" s="56"/>
    </row>
    <row r="16006" spans="1:1">
      <c r="A16006" s="56"/>
    </row>
    <row r="16007" spans="1:1">
      <c r="A16007" s="56"/>
    </row>
    <row r="16008" spans="1:1">
      <c r="A16008" s="56"/>
    </row>
    <row r="16009" spans="1:1">
      <c r="A16009" s="56"/>
    </row>
    <row r="16010" spans="1:1">
      <c r="A16010" s="56"/>
    </row>
    <row r="16011" spans="1:1">
      <c r="A16011" s="56"/>
    </row>
    <row r="16012" spans="1:1">
      <c r="A16012" s="56"/>
    </row>
    <row r="16013" spans="1:1">
      <c r="A16013" s="56"/>
    </row>
    <row r="16014" spans="1:1">
      <c r="A16014" s="56"/>
    </row>
    <row r="16015" spans="1:1">
      <c r="A16015" s="56"/>
    </row>
    <row r="16016" spans="1:1">
      <c r="A16016" s="56"/>
    </row>
    <row r="16017" spans="1:1">
      <c r="A16017" s="56"/>
    </row>
    <row r="16018" spans="1:1">
      <c r="A16018" s="56"/>
    </row>
    <row r="16019" spans="1:1">
      <c r="A16019" s="56"/>
    </row>
    <row r="16020" spans="1:1">
      <c r="A16020" s="56"/>
    </row>
    <row r="16021" spans="1:1">
      <c r="A16021" s="56"/>
    </row>
    <row r="16022" spans="1:1">
      <c r="A16022" s="56"/>
    </row>
    <row r="16023" spans="1:1">
      <c r="A16023" s="56"/>
    </row>
    <row r="16024" spans="1:1">
      <c r="A16024" s="56"/>
    </row>
    <row r="16025" spans="1:1">
      <c r="A16025" s="56"/>
    </row>
    <row r="16026" spans="1:1">
      <c r="A16026" s="56"/>
    </row>
    <row r="16027" spans="1:1">
      <c r="A16027" s="56"/>
    </row>
    <row r="16028" spans="1:1">
      <c r="A16028" s="56"/>
    </row>
    <row r="16029" spans="1:1">
      <c r="A16029" s="56"/>
    </row>
    <row r="16030" spans="1:1">
      <c r="A16030" s="56"/>
    </row>
    <row r="16031" spans="1:1">
      <c r="A16031" s="56"/>
    </row>
    <row r="16032" spans="1:1">
      <c r="A16032" s="56"/>
    </row>
    <row r="16033" spans="1:1">
      <c r="A16033" s="56"/>
    </row>
    <row r="16034" spans="1:1">
      <c r="A16034" s="56"/>
    </row>
    <row r="16035" spans="1:1">
      <c r="A16035" s="56"/>
    </row>
    <row r="16036" spans="1:1">
      <c r="A16036" s="56"/>
    </row>
    <row r="16037" spans="1:1">
      <c r="A16037" s="56"/>
    </row>
    <row r="16038" spans="1:1">
      <c r="A16038" s="56"/>
    </row>
    <row r="16039" spans="1:1">
      <c r="A16039" s="56"/>
    </row>
    <row r="16040" spans="1:1">
      <c r="A16040" s="56"/>
    </row>
    <row r="16041" spans="1:1">
      <c r="A16041" s="56"/>
    </row>
    <row r="16042" spans="1:1">
      <c r="A16042" s="56"/>
    </row>
    <row r="16043" spans="1:1">
      <c r="A16043" s="56"/>
    </row>
    <row r="16044" spans="1:1">
      <c r="A16044" s="56"/>
    </row>
    <row r="16045" spans="1:1">
      <c r="A16045" s="56"/>
    </row>
    <row r="16046" spans="1:1">
      <c r="A16046" s="56"/>
    </row>
    <row r="16047" spans="1:1">
      <c r="A16047" s="56"/>
    </row>
    <row r="16048" spans="1:1">
      <c r="A16048" s="56"/>
    </row>
    <row r="16049" spans="1:1">
      <c r="A16049" s="56"/>
    </row>
    <row r="16050" spans="1:1">
      <c r="A16050" s="56"/>
    </row>
    <row r="16051" spans="1:1">
      <c r="A16051" s="56"/>
    </row>
    <row r="16052" spans="1:1">
      <c r="A16052" s="56"/>
    </row>
    <row r="16053" spans="1:1">
      <c r="A16053" s="56"/>
    </row>
    <row r="16054" spans="1:1">
      <c r="A16054" s="56"/>
    </row>
    <row r="16055" spans="1:1">
      <c r="A16055" s="56"/>
    </row>
    <row r="16056" spans="1:1">
      <c r="A16056" s="56"/>
    </row>
    <row r="16057" spans="1:1">
      <c r="A16057" s="56"/>
    </row>
    <row r="16058" spans="1:1">
      <c r="A16058" s="56"/>
    </row>
    <row r="16059" spans="1:1">
      <c r="A16059" s="56"/>
    </row>
    <row r="16060" spans="1:1">
      <c r="A16060" s="56"/>
    </row>
    <row r="16061" spans="1:1">
      <c r="A16061" s="56"/>
    </row>
    <row r="16062" spans="1:1">
      <c r="A16062" s="56"/>
    </row>
    <row r="16063" spans="1:1">
      <c r="A16063" s="56"/>
    </row>
    <row r="16064" spans="1:1">
      <c r="A16064" s="56"/>
    </row>
    <row r="16065" spans="1:1">
      <c r="A16065" s="56"/>
    </row>
    <row r="16066" spans="1:1">
      <c r="A16066" s="56"/>
    </row>
    <row r="16067" spans="1:1">
      <c r="A16067" s="56"/>
    </row>
    <row r="16068" spans="1:1">
      <c r="A16068" s="56"/>
    </row>
    <row r="16069" spans="1:1">
      <c r="A16069" s="56"/>
    </row>
    <row r="16070" spans="1:1">
      <c r="A16070" s="56"/>
    </row>
    <row r="16071" spans="1:1">
      <c r="A16071" s="56"/>
    </row>
    <row r="16072" spans="1:1">
      <c r="A16072" s="56"/>
    </row>
    <row r="16073" spans="1:1">
      <c r="A16073" s="56"/>
    </row>
    <row r="16074" spans="1:1">
      <c r="A16074" s="56"/>
    </row>
    <row r="16075" spans="1:1">
      <c r="A16075" s="56"/>
    </row>
    <row r="16076" spans="1:1">
      <c r="A16076" s="56"/>
    </row>
    <row r="16077" spans="1:1">
      <c r="A16077" s="56"/>
    </row>
    <row r="16078" spans="1:1">
      <c r="A16078" s="56"/>
    </row>
    <row r="16079" spans="1:1">
      <c r="A16079" s="56"/>
    </row>
    <row r="16080" spans="1:1">
      <c r="A16080" s="56"/>
    </row>
    <row r="16081" spans="1:1">
      <c r="A16081" s="56"/>
    </row>
    <row r="16082" spans="1:1">
      <c r="A16082" s="56"/>
    </row>
    <row r="16083" spans="1:1">
      <c r="A16083" s="56"/>
    </row>
    <row r="16084" spans="1:1">
      <c r="A16084" s="56"/>
    </row>
    <row r="16085" spans="1:1">
      <c r="A16085" s="56"/>
    </row>
    <row r="16086" spans="1:1">
      <c r="A16086" s="56"/>
    </row>
    <row r="16087" spans="1:1">
      <c r="A16087" s="56"/>
    </row>
    <row r="16088" spans="1:1">
      <c r="A16088" s="56"/>
    </row>
    <row r="16089" spans="1:1">
      <c r="A16089" s="56"/>
    </row>
    <row r="16090" spans="1:1">
      <c r="A16090" s="56"/>
    </row>
    <row r="16091" spans="1:1">
      <c r="A16091" s="56"/>
    </row>
    <row r="16092" spans="1:1">
      <c r="A16092" s="56"/>
    </row>
    <row r="16093" spans="1:1">
      <c r="A16093" s="56"/>
    </row>
    <row r="16094" spans="1:1">
      <c r="A16094" s="56"/>
    </row>
    <row r="16095" spans="1:1">
      <c r="A16095" s="56"/>
    </row>
    <row r="16096" spans="1:1">
      <c r="A16096" s="56"/>
    </row>
    <row r="16097" spans="1:1">
      <c r="A16097" s="56"/>
    </row>
    <row r="16098" spans="1:1">
      <c r="A16098" s="56"/>
    </row>
    <row r="16099" spans="1:1">
      <c r="A16099" s="56"/>
    </row>
    <row r="16100" spans="1:1">
      <c r="A16100" s="56"/>
    </row>
    <row r="16101" spans="1:1">
      <c r="A16101" s="56"/>
    </row>
    <row r="16102" spans="1:1">
      <c r="A16102" s="56"/>
    </row>
    <row r="16103" spans="1:1">
      <c r="A16103" s="56"/>
    </row>
    <row r="16104" spans="1:1">
      <c r="A16104" s="56"/>
    </row>
    <row r="16105" spans="1:1">
      <c r="A16105" s="56"/>
    </row>
    <row r="16106" spans="1:1">
      <c r="A16106" s="56"/>
    </row>
    <row r="16107" spans="1:1">
      <c r="A16107" s="56"/>
    </row>
    <row r="16108" spans="1:1">
      <c r="A16108" s="56"/>
    </row>
    <row r="16109" spans="1:1">
      <c r="A16109" s="56"/>
    </row>
    <row r="16110" spans="1:1">
      <c r="A16110" s="56"/>
    </row>
    <row r="16111" spans="1:1">
      <c r="A16111" s="56"/>
    </row>
    <row r="16112" spans="1:1">
      <c r="A16112" s="56"/>
    </row>
    <row r="16113" spans="1:1">
      <c r="A16113" s="56"/>
    </row>
    <row r="16114" spans="1:1">
      <c r="A16114" s="56"/>
    </row>
    <row r="16115" spans="1:1">
      <c r="A16115" s="56"/>
    </row>
    <row r="16116" spans="1:1">
      <c r="A16116" s="56"/>
    </row>
    <row r="16117" spans="1:1">
      <c r="A16117" s="56"/>
    </row>
    <row r="16118" spans="1:1">
      <c r="A16118" s="56"/>
    </row>
    <row r="16119" spans="1:1">
      <c r="A16119" s="56"/>
    </row>
    <row r="16120" spans="1:1">
      <c r="A16120" s="56"/>
    </row>
    <row r="16121" spans="1:1">
      <c r="A16121" s="56"/>
    </row>
    <row r="16122" spans="1:1">
      <c r="A16122" s="56"/>
    </row>
    <row r="16123" spans="1:1">
      <c r="A16123" s="56"/>
    </row>
    <row r="16124" spans="1:1">
      <c r="A16124" s="56"/>
    </row>
    <row r="16125" spans="1:1">
      <c r="A16125" s="56"/>
    </row>
    <row r="16126" spans="1:1">
      <c r="A16126" s="56"/>
    </row>
    <row r="16127" spans="1:1">
      <c r="A16127" s="56"/>
    </row>
    <row r="16128" spans="1:1">
      <c r="A16128" s="56"/>
    </row>
    <row r="16129" spans="1:1">
      <c r="A16129" s="56"/>
    </row>
    <row r="16130" spans="1:1">
      <c r="A16130" s="56"/>
    </row>
    <row r="16131" spans="1:1">
      <c r="A16131" s="56"/>
    </row>
    <row r="16132" spans="1:1">
      <c r="A16132" s="56"/>
    </row>
    <row r="16133" spans="1:1">
      <c r="A16133" s="56"/>
    </row>
    <row r="16134" spans="1:1">
      <c r="A16134" s="56"/>
    </row>
    <row r="16135" spans="1:1">
      <c r="A16135" s="56"/>
    </row>
    <row r="16136" spans="1:1">
      <c r="A16136" s="56"/>
    </row>
    <row r="16137" spans="1:1">
      <c r="A16137" s="56"/>
    </row>
    <row r="16138" spans="1:1">
      <c r="A16138" s="56"/>
    </row>
    <row r="16139" spans="1:1">
      <c r="A16139" s="56"/>
    </row>
    <row r="16140" spans="1:1">
      <c r="A16140" s="56"/>
    </row>
    <row r="16141" spans="1:1">
      <c r="A16141" s="56"/>
    </row>
    <row r="16142" spans="1:1">
      <c r="A16142" s="56"/>
    </row>
    <row r="16143" spans="1:1">
      <c r="A16143" s="56"/>
    </row>
    <row r="16144" spans="1:1">
      <c r="A16144" s="56"/>
    </row>
    <row r="16145" spans="1:1">
      <c r="A16145" s="56"/>
    </row>
    <row r="16146" spans="1:1">
      <c r="A16146" s="56"/>
    </row>
    <row r="16147" spans="1:1">
      <c r="A16147" s="56"/>
    </row>
    <row r="16148" spans="1:1">
      <c r="A16148" s="56"/>
    </row>
    <row r="16149" spans="1:1">
      <c r="A16149" s="56"/>
    </row>
    <row r="16150" spans="1:1">
      <c r="A16150" s="56"/>
    </row>
    <row r="16151" spans="1:1">
      <c r="A16151" s="56"/>
    </row>
    <row r="16152" spans="1:1">
      <c r="A16152" s="56"/>
    </row>
    <row r="16153" spans="1:1">
      <c r="A16153" s="56"/>
    </row>
    <row r="16154" spans="1:1">
      <c r="A16154" s="56"/>
    </row>
    <row r="16155" spans="1:1">
      <c r="A16155" s="56"/>
    </row>
    <row r="16156" spans="1:1">
      <c r="A16156" s="56"/>
    </row>
    <row r="16157" spans="1:1">
      <c r="A16157" s="56"/>
    </row>
    <row r="16158" spans="1:1">
      <c r="A16158" s="56"/>
    </row>
    <row r="16159" spans="1:1">
      <c r="A16159" s="56"/>
    </row>
    <row r="16160" spans="1:1">
      <c r="A16160" s="56"/>
    </row>
    <row r="16161" spans="1:1">
      <c r="A16161" s="56"/>
    </row>
    <row r="16162" spans="1:1">
      <c r="A16162" s="56"/>
    </row>
    <row r="16163" spans="1:1">
      <c r="A16163" s="56"/>
    </row>
    <row r="16164" spans="1:1">
      <c r="A16164" s="56"/>
    </row>
    <row r="16165" spans="1:1">
      <c r="A16165" s="56"/>
    </row>
    <row r="16166" spans="1:1">
      <c r="A16166" s="56"/>
    </row>
    <row r="16167" spans="1:1">
      <c r="A16167" s="56"/>
    </row>
    <row r="16168" spans="1:1">
      <c r="A16168" s="56"/>
    </row>
    <row r="16169" spans="1:1">
      <c r="A16169" s="56"/>
    </row>
    <row r="16170" spans="1:1">
      <c r="A16170" s="56"/>
    </row>
    <row r="16171" spans="1:1">
      <c r="A16171" s="56"/>
    </row>
    <row r="16172" spans="1:1">
      <c r="A16172" s="56"/>
    </row>
    <row r="16173" spans="1:1">
      <c r="A16173" s="56"/>
    </row>
    <row r="16174" spans="1:1">
      <c r="A16174" s="56"/>
    </row>
    <row r="16175" spans="1:1">
      <c r="A16175" s="56"/>
    </row>
    <row r="16176" spans="1:1">
      <c r="A16176" s="56"/>
    </row>
    <row r="16177" spans="1:1">
      <c r="A16177" s="56"/>
    </row>
    <row r="16178" spans="1:1">
      <c r="A16178" s="56"/>
    </row>
    <row r="16179" spans="1:1">
      <c r="A16179" s="56"/>
    </row>
    <row r="16180" spans="1:1">
      <c r="A16180" s="56"/>
    </row>
    <row r="16181" spans="1:1">
      <c r="A16181" s="56"/>
    </row>
    <row r="16182" spans="1:1">
      <c r="A16182" s="56"/>
    </row>
    <row r="16183" spans="1:1">
      <c r="A16183" s="56"/>
    </row>
    <row r="16184" spans="1:1">
      <c r="A16184" s="56"/>
    </row>
    <row r="16185" spans="1:1">
      <c r="A16185" s="56"/>
    </row>
    <row r="16186" spans="1:1">
      <c r="A16186" s="56"/>
    </row>
    <row r="16187" spans="1:1">
      <c r="A16187" s="56"/>
    </row>
    <row r="16188" spans="1:1">
      <c r="A16188" s="56"/>
    </row>
    <row r="16189" spans="1:1">
      <c r="A16189" s="56"/>
    </row>
    <row r="16190" spans="1:1">
      <c r="A16190" s="56"/>
    </row>
    <row r="16191" spans="1:1">
      <c r="A16191" s="56"/>
    </row>
    <row r="16192" spans="1:1">
      <c r="A16192" s="56"/>
    </row>
    <row r="16193" spans="1:1">
      <c r="A16193" s="56"/>
    </row>
    <row r="16194" spans="1:1">
      <c r="A16194" s="56"/>
    </row>
    <row r="16195" spans="1:1">
      <c r="A16195" s="56"/>
    </row>
    <row r="16196" spans="1:1">
      <c r="A16196" s="56"/>
    </row>
    <row r="16197" spans="1:1">
      <c r="A16197" s="56"/>
    </row>
    <row r="16198" spans="1:1">
      <c r="A16198" s="56"/>
    </row>
    <row r="16199" spans="1:1">
      <c r="A16199" s="56"/>
    </row>
    <row r="16200" spans="1:1">
      <c r="A16200" s="56"/>
    </row>
    <row r="16201" spans="1:1">
      <c r="A16201" s="56"/>
    </row>
    <row r="16202" spans="1:1">
      <c r="A16202" s="56"/>
    </row>
    <row r="16203" spans="1:1">
      <c r="A16203" s="56"/>
    </row>
    <row r="16204" spans="1:1">
      <c r="A16204" s="56"/>
    </row>
    <row r="16205" spans="1:1">
      <c r="A16205" s="56"/>
    </row>
    <row r="16206" spans="1:1">
      <c r="A16206" s="56"/>
    </row>
    <row r="16207" spans="1:1">
      <c r="A16207" s="56"/>
    </row>
    <row r="16208" spans="1:1">
      <c r="A16208" s="56"/>
    </row>
    <row r="16209" spans="1:1">
      <c r="A16209" s="56"/>
    </row>
    <row r="16210" spans="1:1">
      <c r="A16210" s="56"/>
    </row>
    <row r="16211" spans="1:1">
      <c r="A16211" s="56"/>
    </row>
    <row r="16212" spans="1:1">
      <c r="A16212" s="56"/>
    </row>
    <row r="16213" spans="1:1">
      <c r="A16213" s="56"/>
    </row>
    <row r="16214" spans="1:1">
      <c r="A16214" s="56"/>
    </row>
    <row r="16215" spans="1:1">
      <c r="A16215" s="56"/>
    </row>
    <row r="16216" spans="1:1">
      <c r="A16216" s="56"/>
    </row>
    <row r="16217" spans="1:1">
      <c r="A16217" s="56"/>
    </row>
    <row r="16218" spans="1:1">
      <c r="A16218" s="56"/>
    </row>
    <row r="16219" spans="1:1">
      <c r="A16219" s="56"/>
    </row>
    <row r="16220" spans="1:1">
      <c r="A16220" s="56"/>
    </row>
    <row r="16221" spans="1:1">
      <c r="A16221" s="56"/>
    </row>
    <row r="16222" spans="1:1">
      <c r="A16222" s="56"/>
    </row>
    <row r="16223" spans="1:1">
      <c r="A16223" s="56"/>
    </row>
    <row r="16224" spans="1:1">
      <c r="A16224" s="56"/>
    </row>
    <row r="16225" spans="1:1">
      <c r="A16225" s="56"/>
    </row>
    <row r="16226" spans="1:1">
      <c r="A16226" s="56"/>
    </row>
    <row r="16227" spans="1:1">
      <c r="A16227" s="56"/>
    </row>
    <row r="16228" spans="1:1">
      <c r="A16228" s="56"/>
    </row>
    <row r="16229" spans="1:1">
      <c r="A16229" s="56"/>
    </row>
    <row r="16230" spans="1:1">
      <c r="A16230" s="56"/>
    </row>
    <row r="16231" spans="1:1">
      <c r="A16231" s="56"/>
    </row>
    <row r="16232" spans="1:1">
      <c r="A16232" s="56"/>
    </row>
    <row r="16233" spans="1:1">
      <c r="A16233" s="56"/>
    </row>
    <row r="16234" spans="1:1">
      <c r="A16234" s="56"/>
    </row>
    <row r="16235" spans="1:1">
      <c r="A16235" s="56"/>
    </row>
    <row r="16236" spans="1:1">
      <c r="A16236" s="56"/>
    </row>
    <row r="16237" spans="1:1">
      <c r="A16237" s="56"/>
    </row>
    <row r="16238" spans="1:1">
      <c r="A16238" s="56"/>
    </row>
    <row r="16239" spans="1:1">
      <c r="A16239" s="56"/>
    </row>
    <row r="16240" spans="1:1">
      <c r="A16240" s="56"/>
    </row>
    <row r="16241" spans="1:1">
      <c r="A16241" s="56"/>
    </row>
    <row r="16242" spans="1:1">
      <c r="A16242" s="56"/>
    </row>
    <row r="16243" spans="1:1">
      <c r="A16243" s="56"/>
    </row>
    <row r="16244" spans="1:1">
      <c r="A16244" s="56"/>
    </row>
    <row r="16245" spans="1:1">
      <c r="A16245" s="56"/>
    </row>
    <row r="16246" spans="1:1">
      <c r="A16246" s="56"/>
    </row>
    <row r="16247" spans="1:1">
      <c r="A16247" s="56"/>
    </row>
    <row r="16248" spans="1:1">
      <c r="A16248" s="56"/>
    </row>
    <row r="16249" spans="1:1">
      <c r="A16249" s="56"/>
    </row>
    <row r="16250" spans="1:1">
      <c r="A16250" s="56"/>
    </row>
    <row r="16251" spans="1:1">
      <c r="A16251" s="56"/>
    </row>
    <row r="16252" spans="1:1">
      <c r="A16252" s="56"/>
    </row>
    <row r="16253" spans="1:1">
      <c r="A16253" s="56"/>
    </row>
    <row r="16254" spans="1:1">
      <c r="A16254" s="56"/>
    </row>
    <row r="16255" spans="1:1">
      <c r="A16255" s="56"/>
    </row>
    <row r="16256" spans="1:1">
      <c r="A16256" s="56"/>
    </row>
    <row r="16257" spans="1:1">
      <c r="A16257" s="56"/>
    </row>
    <row r="16258" spans="1:1">
      <c r="A16258" s="56"/>
    </row>
    <row r="16259" spans="1:1">
      <c r="A16259" s="56"/>
    </row>
    <row r="16260" spans="1:1">
      <c r="A16260" s="56"/>
    </row>
    <row r="16261" spans="1:1">
      <c r="A16261" s="56"/>
    </row>
    <row r="16262" spans="1:1">
      <c r="A16262" s="56"/>
    </row>
    <row r="16263" spans="1:1">
      <c r="A16263" s="56"/>
    </row>
    <row r="16264" spans="1:1">
      <c r="A16264" s="56"/>
    </row>
    <row r="16265" spans="1:1">
      <c r="A16265" s="56"/>
    </row>
    <row r="16266" spans="1:1">
      <c r="A16266" s="56"/>
    </row>
    <row r="16267" spans="1:1">
      <c r="A16267" s="56"/>
    </row>
    <row r="16268" spans="1:1">
      <c r="A16268" s="56"/>
    </row>
    <row r="16269" spans="1:1">
      <c r="A16269" s="56"/>
    </row>
    <row r="16270" spans="1:1">
      <c r="A16270" s="56"/>
    </row>
    <row r="16271" spans="1:1">
      <c r="A16271" s="56"/>
    </row>
    <row r="16272" spans="1:1">
      <c r="A16272" s="56"/>
    </row>
    <row r="16273" spans="1:1">
      <c r="A16273" s="56"/>
    </row>
    <row r="16274" spans="1:1">
      <c r="A16274" s="56"/>
    </row>
    <row r="16275" spans="1:1">
      <c r="A16275" s="56"/>
    </row>
    <row r="16276" spans="1:1">
      <c r="A16276" s="56"/>
    </row>
    <row r="16277" spans="1:1">
      <c r="A16277" s="56"/>
    </row>
    <row r="16278" spans="1:1">
      <c r="A16278" s="56"/>
    </row>
    <row r="16279" spans="1:1">
      <c r="A16279" s="56"/>
    </row>
    <row r="16280" spans="1:1">
      <c r="A16280" s="56"/>
    </row>
    <row r="16281" spans="1:1">
      <c r="A16281" s="56"/>
    </row>
    <row r="16282" spans="1:1">
      <c r="A16282" s="56"/>
    </row>
    <row r="16283" spans="1:1">
      <c r="A16283" s="56"/>
    </row>
    <row r="16284" spans="1:1">
      <c r="A16284" s="56"/>
    </row>
    <row r="16285" spans="1:1">
      <c r="A16285" s="56"/>
    </row>
    <row r="16286" spans="1:1">
      <c r="A16286" s="56"/>
    </row>
    <row r="16287" spans="1:1">
      <c r="A16287" s="56"/>
    </row>
    <row r="16288" spans="1:1">
      <c r="A16288" s="56"/>
    </row>
    <row r="16289" spans="1:1">
      <c r="A16289" s="56"/>
    </row>
    <row r="16290" spans="1:1">
      <c r="A16290" s="56"/>
    </row>
    <row r="16291" spans="1:1">
      <c r="A16291" s="56"/>
    </row>
    <row r="16292" spans="1:1">
      <c r="A16292" s="56"/>
    </row>
    <row r="16293" spans="1:1">
      <c r="A16293" s="56"/>
    </row>
    <row r="16294" spans="1:1">
      <c r="A16294" s="56"/>
    </row>
    <row r="16295" spans="1:1">
      <c r="A16295" s="56"/>
    </row>
    <row r="16296" spans="1:1">
      <c r="A16296" s="56"/>
    </row>
    <row r="16297" spans="1:1">
      <c r="A16297" s="56"/>
    </row>
    <row r="16298" spans="1:1">
      <c r="A16298" s="56"/>
    </row>
    <row r="16299" spans="1:1">
      <c r="A16299" s="56"/>
    </row>
    <row r="16300" spans="1:1">
      <c r="A16300" s="56"/>
    </row>
    <row r="16301" spans="1:1">
      <c r="A16301" s="56"/>
    </row>
    <row r="16302" spans="1:1">
      <c r="A16302" s="56"/>
    </row>
    <row r="16303" spans="1:1">
      <c r="A16303" s="56"/>
    </row>
    <row r="16304" spans="1:1">
      <c r="A16304" s="56"/>
    </row>
    <row r="16305" spans="1:1">
      <c r="A16305" s="56"/>
    </row>
    <row r="16306" spans="1:1">
      <c r="A16306" s="56"/>
    </row>
    <row r="16307" spans="1:1">
      <c r="A16307" s="56"/>
    </row>
    <row r="16308" spans="1:1">
      <c r="A16308" s="56"/>
    </row>
    <row r="16309" spans="1:1">
      <c r="A16309" s="56"/>
    </row>
    <row r="16310" spans="1:1">
      <c r="A16310" s="56"/>
    </row>
    <row r="16311" spans="1:1">
      <c r="A16311" s="56"/>
    </row>
    <row r="16312" spans="1:1">
      <c r="A16312" s="56"/>
    </row>
    <row r="16313" spans="1:1">
      <c r="A16313" s="56"/>
    </row>
    <row r="16314" spans="1:1">
      <c r="A16314" s="56"/>
    </row>
    <row r="16315" spans="1:1">
      <c r="A16315" s="56"/>
    </row>
    <row r="16316" spans="1:1">
      <c r="A16316" s="56"/>
    </row>
    <row r="16317" spans="1:1">
      <c r="A16317" s="56"/>
    </row>
    <row r="16318" spans="1:1">
      <c r="A16318" s="56"/>
    </row>
    <row r="16319" spans="1:1">
      <c r="A16319" s="56"/>
    </row>
    <row r="16320" spans="1:1">
      <c r="A16320" s="56"/>
    </row>
    <row r="16321" spans="1:1">
      <c r="A16321" s="56"/>
    </row>
    <row r="16322" spans="1:1">
      <c r="A16322" s="56"/>
    </row>
    <row r="16323" spans="1:1">
      <c r="A16323" s="56"/>
    </row>
    <row r="16324" spans="1:1">
      <c r="A16324" s="56"/>
    </row>
    <row r="16325" spans="1:1">
      <c r="A16325" s="56"/>
    </row>
    <row r="16326" spans="1:1">
      <c r="A16326" s="56"/>
    </row>
    <row r="16327" spans="1:1">
      <c r="A16327" s="56"/>
    </row>
    <row r="16328" spans="1:1">
      <c r="A16328" s="56"/>
    </row>
    <row r="16329" spans="1:1">
      <c r="A16329" s="56"/>
    </row>
    <row r="16330" spans="1:1">
      <c r="A16330" s="56"/>
    </row>
    <row r="16331" spans="1:1">
      <c r="A16331" s="56"/>
    </row>
    <row r="16332" spans="1:1">
      <c r="A16332" s="56"/>
    </row>
    <row r="16333" spans="1:1">
      <c r="A16333" s="56"/>
    </row>
    <row r="16334" spans="1:1">
      <c r="A16334" s="56"/>
    </row>
    <row r="16335" spans="1:1">
      <c r="A16335" s="56"/>
    </row>
    <row r="16336" spans="1:1">
      <c r="A16336" s="56"/>
    </row>
    <row r="16337" spans="1:1">
      <c r="A16337" s="56"/>
    </row>
    <row r="16338" spans="1:1">
      <c r="A16338" s="56"/>
    </row>
    <row r="16339" spans="1:1">
      <c r="A16339" s="56"/>
    </row>
    <row r="16340" spans="1:1">
      <c r="A16340" s="56"/>
    </row>
    <row r="16341" spans="1:1">
      <c r="A16341" s="56"/>
    </row>
    <row r="16342" spans="1:1">
      <c r="A16342" s="56"/>
    </row>
    <row r="16343" spans="1:1">
      <c r="A16343" s="56"/>
    </row>
    <row r="16344" spans="1:1">
      <c r="A16344" s="56"/>
    </row>
    <row r="16345" spans="1:1">
      <c r="A16345" s="56"/>
    </row>
    <row r="16346" spans="1:1">
      <c r="A16346" s="56"/>
    </row>
    <row r="16347" spans="1:1">
      <c r="A16347" s="56"/>
    </row>
    <row r="16348" spans="1:1">
      <c r="A16348" s="56"/>
    </row>
    <row r="16349" spans="1:1">
      <c r="A16349" s="56"/>
    </row>
    <row r="16350" spans="1:1">
      <c r="A16350" s="56"/>
    </row>
    <row r="16351" spans="1:1">
      <c r="A16351" s="56"/>
    </row>
    <row r="16352" spans="1:1">
      <c r="A16352" s="56"/>
    </row>
    <row r="16353" spans="1:1">
      <c r="A16353" s="56"/>
    </row>
    <row r="16354" spans="1:1">
      <c r="A16354" s="56"/>
    </row>
    <row r="16355" spans="1:1">
      <c r="A16355" s="56"/>
    </row>
    <row r="16356" spans="1:1">
      <c r="A16356" s="56"/>
    </row>
    <row r="16357" spans="1:1">
      <c r="A16357" s="56"/>
    </row>
    <row r="16358" spans="1:1">
      <c r="A16358" s="56"/>
    </row>
    <row r="16359" spans="1:1">
      <c r="A16359" s="56"/>
    </row>
    <row r="16360" spans="1:1">
      <c r="A16360" s="56"/>
    </row>
    <row r="16361" spans="1:1">
      <c r="A16361" s="56"/>
    </row>
    <row r="16362" spans="1:1">
      <c r="A16362" s="56"/>
    </row>
    <row r="16363" spans="1:1">
      <c r="A16363" s="56"/>
    </row>
    <row r="16364" spans="1:1">
      <c r="A16364" s="56"/>
    </row>
    <row r="16365" spans="1:1">
      <c r="A16365" s="56"/>
    </row>
    <row r="16366" spans="1:1">
      <c r="A16366" s="56"/>
    </row>
    <row r="16367" spans="1:1">
      <c r="A16367" s="56"/>
    </row>
    <row r="16368" spans="1:1">
      <c r="A16368" s="56"/>
    </row>
    <row r="16369" spans="1:1">
      <c r="A16369" s="56"/>
    </row>
    <row r="16370" spans="1:1">
      <c r="A16370" s="56"/>
    </row>
    <row r="16371" spans="1:1">
      <c r="A16371" s="56"/>
    </row>
    <row r="16372" spans="1:1">
      <c r="A16372" s="56"/>
    </row>
    <row r="16373" spans="1:1">
      <c r="A16373" s="56"/>
    </row>
    <row r="16374" spans="1:1">
      <c r="A16374" s="56"/>
    </row>
    <row r="16375" spans="1:1">
      <c r="A16375" s="56"/>
    </row>
    <row r="16376" spans="1:1">
      <c r="A16376" s="56"/>
    </row>
    <row r="16377" spans="1:1">
      <c r="A16377" s="56"/>
    </row>
    <row r="16378" spans="1:1">
      <c r="A16378" s="56"/>
    </row>
    <row r="16379" spans="1:1">
      <c r="A16379" s="56"/>
    </row>
    <row r="16380" spans="1:1">
      <c r="A16380" s="56"/>
    </row>
    <row r="16381" spans="1:1">
      <c r="A16381" s="56"/>
    </row>
    <row r="16382" spans="1:1">
      <c r="A16382" s="56"/>
    </row>
    <row r="16383" spans="1:1">
      <c r="A16383" s="56"/>
    </row>
    <row r="16384" spans="1:1">
      <c r="A16384" s="56"/>
    </row>
    <row r="16385" spans="1:1">
      <c r="A16385" s="56"/>
    </row>
    <row r="16386" spans="1:1">
      <c r="A16386" s="56"/>
    </row>
    <row r="16387" spans="1:1">
      <c r="A16387" s="56"/>
    </row>
    <row r="16388" spans="1:1">
      <c r="A16388" s="56"/>
    </row>
    <row r="16389" spans="1:1">
      <c r="A16389" s="56"/>
    </row>
    <row r="16390" spans="1:1">
      <c r="A16390" s="56"/>
    </row>
    <row r="16391" spans="1:1">
      <c r="A16391" s="56"/>
    </row>
    <row r="16392" spans="1:1">
      <c r="A16392" s="56"/>
    </row>
    <row r="16393" spans="1:1">
      <c r="A16393" s="56"/>
    </row>
    <row r="16394" spans="1:1">
      <c r="A16394" s="56"/>
    </row>
    <row r="16395" spans="1:1">
      <c r="A16395" s="56"/>
    </row>
    <row r="16396" spans="1:1">
      <c r="A16396" s="56"/>
    </row>
    <row r="16397" spans="1:1">
      <c r="A16397" s="56"/>
    </row>
    <row r="16398" spans="1:1">
      <c r="A16398" s="56"/>
    </row>
    <row r="16399" spans="1:1">
      <c r="A16399" s="56"/>
    </row>
    <row r="16400" spans="1:1">
      <c r="A16400" s="56"/>
    </row>
    <row r="16401" spans="1:1">
      <c r="A16401" s="56"/>
    </row>
    <row r="16402" spans="1:1">
      <c r="A16402" s="56"/>
    </row>
    <row r="16403" spans="1:1">
      <c r="A16403" s="56"/>
    </row>
    <row r="16404" spans="1:1">
      <c r="A16404" s="56"/>
    </row>
    <row r="16405" spans="1:1">
      <c r="A16405" s="56"/>
    </row>
    <row r="16406" spans="1:1">
      <c r="A16406" s="56"/>
    </row>
    <row r="16407" spans="1:1">
      <c r="A16407" s="56"/>
    </row>
    <row r="16408" spans="1:1">
      <c r="A16408" s="56"/>
    </row>
    <row r="16409" spans="1:1">
      <c r="A16409" s="56"/>
    </row>
    <row r="16410" spans="1:1">
      <c r="A16410" s="56"/>
    </row>
    <row r="16411" spans="1:1">
      <c r="A16411" s="56"/>
    </row>
    <row r="16412" spans="1:1">
      <c r="A16412" s="56"/>
    </row>
    <row r="16413" spans="1:1">
      <c r="A16413" s="56"/>
    </row>
    <row r="16414" spans="1:1">
      <c r="A16414" s="56"/>
    </row>
    <row r="16415" spans="1:1">
      <c r="A16415" s="56"/>
    </row>
    <row r="16416" spans="1:1">
      <c r="A16416" s="56"/>
    </row>
    <row r="16417" spans="1:1">
      <c r="A16417" s="56"/>
    </row>
    <row r="16418" spans="1:1">
      <c r="A16418" s="56"/>
    </row>
    <row r="16419" spans="1:1">
      <c r="A16419" s="56"/>
    </row>
    <row r="16420" spans="1:1">
      <c r="A16420" s="56"/>
    </row>
    <row r="16421" spans="1:1">
      <c r="A16421" s="56"/>
    </row>
    <row r="16422" spans="1:1">
      <c r="A16422" s="56"/>
    </row>
    <row r="16423" spans="1:1">
      <c r="A16423" s="56"/>
    </row>
    <row r="16424" spans="1:1">
      <c r="A16424" s="56"/>
    </row>
    <row r="16425" spans="1:1">
      <c r="A16425" s="56"/>
    </row>
    <row r="16426" spans="1:1">
      <c r="A16426" s="56"/>
    </row>
    <row r="16427" spans="1:1">
      <c r="A16427" s="56"/>
    </row>
    <row r="16428" spans="1:1">
      <c r="A16428" s="56"/>
    </row>
    <row r="16429" spans="1:1">
      <c r="A16429" s="56"/>
    </row>
    <row r="16430" spans="1:1">
      <c r="A16430" s="56"/>
    </row>
    <row r="16431" spans="1:1">
      <c r="A16431" s="56"/>
    </row>
    <row r="16432" spans="1:1">
      <c r="A16432" s="56"/>
    </row>
    <row r="16433" spans="1:1">
      <c r="A16433" s="56"/>
    </row>
    <row r="16434" spans="1:1">
      <c r="A16434" s="56"/>
    </row>
    <row r="16435" spans="1:1">
      <c r="A16435" s="56"/>
    </row>
    <row r="16436" spans="1:1">
      <c r="A16436" s="56"/>
    </row>
    <row r="16437" spans="1:1">
      <c r="A16437" s="56"/>
    </row>
    <row r="16438" spans="1:1">
      <c r="A16438" s="56"/>
    </row>
    <row r="16439" spans="1:1">
      <c r="A16439" s="56"/>
    </row>
    <row r="16440" spans="1:1">
      <c r="A16440" s="56"/>
    </row>
    <row r="16441" spans="1:1">
      <c r="A16441" s="56"/>
    </row>
    <row r="16442" spans="1:1">
      <c r="A16442" s="56"/>
    </row>
    <row r="16443" spans="1:1">
      <c r="A16443" s="56"/>
    </row>
    <row r="16444" spans="1:1">
      <c r="A16444" s="56"/>
    </row>
    <row r="16445" spans="1:1">
      <c r="A16445" s="56"/>
    </row>
    <row r="16446" spans="1:1">
      <c r="A16446" s="56"/>
    </row>
    <row r="16447" spans="1:1">
      <c r="A16447" s="56"/>
    </row>
    <row r="16448" spans="1:1">
      <c r="A16448" s="56"/>
    </row>
    <row r="16449" spans="1:1">
      <c r="A16449" s="56"/>
    </row>
    <row r="16450" spans="1:1">
      <c r="A16450" s="56"/>
    </row>
    <row r="16451" spans="1:1">
      <c r="A16451" s="56"/>
    </row>
    <row r="16452" spans="1:1">
      <c r="A16452" s="56"/>
    </row>
    <row r="16453" spans="1:1">
      <c r="A16453" s="56"/>
    </row>
    <row r="16454" spans="1:1">
      <c r="A16454" s="56"/>
    </row>
    <row r="16455" spans="1:1">
      <c r="A16455" s="56"/>
    </row>
    <row r="16456" spans="1:1">
      <c r="A16456" s="56"/>
    </row>
    <row r="16457" spans="1:1">
      <c r="A16457" s="56"/>
    </row>
    <row r="16458" spans="1:1">
      <c r="A16458" s="56"/>
    </row>
    <row r="16459" spans="1:1">
      <c r="A16459" s="56"/>
    </row>
    <row r="16460" spans="1:1">
      <c r="A16460" s="56"/>
    </row>
    <row r="16461" spans="1:1">
      <c r="A16461" s="56"/>
    </row>
    <row r="16462" spans="1:1">
      <c r="A16462" s="56"/>
    </row>
    <row r="16463" spans="1:1">
      <c r="A16463" s="56"/>
    </row>
    <row r="16464" spans="1:1">
      <c r="A16464" s="56"/>
    </row>
    <row r="16465" spans="1:1">
      <c r="A16465" s="56"/>
    </row>
    <row r="16466" spans="1:1">
      <c r="A16466" s="56"/>
    </row>
    <row r="16467" spans="1:1">
      <c r="A16467" s="56"/>
    </row>
    <row r="16468" spans="1:1">
      <c r="A16468" s="56"/>
    </row>
    <row r="16469" spans="1:1">
      <c r="A16469" s="56"/>
    </row>
    <row r="16470" spans="1:1">
      <c r="A16470" s="56"/>
    </row>
    <row r="16471" spans="1:1">
      <c r="A16471" s="56"/>
    </row>
    <row r="16472" spans="1:1">
      <c r="A16472" s="56"/>
    </row>
    <row r="16473" spans="1:1">
      <c r="A16473" s="56"/>
    </row>
    <row r="16474" spans="1:1">
      <c r="A16474" s="56"/>
    </row>
    <row r="16475" spans="1:1">
      <c r="A16475" s="56"/>
    </row>
    <row r="16476" spans="1:1">
      <c r="A16476" s="56"/>
    </row>
    <row r="16477" spans="1:1">
      <c r="A16477" s="56"/>
    </row>
    <row r="16478" spans="1:1">
      <c r="A16478" s="56"/>
    </row>
    <row r="16479" spans="1:1">
      <c r="A16479" s="56"/>
    </row>
    <row r="16480" spans="1:1">
      <c r="A16480" s="56"/>
    </row>
    <row r="16481" spans="1:1">
      <c r="A16481" s="56"/>
    </row>
    <row r="16482" spans="1:1">
      <c r="A16482" s="56"/>
    </row>
    <row r="16483" spans="1:1">
      <c r="A16483" s="56"/>
    </row>
    <row r="16484" spans="1:1">
      <c r="A16484" s="56"/>
    </row>
    <row r="16485" spans="1:1">
      <c r="A16485" s="56"/>
    </row>
    <row r="16486" spans="1:1">
      <c r="A16486" s="56"/>
    </row>
    <row r="16487" spans="1:1">
      <c r="A16487" s="56"/>
    </row>
    <row r="16488" spans="1:1">
      <c r="A16488" s="56"/>
    </row>
    <row r="16489" spans="1:1">
      <c r="A16489" s="56"/>
    </row>
    <row r="16490" spans="1:1">
      <c r="A16490" s="56"/>
    </row>
    <row r="16491" spans="1:1">
      <c r="A16491" s="56"/>
    </row>
    <row r="16492" spans="1:1">
      <c r="A16492" s="56"/>
    </row>
    <row r="16493" spans="1:1">
      <c r="A16493" s="56"/>
    </row>
    <row r="16494" spans="1:1">
      <c r="A16494" s="56"/>
    </row>
    <row r="16495" spans="1:1">
      <c r="A16495" s="56"/>
    </row>
    <row r="16496" spans="1:1">
      <c r="A16496" s="56"/>
    </row>
    <row r="16497" spans="1:1">
      <c r="A16497" s="56"/>
    </row>
    <row r="16498" spans="1:1">
      <c r="A16498" s="56"/>
    </row>
    <row r="16499" spans="1:1">
      <c r="A16499" s="56"/>
    </row>
    <row r="16500" spans="1:1">
      <c r="A16500" s="56"/>
    </row>
    <row r="16501" spans="1:1">
      <c r="A16501" s="56"/>
    </row>
    <row r="16502" spans="1:1">
      <c r="A16502" s="56"/>
    </row>
    <row r="16503" spans="1:1">
      <c r="A16503" s="56"/>
    </row>
    <row r="16504" spans="1:1">
      <c r="A16504" s="56"/>
    </row>
    <row r="16505" spans="1:1">
      <c r="A16505" s="56"/>
    </row>
    <row r="16506" spans="1:1">
      <c r="A16506" s="56"/>
    </row>
    <row r="16507" spans="1:1">
      <c r="A16507" s="56"/>
    </row>
    <row r="16508" spans="1:1">
      <c r="A16508" s="56"/>
    </row>
    <row r="16509" spans="1:1">
      <c r="A16509" s="56"/>
    </row>
    <row r="16510" spans="1:1">
      <c r="A16510" s="56"/>
    </row>
    <row r="16511" spans="1:1">
      <c r="A16511" s="56"/>
    </row>
    <row r="16512" spans="1:1">
      <c r="A16512" s="56"/>
    </row>
    <row r="16513" spans="1:1">
      <c r="A16513" s="56"/>
    </row>
    <row r="16514" spans="1:1">
      <c r="A16514" s="56"/>
    </row>
    <row r="16515" spans="1:1">
      <c r="A16515" s="56"/>
    </row>
    <row r="16516" spans="1:1">
      <c r="A16516" s="56"/>
    </row>
    <row r="16517" spans="1:1">
      <c r="A16517" s="56"/>
    </row>
    <row r="16518" spans="1:1">
      <c r="A16518" s="56"/>
    </row>
    <row r="16519" spans="1:1">
      <c r="A16519" s="56"/>
    </row>
    <row r="16520" spans="1:1">
      <c r="A16520" s="56"/>
    </row>
    <row r="16521" spans="1:1">
      <c r="A16521" s="56"/>
    </row>
    <row r="16522" spans="1:1">
      <c r="A16522" s="56"/>
    </row>
    <row r="16523" spans="1:1">
      <c r="A16523" s="56"/>
    </row>
    <row r="16524" spans="1:1">
      <c r="A16524" s="56"/>
    </row>
    <row r="16525" spans="1:1">
      <c r="A16525" s="56"/>
    </row>
    <row r="16526" spans="1:1">
      <c r="A16526" s="56"/>
    </row>
    <row r="16527" spans="1:1">
      <c r="A16527" s="56"/>
    </row>
    <row r="16528" spans="1:1">
      <c r="A16528" s="56"/>
    </row>
    <row r="16529" spans="1:1">
      <c r="A16529" s="56"/>
    </row>
    <row r="16530" spans="1:1">
      <c r="A16530" s="56"/>
    </row>
    <row r="16531" spans="1:1">
      <c r="A16531" s="56"/>
    </row>
    <row r="16532" spans="1:1">
      <c r="A16532" s="56"/>
    </row>
    <row r="16533" spans="1:1">
      <c r="A16533" s="56"/>
    </row>
    <row r="16534" spans="1:1">
      <c r="A16534" s="56"/>
    </row>
    <row r="16535" spans="1:1">
      <c r="A16535" s="56"/>
    </row>
    <row r="16536" spans="1:1">
      <c r="A16536" s="56"/>
    </row>
    <row r="16537" spans="1:1">
      <c r="A16537" s="56"/>
    </row>
    <row r="16538" spans="1:1">
      <c r="A16538" s="56"/>
    </row>
    <row r="16539" spans="1:1">
      <c r="A16539" s="56"/>
    </row>
    <row r="16540" spans="1:1">
      <c r="A16540" s="56"/>
    </row>
    <row r="16541" spans="1:1">
      <c r="A16541" s="56"/>
    </row>
    <row r="16542" spans="1:1">
      <c r="A16542" s="56"/>
    </row>
    <row r="16543" spans="1:1">
      <c r="A16543" s="56"/>
    </row>
    <row r="16544" spans="1:1">
      <c r="A16544" s="56"/>
    </row>
    <row r="16545" spans="1:1">
      <c r="A16545" s="56"/>
    </row>
    <row r="16546" spans="1:1">
      <c r="A16546" s="56"/>
    </row>
    <row r="16547" spans="1:1">
      <c r="A16547" s="56"/>
    </row>
    <row r="16548" spans="1:1">
      <c r="A16548" s="56"/>
    </row>
    <row r="16549" spans="1:1">
      <c r="A16549" s="56"/>
    </row>
    <row r="16550" spans="1:1">
      <c r="A16550" s="56"/>
    </row>
    <row r="16551" spans="1:1">
      <c r="A16551" s="56"/>
    </row>
    <row r="16552" spans="1:1">
      <c r="A16552" s="56"/>
    </row>
    <row r="16553" spans="1:1">
      <c r="A16553" s="56"/>
    </row>
    <row r="16554" spans="1:1">
      <c r="A16554" s="56"/>
    </row>
    <row r="16555" spans="1:1">
      <c r="A16555" s="56"/>
    </row>
    <row r="16556" spans="1:1">
      <c r="A16556" s="56"/>
    </row>
    <row r="16557" spans="1:1">
      <c r="A16557" s="56"/>
    </row>
    <row r="16558" spans="1:1">
      <c r="A16558" s="56"/>
    </row>
    <row r="16559" spans="1:1">
      <c r="A16559" s="56"/>
    </row>
    <row r="16560" spans="1:1">
      <c r="A16560" s="56"/>
    </row>
    <row r="16561" spans="1:1">
      <c r="A16561" s="56"/>
    </row>
    <row r="16562" spans="1:1">
      <c r="A16562" s="56"/>
    </row>
    <row r="16563" spans="1:1">
      <c r="A16563" s="56"/>
    </row>
    <row r="16564" spans="1:1">
      <c r="A16564" s="56"/>
    </row>
    <row r="16565" spans="1:1">
      <c r="A16565" s="56"/>
    </row>
    <row r="16566" spans="1:1">
      <c r="A16566" s="56"/>
    </row>
    <row r="16567" spans="1:1">
      <c r="A16567" s="56"/>
    </row>
    <row r="16568" spans="1:1">
      <c r="A16568" s="56"/>
    </row>
    <row r="16569" spans="1:1">
      <c r="A16569" s="56"/>
    </row>
    <row r="16570" spans="1:1">
      <c r="A16570" s="56"/>
    </row>
    <row r="16571" spans="1:1">
      <c r="A16571" s="56"/>
    </row>
    <row r="16572" spans="1:1">
      <c r="A16572" s="56"/>
    </row>
    <row r="16573" spans="1:1">
      <c r="A16573" s="56"/>
    </row>
    <row r="16574" spans="1:1">
      <c r="A16574" s="56"/>
    </row>
    <row r="16575" spans="1:1">
      <c r="A16575" s="56"/>
    </row>
    <row r="16576" spans="1:1">
      <c r="A16576" s="56"/>
    </row>
    <row r="16577" spans="1:1">
      <c r="A16577" s="56"/>
    </row>
    <row r="16578" spans="1:1">
      <c r="A16578" s="56"/>
    </row>
    <row r="16579" spans="1:1">
      <c r="A16579" s="56"/>
    </row>
    <row r="16580" spans="1:1">
      <c r="A16580" s="56"/>
    </row>
    <row r="16581" spans="1:1">
      <c r="A16581" s="56"/>
    </row>
    <row r="16582" spans="1:1">
      <c r="A16582" s="56"/>
    </row>
    <row r="16583" spans="1:1">
      <c r="A16583" s="56"/>
    </row>
    <row r="16584" spans="1:1">
      <c r="A16584" s="56"/>
    </row>
    <row r="16585" spans="1:1">
      <c r="A16585" s="56"/>
    </row>
    <row r="16586" spans="1:1">
      <c r="A16586" s="56"/>
    </row>
    <row r="16587" spans="1:1">
      <c r="A16587" s="56"/>
    </row>
    <row r="16588" spans="1:1">
      <c r="A16588" s="56"/>
    </row>
    <row r="16589" spans="1:1">
      <c r="A16589" s="56"/>
    </row>
    <row r="16590" spans="1:1">
      <c r="A16590" s="56"/>
    </row>
    <row r="16591" spans="1:1">
      <c r="A16591" s="56"/>
    </row>
    <row r="16592" spans="1:1">
      <c r="A16592" s="56"/>
    </row>
    <row r="16593" spans="1:1">
      <c r="A16593" s="56"/>
    </row>
    <row r="16594" spans="1:1">
      <c r="A16594" s="56"/>
    </row>
    <row r="16595" spans="1:1">
      <c r="A16595" s="56"/>
    </row>
    <row r="16596" spans="1:1">
      <c r="A16596" s="56"/>
    </row>
    <row r="16597" spans="1:1">
      <c r="A16597" s="56"/>
    </row>
    <row r="16598" spans="1:1">
      <c r="A16598" s="56"/>
    </row>
    <row r="16599" spans="1:1">
      <c r="A16599" s="56"/>
    </row>
    <row r="16600" spans="1:1">
      <c r="A16600" s="56"/>
    </row>
    <row r="16601" spans="1:1">
      <c r="A16601" s="56"/>
    </row>
    <row r="16602" spans="1:1">
      <c r="A16602" s="56"/>
    </row>
    <row r="16603" spans="1:1">
      <c r="A16603" s="56"/>
    </row>
    <row r="16604" spans="1:1">
      <c r="A16604" s="56"/>
    </row>
    <row r="16605" spans="1:1">
      <c r="A16605" s="56"/>
    </row>
    <row r="16606" spans="1:1">
      <c r="A16606" s="56"/>
    </row>
    <row r="16607" spans="1:1">
      <c r="A16607" s="56"/>
    </row>
    <row r="16608" spans="1:1">
      <c r="A16608" s="56"/>
    </row>
    <row r="16609" spans="1:1">
      <c r="A16609" s="56"/>
    </row>
    <row r="16610" spans="1:1">
      <c r="A16610" s="56"/>
    </row>
    <row r="16611" spans="1:1">
      <c r="A16611" s="56"/>
    </row>
    <row r="16612" spans="1:1">
      <c r="A16612" s="56"/>
    </row>
    <row r="16613" spans="1:1">
      <c r="A16613" s="56"/>
    </row>
    <row r="16614" spans="1:1">
      <c r="A16614" s="56"/>
    </row>
    <row r="16615" spans="1:1">
      <c r="A16615" s="56"/>
    </row>
    <row r="16616" spans="1:1">
      <c r="A16616" s="56"/>
    </row>
    <row r="16617" spans="1:1">
      <c r="A16617" s="56"/>
    </row>
    <row r="16618" spans="1:1">
      <c r="A16618" s="56"/>
    </row>
    <row r="16619" spans="1:1">
      <c r="A16619" s="56"/>
    </row>
    <row r="16620" spans="1:1">
      <c r="A16620" s="56"/>
    </row>
    <row r="16621" spans="1:1">
      <c r="A16621" s="56"/>
    </row>
    <row r="16622" spans="1:1">
      <c r="A16622" s="56"/>
    </row>
    <row r="16623" spans="1:1">
      <c r="A16623" s="56"/>
    </row>
    <row r="16624" spans="1:1">
      <c r="A16624" s="56"/>
    </row>
    <row r="16625" spans="1:1">
      <c r="A16625" s="56"/>
    </row>
    <row r="16626" spans="1:1">
      <c r="A16626" s="56"/>
    </row>
    <row r="16627" spans="1:1">
      <c r="A16627" s="56"/>
    </row>
    <row r="16628" spans="1:1">
      <c r="A16628" s="56"/>
    </row>
    <row r="16629" spans="1:1">
      <c r="A16629" s="56"/>
    </row>
    <row r="16630" spans="1:1">
      <c r="A16630" s="56"/>
    </row>
    <row r="16631" spans="1:1">
      <c r="A16631" s="56"/>
    </row>
    <row r="16632" spans="1:1">
      <c r="A16632" s="56"/>
    </row>
    <row r="16633" spans="1:1">
      <c r="A16633" s="56"/>
    </row>
    <row r="16634" spans="1:1">
      <c r="A16634" s="56"/>
    </row>
    <row r="16635" spans="1:1">
      <c r="A16635" s="56"/>
    </row>
    <row r="16636" spans="1:1">
      <c r="A16636" s="56"/>
    </row>
    <row r="16637" spans="1:1">
      <c r="A16637" s="56"/>
    </row>
    <row r="16638" spans="1:1">
      <c r="A16638" s="56"/>
    </row>
    <row r="16639" spans="1:1">
      <c r="A16639" s="56"/>
    </row>
    <row r="16640" spans="1:1">
      <c r="A16640" s="56"/>
    </row>
    <row r="16641" spans="1:1">
      <c r="A16641" s="56"/>
    </row>
    <row r="16642" spans="1:1">
      <c r="A16642" s="56"/>
    </row>
    <row r="16643" spans="1:1">
      <c r="A16643" s="56"/>
    </row>
    <row r="16644" spans="1:1">
      <c r="A16644" s="56"/>
    </row>
    <row r="16645" spans="1:1">
      <c r="A16645" s="56"/>
    </row>
    <row r="16646" spans="1:1">
      <c r="A16646" s="56"/>
    </row>
    <row r="16647" spans="1:1">
      <c r="A16647" s="56"/>
    </row>
    <row r="16648" spans="1:1">
      <c r="A16648" s="56"/>
    </row>
    <row r="16649" spans="1:1">
      <c r="A16649" s="56"/>
    </row>
    <row r="16650" spans="1:1">
      <c r="A16650" s="56"/>
    </row>
    <row r="16651" spans="1:1">
      <c r="A16651" s="56"/>
    </row>
    <row r="16652" spans="1:1">
      <c r="A16652" s="56"/>
    </row>
    <row r="16653" spans="1:1">
      <c r="A16653" s="56"/>
    </row>
    <row r="16654" spans="1:1">
      <c r="A16654" s="56"/>
    </row>
    <row r="16655" spans="1:1">
      <c r="A16655" s="56"/>
    </row>
    <row r="16656" spans="1:1">
      <c r="A16656" s="56"/>
    </row>
    <row r="16657" spans="1:1">
      <c r="A16657" s="56"/>
    </row>
    <row r="16658" spans="1:1">
      <c r="A16658" s="56"/>
    </row>
    <row r="16659" spans="1:1">
      <c r="A16659" s="56"/>
    </row>
    <row r="16660" spans="1:1">
      <c r="A16660" s="56"/>
    </row>
    <row r="16661" spans="1:1">
      <c r="A16661" s="56"/>
    </row>
    <row r="16662" spans="1:1">
      <c r="A16662" s="56"/>
    </row>
    <row r="16663" spans="1:1">
      <c r="A16663" s="56"/>
    </row>
    <row r="16664" spans="1:1">
      <c r="A16664" s="56"/>
    </row>
    <row r="16665" spans="1:1">
      <c r="A16665" s="56"/>
    </row>
    <row r="16666" spans="1:1">
      <c r="A16666" s="56"/>
    </row>
    <row r="16667" spans="1:1">
      <c r="A16667" s="56"/>
    </row>
    <row r="16668" spans="1:1">
      <c r="A16668" s="56"/>
    </row>
    <row r="16669" spans="1:1">
      <c r="A16669" s="56"/>
    </row>
    <row r="16670" spans="1:1">
      <c r="A16670" s="56"/>
    </row>
    <row r="16671" spans="1:1">
      <c r="A16671" s="56"/>
    </row>
    <row r="16672" spans="1:1">
      <c r="A16672" s="56"/>
    </row>
    <row r="16673" spans="1:1">
      <c r="A16673" s="56"/>
    </row>
    <row r="16674" spans="1:1">
      <c r="A16674" s="56"/>
    </row>
    <row r="16675" spans="1:1">
      <c r="A16675" s="56"/>
    </row>
    <row r="16676" spans="1:1">
      <c r="A16676" s="56"/>
    </row>
    <row r="16677" spans="1:1">
      <c r="A16677" s="56"/>
    </row>
    <row r="16678" spans="1:1">
      <c r="A16678" s="56"/>
    </row>
    <row r="16679" spans="1:1">
      <c r="A16679" s="56"/>
    </row>
    <row r="16680" spans="1:1">
      <c r="A16680" s="56"/>
    </row>
    <row r="16681" spans="1:1">
      <c r="A16681" s="56"/>
    </row>
    <row r="16682" spans="1:1">
      <c r="A16682" s="56"/>
    </row>
    <row r="16683" spans="1:1">
      <c r="A16683" s="56"/>
    </row>
    <row r="16684" spans="1:1">
      <c r="A16684" s="56"/>
    </row>
    <row r="16685" spans="1:1">
      <c r="A16685" s="56"/>
    </row>
    <row r="16686" spans="1:1">
      <c r="A16686" s="56"/>
    </row>
    <row r="16687" spans="1:1">
      <c r="A16687" s="56"/>
    </row>
    <row r="16688" spans="1:1">
      <c r="A16688" s="56"/>
    </row>
    <row r="16689" spans="1:1">
      <c r="A16689" s="56"/>
    </row>
    <row r="16690" spans="1:1">
      <c r="A16690" s="56"/>
    </row>
    <row r="16691" spans="1:1">
      <c r="A16691" s="56"/>
    </row>
    <row r="16692" spans="1:1">
      <c r="A16692" s="56"/>
    </row>
    <row r="16693" spans="1:1">
      <c r="A16693" s="56"/>
    </row>
    <row r="16694" spans="1:1">
      <c r="A16694" s="56"/>
    </row>
    <row r="16695" spans="1:1">
      <c r="A16695" s="56"/>
    </row>
    <row r="16696" spans="1:1">
      <c r="A16696" s="56"/>
    </row>
    <row r="16697" spans="1:1">
      <c r="A16697" s="56"/>
    </row>
    <row r="16698" spans="1:1">
      <c r="A16698" s="56"/>
    </row>
    <row r="16699" spans="1:1">
      <c r="A16699" s="56"/>
    </row>
    <row r="16700" spans="1:1">
      <c r="A16700" s="56"/>
    </row>
    <row r="16701" spans="1:1">
      <c r="A16701" s="56"/>
    </row>
    <row r="16702" spans="1:1">
      <c r="A16702" s="56"/>
    </row>
    <row r="16703" spans="1:1">
      <c r="A16703" s="56"/>
    </row>
    <row r="16704" spans="1:1">
      <c r="A16704" s="56"/>
    </row>
    <row r="16705" spans="1:1">
      <c r="A16705" s="56"/>
    </row>
    <row r="16706" spans="1:1">
      <c r="A16706" s="56"/>
    </row>
    <row r="16707" spans="1:1">
      <c r="A16707" s="56"/>
    </row>
    <row r="16708" spans="1:1">
      <c r="A16708" s="56"/>
    </row>
    <row r="16709" spans="1:1">
      <c r="A16709" s="56"/>
    </row>
    <row r="16710" spans="1:1">
      <c r="A16710" s="56"/>
    </row>
    <row r="16711" spans="1:1">
      <c r="A16711" s="56"/>
    </row>
    <row r="16712" spans="1:1">
      <c r="A16712" s="56"/>
    </row>
    <row r="16713" spans="1:1">
      <c r="A16713" s="56"/>
    </row>
    <row r="16714" spans="1:1">
      <c r="A16714" s="56"/>
    </row>
    <row r="16715" spans="1:1">
      <c r="A16715" s="56"/>
    </row>
    <row r="16716" spans="1:1">
      <c r="A16716" s="56"/>
    </row>
    <row r="16717" spans="1:1">
      <c r="A16717" s="56"/>
    </row>
    <row r="16718" spans="1:1">
      <c r="A16718" s="56"/>
    </row>
    <row r="16719" spans="1:1">
      <c r="A16719" s="56"/>
    </row>
    <row r="16720" spans="1:1">
      <c r="A16720" s="56"/>
    </row>
    <row r="16721" spans="1:1">
      <c r="A16721" s="56"/>
    </row>
    <row r="16722" spans="1:1">
      <c r="A16722" s="56"/>
    </row>
    <row r="16723" spans="1:1">
      <c r="A16723" s="56"/>
    </row>
    <row r="16724" spans="1:1">
      <c r="A16724" s="56"/>
    </row>
    <row r="16725" spans="1:1">
      <c r="A16725" s="56"/>
    </row>
    <row r="16726" spans="1:1">
      <c r="A16726" s="56"/>
    </row>
    <row r="16727" spans="1:1">
      <c r="A16727" s="56"/>
    </row>
    <row r="16728" spans="1:1">
      <c r="A16728" s="56"/>
    </row>
    <row r="16729" spans="1:1">
      <c r="A16729" s="56"/>
    </row>
    <row r="16730" spans="1:1">
      <c r="A16730" s="56"/>
    </row>
    <row r="16731" spans="1:1">
      <c r="A16731" s="56"/>
    </row>
    <row r="16732" spans="1:1">
      <c r="A16732" s="56"/>
    </row>
    <row r="16733" spans="1:1">
      <c r="A16733" s="56"/>
    </row>
    <row r="16734" spans="1:1">
      <c r="A16734" s="56"/>
    </row>
    <row r="16735" spans="1:1">
      <c r="A16735" s="56"/>
    </row>
    <row r="16736" spans="1:1">
      <c r="A16736" s="56"/>
    </row>
    <row r="16737" spans="1:1">
      <c r="A16737" s="56"/>
    </row>
    <row r="16738" spans="1:1">
      <c r="A16738" s="56"/>
    </row>
    <row r="16739" spans="1:1">
      <c r="A16739" s="56"/>
    </row>
    <row r="16740" spans="1:1">
      <c r="A16740" s="56"/>
    </row>
    <row r="16741" spans="1:1">
      <c r="A16741" s="56"/>
    </row>
    <row r="16742" spans="1:1">
      <c r="A16742" s="56"/>
    </row>
    <row r="16743" spans="1:1">
      <c r="A16743" s="56"/>
    </row>
    <row r="16744" spans="1:1">
      <c r="A16744" s="56"/>
    </row>
    <row r="16745" spans="1:1">
      <c r="A16745" s="56"/>
    </row>
    <row r="16746" spans="1:1">
      <c r="A16746" s="56"/>
    </row>
    <row r="16747" spans="1:1">
      <c r="A16747" s="56"/>
    </row>
    <row r="16748" spans="1:1">
      <c r="A16748" s="56"/>
    </row>
    <row r="16749" spans="1:1">
      <c r="A16749" s="56"/>
    </row>
    <row r="16750" spans="1:1">
      <c r="A16750" s="56"/>
    </row>
    <row r="16751" spans="1:1">
      <c r="A16751" s="56"/>
    </row>
    <row r="16752" spans="1:1">
      <c r="A16752" s="56"/>
    </row>
    <row r="16753" spans="1:1">
      <c r="A16753" s="56"/>
    </row>
    <row r="16754" spans="1:1">
      <c r="A16754" s="56"/>
    </row>
    <row r="16755" spans="1:1">
      <c r="A16755" s="56"/>
    </row>
    <row r="16756" spans="1:1">
      <c r="A16756" s="56"/>
    </row>
    <row r="16757" spans="1:1">
      <c r="A16757" s="56"/>
    </row>
    <row r="16758" spans="1:1">
      <c r="A16758" s="56"/>
    </row>
    <row r="16759" spans="1:1">
      <c r="A16759" s="56"/>
    </row>
    <row r="16760" spans="1:1">
      <c r="A16760" s="56"/>
    </row>
    <row r="16761" spans="1:1">
      <c r="A16761" s="56"/>
    </row>
    <row r="16762" spans="1:1">
      <c r="A16762" s="56"/>
    </row>
    <row r="16763" spans="1:1">
      <c r="A16763" s="56"/>
    </row>
    <row r="16764" spans="1:1">
      <c r="A16764" s="56"/>
    </row>
    <row r="16765" spans="1:1">
      <c r="A16765" s="56"/>
    </row>
    <row r="16766" spans="1:1">
      <c r="A16766" s="56"/>
    </row>
    <row r="16767" spans="1:1">
      <c r="A16767" s="56"/>
    </row>
    <row r="16768" spans="1:1">
      <c r="A16768" s="56"/>
    </row>
    <row r="16769" spans="1:1">
      <c r="A16769" s="56"/>
    </row>
    <row r="16770" spans="1:1">
      <c r="A16770" s="56"/>
    </row>
    <row r="16771" spans="1:1">
      <c r="A16771" s="56"/>
    </row>
    <row r="16772" spans="1:1">
      <c r="A16772" s="56"/>
    </row>
    <row r="16773" spans="1:1">
      <c r="A16773" s="56"/>
    </row>
    <row r="16774" spans="1:1">
      <c r="A16774" s="56"/>
    </row>
    <row r="16775" spans="1:1">
      <c r="A16775" s="56"/>
    </row>
    <row r="16776" spans="1:1">
      <c r="A16776" s="56"/>
    </row>
    <row r="16777" spans="1:1">
      <c r="A16777" s="56"/>
    </row>
    <row r="16778" spans="1:1">
      <c r="A16778" s="56"/>
    </row>
    <row r="16779" spans="1:1">
      <c r="A16779" s="56"/>
    </row>
    <row r="16780" spans="1:1">
      <c r="A16780" s="56"/>
    </row>
    <row r="16781" spans="1:1">
      <c r="A16781" s="56"/>
    </row>
    <row r="16782" spans="1:1">
      <c r="A16782" s="56"/>
    </row>
    <row r="16783" spans="1:1">
      <c r="A16783" s="56"/>
    </row>
    <row r="16784" spans="1:1">
      <c r="A16784" s="56"/>
    </row>
    <row r="16785" spans="1:1">
      <c r="A16785" s="56"/>
    </row>
    <row r="16786" spans="1:1">
      <c r="A16786" s="56"/>
    </row>
    <row r="16787" spans="1:1">
      <c r="A16787" s="56"/>
    </row>
    <row r="16788" spans="1:1">
      <c r="A16788" s="56"/>
    </row>
    <row r="16789" spans="1:1">
      <c r="A16789" s="56"/>
    </row>
    <row r="16790" spans="1:1">
      <c r="A16790" s="56"/>
    </row>
    <row r="16791" spans="1:1">
      <c r="A16791" s="56"/>
    </row>
    <row r="16792" spans="1:1">
      <c r="A16792" s="56"/>
    </row>
    <row r="16793" spans="1:1">
      <c r="A16793" s="56"/>
    </row>
    <row r="16794" spans="1:1">
      <c r="A16794" s="56"/>
    </row>
    <row r="16795" spans="1:1">
      <c r="A16795" s="56"/>
    </row>
    <row r="16796" spans="1:1">
      <c r="A16796" s="56"/>
    </row>
    <row r="16797" spans="1:1">
      <c r="A16797" s="56"/>
    </row>
    <row r="16798" spans="1:1">
      <c r="A16798" s="56"/>
    </row>
    <row r="16799" spans="1:1">
      <c r="A16799" s="56"/>
    </row>
    <row r="16800" spans="1:1">
      <c r="A16800" s="56"/>
    </row>
    <row r="16801" spans="1:1">
      <c r="A16801" s="56"/>
    </row>
    <row r="16802" spans="1:1">
      <c r="A16802" s="56"/>
    </row>
    <row r="16803" spans="1:1">
      <c r="A16803" s="56"/>
    </row>
    <row r="16804" spans="1:1">
      <c r="A16804" s="56"/>
    </row>
    <row r="16805" spans="1:1">
      <c r="A16805" s="56"/>
    </row>
    <row r="16806" spans="1:1">
      <c r="A16806" s="56"/>
    </row>
    <row r="16807" spans="1:1">
      <c r="A16807" s="56"/>
    </row>
    <row r="16808" spans="1:1">
      <c r="A16808" s="56"/>
    </row>
    <row r="16809" spans="1:1">
      <c r="A16809" s="56"/>
    </row>
    <row r="16810" spans="1:1">
      <c r="A16810" s="56"/>
    </row>
    <row r="16811" spans="1:1">
      <c r="A16811" s="56"/>
    </row>
    <row r="16812" spans="1:1">
      <c r="A16812" s="56"/>
    </row>
    <row r="16813" spans="1:1">
      <c r="A16813" s="56"/>
    </row>
    <row r="16814" spans="1:1">
      <c r="A16814" s="56"/>
    </row>
    <row r="16815" spans="1:1">
      <c r="A16815" s="56"/>
    </row>
    <row r="16816" spans="1:1">
      <c r="A16816" s="56"/>
    </row>
    <row r="16817" spans="1:1">
      <c r="A16817" s="56"/>
    </row>
    <row r="16818" spans="1:1">
      <c r="A16818" s="56"/>
    </row>
    <row r="16819" spans="1:1">
      <c r="A16819" s="56"/>
    </row>
    <row r="16820" spans="1:1">
      <c r="A16820" s="56"/>
    </row>
    <row r="16821" spans="1:1">
      <c r="A16821" s="56"/>
    </row>
    <row r="16822" spans="1:1">
      <c r="A16822" s="56"/>
    </row>
    <row r="16823" spans="1:1">
      <c r="A16823" s="56"/>
    </row>
    <row r="16824" spans="1:1">
      <c r="A16824" s="56"/>
    </row>
    <row r="16825" spans="1:1">
      <c r="A16825" s="56"/>
    </row>
    <row r="16826" spans="1:1">
      <c r="A16826" s="56"/>
    </row>
    <row r="16827" spans="1:1">
      <c r="A16827" s="56"/>
    </row>
    <row r="16828" spans="1:1">
      <c r="A16828" s="56"/>
    </row>
    <row r="16829" spans="1:1">
      <c r="A16829" s="56"/>
    </row>
    <row r="16830" spans="1:1">
      <c r="A16830" s="56"/>
    </row>
    <row r="16831" spans="1:1">
      <c r="A16831" s="56"/>
    </row>
    <row r="16832" spans="1:1">
      <c r="A16832" s="56"/>
    </row>
    <row r="16833" spans="1:1">
      <c r="A16833" s="56"/>
    </row>
    <row r="16834" spans="1:1">
      <c r="A16834" s="56"/>
    </row>
    <row r="16835" spans="1:1">
      <c r="A16835" s="56"/>
    </row>
    <row r="16836" spans="1:1">
      <c r="A16836" s="56"/>
    </row>
    <row r="16837" spans="1:1">
      <c r="A16837" s="56"/>
    </row>
    <row r="16838" spans="1:1">
      <c r="A16838" s="56"/>
    </row>
    <row r="16839" spans="1:1">
      <c r="A16839" s="56"/>
    </row>
    <row r="16840" spans="1:1">
      <c r="A16840" s="56"/>
    </row>
    <row r="16841" spans="1:1">
      <c r="A16841" s="56"/>
    </row>
    <row r="16842" spans="1:1">
      <c r="A16842" s="56"/>
    </row>
    <row r="16843" spans="1:1">
      <c r="A16843" s="56"/>
    </row>
    <row r="16844" spans="1:1">
      <c r="A16844" s="56"/>
    </row>
    <row r="16845" spans="1:1">
      <c r="A16845" s="56"/>
    </row>
    <row r="16846" spans="1:1">
      <c r="A16846" s="56"/>
    </row>
    <row r="16847" spans="1:1">
      <c r="A16847" s="56"/>
    </row>
    <row r="16848" spans="1:1">
      <c r="A16848" s="56"/>
    </row>
    <row r="16849" spans="1:1">
      <c r="A16849" s="56"/>
    </row>
    <row r="16850" spans="1:1">
      <c r="A16850" s="56"/>
    </row>
    <row r="16851" spans="1:1">
      <c r="A16851" s="56"/>
    </row>
    <row r="16852" spans="1:1">
      <c r="A16852" s="56"/>
    </row>
    <row r="16853" spans="1:1">
      <c r="A16853" s="56"/>
    </row>
    <row r="16854" spans="1:1">
      <c r="A16854" s="56"/>
    </row>
    <row r="16855" spans="1:1">
      <c r="A16855" s="56"/>
    </row>
    <row r="16856" spans="1:1">
      <c r="A16856" s="56"/>
    </row>
    <row r="16857" spans="1:1">
      <c r="A16857" s="56"/>
    </row>
    <row r="16858" spans="1:1">
      <c r="A16858" s="56"/>
    </row>
    <row r="16859" spans="1:1">
      <c r="A16859" s="56"/>
    </row>
    <row r="16860" spans="1:1">
      <c r="A16860" s="56"/>
    </row>
    <row r="16861" spans="1:1">
      <c r="A16861" s="56"/>
    </row>
    <row r="16862" spans="1:1">
      <c r="A16862" s="56"/>
    </row>
    <row r="16863" spans="1:1">
      <c r="A16863" s="56"/>
    </row>
    <row r="16864" spans="1:1">
      <c r="A16864" s="56"/>
    </row>
    <row r="16865" spans="1:1">
      <c r="A16865" s="56"/>
    </row>
    <row r="16866" spans="1:1">
      <c r="A16866" s="56"/>
    </row>
    <row r="16867" spans="1:1">
      <c r="A16867" s="56"/>
    </row>
    <row r="16868" spans="1:1">
      <c r="A16868" s="56"/>
    </row>
    <row r="16869" spans="1:1">
      <c r="A16869" s="56"/>
    </row>
    <row r="16870" spans="1:1">
      <c r="A16870" s="56"/>
    </row>
    <row r="16871" spans="1:1">
      <c r="A16871" s="56"/>
    </row>
    <row r="16872" spans="1:1">
      <c r="A16872" s="56"/>
    </row>
    <row r="16873" spans="1:1">
      <c r="A16873" s="56"/>
    </row>
    <row r="16874" spans="1:1">
      <c r="A16874" s="56"/>
    </row>
    <row r="16875" spans="1:1">
      <c r="A16875" s="56"/>
    </row>
    <row r="16876" spans="1:1">
      <c r="A16876" s="56"/>
    </row>
    <row r="16877" spans="1:1">
      <c r="A16877" s="56"/>
    </row>
    <row r="16878" spans="1:1">
      <c r="A16878" s="56"/>
    </row>
    <row r="16879" spans="1:1">
      <c r="A16879" s="56"/>
    </row>
    <row r="16880" spans="1:1">
      <c r="A16880" s="56"/>
    </row>
    <row r="16881" spans="1:1">
      <c r="A16881" s="56"/>
    </row>
    <row r="16882" spans="1:1">
      <c r="A16882" s="56"/>
    </row>
    <row r="16883" spans="1:1">
      <c r="A16883" s="56"/>
    </row>
    <row r="16884" spans="1:1">
      <c r="A16884" s="56"/>
    </row>
    <row r="16885" spans="1:1">
      <c r="A16885" s="56"/>
    </row>
    <row r="16886" spans="1:1">
      <c r="A16886" s="56"/>
    </row>
    <row r="16887" spans="1:1">
      <c r="A16887" s="56"/>
    </row>
    <row r="16888" spans="1:1">
      <c r="A16888" s="56"/>
    </row>
    <row r="16889" spans="1:1">
      <c r="A16889" s="56"/>
    </row>
    <row r="16890" spans="1:1">
      <c r="A16890" s="56"/>
    </row>
    <row r="16891" spans="1:1">
      <c r="A16891" s="56"/>
    </row>
    <row r="16892" spans="1:1">
      <c r="A16892" s="56"/>
    </row>
    <row r="16893" spans="1:1">
      <c r="A16893" s="56"/>
    </row>
    <row r="16894" spans="1:1">
      <c r="A16894" s="56"/>
    </row>
    <row r="16895" spans="1:1">
      <c r="A16895" s="56"/>
    </row>
    <row r="16896" spans="1:1">
      <c r="A16896" s="56"/>
    </row>
    <row r="16897" spans="1:1">
      <c r="A16897" s="56"/>
    </row>
    <row r="16898" spans="1:1">
      <c r="A16898" s="56"/>
    </row>
    <row r="16899" spans="1:1">
      <c r="A16899" s="56"/>
    </row>
    <row r="16900" spans="1:1">
      <c r="A16900" s="56"/>
    </row>
    <row r="16901" spans="1:1">
      <c r="A16901" s="56"/>
    </row>
    <row r="16902" spans="1:1">
      <c r="A16902" s="56"/>
    </row>
    <row r="16903" spans="1:1">
      <c r="A16903" s="56"/>
    </row>
    <row r="16904" spans="1:1">
      <c r="A16904" s="56"/>
    </row>
    <row r="16905" spans="1:1">
      <c r="A16905" s="56"/>
    </row>
    <row r="16906" spans="1:1">
      <c r="A16906" s="56"/>
    </row>
    <row r="16907" spans="1:1">
      <c r="A16907" s="56"/>
    </row>
    <row r="16908" spans="1:1">
      <c r="A16908" s="56"/>
    </row>
    <row r="16909" spans="1:1">
      <c r="A16909" s="56"/>
    </row>
    <row r="16910" spans="1:1">
      <c r="A16910" s="56"/>
    </row>
    <row r="16911" spans="1:1">
      <c r="A16911" s="56"/>
    </row>
    <row r="16912" spans="1:1">
      <c r="A16912" s="56"/>
    </row>
    <row r="16913" spans="1:1">
      <c r="A16913" s="56"/>
    </row>
    <row r="16914" spans="1:1">
      <c r="A16914" s="56"/>
    </row>
    <row r="16915" spans="1:1">
      <c r="A16915" s="56"/>
    </row>
    <row r="16916" spans="1:1">
      <c r="A16916" s="56"/>
    </row>
    <row r="16917" spans="1:1">
      <c r="A16917" s="56"/>
    </row>
    <row r="16918" spans="1:1">
      <c r="A16918" s="56"/>
    </row>
    <row r="16919" spans="1:1">
      <c r="A16919" s="56"/>
    </row>
    <row r="16920" spans="1:1">
      <c r="A16920" s="56"/>
    </row>
    <row r="16921" spans="1:1">
      <c r="A16921" s="56"/>
    </row>
    <row r="16922" spans="1:1">
      <c r="A16922" s="56"/>
    </row>
    <row r="16923" spans="1:1">
      <c r="A16923" s="56"/>
    </row>
    <row r="16924" spans="1:1">
      <c r="A16924" s="56"/>
    </row>
    <row r="16925" spans="1:1">
      <c r="A16925" s="56"/>
    </row>
    <row r="16926" spans="1:1">
      <c r="A16926" s="56"/>
    </row>
    <row r="16927" spans="1:1">
      <c r="A16927" s="56"/>
    </row>
    <row r="16928" spans="1:1">
      <c r="A16928" s="56"/>
    </row>
    <row r="16929" spans="1:1">
      <c r="A16929" s="56"/>
    </row>
    <row r="16930" spans="1:1">
      <c r="A16930" s="56"/>
    </row>
    <row r="16931" spans="1:1">
      <c r="A16931" s="56"/>
    </row>
    <row r="16932" spans="1:1">
      <c r="A16932" s="56"/>
    </row>
    <row r="16933" spans="1:1">
      <c r="A16933" s="56"/>
    </row>
    <row r="16934" spans="1:1">
      <c r="A16934" s="56"/>
    </row>
    <row r="16935" spans="1:1">
      <c r="A16935" s="56"/>
    </row>
    <row r="16936" spans="1:1">
      <c r="A16936" s="56"/>
    </row>
    <row r="16937" spans="1:1">
      <c r="A16937" s="56"/>
    </row>
    <row r="16938" spans="1:1">
      <c r="A16938" s="56"/>
    </row>
    <row r="16939" spans="1:1">
      <c r="A16939" s="56"/>
    </row>
    <row r="16940" spans="1:1">
      <c r="A16940" s="56"/>
    </row>
    <row r="16941" spans="1:1">
      <c r="A16941" s="56"/>
    </row>
    <row r="16942" spans="1:1">
      <c r="A16942" s="56"/>
    </row>
    <row r="16943" spans="1:1">
      <c r="A16943" s="56"/>
    </row>
    <row r="16944" spans="1:1">
      <c r="A16944" s="56"/>
    </row>
    <row r="16945" spans="1:1">
      <c r="A16945" s="56"/>
    </row>
    <row r="16946" spans="1:1">
      <c r="A16946" s="56"/>
    </row>
    <row r="16947" spans="1:1">
      <c r="A16947" s="56"/>
    </row>
    <row r="16948" spans="1:1">
      <c r="A16948" s="56"/>
    </row>
    <row r="16949" spans="1:1">
      <c r="A16949" s="56"/>
    </row>
    <row r="16950" spans="1:1">
      <c r="A16950" s="56"/>
    </row>
    <row r="16951" spans="1:1">
      <c r="A16951" s="56"/>
    </row>
    <row r="16952" spans="1:1">
      <c r="A16952" s="56"/>
    </row>
    <row r="16953" spans="1:1">
      <c r="A16953" s="56"/>
    </row>
    <row r="16954" spans="1:1">
      <c r="A16954" s="56"/>
    </row>
    <row r="16955" spans="1:1">
      <c r="A16955" s="56"/>
    </row>
    <row r="16956" spans="1:1">
      <c r="A16956" s="56"/>
    </row>
    <row r="16957" spans="1:1">
      <c r="A16957" s="56"/>
    </row>
    <row r="16958" spans="1:1">
      <c r="A16958" s="56"/>
    </row>
    <row r="16959" spans="1:1">
      <c r="A16959" s="56"/>
    </row>
    <row r="16960" spans="1:1">
      <c r="A16960" s="56"/>
    </row>
    <row r="16961" spans="1:1">
      <c r="A16961" s="56"/>
    </row>
    <row r="16962" spans="1:1">
      <c r="A16962" s="56"/>
    </row>
    <row r="16963" spans="1:1">
      <c r="A16963" s="56"/>
    </row>
    <row r="16964" spans="1:1">
      <c r="A16964" s="56"/>
    </row>
    <row r="16965" spans="1:1">
      <c r="A16965" s="56"/>
    </row>
    <row r="16966" spans="1:1">
      <c r="A16966" s="56"/>
    </row>
    <row r="16967" spans="1:1">
      <c r="A16967" s="56"/>
    </row>
    <row r="16968" spans="1:1">
      <c r="A16968" s="56"/>
    </row>
    <row r="16969" spans="1:1">
      <c r="A16969" s="56"/>
    </row>
    <row r="16970" spans="1:1">
      <c r="A16970" s="56"/>
    </row>
    <row r="16971" spans="1:1">
      <c r="A16971" s="56"/>
    </row>
    <row r="16972" spans="1:1">
      <c r="A16972" s="56"/>
    </row>
    <row r="16973" spans="1:1">
      <c r="A16973" s="56"/>
    </row>
    <row r="16974" spans="1:1">
      <c r="A16974" s="56"/>
    </row>
    <row r="16975" spans="1:1">
      <c r="A16975" s="56"/>
    </row>
    <row r="16976" spans="1:1">
      <c r="A16976" s="56"/>
    </row>
    <row r="16977" spans="1:1">
      <c r="A16977" s="56"/>
    </row>
    <row r="16978" spans="1:1">
      <c r="A16978" s="56"/>
    </row>
    <row r="16979" spans="1:1">
      <c r="A16979" s="56"/>
    </row>
    <row r="16980" spans="1:1">
      <c r="A16980" s="56"/>
    </row>
    <row r="16981" spans="1:1">
      <c r="A16981" s="56"/>
    </row>
    <row r="16982" spans="1:1">
      <c r="A16982" s="56"/>
    </row>
    <row r="16983" spans="1:1">
      <c r="A16983" s="56"/>
    </row>
    <row r="16984" spans="1:1">
      <c r="A16984" s="56"/>
    </row>
    <row r="16985" spans="1:1">
      <c r="A16985" s="56"/>
    </row>
    <row r="16986" spans="1:1">
      <c r="A16986" s="56"/>
    </row>
    <row r="16987" spans="1:1">
      <c r="A16987" s="56"/>
    </row>
    <row r="16988" spans="1:1">
      <c r="A16988" s="56"/>
    </row>
    <row r="16989" spans="1:1">
      <c r="A16989" s="56"/>
    </row>
    <row r="16990" spans="1:1">
      <c r="A16990" s="56"/>
    </row>
    <row r="16991" spans="1:1">
      <c r="A16991" s="56"/>
    </row>
    <row r="16992" spans="1:1">
      <c r="A16992" s="56"/>
    </row>
    <row r="16993" spans="1:1">
      <c r="A16993" s="56"/>
    </row>
    <row r="16994" spans="1:1">
      <c r="A16994" s="56"/>
    </row>
    <row r="16995" spans="1:1">
      <c r="A16995" s="56"/>
    </row>
    <row r="16996" spans="1:1">
      <c r="A16996" s="56"/>
    </row>
    <row r="16997" spans="1:1">
      <c r="A16997" s="56"/>
    </row>
    <row r="16998" spans="1:1">
      <c r="A16998" s="56"/>
    </row>
    <row r="16999" spans="1:1">
      <c r="A16999" s="56"/>
    </row>
    <row r="17000" spans="1:1">
      <c r="A17000" s="56"/>
    </row>
    <row r="17001" spans="1:1">
      <c r="A17001" s="56"/>
    </row>
    <row r="17002" spans="1:1">
      <c r="A17002" s="56"/>
    </row>
    <row r="17003" spans="1:1">
      <c r="A17003" s="56"/>
    </row>
    <row r="17004" spans="1:1">
      <c r="A17004" s="56"/>
    </row>
    <row r="17005" spans="1:1">
      <c r="A17005" s="56"/>
    </row>
    <row r="17006" spans="1:1">
      <c r="A17006" s="56"/>
    </row>
    <row r="17007" spans="1:1">
      <c r="A17007" s="56"/>
    </row>
    <row r="17008" spans="1:1">
      <c r="A17008" s="56"/>
    </row>
    <row r="17009" spans="1:1">
      <c r="A17009" s="56"/>
    </row>
    <row r="17010" spans="1:1">
      <c r="A17010" s="56"/>
    </row>
    <row r="17011" spans="1:1">
      <c r="A17011" s="56"/>
    </row>
    <row r="17012" spans="1:1">
      <c r="A17012" s="56"/>
    </row>
    <row r="17013" spans="1:1">
      <c r="A17013" s="56"/>
    </row>
    <row r="17014" spans="1:1">
      <c r="A17014" s="56"/>
    </row>
    <row r="17015" spans="1:1">
      <c r="A17015" s="56"/>
    </row>
    <row r="17016" spans="1:1">
      <c r="A17016" s="56"/>
    </row>
    <row r="17017" spans="1:1">
      <c r="A17017" s="56"/>
    </row>
    <row r="17018" spans="1:1">
      <c r="A17018" s="56"/>
    </row>
    <row r="17019" spans="1:1">
      <c r="A17019" s="56"/>
    </row>
    <row r="17020" spans="1:1">
      <c r="A17020" s="56"/>
    </row>
    <row r="17021" spans="1:1">
      <c r="A17021" s="56"/>
    </row>
    <row r="17022" spans="1:1">
      <c r="A17022" s="56"/>
    </row>
    <row r="17023" spans="1:1">
      <c r="A17023" s="56"/>
    </row>
    <row r="17024" spans="1:1">
      <c r="A17024" s="56"/>
    </row>
    <row r="17025" spans="1:1">
      <c r="A17025" s="56"/>
    </row>
    <row r="17026" spans="1:1">
      <c r="A17026" s="56"/>
    </row>
    <row r="17027" spans="1:1">
      <c r="A17027" s="56"/>
    </row>
    <row r="17028" spans="1:1">
      <c r="A17028" s="56"/>
    </row>
    <row r="17029" spans="1:1">
      <c r="A17029" s="56"/>
    </row>
    <row r="17030" spans="1:1">
      <c r="A17030" s="56"/>
    </row>
    <row r="17031" spans="1:1">
      <c r="A17031" s="56"/>
    </row>
    <row r="17032" spans="1:1">
      <c r="A17032" s="56"/>
    </row>
    <row r="17033" spans="1:1">
      <c r="A17033" s="56"/>
    </row>
    <row r="17034" spans="1:1">
      <c r="A17034" s="56"/>
    </row>
    <row r="17035" spans="1:1">
      <c r="A17035" s="56"/>
    </row>
    <row r="17036" spans="1:1">
      <c r="A17036" s="56"/>
    </row>
    <row r="17037" spans="1:1">
      <c r="A17037" s="56"/>
    </row>
    <row r="17038" spans="1:1">
      <c r="A17038" s="56"/>
    </row>
    <row r="17039" spans="1:1">
      <c r="A17039" s="56"/>
    </row>
    <row r="17040" spans="1:1">
      <c r="A17040" s="56"/>
    </row>
    <row r="17041" spans="1:1">
      <c r="A17041" s="56"/>
    </row>
    <row r="17042" spans="1:1">
      <c r="A17042" s="56"/>
    </row>
    <row r="17043" spans="1:1">
      <c r="A17043" s="56"/>
    </row>
    <row r="17044" spans="1:1">
      <c r="A17044" s="56"/>
    </row>
    <row r="17045" spans="1:1">
      <c r="A17045" s="56"/>
    </row>
    <row r="17046" spans="1:1">
      <c r="A17046" s="56"/>
    </row>
    <row r="17047" spans="1:1">
      <c r="A17047" s="56"/>
    </row>
    <row r="17048" spans="1:1">
      <c r="A17048" s="56"/>
    </row>
    <row r="17049" spans="1:1">
      <c r="A17049" s="56"/>
    </row>
    <row r="17050" spans="1:1">
      <c r="A17050" s="56"/>
    </row>
    <row r="17051" spans="1:1">
      <c r="A17051" s="56"/>
    </row>
    <row r="17052" spans="1:1">
      <c r="A17052" s="56"/>
    </row>
    <row r="17053" spans="1:1">
      <c r="A17053" s="56"/>
    </row>
    <row r="17054" spans="1:1">
      <c r="A17054" s="56"/>
    </row>
    <row r="17055" spans="1:1">
      <c r="A17055" s="56"/>
    </row>
    <row r="17056" spans="1:1">
      <c r="A17056" s="56"/>
    </row>
    <row r="17057" spans="1:1">
      <c r="A17057" s="56"/>
    </row>
    <row r="17058" spans="1:1">
      <c r="A17058" s="56"/>
    </row>
    <row r="17059" spans="1:1">
      <c r="A17059" s="56"/>
    </row>
    <row r="17060" spans="1:1">
      <c r="A17060" s="56"/>
    </row>
    <row r="17061" spans="1:1">
      <c r="A17061" s="56"/>
    </row>
    <row r="17062" spans="1:1">
      <c r="A17062" s="56"/>
    </row>
    <row r="17063" spans="1:1">
      <c r="A17063" s="56"/>
    </row>
    <row r="17064" spans="1:1">
      <c r="A17064" s="56"/>
    </row>
    <row r="17065" spans="1:1">
      <c r="A17065" s="56"/>
    </row>
    <row r="17066" spans="1:1">
      <c r="A17066" s="56"/>
    </row>
    <row r="17067" spans="1:1">
      <c r="A17067" s="56"/>
    </row>
    <row r="17068" spans="1:1">
      <c r="A17068" s="56"/>
    </row>
    <row r="17069" spans="1:1">
      <c r="A17069" s="56"/>
    </row>
    <row r="17070" spans="1:1">
      <c r="A17070" s="56"/>
    </row>
    <row r="17071" spans="1:1">
      <c r="A17071" s="56"/>
    </row>
    <row r="17072" spans="1:1">
      <c r="A17072" s="56"/>
    </row>
    <row r="17073" spans="1:1">
      <c r="A17073" s="56"/>
    </row>
    <row r="17074" spans="1:1">
      <c r="A17074" s="56"/>
    </row>
    <row r="17075" spans="1:1">
      <c r="A17075" s="56"/>
    </row>
    <row r="17076" spans="1:1">
      <c r="A17076" s="56"/>
    </row>
    <row r="17077" spans="1:1">
      <c r="A17077" s="56"/>
    </row>
    <row r="17078" spans="1:1">
      <c r="A17078" s="56"/>
    </row>
    <row r="17079" spans="1:1">
      <c r="A17079" s="56"/>
    </row>
    <row r="17080" spans="1:1">
      <c r="A17080" s="56"/>
    </row>
    <row r="17081" spans="1:1">
      <c r="A17081" s="56"/>
    </row>
    <row r="17082" spans="1:1">
      <c r="A17082" s="56"/>
    </row>
    <row r="17083" spans="1:1">
      <c r="A17083" s="56"/>
    </row>
    <row r="17084" spans="1:1">
      <c r="A17084" s="56"/>
    </row>
    <row r="17085" spans="1:1">
      <c r="A17085" s="56"/>
    </row>
    <row r="17086" spans="1:1">
      <c r="A17086" s="56"/>
    </row>
    <row r="17087" spans="1:1">
      <c r="A17087" s="56"/>
    </row>
    <row r="17088" spans="1:1">
      <c r="A17088" s="56"/>
    </row>
    <row r="17089" spans="1:1">
      <c r="A17089" s="56"/>
    </row>
    <row r="17090" spans="1:1">
      <c r="A17090" s="56"/>
    </row>
    <row r="17091" spans="1:1">
      <c r="A17091" s="56"/>
    </row>
    <row r="17092" spans="1:1">
      <c r="A17092" s="56"/>
    </row>
    <row r="17093" spans="1:1">
      <c r="A17093" s="56"/>
    </row>
    <row r="17094" spans="1:1">
      <c r="A17094" s="56"/>
    </row>
    <row r="17095" spans="1:1">
      <c r="A17095" s="56"/>
    </row>
    <row r="17096" spans="1:1">
      <c r="A17096" s="56"/>
    </row>
    <row r="17097" spans="1:1">
      <c r="A17097" s="56"/>
    </row>
    <row r="17098" spans="1:1">
      <c r="A17098" s="56"/>
    </row>
    <row r="17099" spans="1:1">
      <c r="A17099" s="56"/>
    </row>
    <row r="17100" spans="1:1">
      <c r="A17100" s="56"/>
    </row>
    <row r="17101" spans="1:1">
      <c r="A17101" s="56"/>
    </row>
    <row r="17102" spans="1:1">
      <c r="A17102" s="56"/>
    </row>
    <row r="17103" spans="1:1">
      <c r="A17103" s="56"/>
    </row>
    <row r="17104" spans="1:1">
      <c r="A17104" s="56"/>
    </row>
    <row r="17105" spans="1:1">
      <c r="A17105" s="56"/>
    </row>
    <row r="17106" spans="1:1">
      <c r="A17106" s="56"/>
    </row>
    <row r="17107" spans="1:1">
      <c r="A17107" s="56"/>
    </row>
    <row r="17108" spans="1:1">
      <c r="A17108" s="56"/>
    </row>
    <row r="17109" spans="1:1">
      <c r="A17109" s="56"/>
    </row>
    <row r="17110" spans="1:1">
      <c r="A17110" s="56"/>
    </row>
    <row r="17111" spans="1:1">
      <c r="A17111" s="56"/>
    </row>
    <row r="17112" spans="1:1">
      <c r="A17112" s="56"/>
    </row>
    <row r="17113" spans="1:1">
      <c r="A17113" s="56"/>
    </row>
    <row r="17114" spans="1:1">
      <c r="A17114" s="56"/>
    </row>
    <row r="17115" spans="1:1">
      <c r="A17115" s="56"/>
    </row>
    <row r="17116" spans="1:1">
      <c r="A17116" s="56"/>
    </row>
    <row r="17117" spans="1:1">
      <c r="A17117" s="56"/>
    </row>
    <row r="17118" spans="1:1">
      <c r="A17118" s="56"/>
    </row>
    <row r="17119" spans="1:1">
      <c r="A17119" s="56"/>
    </row>
    <row r="17120" spans="1:1">
      <c r="A17120" s="56"/>
    </row>
    <row r="17121" spans="1:1">
      <c r="A17121" s="56"/>
    </row>
    <row r="17122" spans="1:1">
      <c r="A17122" s="56"/>
    </row>
    <row r="17123" spans="1:1">
      <c r="A17123" s="56"/>
    </row>
    <row r="17124" spans="1:1">
      <c r="A17124" s="56"/>
    </row>
    <row r="17125" spans="1:1">
      <c r="A17125" s="56"/>
    </row>
    <row r="17126" spans="1:1">
      <c r="A17126" s="56"/>
    </row>
    <row r="17127" spans="1:1">
      <c r="A17127" s="56"/>
    </row>
    <row r="17128" spans="1:1">
      <c r="A17128" s="56"/>
    </row>
    <row r="17129" spans="1:1">
      <c r="A17129" s="56"/>
    </row>
    <row r="17130" spans="1:1">
      <c r="A17130" s="56"/>
    </row>
    <row r="17131" spans="1:1">
      <c r="A17131" s="56"/>
    </row>
    <row r="17132" spans="1:1">
      <c r="A17132" s="56"/>
    </row>
    <row r="17133" spans="1:1">
      <c r="A17133" s="56"/>
    </row>
    <row r="17134" spans="1:1">
      <c r="A17134" s="56"/>
    </row>
    <row r="17135" spans="1:1">
      <c r="A17135" s="56"/>
    </row>
    <row r="17136" spans="1:1">
      <c r="A17136" s="56"/>
    </row>
    <row r="17137" spans="1:1">
      <c r="A17137" s="56"/>
    </row>
    <row r="17138" spans="1:1">
      <c r="A17138" s="56"/>
    </row>
    <row r="17139" spans="1:1">
      <c r="A17139" s="56"/>
    </row>
    <row r="17140" spans="1:1">
      <c r="A17140" s="56"/>
    </row>
    <row r="17141" spans="1:1">
      <c r="A17141" s="56"/>
    </row>
    <row r="17142" spans="1:1">
      <c r="A17142" s="56"/>
    </row>
    <row r="17143" spans="1:1">
      <c r="A17143" s="56"/>
    </row>
    <row r="17144" spans="1:1">
      <c r="A17144" s="56"/>
    </row>
    <row r="17145" spans="1:1">
      <c r="A17145" s="56"/>
    </row>
    <row r="17146" spans="1:1">
      <c r="A17146" s="56"/>
    </row>
    <row r="17147" spans="1:1">
      <c r="A17147" s="56"/>
    </row>
    <row r="17148" spans="1:1">
      <c r="A17148" s="56"/>
    </row>
    <row r="17149" spans="1:1">
      <c r="A17149" s="56"/>
    </row>
    <row r="17150" spans="1:1">
      <c r="A17150" s="56"/>
    </row>
    <row r="17151" spans="1:1">
      <c r="A17151" s="56"/>
    </row>
    <row r="17152" spans="1:1">
      <c r="A17152" s="56"/>
    </row>
    <row r="17153" spans="1:1">
      <c r="A17153" s="56"/>
    </row>
    <row r="17154" spans="1:1">
      <c r="A17154" s="56"/>
    </row>
    <row r="17155" spans="1:1">
      <c r="A17155" s="56"/>
    </row>
    <row r="17156" spans="1:1">
      <c r="A17156" s="56"/>
    </row>
    <row r="17157" spans="1:1">
      <c r="A17157" s="56"/>
    </row>
    <row r="17158" spans="1:1">
      <c r="A17158" s="56"/>
    </row>
    <row r="17159" spans="1:1">
      <c r="A17159" s="56"/>
    </row>
    <row r="17160" spans="1:1">
      <c r="A17160" s="56"/>
    </row>
    <row r="17161" spans="1:1">
      <c r="A17161" s="56"/>
    </row>
    <row r="17162" spans="1:1">
      <c r="A17162" s="56"/>
    </row>
    <row r="17163" spans="1:1">
      <c r="A17163" s="56"/>
    </row>
    <row r="17164" spans="1:1">
      <c r="A17164" s="56"/>
    </row>
    <row r="17165" spans="1:1">
      <c r="A17165" s="56"/>
    </row>
    <row r="17166" spans="1:1">
      <c r="A17166" s="56"/>
    </row>
    <row r="17167" spans="1:1">
      <c r="A17167" s="56"/>
    </row>
    <row r="17168" spans="1:1">
      <c r="A17168" s="56"/>
    </row>
    <row r="17169" spans="1:1">
      <c r="A17169" s="56"/>
    </row>
    <row r="17170" spans="1:1">
      <c r="A17170" s="56"/>
    </row>
    <row r="17171" spans="1:1">
      <c r="A17171" s="56"/>
    </row>
    <row r="17172" spans="1:1">
      <c r="A17172" s="56"/>
    </row>
    <row r="17173" spans="1:1">
      <c r="A17173" s="56"/>
    </row>
    <row r="17174" spans="1:1">
      <c r="A17174" s="56"/>
    </row>
    <row r="17175" spans="1:1">
      <c r="A17175" s="56"/>
    </row>
    <row r="17176" spans="1:1">
      <c r="A17176" s="56"/>
    </row>
    <row r="17177" spans="1:1">
      <c r="A17177" s="56"/>
    </row>
    <row r="17178" spans="1:1">
      <c r="A17178" s="56"/>
    </row>
    <row r="17179" spans="1:1">
      <c r="A17179" s="56"/>
    </row>
    <row r="17180" spans="1:1">
      <c r="A17180" s="56"/>
    </row>
    <row r="17181" spans="1:1">
      <c r="A17181" s="56"/>
    </row>
    <row r="17182" spans="1:1">
      <c r="A17182" s="56"/>
    </row>
    <row r="17183" spans="1:1">
      <c r="A17183" s="56"/>
    </row>
    <row r="17184" spans="1:1">
      <c r="A17184" s="56"/>
    </row>
    <row r="17185" spans="1:1">
      <c r="A17185" s="56"/>
    </row>
    <row r="17186" spans="1:1">
      <c r="A17186" s="56"/>
    </row>
    <row r="17187" spans="1:1">
      <c r="A17187" s="56"/>
    </row>
    <row r="17188" spans="1:1">
      <c r="A17188" s="56"/>
    </row>
    <row r="17189" spans="1:1">
      <c r="A17189" s="56"/>
    </row>
    <row r="17190" spans="1:1">
      <c r="A17190" s="56"/>
    </row>
    <row r="17191" spans="1:1">
      <c r="A17191" s="56"/>
    </row>
    <row r="17192" spans="1:1">
      <c r="A17192" s="56"/>
    </row>
    <row r="17193" spans="1:1">
      <c r="A17193" s="56"/>
    </row>
    <row r="17194" spans="1:1">
      <c r="A17194" s="56"/>
    </row>
    <row r="17195" spans="1:1">
      <c r="A17195" s="56"/>
    </row>
    <row r="17196" spans="1:1">
      <c r="A17196" s="56"/>
    </row>
    <row r="17197" spans="1:1">
      <c r="A17197" s="56"/>
    </row>
    <row r="17198" spans="1:1">
      <c r="A17198" s="56"/>
    </row>
    <row r="17199" spans="1:1">
      <c r="A17199" s="56"/>
    </row>
    <row r="17200" spans="1:1">
      <c r="A17200" s="56"/>
    </row>
    <row r="17201" spans="1:1">
      <c r="A17201" s="56"/>
    </row>
    <row r="17202" spans="1:1">
      <c r="A17202" s="56"/>
    </row>
    <row r="17203" spans="1:1">
      <c r="A17203" s="56"/>
    </row>
    <row r="17204" spans="1:1">
      <c r="A17204" s="56"/>
    </row>
    <row r="17205" spans="1:1">
      <c r="A17205" s="56"/>
    </row>
    <row r="17206" spans="1:1">
      <c r="A17206" s="56"/>
    </row>
    <row r="17207" spans="1:1">
      <c r="A17207" s="56"/>
    </row>
    <row r="17208" spans="1:1">
      <c r="A17208" s="56"/>
    </row>
    <row r="17209" spans="1:1">
      <c r="A17209" s="56"/>
    </row>
    <row r="17210" spans="1:1">
      <c r="A17210" s="56"/>
    </row>
    <row r="17211" spans="1:1">
      <c r="A17211" s="56"/>
    </row>
    <row r="17212" spans="1:1">
      <c r="A17212" s="56"/>
    </row>
    <row r="17213" spans="1:1">
      <c r="A17213" s="56"/>
    </row>
    <row r="17214" spans="1:1">
      <c r="A17214" s="56"/>
    </row>
    <row r="17215" spans="1:1">
      <c r="A17215" s="56"/>
    </row>
    <row r="17216" spans="1:1">
      <c r="A17216" s="56"/>
    </row>
    <row r="17217" spans="1:1">
      <c r="A17217" s="56"/>
    </row>
    <row r="17218" spans="1:1">
      <c r="A17218" s="56"/>
    </row>
    <row r="17219" spans="1:1">
      <c r="A17219" s="56"/>
    </row>
    <row r="17220" spans="1:1">
      <c r="A17220" s="56"/>
    </row>
    <row r="17221" spans="1:1">
      <c r="A17221" s="56"/>
    </row>
    <row r="17222" spans="1:1">
      <c r="A17222" s="56"/>
    </row>
    <row r="17223" spans="1:1">
      <c r="A17223" s="56"/>
    </row>
    <row r="17224" spans="1:1">
      <c r="A17224" s="56"/>
    </row>
    <row r="17225" spans="1:1">
      <c r="A17225" s="56"/>
    </row>
    <row r="17226" spans="1:1">
      <c r="A17226" s="56"/>
    </row>
    <row r="17227" spans="1:1">
      <c r="A17227" s="56"/>
    </row>
    <row r="17228" spans="1:1">
      <c r="A17228" s="56"/>
    </row>
    <row r="17229" spans="1:1">
      <c r="A17229" s="56"/>
    </row>
    <row r="17230" spans="1:1">
      <c r="A17230" s="56"/>
    </row>
    <row r="17231" spans="1:1">
      <c r="A17231" s="56"/>
    </row>
    <row r="17232" spans="1:1">
      <c r="A17232" s="56"/>
    </row>
    <row r="17233" spans="1:1">
      <c r="A17233" s="56"/>
    </row>
    <row r="17234" spans="1:1">
      <c r="A17234" s="56"/>
    </row>
    <row r="17235" spans="1:1">
      <c r="A17235" s="56"/>
    </row>
    <row r="17236" spans="1:1">
      <c r="A17236" s="56"/>
    </row>
    <row r="17237" spans="1:1">
      <c r="A17237" s="56"/>
    </row>
    <row r="17238" spans="1:1">
      <c r="A17238" s="56"/>
    </row>
    <row r="17239" spans="1:1">
      <c r="A17239" s="56"/>
    </row>
    <row r="17240" spans="1:1">
      <c r="A17240" s="56"/>
    </row>
    <row r="17241" spans="1:1">
      <c r="A17241" s="56"/>
    </row>
    <row r="17242" spans="1:1">
      <c r="A17242" s="56"/>
    </row>
    <row r="17243" spans="1:1">
      <c r="A17243" s="56"/>
    </row>
    <row r="17244" spans="1:1">
      <c r="A17244" s="56"/>
    </row>
    <row r="17245" spans="1:1">
      <c r="A17245" s="56"/>
    </row>
    <row r="17246" spans="1:1">
      <c r="A17246" s="56"/>
    </row>
    <row r="17247" spans="1:1">
      <c r="A17247" s="56"/>
    </row>
    <row r="17248" spans="1:1">
      <c r="A17248" s="56"/>
    </row>
    <row r="17249" spans="1:1">
      <c r="A17249" s="56"/>
    </row>
    <row r="17250" spans="1:1">
      <c r="A17250" s="56"/>
    </row>
    <row r="17251" spans="1:1">
      <c r="A17251" s="56"/>
    </row>
    <row r="17252" spans="1:1">
      <c r="A17252" s="56"/>
    </row>
    <row r="17253" spans="1:1">
      <c r="A17253" s="56"/>
    </row>
    <row r="17254" spans="1:1">
      <c r="A17254" s="56"/>
    </row>
    <row r="17255" spans="1:1">
      <c r="A17255" s="56"/>
    </row>
    <row r="17256" spans="1:1">
      <c r="A17256" s="56"/>
    </row>
    <row r="17257" spans="1:1">
      <c r="A17257" s="56"/>
    </row>
    <row r="17258" spans="1:1">
      <c r="A17258" s="56"/>
    </row>
    <row r="17259" spans="1:1">
      <c r="A17259" s="56"/>
    </row>
    <row r="17260" spans="1:1">
      <c r="A17260" s="56"/>
    </row>
    <row r="17261" spans="1:1">
      <c r="A17261" s="56"/>
    </row>
    <row r="17262" spans="1:1">
      <c r="A17262" s="56"/>
    </row>
    <row r="17263" spans="1:1">
      <c r="A17263" s="56"/>
    </row>
    <row r="17264" spans="1:1">
      <c r="A17264" s="56"/>
    </row>
    <row r="17265" spans="1:1">
      <c r="A17265" s="56"/>
    </row>
    <row r="17266" spans="1:1">
      <c r="A17266" s="56"/>
    </row>
    <row r="17267" spans="1:1">
      <c r="A17267" s="56"/>
    </row>
    <row r="17268" spans="1:1">
      <c r="A17268" s="56"/>
    </row>
    <row r="17269" spans="1:1">
      <c r="A17269" s="56"/>
    </row>
    <row r="17270" spans="1:1">
      <c r="A17270" s="56"/>
    </row>
    <row r="17271" spans="1:1">
      <c r="A17271" s="56"/>
    </row>
    <row r="17272" spans="1:1">
      <c r="A17272" s="56"/>
    </row>
    <row r="17273" spans="1:1">
      <c r="A17273" s="56"/>
    </row>
    <row r="17274" spans="1:1">
      <c r="A17274" s="56"/>
    </row>
    <row r="17275" spans="1:1">
      <c r="A17275" s="56"/>
    </row>
    <row r="17276" spans="1:1">
      <c r="A17276" s="56"/>
    </row>
    <row r="17277" spans="1:1">
      <c r="A17277" s="56"/>
    </row>
    <row r="17278" spans="1:1">
      <c r="A17278" s="56"/>
    </row>
    <row r="17279" spans="1:1">
      <c r="A17279" s="56"/>
    </row>
    <row r="17280" spans="1:1">
      <c r="A17280" s="56"/>
    </row>
    <row r="17281" spans="1:1">
      <c r="A17281" s="56"/>
    </row>
    <row r="17282" spans="1:1">
      <c r="A17282" s="56"/>
    </row>
    <row r="17283" spans="1:1">
      <c r="A17283" s="56"/>
    </row>
    <row r="17284" spans="1:1">
      <c r="A17284" s="56"/>
    </row>
    <row r="17285" spans="1:1">
      <c r="A17285" s="56"/>
    </row>
    <row r="17286" spans="1:1">
      <c r="A17286" s="56"/>
    </row>
    <row r="17287" spans="1:1">
      <c r="A17287" s="56"/>
    </row>
    <row r="17288" spans="1:1">
      <c r="A17288" s="56"/>
    </row>
    <row r="17289" spans="1:1">
      <c r="A17289" s="56"/>
    </row>
    <row r="17290" spans="1:1">
      <c r="A17290" s="56"/>
    </row>
    <row r="17291" spans="1:1">
      <c r="A17291" s="56"/>
    </row>
    <row r="17292" spans="1:1">
      <c r="A17292" s="56"/>
    </row>
    <row r="17293" spans="1:1">
      <c r="A17293" s="56"/>
    </row>
    <row r="17294" spans="1:1">
      <c r="A17294" s="56"/>
    </row>
    <row r="17295" spans="1:1">
      <c r="A17295" s="56"/>
    </row>
    <row r="17296" spans="1:1">
      <c r="A17296" s="56"/>
    </row>
    <row r="17297" spans="1:1">
      <c r="A17297" s="56"/>
    </row>
    <row r="17298" spans="1:1">
      <c r="A17298" s="56"/>
    </row>
    <row r="17299" spans="1:1">
      <c r="A17299" s="56"/>
    </row>
    <row r="17300" spans="1:1">
      <c r="A17300" s="56"/>
    </row>
    <row r="17301" spans="1:1">
      <c r="A17301" s="56"/>
    </row>
    <row r="17302" spans="1:1">
      <c r="A17302" s="56"/>
    </row>
    <row r="17303" spans="1:1">
      <c r="A17303" s="56"/>
    </row>
    <row r="17304" spans="1:1">
      <c r="A17304" s="56"/>
    </row>
    <row r="17305" spans="1:1">
      <c r="A17305" s="56"/>
    </row>
    <row r="17306" spans="1:1">
      <c r="A17306" s="56"/>
    </row>
    <row r="17307" spans="1:1">
      <c r="A17307" s="56"/>
    </row>
    <row r="17308" spans="1:1">
      <c r="A17308" s="56"/>
    </row>
    <row r="17309" spans="1:1">
      <c r="A17309" s="56"/>
    </row>
    <row r="17310" spans="1:1">
      <c r="A17310" s="56"/>
    </row>
    <row r="17311" spans="1:1">
      <c r="A17311" s="56"/>
    </row>
    <row r="17312" spans="1:1">
      <c r="A17312" s="56"/>
    </row>
    <row r="17313" spans="1:1">
      <c r="A17313" s="56"/>
    </row>
    <row r="17314" spans="1:1">
      <c r="A17314" s="56"/>
    </row>
    <row r="17315" spans="1:1">
      <c r="A17315" s="56"/>
    </row>
    <row r="17316" spans="1:1">
      <c r="A17316" s="56"/>
    </row>
    <row r="17317" spans="1:1">
      <c r="A17317" s="56"/>
    </row>
    <row r="17318" spans="1:1">
      <c r="A17318" s="56"/>
    </row>
    <row r="17319" spans="1:1">
      <c r="A17319" s="56"/>
    </row>
    <row r="17320" spans="1:1">
      <c r="A17320" s="56"/>
    </row>
    <row r="17321" spans="1:1">
      <c r="A17321" s="56"/>
    </row>
    <row r="17322" spans="1:1">
      <c r="A17322" s="56"/>
    </row>
    <row r="17323" spans="1:1">
      <c r="A17323" s="56"/>
    </row>
    <row r="17324" spans="1:1">
      <c r="A17324" s="56"/>
    </row>
    <row r="17325" spans="1:1">
      <c r="A17325" s="56"/>
    </row>
    <row r="17326" spans="1:1">
      <c r="A17326" s="56"/>
    </row>
    <row r="17327" spans="1:1">
      <c r="A17327" s="56"/>
    </row>
    <row r="17328" spans="1:1">
      <c r="A17328" s="56"/>
    </row>
    <row r="17329" spans="1:1">
      <c r="A17329" s="56"/>
    </row>
    <row r="17330" spans="1:1">
      <c r="A17330" s="56"/>
    </row>
    <row r="17331" spans="1:1">
      <c r="A17331" s="56"/>
    </row>
    <row r="17332" spans="1:1">
      <c r="A17332" s="56"/>
    </row>
    <row r="17333" spans="1:1">
      <c r="A17333" s="56"/>
    </row>
    <row r="17334" spans="1:1">
      <c r="A17334" s="56"/>
    </row>
    <row r="17335" spans="1:1">
      <c r="A17335" s="56"/>
    </row>
    <row r="17336" spans="1:1">
      <c r="A17336" s="56"/>
    </row>
    <row r="17337" spans="1:1">
      <c r="A17337" s="56"/>
    </row>
    <row r="17338" spans="1:1">
      <c r="A17338" s="56"/>
    </row>
    <row r="17339" spans="1:1">
      <c r="A17339" s="56"/>
    </row>
    <row r="17340" spans="1:1">
      <c r="A17340" s="56"/>
    </row>
    <row r="17341" spans="1:1">
      <c r="A17341" s="56"/>
    </row>
    <row r="17342" spans="1:1">
      <c r="A17342" s="56"/>
    </row>
    <row r="17343" spans="1:1">
      <c r="A17343" s="56"/>
    </row>
    <row r="17344" spans="1:1">
      <c r="A17344" s="56"/>
    </row>
    <row r="17345" spans="1:1">
      <c r="A17345" s="56"/>
    </row>
    <row r="17346" spans="1:1">
      <c r="A17346" s="56"/>
    </row>
    <row r="17347" spans="1:1">
      <c r="A17347" s="56"/>
    </row>
    <row r="17348" spans="1:1">
      <c r="A17348" s="56"/>
    </row>
    <row r="17349" spans="1:1">
      <c r="A17349" s="56"/>
    </row>
    <row r="17350" spans="1:1">
      <c r="A17350" s="56"/>
    </row>
    <row r="17351" spans="1:1">
      <c r="A17351" s="56"/>
    </row>
    <row r="17352" spans="1:1">
      <c r="A17352" s="56"/>
    </row>
    <row r="17353" spans="1:1">
      <c r="A17353" s="56"/>
    </row>
    <row r="17354" spans="1:1">
      <c r="A17354" s="56"/>
    </row>
    <row r="17355" spans="1:1">
      <c r="A17355" s="56"/>
    </row>
    <row r="17356" spans="1:1">
      <c r="A17356" s="56"/>
    </row>
    <row r="17357" spans="1:1">
      <c r="A17357" s="56"/>
    </row>
    <row r="17358" spans="1:1">
      <c r="A17358" s="56"/>
    </row>
    <row r="17359" spans="1:1">
      <c r="A17359" s="56"/>
    </row>
    <row r="17360" spans="1:1">
      <c r="A17360" s="56"/>
    </row>
    <row r="17361" spans="1:1">
      <c r="A17361" s="56"/>
    </row>
    <row r="17362" spans="1:1">
      <c r="A17362" s="56"/>
    </row>
    <row r="17363" spans="1:1">
      <c r="A17363" s="56"/>
    </row>
    <row r="17364" spans="1:1">
      <c r="A17364" s="56"/>
    </row>
    <row r="17365" spans="1:1">
      <c r="A17365" s="56"/>
    </row>
    <row r="17366" spans="1:1">
      <c r="A17366" s="56"/>
    </row>
    <row r="17367" spans="1:1">
      <c r="A17367" s="56"/>
    </row>
    <row r="17368" spans="1:1">
      <c r="A17368" s="56"/>
    </row>
    <row r="17369" spans="1:1">
      <c r="A17369" s="56"/>
    </row>
    <row r="17370" spans="1:1">
      <c r="A17370" s="56"/>
    </row>
    <row r="17371" spans="1:1">
      <c r="A17371" s="56"/>
    </row>
    <row r="17372" spans="1:1">
      <c r="A17372" s="56"/>
    </row>
    <row r="17373" spans="1:1">
      <c r="A17373" s="56"/>
    </row>
    <row r="17374" spans="1:1">
      <c r="A17374" s="56"/>
    </row>
    <row r="17375" spans="1:1">
      <c r="A17375" s="56"/>
    </row>
    <row r="17376" spans="1:1">
      <c r="A17376" s="56"/>
    </row>
    <row r="17377" spans="1:1">
      <c r="A17377" s="56"/>
    </row>
    <row r="17378" spans="1:1">
      <c r="A17378" s="56"/>
    </row>
    <row r="17379" spans="1:1">
      <c r="A17379" s="56"/>
    </row>
    <row r="17380" spans="1:1">
      <c r="A17380" s="56"/>
    </row>
    <row r="17381" spans="1:1">
      <c r="A17381" s="56"/>
    </row>
    <row r="17382" spans="1:1">
      <c r="A17382" s="56"/>
    </row>
    <row r="17383" spans="1:1">
      <c r="A17383" s="56"/>
    </row>
    <row r="17384" spans="1:1">
      <c r="A17384" s="56"/>
    </row>
    <row r="17385" spans="1:1">
      <c r="A17385" s="56"/>
    </row>
    <row r="17386" spans="1:1">
      <c r="A17386" s="56"/>
    </row>
    <row r="17387" spans="1:1">
      <c r="A17387" s="56"/>
    </row>
    <row r="17388" spans="1:1">
      <c r="A17388" s="56"/>
    </row>
    <row r="17389" spans="1:1">
      <c r="A17389" s="56"/>
    </row>
    <row r="17390" spans="1:1">
      <c r="A17390" s="56"/>
    </row>
    <row r="17391" spans="1:1">
      <c r="A17391" s="56"/>
    </row>
    <row r="17392" spans="1:1">
      <c r="A17392" s="56"/>
    </row>
    <row r="17393" spans="1:1">
      <c r="A17393" s="56"/>
    </row>
    <row r="17394" spans="1:1">
      <c r="A17394" s="56"/>
    </row>
    <row r="17395" spans="1:1">
      <c r="A17395" s="56"/>
    </row>
    <row r="17396" spans="1:1">
      <c r="A17396" s="56"/>
    </row>
    <row r="17397" spans="1:1">
      <c r="A17397" s="56"/>
    </row>
    <row r="17398" spans="1:1">
      <c r="A17398" s="56"/>
    </row>
    <row r="17399" spans="1:1">
      <c r="A17399" s="56"/>
    </row>
    <row r="17400" spans="1:1">
      <c r="A17400" s="56"/>
    </row>
    <row r="17401" spans="1:1">
      <c r="A17401" s="56"/>
    </row>
    <row r="17402" spans="1:1">
      <c r="A17402" s="56"/>
    </row>
    <row r="17403" spans="1:1">
      <c r="A17403" s="56"/>
    </row>
    <row r="17404" spans="1:1">
      <c r="A17404" s="56"/>
    </row>
    <row r="17405" spans="1:1">
      <c r="A17405" s="56"/>
    </row>
    <row r="17406" spans="1:1">
      <c r="A17406" s="56"/>
    </row>
    <row r="17407" spans="1:1">
      <c r="A17407" s="56"/>
    </row>
    <row r="17408" spans="1:1">
      <c r="A17408" s="56"/>
    </row>
    <row r="17409" spans="1:1">
      <c r="A17409" s="56"/>
    </row>
    <row r="17410" spans="1:1">
      <c r="A17410" s="56"/>
    </row>
    <row r="17411" spans="1:1">
      <c r="A17411" s="56"/>
    </row>
    <row r="17412" spans="1:1">
      <c r="A17412" s="56"/>
    </row>
    <row r="17413" spans="1:1">
      <c r="A17413" s="56"/>
    </row>
    <row r="17414" spans="1:1">
      <c r="A17414" s="56"/>
    </row>
    <row r="17415" spans="1:1">
      <c r="A17415" s="56"/>
    </row>
    <row r="17416" spans="1:1">
      <c r="A17416" s="56"/>
    </row>
    <row r="17417" spans="1:1">
      <c r="A17417" s="56"/>
    </row>
    <row r="17418" spans="1:1">
      <c r="A17418" s="56"/>
    </row>
    <row r="17419" spans="1:1">
      <c r="A17419" s="56"/>
    </row>
    <row r="17420" spans="1:1">
      <c r="A17420" s="56"/>
    </row>
    <row r="17421" spans="1:1">
      <c r="A17421" s="56"/>
    </row>
    <row r="17422" spans="1:1">
      <c r="A17422" s="56"/>
    </row>
    <row r="17423" spans="1:1">
      <c r="A17423" s="56"/>
    </row>
    <row r="17424" spans="1:1">
      <c r="A17424" s="56"/>
    </row>
    <row r="17425" spans="1:1">
      <c r="A17425" s="56"/>
    </row>
    <row r="17426" spans="1:1">
      <c r="A17426" s="56"/>
    </row>
    <row r="17427" spans="1:1">
      <c r="A17427" s="56"/>
    </row>
    <row r="17428" spans="1:1">
      <c r="A17428" s="56"/>
    </row>
    <row r="17429" spans="1:1">
      <c r="A17429" s="56"/>
    </row>
    <row r="17430" spans="1:1">
      <c r="A17430" s="56"/>
    </row>
    <row r="17431" spans="1:1">
      <c r="A17431" s="56"/>
    </row>
    <row r="17432" spans="1:1">
      <c r="A17432" s="56"/>
    </row>
    <row r="17433" spans="1:1">
      <c r="A17433" s="56"/>
    </row>
    <row r="17434" spans="1:1">
      <c r="A17434" s="56"/>
    </row>
    <row r="17435" spans="1:1">
      <c r="A17435" s="56"/>
    </row>
    <row r="17436" spans="1:1">
      <c r="A17436" s="56"/>
    </row>
    <row r="17437" spans="1:1">
      <c r="A17437" s="56"/>
    </row>
    <row r="17438" spans="1:1">
      <c r="A17438" s="56"/>
    </row>
    <row r="17439" spans="1:1">
      <c r="A17439" s="56"/>
    </row>
    <row r="17440" spans="1:1">
      <c r="A17440" s="56"/>
    </row>
    <row r="17441" spans="1:1">
      <c r="A17441" s="56"/>
    </row>
    <row r="17442" spans="1:1">
      <c r="A17442" s="56"/>
    </row>
    <row r="17443" spans="1:1">
      <c r="A17443" s="56"/>
    </row>
    <row r="17444" spans="1:1">
      <c r="A17444" s="56"/>
    </row>
    <row r="17445" spans="1:1">
      <c r="A17445" s="56"/>
    </row>
    <row r="17446" spans="1:1">
      <c r="A17446" s="56"/>
    </row>
    <row r="17447" spans="1:1">
      <c r="A17447" s="56"/>
    </row>
    <row r="17448" spans="1:1">
      <c r="A17448" s="56"/>
    </row>
    <row r="17449" spans="1:1">
      <c r="A17449" s="56"/>
    </row>
    <row r="17450" spans="1:1">
      <c r="A17450" s="56"/>
    </row>
    <row r="17451" spans="1:1">
      <c r="A17451" s="56"/>
    </row>
    <row r="17452" spans="1:1">
      <c r="A17452" s="56"/>
    </row>
    <row r="17453" spans="1:1">
      <c r="A17453" s="56"/>
    </row>
    <row r="17454" spans="1:1">
      <c r="A17454" s="56"/>
    </row>
    <row r="17455" spans="1:1">
      <c r="A17455" s="56"/>
    </row>
    <row r="17456" spans="1:1">
      <c r="A17456" s="56"/>
    </row>
    <row r="17457" spans="1:1">
      <c r="A17457" s="56"/>
    </row>
    <row r="17458" spans="1:1">
      <c r="A17458" s="56"/>
    </row>
    <row r="17459" spans="1:1">
      <c r="A17459" s="56"/>
    </row>
    <row r="17460" spans="1:1">
      <c r="A17460" s="56"/>
    </row>
    <row r="17461" spans="1:1">
      <c r="A17461" s="56"/>
    </row>
    <row r="17462" spans="1:1">
      <c r="A17462" s="56"/>
    </row>
    <row r="17463" spans="1:1">
      <c r="A17463" s="56"/>
    </row>
    <row r="17464" spans="1:1">
      <c r="A17464" s="56"/>
    </row>
    <row r="17465" spans="1:1">
      <c r="A17465" s="56"/>
    </row>
    <row r="17466" spans="1:1">
      <c r="A17466" s="56"/>
    </row>
    <row r="17467" spans="1:1">
      <c r="A17467" s="56"/>
    </row>
    <row r="17468" spans="1:1">
      <c r="A17468" s="56"/>
    </row>
    <row r="17469" spans="1:1">
      <c r="A17469" s="56"/>
    </row>
    <row r="17470" spans="1:1">
      <c r="A17470" s="56"/>
    </row>
    <row r="17471" spans="1:1">
      <c r="A17471" s="56"/>
    </row>
    <row r="17472" spans="1:1">
      <c r="A17472" s="56"/>
    </row>
    <row r="17473" spans="1:1">
      <c r="A17473" s="56"/>
    </row>
    <row r="17474" spans="1:1">
      <c r="A17474" s="56"/>
    </row>
    <row r="17475" spans="1:1">
      <c r="A17475" s="56"/>
    </row>
    <row r="17476" spans="1:1">
      <c r="A17476" s="56"/>
    </row>
    <row r="17477" spans="1:1">
      <c r="A17477" s="56"/>
    </row>
    <row r="17478" spans="1:1">
      <c r="A17478" s="56"/>
    </row>
    <row r="17479" spans="1:1">
      <c r="A17479" s="56"/>
    </row>
    <row r="17480" spans="1:1">
      <c r="A17480" s="56"/>
    </row>
    <row r="17481" spans="1:1">
      <c r="A17481" s="56"/>
    </row>
    <row r="17482" spans="1:1">
      <c r="A17482" s="56"/>
    </row>
    <row r="17483" spans="1:1">
      <c r="A17483" s="56"/>
    </row>
    <row r="17484" spans="1:1">
      <c r="A17484" s="56"/>
    </row>
    <row r="17485" spans="1:1">
      <c r="A17485" s="56"/>
    </row>
    <row r="17486" spans="1:1">
      <c r="A17486" s="56"/>
    </row>
    <row r="17487" spans="1:1">
      <c r="A17487" s="56"/>
    </row>
    <row r="17488" spans="1:1">
      <c r="A17488" s="56"/>
    </row>
    <row r="17489" spans="1:1">
      <c r="A17489" s="56"/>
    </row>
    <row r="17490" spans="1:1">
      <c r="A17490" s="56"/>
    </row>
    <row r="17491" spans="1:1">
      <c r="A17491" s="56"/>
    </row>
    <row r="17492" spans="1:1">
      <c r="A17492" s="56"/>
    </row>
    <row r="17493" spans="1:1">
      <c r="A17493" s="56"/>
    </row>
    <row r="17494" spans="1:1">
      <c r="A17494" s="56"/>
    </row>
    <row r="17495" spans="1:1">
      <c r="A17495" s="56"/>
    </row>
    <row r="17496" spans="1:1">
      <c r="A17496" s="56"/>
    </row>
    <row r="17497" spans="1:1">
      <c r="A17497" s="56"/>
    </row>
    <row r="17498" spans="1:1">
      <c r="A17498" s="56"/>
    </row>
    <row r="17499" spans="1:1">
      <c r="A17499" s="56"/>
    </row>
    <row r="17500" spans="1:1">
      <c r="A17500" s="56"/>
    </row>
    <row r="17501" spans="1:1">
      <c r="A17501" s="56"/>
    </row>
    <row r="17502" spans="1:1">
      <c r="A17502" s="56"/>
    </row>
    <row r="17503" spans="1:1">
      <c r="A17503" s="56"/>
    </row>
    <row r="17504" spans="1:1">
      <c r="A17504" s="56"/>
    </row>
    <row r="17505" spans="1:1">
      <c r="A17505" s="56"/>
    </row>
    <row r="17506" spans="1:1">
      <c r="A17506" s="56"/>
    </row>
    <row r="17507" spans="1:1">
      <c r="A17507" s="56"/>
    </row>
    <row r="17508" spans="1:1">
      <c r="A17508" s="56"/>
    </row>
    <row r="17509" spans="1:1">
      <c r="A17509" s="56"/>
    </row>
    <row r="17510" spans="1:1">
      <c r="A17510" s="56"/>
    </row>
    <row r="17511" spans="1:1">
      <c r="A17511" s="56"/>
    </row>
    <row r="17512" spans="1:1">
      <c r="A17512" s="56"/>
    </row>
    <row r="17513" spans="1:1">
      <c r="A17513" s="56"/>
    </row>
    <row r="17514" spans="1:1">
      <c r="A17514" s="56"/>
    </row>
    <row r="17515" spans="1:1">
      <c r="A17515" s="56"/>
    </row>
    <row r="17516" spans="1:1">
      <c r="A17516" s="56"/>
    </row>
    <row r="17517" spans="1:1">
      <c r="A17517" s="56"/>
    </row>
    <row r="17518" spans="1:1">
      <c r="A17518" s="56"/>
    </row>
    <row r="17519" spans="1:1">
      <c r="A17519" s="56"/>
    </row>
    <row r="17520" spans="1:1">
      <c r="A17520" s="56"/>
    </row>
    <row r="17521" spans="1:1">
      <c r="A17521" s="56"/>
    </row>
    <row r="17522" spans="1:1">
      <c r="A17522" s="56"/>
    </row>
    <row r="17523" spans="1:1">
      <c r="A17523" s="56"/>
    </row>
    <row r="17524" spans="1:1">
      <c r="A17524" s="56"/>
    </row>
    <row r="17525" spans="1:1">
      <c r="A17525" s="56"/>
    </row>
    <row r="17526" spans="1:1">
      <c r="A17526" s="56"/>
    </row>
    <row r="17527" spans="1:1">
      <c r="A17527" s="56"/>
    </row>
    <row r="17528" spans="1:1">
      <c r="A17528" s="56"/>
    </row>
    <row r="17529" spans="1:1">
      <c r="A17529" s="56"/>
    </row>
    <row r="17530" spans="1:1">
      <c r="A17530" s="56"/>
    </row>
    <row r="17531" spans="1:1">
      <c r="A17531" s="56"/>
    </row>
    <row r="17532" spans="1:1">
      <c r="A17532" s="56"/>
    </row>
    <row r="17533" spans="1:1">
      <c r="A17533" s="56"/>
    </row>
    <row r="17534" spans="1:1">
      <c r="A17534" s="56"/>
    </row>
    <row r="17535" spans="1:1">
      <c r="A17535" s="56"/>
    </row>
    <row r="17536" spans="1:1">
      <c r="A17536" s="56"/>
    </row>
    <row r="17537" spans="1:1">
      <c r="A17537" s="56"/>
    </row>
    <row r="17538" spans="1:1">
      <c r="A17538" s="56"/>
    </row>
    <row r="17539" spans="1:1">
      <c r="A17539" s="56"/>
    </row>
    <row r="17540" spans="1:1">
      <c r="A17540" s="56"/>
    </row>
    <row r="17541" spans="1:1">
      <c r="A17541" s="56"/>
    </row>
    <row r="17542" spans="1:1">
      <c r="A17542" s="56"/>
    </row>
    <row r="17543" spans="1:1">
      <c r="A17543" s="56"/>
    </row>
    <row r="17544" spans="1:1">
      <c r="A17544" s="56"/>
    </row>
    <row r="17545" spans="1:1">
      <c r="A17545" s="56"/>
    </row>
    <row r="17546" spans="1:1">
      <c r="A17546" s="56"/>
    </row>
    <row r="17547" spans="1:1">
      <c r="A17547" s="56"/>
    </row>
    <row r="17548" spans="1:1">
      <c r="A17548" s="56"/>
    </row>
    <row r="17549" spans="1:1">
      <c r="A17549" s="56"/>
    </row>
    <row r="17550" spans="1:1">
      <c r="A17550" s="56"/>
    </row>
    <row r="17551" spans="1:1">
      <c r="A17551" s="56"/>
    </row>
    <row r="17552" spans="1:1">
      <c r="A17552" s="56"/>
    </row>
    <row r="17553" spans="1:1">
      <c r="A17553" s="56"/>
    </row>
    <row r="17554" spans="1:1">
      <c r="A17554" s="56"/>
    </row>
    <row r="17555" spans="1:1">
      <c r="A17555" s="56"/>
    </row>
    <row r="17556" spans="1:1">
      <c r="A17556" s="56"/>
    </row>
    <row r="17557" spans="1:1">
      <c r="A17557" s="56"/>
    </row>
    <row r="17558" spans="1:1">
      <c r="A17558" s="56"/>
    </row>
    <row r="17559" spans="1:1">
      <c r="A17559" s="56"/>
    </row>
    <row r="17560" spans="1:1">
      <c r="A17560" s="56"/>
    </row>
    <row r="17561" spans="1:1">
      <c r="A17561" s="56"/>
    </row>
    <row r="17562" spans="1:1">
      <c r="A17562" s="56"/>
    </row>
    <row r="17563" spans="1:1">
      <c r="A17563" s="56"/>
    </row>
    <row r="17564" spans="1:1">
      <c r="A17564" s="56"/>
    </row>
    <row r="17565" spans="1:1">
      <c r="A17565" s="56"/>
    </row>
    <row r="17566" spans="1:1">
      <c r="A17566" s="56"/>
    </row>
    <row r="17567" spans="1:1">
      <c r="A17567" s="56"/>
    </row>
    <row r="17568" spans="1:1">
      <c r="A17568" s="56"/>
    </row>
    <row r="17569" spans="1:1">
      <c r="A17569" s="56"/>
    </row>
    <row r="17570" spans="1:1">
      <c r="A17570" s="56"/>
    </row>
    <row r="17571" spans="1:1">
      <c r="A17571" s="56"/>
    </row>
    <row r="17572" spans="1:1">
      <c r="A17572" s="56"/>
    </row>
    <row r="17573" spans="1:1">
      <c r="A17573" s="56"/>
    </row>
    <row r="17574" spans="1:1">
      <c r="A17574" s="56"/>
    </row>
    <row r="17575" spans="1:1">
      <c r="A17575" s="56"/>
    </row>
    <row r="17576" spans="1:1">
      <c r="A17576" s="56"/>
    </row>
    <row r="17577" spans="1:1">
      <c r="A17577" s="56"/>
    </row>
    <row r="17578" spans="1:1">
      <c r="A17578" s="56"/>
    </row>
    <row r="17579" spans="1:1">
      <c r="A17579" s="56"/>
    </row>
    <row r="17580" spans="1:1">
      <c r="A17580" s="56"/>
    </row>
    <row r="17581" spans="1:1">
      <c r="A17581" s="56"/>
    </row>
    <row r="17582" spans="1:1">
      <c r="A17582" s="56"/>
    </row>
    <row r="17583" spans="1:1">
      <c r="A17583" s="56"/>
    </row>
    <row r="17584" spans="1:1">
      <c r="A17584" s="56"/>
    </row>
    <row r="17585" spans="1:1">
      <c r="A17585" s="56"/>
    </row>
    <row r="17586" spans="1:1">
      <c r="A17586" s="56"/>
    </row>
    <row r="17587" spans="1:1">
      <c r="A17587" s="56"/>
    </row>
    <row r="17588" spans="1:1">
      <c r="A17588" s="56"/>
    </row>
    <row r="17589" spans="1:1">
      <c r="A17589" s="56"/>
    </row>
    <row r="17590" spans="1:1">
      <c r="A17590" s="56"/>
    </row>
    <row r="17591" spans="1:1">
      <c r="A17591" s="56"/>
    </row>
    <row r="17592" spans="1:1">
      <c r="A17592" s="56"/>
    </row>
    <row r="17593" spans="1:1">
      <c r="A17593" s="56"/>
    </row>
    <row r="17594" spans="1:1">
      <c r="A17594" s="56"/>
    </row>
    <row r="17595" spans="1:1">
      <c r="A17595" s="56"/>
    </row>
    <row r="17596" spans="1:1">
      <c r="A17596" s="56"/>
    </row>
    <row r="17597" spans="1:1">
      <c r="A17597" s="56"/>
    </row>
    <row r="17598" spans="1:1">
      <c r="A17598" s="56"/>
    </row>
    <row r="17599" spans="1:1">
      <c r="A17599" s="56"/>
    </row>
    <row r="17600" spans="1:1">
      <c r="A17600" s="56"/>
    </row>
    <row r="17601" spans="1:1">
      <c r="A17601" s="56"/>
    </row>
    <row r="17602" spans="1:1">
      <c r="A17602" s="56"/>
    </row>
    <row r="17603" spans="1:1">
      <c r="A17603" s="56"/>
    </row>
    <row r="17604" spans="1:1">
      <c r="A17604" s="56"/>
    </row>
    <row r="17605" spans="1:1">
      <c r="A17605" s="56"/>
    </row>
    <row r="17606" spans="1:1">
      <c r="A17606" s="56"/>
    </row>
    <row r="17607" spans="1:1">
      <c r="A17607" s="56"/>
    </row>
    <row r="17608" spans="1:1">
      <c r="A17608" s="56"/>
    </row>
    <row r="17609" spans="1:1">
      <c r="A17609" s="56"/>
    </row>
    <row r="17610" spans="1:1">
      <c r="A17610" s="56"/>
    </row>
    <row r="17611" spans="1:1">
      <c r="A17611" s="56"/>
    </row>
    <row r="17612" spans="1:1">
      <c r="A17612" s="56"/>
    </row>
    <row r="17613" spans="1:1">
      <c r="A17613" s="56"/>
    </row>
    <row r="17614" spans="1:1">
      <c r="A17614" s="56"/>
    </row>
    <row r="17615" spans="1:1">
      <c r="A17615" s="56"/>
    </row>
    <row r="17616" spans="1:1">
      <c r="A17616" s="56"/>
    </row>
    <row r="17617" spans="1:1">
      <c r="A17617" s="56"/>
    </row>
    <row r="17618" spans="1:1">
      <c r="A17618" s="56"/>
    </row>
    <row r="17619" spans="1:1">
      <c r="A17619" s="56"/>
    </row>
    <row r="17620" spans="1:1">
      <c r="A17620" s="56"/>
    </row>
    <row r="17621" spans="1:1">
      <c r="A17621" s="56"/>
    </row>
    <row r="17622" spans="1:1">
      <c r="A17622" s="56"/>
    </row>
    <row r="17623" spans="1:1">
      <c r="A17623" s="56"/>
    </row>
    <row r="17624" spans="1:1">
      <c r="A17624" s="56"/>
    </row>
    <row r="17625" spans="1:1">
      <c r="A17625" s="56"/>
    </row>
    <row r="17626" spans="1:1">
      <c r="A17626" s="56"/>
    </row>
    <row r="17627" spans="1:1">
      <c r="A17627" s="56"/>
    </row>
    <row r="17628" spans="1:1">
      <c r="A17628" s="56"/>
    </row>
    <row r="17629" spans="1:1">
      <c r="A17629" s="56"/>
    </row>
    <row r="17630" spans="1:1">
      <c r="A17630" s="56"/>
    </row>
    <row r="17631" spans="1:1">
      <c r="A17631" s="56"/>
    </row>
    <row r="17632" spans="1:1">
      <c r="A17632" s="56"/>
    </row>
    <row r="17633" spans="1:1">
      <c r="A17633" s="56"/>
    </row>
    <row r="17634" spans="1:1">
      <c r="A17634" s="56"/>
    </row>
    <row r="17635" spans="1:1">
      <c r="A17635" s="56"/>
    </row>
    <row r="17636" spans="1:1">
      <c r="A17636" s="56"/>
    </row>
    <row r="17637" spans="1:1">
      <c r="A17637" s="56"/>
    </row>
    <row r="17638" spans="1:1">
      <c r="A17638" s="56"/>
    </row>
    <row r="17639" spans="1:1">
      <c r="A17639" s="56"/>
    </row>
    <row r="17640" spans="1:1">
      <c r="A17640" s="56"/>
    </row>
    <row r="17641" spans="1:1">
      <c r="A17641" s="56"/>
    </row>
    <row r="17642" spans="1:1">
      <c r="A17642" s="56"/>
    </row>
    <row r="17643" spans="1:1">
      <c r="A17643" s="56"/>
    </row>
    <row r="17644" spans="1:1">
      <c r="A17644" s="56"/>
    </row>
    <row r="17645" spans="1:1">
      <c r="A17645" s="56"/>
    </row>
    <row r="17646" spans="1:1">
      <c r="A17646" s="56"/>
    </row>
    <row r="17647" spans="1:1">
      <c r="A17647" s="56"/>
    </row>
    <row r="17648" spans="1:1">
      <c r="A17648" s="56"/>
    </row>
    <row r="17649" spans="1:1">
      <c r="A17649" s="56"/>
    </row>
    <row r="17650" spans="1:1">
      <c r="A17650" s="56"/>
    </row>
    <row r="17651" spans="1:1">
      <c r="A17651" s="56"/>
    </row>
    <row r="17652" spans="1:1">
      <c r="A17652" s="56"/>
    </row>
    <row r="17653" spans="1:1">
      <c r="A17653" s="56"/>
    </row>
    <row r="17654" spans="1:1">
      <c r="A17654" s="56"/>
    </row>
    <row r="17655" spans="1:1">
      <c r="A17655" s="56"/>
    </row>
    <row r="17656" spans="1:1">
      <c r="A17656" s="56"/>
    </row>
    <row r="17657" spans="1:1">
      <c r="A17657" s="56"/>
    </row>
    <row r="17658" spans="1:1">
      <c r="A17658" s="56"/>
    </row>
    <row r="17659" spans="1:1">
      <c r="A17659" s="56"/>
    </row>
    <row r="17660" spans="1:1">
      <c r="A17660" s="56"/>
    </row>
    <row r="17661" spans="1:1">
      <c r="A17661" s="56"/>
    </row>
    <row r="17662" spans="1:1">
      <c r="A17662" s="56"/>
    </row>
    <row r="17663" spans="1:1">
      <c r="A17663" s="56"/>
    </row>
    <row r="17664" spans="1:1">
      <c r="A17664" s="56"/>
    </row>
    <row r="17665" spans="1:1">
      <c r="A17665" s="56"/>
    </row>
    <row r="17666" spans="1:1">
      <c r="A17666" s="56"/>
    </row>
    <row r="17667" spans="1:1">
      <c r="A17667" s="56"/>
    </row>
    <row r="17668" spans="1:1">
      <c r="A17668" s="56"/>
    </row>
    <row r="17669" spans="1:1">
      <c r="A17669" s="56"/>
    </row>
    <row r="17670" spans="1:1">
      <c r="A17670" s="56"/>
    </row>
    <row r="17671" spans="1:1">
      <c r="A17671" s="56"/>
    </row>
    <row r="17672" spans="1:1">
      <c r="A17672" s="56"/>
    </row>
    <row r="17673" spans="1:1">
      <c r="A17673" s="56"/>
    </row>
    <row r="17674" spans="1:1">
      <c r="A17674" s="56"/>
    </row>
    <row r="17675" spans="1:1">
      <c r="A17675" s="56"/>
    </row>
    <row r="17676" spans="1:1">
      <c r="A17676" s="56"/>
    </row>
    <row r="17677" spans="1:1">
      <c r="A17677" s="56"/>
    </row>
    <row r="17678" spans="1:1">
      <c r="A17678" s="56"/>
    </row>
    <row r="17679" spans="1:1">
      <c r="A17679" s="56"/>
    </row>
    <row r="17680" spans="1:1">
      <c r="A17680" s="56"/>
    </row>
    <row r="17681" spans="1:1">
      <c r="A17681" s="56"/>
    </row>
    <row r="17682" spans="1:1">
      <c r="A17682" s="56"/>
    </row>
    <row r="17683" spans="1:1">
      <c r="A17683" s="56"/>
    </row>
    <row r="17684" spans="1:1">
      <c r="A17684" s="56"/>
    </row>
    <row r="17685" spans="1:1">
      <c r="A17685" s="56"/>
    </row>
    <row r="17686" spans="1:1">
      <c r="A17686" s="56"/>
    </row>
    <row r="17687" spans="1:1">
      <c r="A17687" s="56"/>
    </row>
    <row r="17688" spans="1:1">
      <c r="A17688" s="56"/>
    </row>
    <row r="17689" spans="1:1">
      <c r="A17689" s="56"/>
    </row>
    <row r="17690" spans="1:1">
      <c r="A17690" s="56"/>
    </row>
    <row r="17691" spans="1:1">
      <c r="A17691" s="56"/>
    </row>
    <row r="17692" spans="1:1">
      <c r="A17692" s="56"/>
    </row>
    <row r="17693" spans="1:1">
      <c r="A17693" s="56"/>
    </row>
    <row r="17694" spans="1:1">
      <c r="A17694" s="56"/>
    </row>
    <row r="17695" spans="1:1">
      <c r="A17695" s="56"/>
    </row>
    <row r="17696" spans="1:1">
      <c r="A17696" s="56"/>
    </row>
    <row r="17697" spans="1:1">
      <c r="A17697" s="56"/>
    </row>
    <row r="17698" spans="1:1">
      <c r="A17698" s="56"/>
    </row>
    <row r="17699" spans="1:1">
      <c r="A17699" s="56"/>
    </row>
    <row r="17700" spans="1:1">
      <c r="A17700" s="56"/>
    </row>
    <row r="17701" spans="1:1">
      <c r="A17701" s="56"/>
    </row>
    <row r="17702" spans="1:1">
      <c r="A17702" s="56"/>
    </row>
    <row r="17703" spans="1:1">
      <c r="A17703" s="56"/>
    </row>
    <row r="17704" spans="1:1">
      <c r="A17704" s="56"/>
    </row>
    <row r="17705" spans="1:1">
      <c r="A17705" s="56"/>
    </row>
    <row r="17706" spans="1:1">
      <c r="A17706" s="56"/>
    </row>
    <row r="17707" spans="1:1">
      <c r="A17707" s="56"/>
    </row>
    <row r="17708" spans="1:1">
      <c r="A17708" s="56"/>
    </row>
    <row r="17709" spans="1:1">
      <c r="A17709" s="56"/>
    </row>
    <row r="17710" spans="1:1">
      <c r="A17710" s="56"/>
    </row>
    <row r="17711" spans="1:1">
      <c r="A17711" s="56"/>
    </row>
    <row r="17712" spans="1:1">
      <c r="A17712" s="56"/>
    </row>
    <row r="17713" spans="1:1">
      <c r="A17713" s="56"/>
    </row>
    <row r="17714" spans="1:1">
      <c r="A17714" s="56"/>
    </row>
    <row r="17715" spans="1:1">
      <c r="A17715" s="56"/>
    </row>
    <row r="17716" spans="1:1">
      <c r="A17716" s="56"/>
    </row>
    <row r="17717" spans="1:1">
      <c r="A17717" s="56"/>
    </row>
    <row r="17718" spans="1:1">
      <c r="A17718" s="56"/>
    </row>
    <row r="17719" spans="1:1">
      <c r="A17719" s="56"/>
    </row>
    <row r="17720" spans="1:1">
      <c r="A17720" s="56"/>
    </row>
    <row r="17721" spans="1:1">
      <c r="A17721" s="56"/>
    </row>
    <row r="17722" spans="1:1">
      <c r="A17722" s="56"/>
    </row>
    <row r="17723" spans="1:1">
      <c r="A17723" s="56"/>
    </row>
    <row r="17724" spans="1:1">
      <c r="A17724" s="56"/>
    </row>
    <row r="17725" spans="1:1">
      <c r="A17725" s="56"/>
    </row>
    <row r="17726" spans="1:1">
      <c r="A17726" s="56"/>
    </row>
    <row r="17727" spans="1:1">
      <c r="A17727" s="56"/>
    </row>
    <row r="17728" spans="1:1">
      <c r="A17728" s="56"/>
    </row>
    <row r="17729" spans="1:1">
      <c r="A17729" s="56"/>
    </row>
    <row r="17730" spans="1:1">
      <c r="A17730" s="56"/>
    </row>
    <row r="17731" spans="1:1">
      <c r="A17731" s="56"/>
    </row>
    <row r="17732" spans="1:1">
      <c r="A17732" s="56"/>
    </row>
    <row r="17733" spans="1:1">
      <c r="A17733" s="56"/>
    </row>
    <row r="17734" spans="1:1">
      <c r="A17734" s="56"/>
    </row>
    <row r="17735" spans="1:1">
      <c r="A17735" s="56"/>
    </row>
    <row r="17736" spans="1:1">
      <c r="A17736" s="56"/>
    </row>
    <row r="17737" spans="1:1">
      <c r="A17737" s="56"/>
    </row>
    <row r="17738" spans="1:1">
      <c r="A17738" s="56"/>
    </row>
    <row r="17739" spans="1:1">
      <c r="A17739" s="56"/>
    </row>
    <row r="17740" spans="1:1">
      <c r="A17740" s="56"/>
    </row>
    <row r="17741" spans="1:1">
      <c r="A17741" s="56"/>
    </row>
    <row r="17742" spans="1:1">
      <c r="A17742" s="56"/>
    </row>
    <row r="17743" spans="1:1">
      <c r="A17743" s="56"/>
    </row>
    <row r="17744" spans="1:1">
      <c r="A17744" s="56"/>
    </row>
    <row r="17745" spans="1:1">
      <c r="A17745" s="56"/>
    </row>
    <row r="17746" spans="1:1">
      <c r="A17746" s="56"/>
    </row>
    <row r="17747" spans="1:1">
      <c r="A17747" s="56"/>
    </row>
    <row r="17748" spans="1:1">
      <c r="A17748" s="56"/>
    </row>
    <row r="17749" spans="1:1">
      <c r="A17749" s="56"/>
    </row>
    <row r="17750" spans="1:1">
      <c r="A17750" s="56"/>
    </row>
    <row r="17751" spans="1:1">
      <c r="A17751" s="56"/>
    </row>
    <row r="17752" spans="1:1">
      <c r="A17752" s="56"/>
    </row>
    <row r="17753" spans="1:1">
      <c r="A17753" s="56"/>
    </row>
    <row r="17754" spans="1:1">
      <c r="A17754" s="56"/>
    </row>
    <row r="17755" spans="1:1">
      <c r="A17755" s="56"/>
    </row>
    <row r="17756" spans="1:1">
      <c r="A17756" s="56"/>
    </row>
    <row r="17757" spans="1:1">
      <c r="A17757" s="56"/>
    </row>
    <row r="17758" spans="1:1">
      <c r="A17758" s="56"/>
    </row>
    <row r="17759" spans="1:1">
      <c r="A17759" s="56"/>
    </row>
    <row r="17760" spans="1:1">
      <c r="A17760" s="56"/>
    </row>
    <row r="17761" spans="1:1">
      <c r="A17761" s="56"/>
    </row>
    <row r="17762" spans="1:1">
      <c r="A17762" s="56"/>
    </row>
    <row r="17763" spans="1:1">
      <c r="A17763" s="56"/>
    </row>
    <row r="17764" spans="1:1">
      <c r="A17764" s="56"/>
    </row>
    <row r="17765" spans="1:1">
      <c r="A17765" s="56"/>
    </row>
    <row r="17766" spans="1:1">
      <c r="A17766" s="56"/>
    </row>
    <row r="17767" spans="1:1">
      <c r="A17767" s="56"/>
    </row>
    <row r="17768" spans="1:1">
      <c r="A17768" s="56"/>
    </row>
    <row r="17769" spans="1:1">
      <c r="A17769" s="56"/>
    </row>
    <row r="17770" spans="1:1">
      <c r="A17770" s="56"/>
    </row>
    <row r="17771" spans="1:1">
      <c r="A17771" s="56"/>
    </row>
    <row r="17772" spans="1:1">
      <c r="A17772" s="56"/>
    </row>
    <row r="17773" spans="1:1">
      <c r="A17773" s="56"/>
    </row>
    <row r="17774" spans="1:1">
      <c r="A17774" s="56"/>
    </row>
    <row r="17775" spans="1:1">
      <c r="A17775" s="56"/>
    </row>
    <row r="17776" spans="1:1">
      <c r="A17776" s="56"/>
    </row>
    <row r="17777" spans="1:1">
      <c r="A17777" s="56"/>
    </row>
    <row r="17778" spans="1:1">
      <c r="A17778" s="56"/>
    </row>
    <row r="17779" spans="1:1">
      <c r="A17779" s="56"/>
    </row>
    <row r="17780" spans="1:1">
      <c r="A17780" s="56"/>
    </row>
    <row r="17781" spans="1:1">
      <c r="A17781" s="56"/>
    </row>
    <row r="17782" spans="1:1">
      <c r="A17782" s="56"/>
    </row>
    <row r="17783" spans="1:1">
      <c r="A17783" s="56"/>
    </row>
    <row r="17784" spans="1:1">
      <c r="A17784" s="56"/>
    </row>
    <row r="17785" spans="1:1">
      <c r="A17785" s="56"/>
    </row>
    <row r="17786" spans="1:1">
      <c r="A17786" s="56"/>
    </row>
    <row r="17787" spans="1:1">
      <c r="A17787" s="56"/>
    </row>
    <row r="17788" spans="1:1">
      <c r="A17788" s="56"/>
    </row>
    <row r="17789" spans="1:1">
      <c r="A17789" s="56"/>
    </row>
    <row r="17790" spans="1:1">
      <c r="A17790" s="56"/>
    </row>
    <row r="17791" spans="1:1">
      <c r="A17791" s="56"/>
    </row>
    <row r="17792" spans="1:1">
      <c r="A17792" s="56"/>
    </row>
    <row r="17793" spans="1:1">
      <c r="A17793" s="56"/>
    </row>
    <row r="17794" spans="1:1">
      <c r="A17794" s="56"/>
    </row>
    <row r="17795" spans="1:1">
      <c r="A17795" s="56"/>
    </row>
    <row r="17796" spans="1:1">
      <c r="A17796" s="56"/>
    </row>
    <row r="17797" spans="1:1">
      <c r="A17797" s="56"/>
    </row>
    <row r="17798" spans="1:1">
      <c r="A17798" s="56"/>
    </row>
    <row r="17799" spans="1:1">
      <c r="A17799" s="56"/>
    </row>
    <row r="17800" spans="1:1">
      <c r="A17800" s="56"/>
    </row>
    <row r="17801" spans="1:1">
      <c r="A17801" s="56"/>
    </row>
    <row r="17802" spans="1:1">
      <c r="A17802" s="56"/>
    </row>
    <row r="17803" spans="1:1">
      <c r="A17803" s="56"/>
    </row>
    <row r="17804" spans="1:1">
      <c r="A17804" s="56"/>
    </row>
    <row r="17805" spans="1:1">
      <c r="A17805" s="56"/>
    </row>
    <row r="17806" spans="1:1">
      <c r="A17806" s="56"/>
    </row>
    <row r="17807" spans="1:1">
      <c r="A17807" s="56"/>
    </row>
    <row r="17808" spans="1:1">
      <c r="A17808" s="56"/>
    </row>
    <row r="17809" spans="1:1">
      <c r="A17809" s="56"/>
    </row>
    <row r="17810" spans="1:1">
      <c r="A17810" s="56"/>
    </row>
    <row r="17811" spans="1:1">
      <c r="A17811" s="56"/>
    </row>
    <row r="17812" spans="1:1">
      <c r="A17812" s="56"/>
    </row>
    <row r="17813" spans="1:1">
      <c r="A17813" s="56"/>
    </row>
    <row r="17814" spans="1:1">
      <c r="A17814" s="56"/>
    </row>
    <row r="17815" spans="1:1">
      <c r="A17815" s="56"/>
    </row>
    <row r="17816" spans="1:1">
      <c r="A17816" s="56"/>
    </row>
    <row r="17817" spans="1:1">
      <c r="A17817" s="56"/>
    </row>
    <row r="17818" spans="1:1">
      <c r="A17818" s="56"/>
    </row>
    <row r="17819" spans="1:1">
      <c r="A17819" s="56"/>
    </row>
    <row r="17820" spans="1:1">
      <c r="A17820" s="56"/>
    </row>
    <row r="17821" spans="1:1">
      <c r="A17821" s="56"/>
    </row>
    <row r="17822" spans="1:1">
      <c r="A17822" s="56"/>
    </row>
    <row r="17823" spans="1:1">
      <c r="A17823" s="56"/>
    </row>
    <row r="17824" spans="1:1">
      <c r="A17824" s="56"/>
    </row>
    <row r="17825" spans="1:1">
      <c r="A17825" s="56"/>
    </row>
    <row r="17826" spans="1:1">
      <c r="A17826" s="56"/>
    </row>
    <row r="17827" spans="1:1">
      <c r="A17827" s="56"/>
    </row>
    <row r="17828" spans="1:1">
      <c r="A17828" s="56"/>
    </row>
    <row r="17829" spans="1:1">
      <c r="A17829" s="56"/>
    </row>
    <row r="17830" spans="1:1">
      <c r="A17830" s="56"/>
    </row>
    <row r="17831" spans="1:1">
      <c r="A17831" s="56"/>
    </row>
    <row r="17832" spans="1:1">
      <c r="A17832" s="56"/>
    </row>
    <row r="17833" spans="1:1">
      <c r="A17833" s="56"/>
    </row>
    <row r="17834" spans="1:1">
      <c r="A17834" s="56"/>
    </row>
    <row r="17835" spans="1:1">
      <c r="A17835" s="56"/>
    </row>
    <row r="17836" spans="1:1">
      <c r="A17836" s="56"/>
    </row>
    <row r="17837" spans="1:1">
      <c r="A17837" s="56"/>
    </row>
    <row r="17838" spans="1:1">
      <c r="A17838" s="56"/>
    </row>
    <row r="17839" spans="1:1">
      <c r="A17839" s="56"/>
    </row>
    <row r="17840" spans="1:1">
      <c r="A17840" s="56"/>
    </row>
    <row r="17841" spans="1:1">
      <c r="A17841" s="56"/>
    </row>
    <row r="17842" spans="1:1">
      <c r="A17842" s="56"/>
    </row>
    <row r="17843" spans="1:1">
      <c r="A17843" s="56"/>
    </row>
    <row r="17844" spans="1:1">
      <c r="A17844" s="56"/>
    </row>
    <row r="17845" spans="1:1">
      <c r="A17845" s="56"/>
    </row>
    <row r="17846" spans="1:1">
      <c r="A17846" s="56"/>
    </row>
    <row r="17847" spans="1:1">
      <c r="A17847" s="56"/>
    </row>
    <row r="17848" spans="1:1">
      <c r="A17848" s="56"/>
    </row>
    <row r="17849" spans="1:1">
      <c r="A17849" s="56"/>
    </row>
    <row r="17850" spans="1:1">
      <c r="A17850" s="56"/>
    </row>
    <row r="17851" spans="1:1">
      <c r="A17851" s="56"/>
    </row>
    <row r="17852" spans="1:1">
      <c r="A17852" s="56"/>
    </row>
    <row r="17853" spans="1:1">
      <c r="A17853" s="56"/>
    </row>
    <row r="17854" spans="1:1">
      <c r="A17854" s="56"/>
    </row>
    <row r="17855" spans="1:1">
      <c r="A17855" s="56"/>
    </row>
    <row r="17856" spans="1:1">
      <c r="A17856" s="56"/>
    </row>
    <row r="17857" spans="1:1">
      <c r="A17857" s="56"/>
    </row>
    <row r="17858" spans="1:1">
      <c r="A17858" s="56"/>
    </row>
    <row r="17859" spans="1:1">
      <c r="A17859" s="56"/>
    </row>
    <row r="17860" spans="1:1">
      <c r="A17860" s="56"/>
    </row>
    <row r="17861" spans="1:1">
      <c r="A17861" s="56"/>
    </row>
    <row r="17862" spans="1:1">
      <c r="A17862" s="56"/>
    </row>
    <row r="17863" spans="1:1">
      <c r="A17863" s="56"/>
    </row>
    <row r="17864" spans="1:1">
      <c r="A17864" s="56"/>
    </row>
    <row r="17865" spans="1:1">
      <c r="A17865" s="56"/>
    </row>
    <row r="17866" spans="1:1">
      <c r="A17866" s="56"/>
    </row>
    <row r="17867" spans="1:1">
      <c r="A17867" s="56"/>
    </row>
    <row r="17868" spans="1:1">
      <c r="A17868" s="56"/>
    </row>
    <row r="17869" spans="1:1">
      <c r="A17869" s="56"/>
    </row>
    <row r="17870" spans="1:1">
      <c r="A17870" s="56"/>
    </row>
    <row r="17871" spans="1:1">
      <c r="A17871" s="56"/>
    </row>
    <row r="17872" spans="1:1">
      <c r="A17872" s="56"/>
    </row>
    <row r="17873" spans="1:1">
      <c r="A17873" s="56"/>
    </row>
    <row r="17874" spans="1:1">
      <c r="A17874" s="56"/>
    </row>
    <row r="17875" spans="1:1">
      <c r="A17875" s="56"/>
    </row>
    <row r="17876" spans="1:1">
      <c r="A17876" s="56"/>
    </row>
    <row r="17877" spans="1:1">
      <c r="A17877" s="56"/>
    </row>
    <row r="17878" spans="1:1">
      <c r="A17878" s="56"/>
    </row>
    <row r="17879" spans="1:1">
      <c r="A17879" s="56"/>
    </row>
    <row r="17880" spans="1:1">
      <c r="A17880" s="56"/>
    </row>
    <row r="17881" spans="1:1">
      <c r="A17881" s="56"/>
    </row>
    <row r="17882" spans="1:1">
      <c r="A17882" s="56"/>
    </row>
    <row r="17883" spans="1:1">
      <c r="A17883" s="56"/>
    </row>
    <row r="17884" spans="1:1">
      <c r="A17884" s="56"/>
    </row>
    <row r="17885" spans="1:1">
      <c r="A17885" s="56"/>
    </row>
    <row r="17886" spans="1:1">
      <c r="A17886" s="56"/>
    </row>
    <row r="17887" spans="1:1">
      <c r="A17887" s="56"/>
    </row>
    <row r="17888" spans="1:1">
      <c r="A17888" s="56"/>
    </row>
    <row r="17889" spans="1:1">
      <c r="A17889" s="56"/>
    </row>
    <row r="17890" spans="1:1">
      <c r="A17890" s="56"/>
    </row>
    <row r="17891" spans="1:1">
      <c r="A17891" s="56"/>
    </row>
    <row r="17892" spans="1:1">
      <c r="A17892" s="56"/>
    </row>
    <row r="17893" spans="1:1">
      <c r="A17893" s="56"/>
    </row>
    <row r="17894" spans="1:1">
      <c r="A17894" s="56"/>
    </row>
    <row r="17895" spans="1:1">
      <c r="A17895" s="56"/>
    </row>
    <row r="17896" spans="1:1">
      <c r="A17896" s="56"/>
    </row>
    <row r="17897" spans="1:1">
      <c r="A17897" s="56"/>
    </row>
    <row r="17898" spans="1:1">
      <c r="A17898" s="56"/>
    </row>
    <row r="17899" spans="1:1">
      <c r="A17899" s="56"/>
    </row>
    <row r="17900" spans="1:1">
      <c r="A17900" s="56"/>
    </row>
    <row r="17901" spans="1:1">
      <c r="A17901" s="56"/>
    </row>
    <row r="17902" spans="1:1">
      <c r="A17902" s="56"/>
    </row>
    <row r="17903" spans="1:1">
      <c r="A17903" s="56"/>
    </row>
    <row r="17904" spans="1:1">
      <c r="A17904" s="56"/>
    </row>
    <row r="17905" spans="1:1">
      <c r="A17905" s="56"/>
    </row>
    <row r="17906" spans="1:1">
      <c r="A17906" s="56"/>
    </row>
    <row r="17907" spans="1:1">
      <c r="A17907" s="56"/>
    </row>
    <row r="17908" spans="1:1">
      <c r="A17908" s="56"/>
    </row>
    <row r="17909" spans="1:1">
      <c r="A17909" s="56"/>
    </row>
    <row r="17910" spans="1:1">
      <c r="A17910" s="56"/>
    </row>
    <row r="17911" spans="1:1">
      <c r="A17911" s="56"/>
    </row>
    <row r="17912" spans="1:1">
      <c r="A17912" s="56"/>
    </row>
    <row r="17913" spans="1:1">
      <c r="A17913" s="56"/>
    </row>
    <row r="17914" spans="1:1">
      <c r="A17914" s="56"/>
    </row>
    <row r="17915" spans="1:1">
      <c r="A17915" s="56"/>
    </row>
    <row r="17916" spans="1:1">
      <c r="A17916" s="56"/>
    </row>
    <row r="17917" spans="1:1">
      <c r="A17917" s="56"/>
    </row>
    <row r="17918" spans="1:1">
      <c r="A17918" s="56"/>
    </row>
    <row r="17919" spans="1:1">
      <c r="A17919" s="56"/>
    </row>
    <row r="17920" spans="1:1">
      <c r="A17920" s="56"/>
    </row>
    <row r="17921" spans="1:1">
      <c r="A17921" s="56"/>
    </row>
    <row r="17922" spans="1:1">
      <c r="A17922" s="56"/>
    </row>
    <row r="17923" spans="1:1">
      <c r="A17923" s="56"/>
    </row>
    <row r="17924" spans="1:1">
      <c r="A17924" s="56"/>
    </row>
    <row r="17925" spans="1:1">
      <c r="A17925" s="56"/>
    </row>
    <row r="17926" spans="1:1">
      <c r="A17926" s="56"/>
    </row>
    <row r="17927" spans="1:1">
      <c r="A17927" s="56"/>
    </row>
    <row r="17928" spans="1:1">
      <c r="A17928" s="56"/>
    </row>
    <row r="17929" spans="1:1">
      <c r="A17929" s="56"/>
    </row>
    <row r="17930" spans="1:1">
      <c r="A17930" s="56"/>
    </row>
    <row r="17931" spans="1:1">
      <c r="A17931" s="56"/>
    </row>
    <row r="17932" spans="1:1">
      <c r="A17932" s="56"/>
    </row>
    <row r="17933" spans="1:1">
      <c r="A17933" s="56"/>
    </row>
    <row r="17934" spans="1:1">
      <c r="A17934" s="56"/>
    </row>
    <row r="17935" spans="1:1">
      <c r="A17935" s="56"/>
    </row>
    <row r="17936" spans="1:1">
      <c r="A17936" s="56"/>
    </row>
    <row r="17937" spans="1:1">
      <c r="A17937" s="56"/>
    </row>
    <row r="17938" spans="1:1">
      <c r="A17938" s="56"/>
    </row>
    <row r="17939" spans="1:1">
      <c r="A17939" s="56"/>
    </row>
    <row r="17940" spans="1:1">
      <c r="A17940" s="56"/>
    </row>
    <row r="17941" spans="1:1">
      <c r="A17941" s="56"/>
    </row>
    <row r="17942" spans="1:1">
      <c r="A17942" s="56"/>
    </row>
    <row r="17943" spans="1:1">
      <c r="A17943" s="56"/>
    </row>
    <row r="17944" spans="1:1">
      <c r="A17944" s="56"/>
    </row>
    <row r="17945" spans="1:1">
      <c r="A17945" s="56"/>
    </row>
    <row r="17946" spans="1:1">
      <c r="A17946" s="56"/>
    </row>
    <row r="17947" spans="1:1">
      <c r="A17947" s="56"/>
    </row>
    <row r="17948" spans="1:1">
      <c r="A17948" s="56"/>
    </row>
    <row r="17949" spans="1:1">
      <c r="A17949" s="56"/>
    </row>
    <row r="17950" spans="1:1">
      <c r="A17950" s="56"/>
    </row>
    <row r="17951" spans="1:1">
      <c r="A17951" s="56"/>
    </row>
    <row r="17952" spans="1:1">
      <c r="A17952" s="56"/>
    </row>
    <row r="17953" spans="1:1">
      <c r="A17953" s="56"/>
    </row>
    <row r="17954" spans="1:1">
      <c r="A17954" s="56"/>
    </row>
    <row r="17955" spans="1:1">
      <c r="A17955" s="56"/>
    </row>
    <row r="17956" spans="1:1">
      <c r="A17956" s="56"/>
    </row>
    <row r="17957" spans="1:1">
      <c r="A17957" s="56"/>
    </row>
    <row r="17958" spans="1:1">
      <c r="A17958" s="56"/>
    </row>
    <row r="17959" spans="1:1">
      <c r="A17959" s="56"/>
    </row>
    <row r="17960" spans="1:1">
      <c r="A17960" s="56"/>
    </row>
    <row r="17961" spans="1:1">
      <c r="A17961" s="56"/>
    </row>
    <row r="17962" spans="1:1">
      <c r="A17962" s="56"/>
    </row>
    <row r="17963" spans="1:1">
      <c r="A17963" s="56"/>
    </row>
    <row r="17964" spans="1:1">
      <c r="A17964" s="56"/>
    </row>
    <row r="17965" spans="1:1">
      <c r="A17965" s="56"/>
    </row>
    <row r="17966" spans="1:1">
      <c r="A17966" s="56"/>
    </row>
    <row r="17967" spans="1:1">
      <c r="A17967" s="56"/>
    </row>
    <row r="17968" spans="1:1">
      <c r="A17968" s="56"/>
    </row>
    <row r="17969" spans="1:1">
      <c r="A17969" s="56"/>
    </row>
    <row r="17970" spans="1:1">
      <c r="A17970" s="56"/>
    </row>
    <row r="17971" spans="1:1">
      <c r="A17971" s="56"/>
    </row>
    <row r="17972" spans="1:1">
      <c r="A17972" s="56"/>
    </row>
    <row r="17973" spans="1:1">
      <c r="A17973" s="56"/>
    </row>
    <row r="17974" spans="1:1">
      <c r="A17974" s="56"/>
    </row>
    <row r="17975" spans="1:1">
      <c r="A17975" s="56"/>
    </row>
    <row r="17976" spans="1:1">
      <c r="A17976" s="56"/>
    </row>
    <row r="17977" spans="1:1">
      <c r="A17977" s="56"/>
    </row>
    <row r="17978" spans="1:1">
      <c r="A17978" s="56"/>
    </row>
    <row r="17979" spans="1:1">
      <c r="A17979" s="56"/>
    </row>
    <row r="17980" spans="1:1">
      <c r="A17980" s="56"/>
    </row>
    <row r="17981" spans="1:1">
      <c r="A17981" s="56"/>
    </row>
    <row r="17982" spans="1:1">
      <c r="A17982" s="56"/>
    </row>
    <row r="17983" spans="1:1">
      <c r="A17983" s="56"/>
    </row>
    <row r="17984" spans="1:1">
      <c r="A17984" s="56"/>
    </row>
    <row r="17985" spans="1:1">
      <c r="A17985" s="56"/>
    </row>
    <row r="17986" spans="1:1">
      <c r="A17986" s="56"/>
    </row>
    <row r="17987" spans="1:1">
      <c r="A17987" s="56"/>
    </row>
    <row r="17988" spans="1:1">
      <c r="A17988" s="56"/>
    </row>
    <row r="17989" spans="1:1">
      <c r="A17989" s="56"/>
    </row>
    <row r="17990" spans="1:1">
      <c r="A17990" s="56"/>
    </row>
    <row r="17991" spans="1:1">
      <c r="A17991" s="56"/>
    </row>
    <row r="17992" spans="1:1">
      <c r="A17992" s="56"/>
    </row>
    <row r="17993" spans="1:1">
      <c r="A17993" s="56"/>
    </row>
    <row r="17994" spans="1:1">
      <c r="A17994" s="56"/>
    </row>
    <row r="17995" spans="1:1">
      <c r="A17995" s="56"/>
    </row>
    <row r="17996" spans="1:1">
      <c r="A17996" s="56"/>
    </row>
    <row r="17997" spans="1:1">
      <c r="A17997" s="56"/>
    </row>
    <row r="17998" spans="1:1">
      <c r="A17998" s="56"/>
    </row>
    <row r="17999" spans="1:1">
      <c r="A17999" s="56"/>
    </row>
    <row r="18000" spans="1:1">
      <c r="A18000" s="56"/>
    </row>
    <row r="18001" spans="1:1">
      <c r="A18001" s="56"/>
    </row>
    <row r="18002" spans="1:1">
      <c r="A18002" s="56"/>
    </row>
    <row r="18003" spans="1:1">
      <c r="A18003" s="56"/>
    </row>
    <row r="18004" spans="1:1">
      <c r="A18004" s="56"/>
    </row>
    <row r="18005" spans="1:1">
      <c r="A18005" s="56"/>
    </row>
    <row r="18006" spans="1:1">
      <c r="A18006" s="56"/>
    </row>
    <row r="18007" spans="1:1">
      <c r="A18007" s="56"/>
    </row>
    <row r="18008" spans="1:1">
      <c r="A18008" s="56"/>
    </row>
    <row r="18009" spans="1:1">
      <c r="A18009" s="56"/>
    </row>
    <row r="18010" spans="1:1">
      <c r="A18010" s="56"/>
    </row>
    <row r="18011" spans="1:1">
      <c r="A18011" s="56"/>
    </row>
    <row r="18012" spans="1:1">
      <c r="A18012" s="56"/>
    </row>
    <row r="18013" spans="1:1">
      <c r="A18013" s="56"/>
    </row>
    <row r="18014" spans="1:1">
      <c r="A18014" s="56"/>
    </row>
    <row r="18015" spans="1:1">
      <c r="A18015" s="56"/>
    </row>
    <row r="18016" spans="1:1">
      <c r="A18016" s="56"/>
    </row>
    <row r="18017" spans="1:1">
      <c r="A18017" s="56"/>
    </row>
    <row r="18018" spans="1:1">
      <c r="A18018" s="56"/>
    </row>
    <row r="18019" spans="1:1">
      <c r="A18019" s="56"/>
    </row>
    <row r="18020" spans="1:1">
      <c r="A18020" s="56"/>
    </row>
    <row r="18021" spans="1:1">
      <c r="A18021" s="56"/>
    </row>
    <row r="18022" spans="1:1">
      <c r="A18022" s="56"/>
    </row>
    <row r="18023" spans="1:1">
      <c r="A18023" s="56"/>
    </row>
    <row r="18024" spans="1:1">
      <c r="A18024" s="56"/>
    </row>
    <row r="18025" spans="1:1">
      <c r="A18025" s="56"/>
    </row>
    <row r="18026" spans="1:1">
      <c r="A18026" s="56"/>
    </row>
    <row r="18027" spans="1:1">
      <c r="A18027" s="56"/>
    </row>
    <row r="18028" spans="1:1">
      <c r="A18028" s="56"/>
    </row>
    <row r="18029" spans="1:1">
      <c r="A18029" s="56"/>
    </row>
    <row r="18030" spans="1:1">
      <c r="A18030" s="56"/>
    </row>
    <row r="18031" spans="1:1">
      <c r="A18031" s="56"/>
    </row>
    <row r="18032" spans="1:1">
      <c r="A18032" s="56"/>
    </row>
    <row r="18033" spans="1:1">
      <c r="A18033" s="56"/>
    </row>
    <row r="18034" spans="1:1">
      <c r="A18034" s="56"/>
    </row>
    <row r="18035" spans="1:1">
      <c r="A18035" s="56"/>
    </row>
    <row r="18036" spans="1:1">
      <c r="A18036" s="56"/>
    </row>
    <row r="18037" spans="1:1">
      <c r="A18037" s="56"/>
    </row>
    <row r="18038" spans="1:1">
      <c r="A18038" s="56"/>
    </row>
    <row r="18039" spans="1:1">
      <c r="A18039" s="56"/>
    </row>
    <row r="18040" spans="1:1">
      <c r="A18040" s="56"/>
    </row>
    <row r="18041" spans="1:1">
      <c r="A18041" s="56"/>
    </row>
    <row r="18042" spans="1:1">
      <c r="A18042" s="56"/>
    </row>
    <row r="18043" spans="1:1">
      <c r="A18043" s="56"/>
    </row>
    <row r="18044" spans="1:1">
      <c r="A18044" s="56"/>
    </row>
    <row r="18045" spans="1:1">
      <c r="A18045" s="56"/>
    </row>
    <row r="18046" spans="1:1">
      <c r="A18046" s="56"/>
    </row>
    <row r="18047" spans="1:1">
      <c r="A18047" s="56"/>
    </row>
    <row r="18048" spans="1:1">
      <c r="A18048" s="56"/>
    </row>
    <row r="18049" spans="1:1">
      <c r="A18049" s="56"/>
    </row>
    <row r="18050" spans="1:1">
      <c r="A18050" s="56"/>
    </row>
    <row r="18051" spans="1:1">
      <c r="A18051" s="56"/>
    </row>
    <row r="18052" spans="1:1">
      <c r="A18052" s="56"/>
    </row>
    <row r="18053" spans="1:1">
      <c r="A18053" s="56"/>
    </row>
    <row r="18054" spans="1:1">
      <c r="A18054" s="56"/>
    </row>
    <row r="18055" spans="1:1">
      <c r="A18055" s="56"/>
    </row>
    <row r="18056" spans="1:1">
      <c r="A18056" s="56"/>
    </row>
    <row r="18057" spans="1:1">
      <c r="A18057" s="56"/>
    </row>
    <row r="18058" spans="1:1">
      <c r="A18058" s="56"/>
    </row>
    <row r="18059" spans="1:1">
      <c r="A18059" s="56"/>
    </row>
    <row r="18060" spans="1:1">
      <c r="A18060" s="56"/>
    </row>
    <row r="18061" spans="1:1">
      <c r="A18061" s="56"/>
    </row>
    <row r="18062" spans="1:1">
      <c r="A18062" s="56"/>
    </row>
    <row r="18063" spans="1:1">
      <c r="A18063" s="56"/>
    </row>
    <row r="18064" spans="1:1">
      <c r="A18064" s="56"/>
    </row>
    <row r="18065" spans="1:1">
      <c r="A18065" s="56"/>
    </row>
    <row r="18066" spans="1:1">
      <c r="A18066" s="56"/>
    </row>
    <row r="18067" spans="1:1">
      <c r="A18067" s="56"/>
    </row>
    <row r="18068" spans="1:1">
      <c r="A18068" s="56"/>
    </row>
    <row r="18069" spans="1:1">
      <c r="A18069" s="56"/>
    </row>
    <row r="18070" spans="1:1">
      <c r="A18070" s="56"/>
    </row>
    <row r="18071" spans="1:1">
      <c r="A18071" s="56"/>
    </row>
    <row r="18072" spans="1:1">
      <c r="A18072" s="56"/>
    </row>
    <row r="18073" spans="1:1">
      <c r="A18073" s="56"/>
    </row>
    <row r="18074" spans="1:1">
      <c r="A18074" s="56"/>
    </row>
    <row r="18075" spans="1:1">
      <c r="A18075" s="56"/>
    </row>
    <row r="18076" spans="1:1">
      <c r="A18076" s="56"/>
    </row>
    <row r="18077" spans="1:1">
      <c r="A18077" s="56"/>
    </row>
    <row r="18078" spans="1:1">
      <c r="A18078" s="56"/>
    </row>
    <row r="18079" spans="1:1">
      <c r="A18079" s="56"/>
    </row>
    <row r="18080" spans="1:1">
      <c r="A18080" s="56"/>
    </row>
    <row r="18081" spans="1:1">
      <c r="A18081" s="56"/>
    </row>
    <row r="18082" spans="1:1">
      <c r="A18082" s="56"/>
    </row>
    <row r="18083" spans="1:1">
      <c r="A18083" s="56"/>
    </row>
    <row r="18084" spans="1:1">
      <c r="A18084" s="56"/>
    </row>
    <row r="18085" spans="1:1">
      <c r="A18085" s="56"/>
    </row>
    <row r="18086" spans="1:1">
      <c r="A18086" s="56"/>
    </row>
    <row r="18087" spans="1:1">
      <c r="A18087" s="56"/>
    </row>
    <row r="18088" spans="1:1">
      <c r="A18088" s="56"/>
    </row>
    <row r="18089" spans="1:1">
      <c r="A18089" s="56"/>
    </row>
    <row r="18090" spans="1:1">
      <c r="A18090" s="56"/>
    </row>
    <row r="18091" spans="1:1">
      <c r="A18091" s="56"/>
    </row>
    <row r="18092" spans="1:1">
      <c r="A18092" s="56"/>
    </row>
    <row r="18093" spans="1:1">
      <c r="A18093" s="56"/>
    </row>
    <row r="18094" spans="1:1">
      <c r="A18094" s="56"/>
    </row>
    <row r="18095" spans="1:1">
      <c r="A18095" s="56"/>
    </row>
    <row r="18096" spans="1:1">
      <c r="A18096" s="56"/>
    </row>
    <row r="18097" spans="1:1">
      <c r="A18097" s="56"/>
    </row>
    <row r="18098" spans="1:1">
      <c r="A18098" s="56"/>
    </row>
    <row r="18099" spans="1:1">
      <c r="A18099" s="56"/>
    </row>
    <row r="18100" spans="1:1">
      <c r="A18100" s="56"/>
    </row>
    <row r="18101" spans="1:1">
      <c r="A18101" s="56"/>
    </row>
    <row r="18102" spans="1:1">
      <c r="A18102" s="56"/>
    </row>
    <row r="18103" spans="1:1">
      <c r="A18103" s="56"/>
    </row>
    <row r="18104" spans="1:1">
      <c r="A18104" s="56"/>
    </row>
    <row r="18105" spans="1:1">
      <c r="A18105" s="56"/>
    </row>
    <row r="18106" spans="1:1">
      <c r="A18106" s="56"/>
    </row>
    <row r="18107" spans="1:1">
      <c r="A18107" s="56"/>
    </row>
    <row r="18108" spans="1:1">
      <c r="A18108" s="56"/>
    </row>
    <row r="18109" spans="1:1">
      <c r="A18109" s="56"/>
    </row>
    <row r="18110" spans="1:1">
      <c r="A18110" s="56"/>
    </row>
    <row r="18111" spans="1:1">
      <c r="A18111" s="56"/>
    </row>
    <row r="18112" spans="1:1">
      <c r="A18112" s="56"/>
    </row>
    <row r="18113" spans="1:1">
      <c r="A18113" s="56"/>
    </row>
    <row r="18114" spans="1:1">
      <c r="A18114" s="56"/>
    </row>
    <row r="18115" spans="1:1">
      <c r="A18115" s="56"/>
    </row>
    <row r="18116" spans="1:1">
      <c r="A18116" s="56"/>
    </row>
    <row r="18117" spans="1:1">
      <c r="A18117" s="56"/>
    </row>
    <row r="18118" spans="1:1">
      <c r="A18118" s="56"/>
    </row>
    <row r="18119" spans="1:1">
      <c r="A18119" s="56"/>
    </row>
    <row r="18120" spans="1:1">
      <c r="A18120" s="56"/>
    </row>
    <row r="18121" spans="1:1">
      <c r="A18121" s="56"/>
    </row>
    <row r="18122" spans="1:1">
      <c r="A18122" s="56"/>
    </row>
    <row r="18123" spans="1:1">
      <c r="A18123" s="56"/>
    </row>
    <row r="18124" spans="1:1">
      <c r="A18124" s="56"/>
    </row>
    <row r="18125" spans="1:1">
      <c r="A18125" s="56"/>
    </row>
    <row r="18126" spans="1:1">
      <c r="A18126" s="56"/>
    </row>
    <row r="18127" spans="1:1">
      <c r="A18127" s="56"/>
    </row>
    <row r="18128" spans="1:1">
      <c r="A18128" s="56"/>
    </row>
    <row r="18129" spans="1:1">
      <c r="A18129" s="56"/>
    </row>
    <row r="18130" spans="1:1">
      <c r="A18130" s="56"/>
    </row>
    <row r="18131" spans="1:1">
      <c r="A18131" s="56"/>
    </row>
    <row r="18132" spans="1:1">
      <c r="A18132" s="56"/>
    </row>
    <row r="18133" spans="1:1">
      <c r="A18133" s="56"/>
    </row>
    <row r="18134" spans="1:1">
      <c r="A18134" s="56"/>
    </row>
    <row r="18135" spans="1:1">
      <c r="A18135" s="56"/>
    </row>
    <row r="18136" spans="1:1">
      <c r="A18136" s="56"/>
    </row>
    <row r="18137" spans="1:1">
      <c r="A18137" s="56"/>
    </row>
    <row r="18138" spans="1:1">
      <c r="A18138" s="56"/>
    </row>
    <row r="18139" spans="1:1">
      <c r="A18139" s="56"/>
    </row>
    <row r="18140" spans="1:1">
      <c r="A18140" s="56"/>
    </row>
    <row r="18141" spans="1:1">
      <c r="A18141" s="56"/>
    </row>
    <row r="18142" spans="1:1">
      <c r="A18142" s="56"/>
    </row>
    <row r="18143" spans="1:1">
      <c r="A18143" s="56"/>
    </row>
    <row r="18144" spans="1:1">
      <c r="A18144" s="56"/>
    </row>
    <row r="18145" spans="1:1">
      <c r="A18145" s="56"/>
    </row>
    <row r="18146" spans="1:1">
      <c r="A18146" s="56"/>
    </row>
    <row r="18147" spans="1:1">
      <c r="A18147" s="56"/>
    </row>
    <row r="18148" spans="1:1">
      <c r="A18148" s="56"/>
    </row>
    <row r="18149" spans="1:1">
      <c r="A18149" s="56"/>
    </row>
    <row r="18150" spans="1:1">
      <c r="A18150" s="56"/>
    </row>
    <row r="18151" spans="1:1">
      <c r="A18151" s="56"/>
    </row>
    <row r="18152" spans="1:1">
      <c r="A18152" s="56"/>
    </row>
    <row r="18153" spans="1:1">
      <c r="A18153" s="56"/>
    </row>
    <row r="18154" spans="1:1">
      <c r="A18154" s="56"/>
    </row>
    <row r="18155" spans="1:1">
      <c r="A18155" s="56"/>
    </row>
    <row r="18156" spans="1:1">
      <c r="A18156" s="56"/>
    </row>
    <row r="18157" spans="1:1">
      <c r="A18157" s="56"/>
    </row>
    <row r="18158" spans="1:1">
      <c r="A18158" s="56"/>
    </row>
    <row r="18159" spans="1:1">
      <c r="A18159" s="56"/>
    </row>
    <row r="18160" spans="1:1">
      <c r="A18160" s="56"/>
    </row>
    <row r="18161" spans="1:1">
      <c r="A18161" s="56"/>
    </row>
    <row r="18162" spans="1:1">
      <c r="A18162" s="56"/>
    </row>
    <row r="18163" spans="1:1">
      <c r="A18163" s="56"/>
    </row>
    <row r="18164" spans="1:1">
      <c r="A18164" s="56"/>
    </row>
    <row r="18165" spans="1:1">
      <c r="A18165" s="56"/>
    </row>
    <row r="18166" spans="1:1">
      <c r="A18166" s="56"/>
    </row>
    <row r="18167" spans="1:1">
      <c r="A18167" s="56"/>
    </row>
    <row r="18168" spans="1:1">
      <c r="A18168" s="56"/>
    </row>
    <row r="18169" spans="1:1">
      <c r="A18169" s="56"/>
    </row>
    <row r="18170" spans="1:1">
      <c r="A18170" s="56"/>
    </row>
    <row r="18171" spans="1:1">
      <c r="A18171" s="56"/>
    </row>
    <row r="18172" spans="1:1">
      <c r="A18172" s="56"/>
    </row>
    <row r="18173" spans="1:1">
      <c r="A18173" s="56"/>
    </row>
    <row r="18174" spans="1:1">
      <c r="A18174" s="56"/>
    </row>
    <row r="18175" spans="1:1">
      <c r="A18175" s="56"/>
    </row>
    <row r="18176" spans="1:1">
      <c r="A18176" s="56"/>
    </row>
    <row r="18177" spans="1:1">
      <c r="A18177" s="56"/>
    </row>
    <row r="18178" spans="1:1">
      <c r="A18178" s="56"/>
    </row>
    <row r="18179" spans="1:1">
      <c r="A18179" s="56"/>
    </row>
    <row r="18180" spans="1:1">
      <c r="A18180" s="56"/>
    </row>
    <row r="18181" spans="1:1">
      <c r="A18181" s="56"/>
    </row>
    <row r="18182" spans="1:1">
      <c r="A18182" s="56"/>
    </row>
    <row r="18183" spans="1:1">
      <c r="A18183" s="56"/>
    </row>
    <row r="18184" spans="1:1">
      <c r="A18184" s="56"/>
    </row>
    <row r="18185" spans="1:1">
      <c r="A18185" s="56"/>
    </row>
    <row r="18186" spans="1:1">
      <c r="A18186" s="56"/>
    </row>
    <row r="18187" spans="1:1">
      <c r="A18187" s="56"/>
    </row>
    <row r="18188" spans="1:1">
      <c r="A18188" s="56"/>
    </row>
    <row r="18189" spans="1:1">
      <c r="A18189" s="56"/>
    </row>
    <row r="18190" spans="1:1">
      <c r="A18190" s="56"/>
    </row>
    <row r="18191" spans="1:1">
      <c r="A18191" s="56"/>
    </row>
    <row r="18192" spans="1:1">
      <c r="A18192" s="56"/>
    </row>
    <row r="18193" spans="1:1">
      <c r="A18193" s="56"/>
    </row>
    <row r="18194" spans="1:1">
      <c r="A18194" s="56"/>
    </row>
    <row r="18195" spans="1:1">
      <c r="A18195" s="56"/>
    </row>
    <row r="18196" spans="1:1">
      <c r="A18196" s="56"/>
    </row>
    <row r="18197" spans="1:1">
      <c r="A18197" s="56"/>
    </row>
    <row r="18198" spans="1:1">
      <c r="A18198" s="56"/>
    </row>
    <row r="18199" spans="1:1">
      <c r="A18199" s="56"/>
    </row>
    <row r="18200" spans="1:1">
      <c r="A18200" s="56"/>
    </row>
    <row r="18201" spans="1:1">
      <c r="A18201" s="56"/>
    </row>
    <row r="18202" spans="1:1">
      <c r="A18202" s="56"/>
    </row>
    <row r="18203" spans="1:1">
      <c r="A18203" s="56"/>
    </row>
    <row r="18204" spans="1:1">
      <c r="A18204" s="56"/>
    </row>
    <row r="18205" spans="1:1">
      <c r="A18205" s="56"/>
    </row>
    <row r="18206" spans="1:1">
      <c r="A18206" s="56"/>
    </row>
    <row r="18207" spans="1:1">
      <c r="A18207" s="56"/>
    </row>
    <row r="18208" spans="1:1">
      <c r="A18208" s="56"/>
    </row>
    <row r="18209" spans="1:1">
      <c r="A18209" s="56"/>
    </row>
    <row r="18210" spans="1:1">
      <c r="A18210" s="56"/>
    </row>
    <row r="18211" spans="1:1">
      <c r="A18211" s="56"/>
    </row>
    <row r="18212" spans="1:1">
      <c r="A18212" s="56"/>
    </row>
    <row r="18213" spans="1:1">
      <c r="A18213" s="56"/>
    </row>
    <row r="18214" spans="1:1">
      <c r="A18214" s="56"/>
    </row>
    <row r="18215" spans="1:1">
      <c r="A18215" s="56"/>
    </row>
    <row r="18216" spans="1:1">
      <c r="A18216" s="56"/>
    </row>
    <row r="18217" spans="1:1">
      <c r="A18217" s="56"/>
    </row>
    <row r="18218" spans="1:1">
      <c r="A18218" s="56"/>
    </row>
    <row r="18219" spans="1:1">
      <c r="A18219" s="56"/>
    </row>
    <row r="18220" spans="1:1">
      <c r="A18220" s="56"/>
    </row>
    <row r="18221" spans="1:1">
      <c r="A18221" s="56"/>
    </row>
    <row r="18222" spans="1:1">
      <c r="A18222" s="56"/>
    </row>
    <row r="18223" spans="1:1">
      <c r="A18223" s="56"/>
    </row>
    <row r="18224" spans="1:1">
      <c r="A18224" s="56"/>
    </row>
    <row r="18225" spans="1:1">
      <c r="A18225" s="56"/>
    </row>
    <row r="18226" spans="1:1">
      <c r="A18226" s="56"/>
    </row>
    <row r="18227" spans="1:1">
      <c r="A18227" s="56"/>
    </row>
    <row r="18228" spans="1:1">
      <c r="A18228" s="56"/>
    </row>
    <row r="18229" spans="1:1">
      <c r="A18229" s="56"/>
    </row>
    <row r="18230" spans="1:1">
      <c r="A18230" s="56"/>
    </row>
    <row r="18231" spans="1:1">
      <c r="A18231" s="56"/>
    </row>
    <row r="18232" spans="1:1">
      <c r="A18232" s="56"/>
    </row>
    <row r="18233" spans="1:1">
      <c r="A18233" s="56"/>
    </row>
    <row r="18234" spans="1:1">
      <c r="A18234" s="56"/>
    </row>
    <row r="18235" spans="1:1">
      <c r="A18235" s="56"/>
    </row>
    <row r="18236" spans="1:1">
      <c r="A18236" s="56"/>
    </row>
    <row r="18237" spans="1:1">
      <c r="A18237" s="56"/>
    </row>
    <row r="18238" spans="1:1">
      <c r="A18238" s="56"/>
    </row>
    <row r="18239" spans="1:1">
      <c r="A18239" s="56"/>
    </row>
    <row r="18240" spans="1:1">
      <c r="A18240" s="56"/>
    </row>
    <row r="18241" spans="1:1">
      <c r="A18241" s="56"/>
    </row>
    <row r="18242" spans="1:1">
      <c r="A18242" s="56"/>
    </row>
    <row r="18243" spans="1:1">
      <c r="A18243" s="56"/>
    </row>
    <row r="18244" spans="1:1">
      <c r="A18244" s="56"/>
    </row>
    <row r="18245" spans="1:1">
      <c r="A18245" s="56"/>
    </row>
    <row r="18246" spans="1:1">
      <c r="A18246" s="56"/>
    </row>
    <row r="18247" spans="1:1">
      <c r="A18247" s="56"/>
    </row>
    <row r="18248" spans="1:1">
      <c r="A18248" s="56"/>
    </row>
    <row r="18249" spans="1:1">
      <c r="A18249" s="56"/>
    </row>
    <row r="18250" spans="1:1">
      <c r="A18250" s="56"/>
    </row>
    <row r="18251" spans="1:1">
      <c r="A18251" s="56"/>
    </row>
    <row r="18252" spans="1:1">
      <c r="A18252" s="56"/>
    </row>
    <row r="18253" spans="1:1">
      <c r="A18253" s="56"/>
    </row>
    <row r="18254" spans="1:1">
      <c r="A18254" s="56"/>
    </row>
    <row r="18255" spans="1:1">
      <c r="A18255" s="56"/>
    </row>
    <row r="18256" spans="1:1">
      <c r="A18256" s="56"/>
    </row>
    <row r="18257" spans="1:1">
      <c r="A18257" s="56"/>
    </row>
    <row r="18258" spans="1:1">
      <c r="A18258" s="56"/>
    </row>
    <row r="18259" spans="1:1">
      <c r="A18259" s="56"/>
    </row>
    <row r="18260" spans="1:1">
      <c r="A18260" s="56"/>
    </row>
    <row r="18261" spans="1:1">
      <c r="A18261" s="56"/>
    </row>
    <row r="18262" spans="1:1">
      <c r="A18262" s="56"/>
    </row>
    <row r="18263" spans="1:1">
      <c r="A18263" s="56"/>
    </row>
    <row r="18264" spans="1:1">
      <c r="A18264" s="56"/>
    </row>
    <row r="18265" spans="1:1">
      <c r="A18265" s="56"/>
    </row>
    <row r="18266" spans="1:1">
      <c r="A18266" s="56"/>
    </row>
    <row r="18267" spans="1:1">
      <c r="A18267" s="56"/>
    </row>
    <row r="18268" spans="1:1">
      <c r="A18268" s="56"/>
    </row>
    <row r="18269" spans="1:1">
      <c r="A18269" s="56"/>
    </row>
    <row r="18270" spans="1:1">
      <c r="A18270" s="56"/>
    </row>
    <row r="18271" spans="1:1">
      <c r="A18271" s="56"/>
    </row>
    <row r="18272" spans="1:1">
      <c r="A18272" s="56"/>
    </row>
    <row r="18273" spans="1:1">
      <c r="A18273" s="56"/>
    </row>
    <row r="18274" spans="1:1">
      <c r="A18274" s="56"/>
    </row>
    <row r="18275" spans="1:1">
      <c r="A18275" s="56"/>
    </row>
    <row r="18276" spans="1:1">
      <c r="A18276" s="56"/>
    </row>
    <row r="18277" spans="1:1">
      <c r="A18277" s="56"/>
    </row>
    <row r="18278" spans="1:1">
      <c r="A18278" s="56"/>
    </row>
    <row r="18279" spans="1:1">
      <c r="A18279" s="56"/>
    </row>
    <row r="18280" spans="1:1">
      <c r="A18280" s="56"/>
    </row>
    <row r="18281" spans="1:1">
      <c r="A18281" s="56"/>
    </row>
    <row r="18282" spans="1:1">
      <c r="A18282" s="56"/>
    </row>
    <row r="18283" spans="1:1">
      <c r="A18283" s="56"/>
    </row>
    <row r="18284" spans="1:1">
      <c r="A18284" s="56"/>
    </row>
    <row r="18285" spans="1:1">
      <c r="A18285" s="56"/>
    </row>
    <row r="18286" spans="1:1">
      <c r="A18286" s="56"/>
    </row>
    <row r="18287" spans="1:1">
      <c r="A18287" s="56"/>
    </row>
    <row r="18288" spans="1:1">
      <c r="A18288" s="56"/>
    </row>
    <row r="18289" spans="1:1">
      <c r="A18289" s="56"/>
    </row>
    <row r="18290" spans="1:1">
      <c r="A18290" s="56"/>
    </row>
    <row r="18291" spans="1:1">
      <c r="A18291" s="56"/>
    </row>
    <row r="18292" spans="1:1">
      <c r="A18292" s="56"/>
    </row>
    <row r="18293" spans="1:1">
      <c r="A18293" s="56"/>
    </row>
    <row r="18294" spans="1:1">
      <c r="A18294" s="56"/>
    </row>
    <row r="18295" spans="1:1">
      <c r="A18295" s="56"/>
    </row>
    <row r="18296" spans="1:1">
      <c r="A18296" s="56"/>
    </row>
    <row r="18297" spans="1:1">
      <c r="A18297" s="56"/>
    </row>
    <row r="18298" spans="1:1">
      <c r="A18298" s="56"/>
    </row>
    <row r="18299" spans="1:1">
      <c r="A18299" s="56"/>
    </row>
    <row r="18300" spans="1:1">
      <c r="A18300" s="56"/>
    </row>
    <row r="18301" spans="1:1">
      <c r="A18301" s="56"/>
    </row>
    <row r="18302" spans="1:1">
      <c r="A18302" s="56"/>
    </row>
    <row r="18303" spans="1:1">
      <c r="A18303" s="56"/>
    </row>
    <row r="18304" spans="1:1">
      <c r="A18304" s="56"/>
    </row>
    <row r="18305" spans="1:1">
      <c r="A18305" s="56"/>
    </row>
    <row r="18306" spans="1:1">
      <c r="A18306" s="56"/>
    </row>
    <row r="18307" spans="1:1">
      <c r="A18307" s="56"/>
    </row>
    <row r="18308" spans="1:1">
      <c r="A18308" s="56"/>
    </row>
    <row r="18309" spans="1:1">
      <c r="A18309" s="56"/>
    </row>
    <row r="18310" spans="1:1">
      <c r="A18310" s="56"/>
    </row>
    <row r="18311" spans="1:1">
      <c r="A18311" s="56"/>
    </row>
    <row r="18312" spans="1:1">
      <c r="A18312" s="56"/>
    </row>
    <row r="18313" spans="1:1">
      <c r="A18313" s="56"/>
    </row>
    <row r="18314" spans="1:1">
      <c r="A18314" s="56"/>
    </row>
    <row r="18315" spans="1:1">
      <c r="A18315" s="56"/>
    </row>
    <row r="18316" spans="1:1">
      <c r="A18316" s="56"/>
    </row>
    <row r="18317" spans="1:1">
      <c r="A18317" s="56"/>
    </row>
    <row r="18318" spans="1:1">
      <c r="A18318" s="56"/>
    </row>
    <row r="18319" spans="1:1">
      <c r="A18319" s="56"/>
    </row>
    <row r="18320" spans="1:1">
      <c r="A18320" s="56"/>
    </row>
    <row r="18321" spans="1:1">
      <c r="A18321" s="56"/>
    </row>
    <row r="18322" spans="1:1">
      <c r="A18322" s="56"/>
    </row>
    <row r="18323" spans="1:1">
      <c r="A18323" s="56"/>
    </row>
    <row r="18324" spans="1:1">
      <c r="A18324" s="56"/>
    </row>
    <row r="18325" spans="1:1">
      <c r="A18325" s="56"/>
    </row>
    <row r="18326" spans="1:1">
      <c r="A18326" s="56"/>
    </row>
    <row r="18327" spans="1:1">
      <c r="A18327" s="56"/>
    </row>
    <row r="18328" spans="1:1">
      <c r="A18328" s="56"/>
    </row>
    <row r="18329" spans="1:1">
      <c r="A18329" s="56"/>
    </row>
    <row r="18330" spans="1:1">
      <c r="A18330" s="56"/>
    </row>
    <row r="18331" spans="1:1">
      <c r="A18331" s="56"/>
    </row>
    <row r="18332" spans="1:1">
      <c r="A18332" s="56"/>
    </row>
    <row r="18333" spans="1:1">
      <c r="A18333" s="56"/>
    </row>
    <row r="18334" spans="1:1">
      <c r="A18334" s="56"/>
    </row>
    <row r="18335" spans="1:1">
      <c r="A18335" s="56"/>
    </row>
    <row r="18336" spans="1:1">
      <c r="A18336" s="56"/>
    </row>
    <row r="18337" spans="1:1">
      <c r="A18337" s="56"/>
    </row>
    <row r="18338" spans="1:1">
      <c r="A18338" s="56"/>
    </row>
    <row r="18339" spans="1:1">
      <c r="A18339" s="56"/>
    </row>
    <row r="18340" spans="1:1">
      <c r="A18340" s="56"/>
    </row>
    <row r="18341" spans="1:1">
      <c r="A18341" s="56"/>
    </row>
    <row r="18342" spans="1:1">
      <c r="A18342" s="56"/>
    </row>
    <row r="18343" spans="1:1">
      <c r="A18343" s="56"/>
    </row>
    <row r="18344" spans="1:1">
      <c r="A18344" s="56"/>
    </row>
    <row r="18345" spans="1:1">
      <c r="A18345" s="56"/>
    </row>
    <row r="18346" spans="1:1">
      <c r="A18346" s="56"/>
    </row>
    <row r="18347" spans="1:1">
      <c r="A18347" s="56"/>
    </row>
    <row r="18348" spans="1:1">
      <c r="A18348" s="56"/>
    </row>
    <row r="18349" spans="1:1">
      <c r="A18349" s="56"/>
    </row>
    <row r="18350" spans="1:1">
      <c r="A18350" s="56"/>
    </row>
    <row r="18351" spans="1:1">
      <c r="A18351" s="56"/>
    </row>
    <row r="18352" spans="1:1">
      <c r="A18352" s="56"/>
    </row>
    <row r="18353" spans="1:1">
      <c r="A18353" s="56"/>
    </row>
    <row r="18354" spans="1:1">
      <c r="A18354" s="56"/>
    </row>
    <row r="18355" spans="1:1">
      <c r="A18355" s="56"/>
    </row>
    <row r="18356" spans="1:1">
      <c r="A18356" s="56"/>
    </row>
    <row r="18357" spans="1:1">
      <c r="A18357" s="56"/>
    </row>
    <row r="18358" spans="1:1">
      <c r="A18358" s="56"/>
    </row>
    <row r="18359" spans="1:1">
      <c r="A18359" s="56"/>
    </row>
    <row r="18360" spans="1:1">
      <c r="A18360" s="56"/>
    </row>
    <row r="18361" spans="1:1">
      <c r="A18361" s="56"/>
    </row>
    <row r="18362" spans="1:1">
      <c r="A18362" s="56"/>
    </row>
    <row r="18363" spans="1:1">
      <c r="A18363" s="56"/>
    </row>
    <row r="18364" spans="1:1">
      <c r="A18364" s="56"/>
    </row>
    <row r="18365" spans="1:1">
      <c r="A18365" s="56"/>
    </row>
    <row r="18366" spans="1:1">
      <c r="A18366" s="56"/>
    </row>
    <row r="18367" spans="1:1">
      <c r="A18367" s="56"/>
    </row>
    <row r="18368" spans="1:1">
      <c r="A18368" s="56"/>
    </row>
    <row r="18369" spans="1:1">
      <c r="A18369" s="56"/>
    </row>
    <row r="18370" spans="1:1">
      <c r="A18370" s="56"/>
    </row>
    <row r="18371" spans="1:1">
      <c r="A18371" s="56"/>
    </row>
    <row r="18372" spans="1:1">
      <c r="A18372" s="56"/>
    </row>
    <row r="18373" spans="1:1">
      <c r="A18373" s="56"/>
    </row>
    <row r="18374" spans="1:1">
      <c r="A18374" s="56"/>
    </row>
    <row r="18375" spans="1:1">
      <c r="A18375" s="56"/>
    </row>
    <row r="18376" spans="1:1">
      <c r="A18376" s="56"/>
    </row>
    <row r="18377" spans="1:1">
      <c r="A18377" s="56"/>
    </row>
    <row r="18378" spans="1:1">
      <c r="A18378" s="56"/>
    </row>
    <row r="18379" spans="1:1">
      <c r="A18379" s="56"/>
    </row>
    <row r="18380" spans="1:1">
      <c r="A18380" s="56"/>
    </row>
    <row r="18381" spans="1:1">
      <c r="A18381" s="56"/>
    </row>
    <row r="18382" spans="1:1">
      <c r="A18382" s="56"/>
    </row>
    <row r="18383" spans="1:1">
      <c r="A18383" s="56"/>
    </row>
    <row r="18384" spans="1:1">
      <c r="A18384" s="56"/>
    </row>
    <row r="18385" spans="1:1">
      <c r="A18385" s="56"/>
    </row>
    <row r="18386" spans="1:1">
      <c r="A18386" s="56"/>
    </row>
    <row r="18387" spans="1:1">
      <c r="A18387" s="56"/>
    </row>
    <row r="18388" spans="1:1">
      <c r="A18388" s="56"/>
    </row>
    <row r="18389" spans="1:1">
      <c r="A18389" s="56"/>
    </row>
    <row r="18390" spans="1:1">
      <c r="A18390" s="56"/>
    </row>
    <row r="18391" spans="1:1">
      <c r="A18391" s="56"/>
    </row>
    <row r="18392" spans="1:1">
      <c r="A18392" s="56"/>
    </row>
    <row r="18393" spans="1:1">
      <c r="A18393" s="56"/>
    </row>
    <row r="18394" spans="1:1">
      <c r="A18394" s="56"/>
    </row>
    <row r="18395" spans="1:1">
      <c r="A18395" s="56"/>
    </row>
    <row r="18396" spans="1:1">
      <c r="A18396" s="56"/>
    </row>
    <row r="18397" spans="1:1">
      <c r="A18397" s="56"/>
    </row>
    <row r="18398" spans="1:1">
      <c r="A18398" s="56"/>
    </row>
    <row r="18399" spans="1:1">
      <c r="A18399" s="56"/>
    </row>
    <row r="18400" spans="1:1">
      <c r="A18400" s="56"/>
    </row>
    <row r="18401" spans="1:1">
      <c r="A18401" s="56"/>
    </row>
    <row r="18402" spans="1:1">
      <c r="A18402" s="56"/>
    </row>
    <row r="18403" spans="1:1">
      <c r="A18403" s="56"/>
    </row>
    <row r="18404" spans="1:1">
      <c r="A18404" s="56"/>
    </row>
    <row r="18405" spans="1:1">
      <c r="A18405" s="56"/>
    </row>
    <row r="18406" spans="1:1">
      <c r="A18406" s="56"/>
    </row>
    <row r="18407" spans="1:1">
      <c r="A18407" s="56"/>
    </row>
    <row r="18408" spans="1:1">
      <c r="A18408" s="56"/>
    </row>
    <row r="18409" spans="1:1">
      <c r="A18409" s="56"/>
    </row>
    <row r="18410" spans="1:1">
      <c r="A18410" s="56"/>
    </row>
    <row r="18411" spans="1:1">
      <c r="A18411" s="56"/>
    </row>
    <row r="18412" spans="1:1">
      <c r="A18412" s="56"/>
    </row>
    <row r="18413" spans="1:1">
      <c r="A18413" s="56"/>
    </row>
    <row r="18414" spans="1:1">
      <c r="A18414" s="56"/>
    </row>
    <row r="18415" spans="1:1">
      <c r="A18415" s="56"/>
    </row>
    <row r="18416" spans="1:1">
      <c r="A18416" s="56"/>
    </row>
    <row r="18417" spans="1:1">
      <c r="A18417" s="56"/>
    </row>
    <row r="18418" spans="1:1">
      <c r="A18418" s="56"/>
    </row>
    <row r="18419" spans="1:1">
      <c r="A18419" s="56"/>
    </row>
    <row r="18420" spans="1:1">
      <c r="A18420" s="56"/>
    </row>
    <row r="18421" spans="1:1">
      <c r="A18421" s="56"/>
    </row>
    <row r="18422" spans="1:1">
      <c r="A18422" s="56"/>
    </row>
    <row r="18423" spans="1:1">
      <c r="A18423" s="56"/>
    </row>
    <row r="18424" spans="1:1">
      <c r="A18424" s="56"/>
    </row>
    <row r="18425" spans="1:1">
      <c r="A18425" s="56"/>
    </row>
    <row r="18426" spans="1:1">
      <c r="A18426" s="56"/>
    </row>
    <row r="18427" spans="1:1">
      <c r="A18427" s="56"/>
    </row>
    <row r="18428" spans="1:1">
      <c r="A18428" s="56"/>
    </row>
    <row r="18429" spans="1:1">
      <c r="A18429" s="56"/>
    </row>
    <row r="18430" spans="1:1">
      <c r="A18430" s="56"/>
    </row>
    <row r="18431" spans="1:1">
      <c r="A18431" s="56"/>
    </row>
    <row r="18432" spans="1:1">
      <c r="A18432" s="56"/>
    </row>
    <row r="18433" spans="1:1">
      <c r="A18433" s="56"/>
    </row>
    <row r="18434" spans="1:1">
      <c r="A18434" s="56"/>
    </row>
    <row r="18435" spans="1:1">
      <c r="A18435" s="56"/>
    </row>
    <row r="18436" spans="1:1">
      <c r="A18436" s="56"/>
    </row>
    <row r="18437" spans="1:1">
      <c r="A18437" s="56"/>
    </row>
    <row r="18438" spans="1:1">
      <c r="A18438" s="56"/>
    </row>
    <row r="18439" spans="1:1">
      <c r="A18439" s="56"/>
    </row>
    <row r="18440" spans="1:1">
      <c r="A18440" s="56"/>
    </row>
    <row r="18441" spans="1:1">
      <c r="A18441" s="56"/>
    </row>
    <row r="18442" spans="1:1">
      <c r="A18442" s="56"/>
    </row>
    <row r="18443" spans="1:1">
      <c r="A18443" s="56"/>
    </row>
    <row r="18444" spans="1:1">
      <c r="A18444" s="56"/>
    </row>
    <row r="18445" spans="1:1">
      <c r="A18445" s="56"/>
    </row>
    <row r="18446" spans="1:1">
      <c r="A18446" s="56"/>
    </row>
    <row r="18447" spans="1:1">
      <c r="A18447" s="56"/>
    </row>
    <row r="18448" spans="1:1">
      <c r="A18448" s="56"/>
    </row>
    <row r="18449" spans="1:1">
      <c r="A18449" s="56"/>
    </row>
    <row r="18450" spans="1:1">
      <c r="A18450" s="56"/>
    </row>
    <row r="18451" spans="1:1">
      <c r="A18451" s="56"/>
    </row>
    <row r="18452" spans="1:1">
      <c r="A18452" s="56"/>
    </row>
    <row r="18453" spans="1:1">
      <c r="A18453" s="56"/>
    </row>
    <row r="18454" spans="1:1">
      <c r="A18454" s="56"/>
    </row>
    <row r="18455" spans="1:1">
      <c r="A18455" s="56"/>
    </row>
    <row r="18456" spans="1:1">
      <c r="A18456" s="56"/>
    </row>
    <row r="18457" spans="1:1">
      <c r="A18457" s="56"/>
    </row>
    <row r="18458" spans="1:1">
      <c r="A18458" s="56"/>
    </row>
    <row r="18459" spans="1:1">
      <c r="A18459" s="56"/>
    </row>
    <row r="18460" spans="1:1">
      <c r="A18460" s="56"/>
    </row>
    <row r="18461" spans="1:1">
      <c r="A18461" s="56"/>
    </row>
    <row r="18462" spans="1:1">
      <c r="A18462" s="56"/>
    </row>
    <row r="18463" spans="1:1">
      <c r="A18463" s="56"/>
    </row>
    <row r="18464" spans="1:1">
      <c r="A18464" s="56"/>
    </row>
    <row r="18465" spans="1:1">
      <c r="A18465" s="56"/>
    </row>
    <row r="18466" spans="1:1">
      <c r="A18466" s="56"/>
    </row>
    <row r="18467" spans="1:1">
      <c r="A18467" s="56"/>
    </row>
    <row r="18468" spans="1:1">
      <c r="A18468" s="56"/>
    </row>
    <row r="18469" spans="1:1">
      <c r="A18469" s="56"/>
    </row>
    <row r="18470" spans="1:1">
      <c r="A18470" s="56"/>
    </row>
    <row r="18471" spans="1:1">
      <c r="A18471" s="56"/>
    </row>
    <row r="18472" spans="1:1">
      <c r="A18472" s="56"/>
    </row>
    <row r="18473" spans="1:1">
      <c r="A18473" s="56"/>
    </row>
    <row r="18474" spans="1:1">
      <c r="A18474" s="56"/>
    </row>
    <row r="18475" spans="1:1">
      <c r="A18475" s="56"/>
    </row>
    <row r="18476" spans="1:1">
      <c r="A18476" s="56"/>
    </row>
    <row r="18477" spans="1:1">
      <c r="A18477" s="56"/>
    </row>
    <row r="18478" spans="1:1">
      <c r="A18478" s="56"/>
    </row>
    <row r="18479" spans="1:1">
      <c r="A18479" s="56"/>
    </row>
    <row r="18480" spans="1:1">
      <c r="A18480" s="56"/>
    </row>
    <row r="18481" spans="1:1">
      <c r="A18481" s="56"/>
    </row>
    <row r="18482" spans="1:1">
      <c r="A18482" s="56"/>
    </row>
    <row r="18483" spans="1:1">
      <c r="A18483" s="56"/>
    </row>
    <row r="18484" spans="1:1">
      <c r="A18484" s="56"/>
    </row>
    <row r="18485" spans="1:1">
      <c r="A18485" s="56"/>
    </row>
    <row r="18486" spans="1:1">
      <c r="A18486" s="56"/>
    </row>
    <row r="18487" spans="1:1">
      <c r="A18487" s="56"/>
    </row>
    <row r="18488" spans="1:1">
      <c r="A18488" s="56"/>
    </row>
    <row r="18489" spans="1:1">
      <c r="A18489" s="56"/>
    </row>
    <row r="18490" spans="1:1">
      <c r="A18490" s="56"/>
    </row>
    <row r="18491" spans="1:1">
      <c r="A18491" s="56"/>
    </row>
    <row r="18492" spans="1:1">
      <c r="A18492" s="56"/>
    </row>
    <row r="18493" spans="1:1">
      <c r="A18493" s="56"/>
    </row>
    <row r="18494" spans="1:1">
      <c r="A18494" s="56"/>
    </row>
    <row r="18495" spans="1:1">
      <c r="A18495" s="56"/>
    </row>
    <row r="18496" spans="1:1">
      <c r="A18496" s="56"/>
    </row>
    <row r="18497" spans="1:1">
      <c r="A18497" s="56"/>
    </row>
    <row r="18498" spans="1:1">
      <c r="A18498" s="56"/>
    </row>
    <row r="18499" spans="1:1">
      <c r="A18499" s="56"/>
    </row>
    <row r="18500" spans="1:1">
      <c r="A18500" s="56"/>
    </row>
    <row r="18501" spans="1:1">
      <c r="A18501" s="56"/>
    </row>
    <row r="18502" spans="1:1">
      <c r="A18502" s="56"/>
    </row>
    <row r="18503" spans="1:1">
      <c r="A18503" s="56"/>
    </row>
    <row r="18504" spans="1:1">
      <c r="A18504" s="56"/>
    </row>
    <row r="18505" spans="1:1">
      <c r="A18505" s="56"/>
    </row>
    <row r="18506" spans="1:1">
      <c r="A18506" s="56"/>
    </row>
    <row r="18507" spans="1:1">
      <c r="A18507" s="56"/>
    </row>
    <row r="18508" spans="1:1">
      <c r="A18508" s="56"/>
    </row>
    <row r="18509" spans="1:1">
      <c r="A18509" s="56"/>
    </row>
    <row r="18510" spans="1:1">
      <c r="A18510" s="56"/>
    </row>
    <row r="18511" spans="1:1">
      <c r="A18511" s="56"/>
    </row>
    <row r="18512" spans="1:1">
      <c r="A18512" s="56"/>
    </row>
    <row r="18513" spans="1:1">
      <c r="A18513" s="56"/>
    </row>
    <row r="18514" spans="1:1">
      <c r="A18514" s="56"/>
    </row>
    <row r="18515" spans="1:1">
      <c r="A18515" s="56"/>
    </row>
    <row r="18516" spans="1:1">
      <c r="A18516" s="56"/>
    </row>
    <row r="18517" spans="1:1">
      <c r="A18517" s="56"/>
    </row>
    <row r="18518" spans="1:1">
      <c r="A18518" s="56"/>
    </row>
    <row r="18519" spans="1:1">
      <c r="A18519" s="56"/>
    </row>
    <row r="18520" spans="1:1">
      <c r="A18520" s="56"/>
    </row>
    <row r="18521" spans="1:1">
      <c r="A18521" s="56"/>
    </row>
    <row r="18522" spans="1:1">
      <c r="A18522" s="56"/>
    </row>
    <row r="18523" spans="1:1">
      <c r="A18523" s="56"/>
    </row>
    <row r="18524" spans="1:1">
      <c r="A18524" s="56"/>
    </row>
    <row r="18525" spans="1:1">
      <c r="A18525" s="56"/>
    </row>
    <row r="18526" spans="1:1">
      <c r="A18526" s="56"/>
    </row>
    <row r="18527" spans="1:1">
      <c r="A18527" s="56"/>
    </row>
    <row r="18528" spans="1:1">
      <c r="A18528" s="56"/>
    </row>
    <row r="18529" spans="1:1">
      <c r="A18529" s="56"/>
    </row>
    <row r="18530" spans="1:1">
      <c r="A18530" s="56"/>
    </row>
    <row r="18531" spans="1:1">
      <c r="A18531" s="56"/>
    </row>
    <row r="18532" spans="1:1">
      <c r="A18532" s="56"/>
    </row>
    <row r="18533" spans="1:1">
      <c r="A18533" s="56"/>
    </row>
    <row r="18534" spans="1:1">
      <c r="A18534" s="56"/>
    </row>
    <row r="18535" spans="1:1">
      <c r="A18535" s="56"/>
    </row>
    <row r="18536" spans="1:1">
      <c r="A18536" s="56"/>
    </row>
    <row r="18537" spans="1:1">
      <c r="A18537" s="56"/>
    </row>
    <row r="18538" spans="1:1">
      <c r="A18538" s="56"/>
    </row>
    <row r="18539" spans="1:1">
      <c r="A18539" s="56"/>
    </row>
    <row r="18540" spans="1:1">
      <c r="A18540" s="56"/>
    </row>
    <row r="18541" spans="1:1">
      <c r="A18541" s="56"/>
    </row>
    <row r="18542" spans="1:1">
      <c r="A18542" s="56"/>
    </row>
    <row r="18543" spans="1:1">
      <c r="A18543" s="56"/>
    </row>
    <row r="18544" spans="1:1">
      <c r="A18544" s="56"/>
    </row>
    <row r="18545" spans="1:1">
      <c r="A18545" s="56"/>
    </row>
    <row r="18546" spans="1:1">
      <c r="A18546" s="56"/>
    </row>
    <row r="18547" spans="1:1">
      <c r="A18547" s="56"/>
    </row>
    <row r="18548" spans="1:1">
      <c r="A18548" s="56"/>
    </row>
    <row r="18549" spans="1:1">
      <c r="A18549" s="56"/>
    </row>
    <row r="18550" spans="1:1">
      <c r="A18550" s="56"/>
    </row>
    <row r="18551" spans="1:1">
      <c r="A18551" s="56"/>
    </row>
    <row r="18552" spans="1:1">
      <c r="A18552" s="56"/>
    </row>
    <row r="18553" spans="1:1">
      <c r="A18553" s="56"/>
    </row>
    <row r="18554" spans="1:1">
      <c r="A18554" s="56"/>
    </row>
    <row r="18555" spans="1:1">
      <c r="A18555" s="56"/>
    </row>
    <row r="18556" spans="1:1">
      <c r="A18556" s="56"/>
    </row>
    <row r="18557" spans="1:1">
      <c r="A18557" s="56"/>
    </row>
    <row r="18558" spans="1:1">
      <c r="A18558" s="56"/>
    </row>
    <row r="18559" spans="1:1">
      <c r="A18559" s="56"/>
    </row>
    <row r="18560" spans="1:1">
      <c r="A18560" s="56"/>
    </row>
    <row r="18561" spans="1:1">
      <c r="A18561" s="56"/>
    </row>
    <row r="18562" spans="1:1">
      <c r="A18562" s="56"/>
    </row>
    <row r="18563" spans="1:1">
      <c r="A18563" s="56"/>
    </row>
    <row r="18564" spans="1:1">
      <c r="A18564" s="56"/>
    </row>
    <row r="18565" spans="1:1">
      <c r="A18565" s="56"/>
    </row>
    <row r="18566" spans="1:1">
      <c r="A18566" s="56"/>
    </row>
    <row r="18567" spans="1:1">
      <c r="A18567" s="56"/>
    </row>
    <row r="18568" spans="1:1">
      <c r="A18568" s="56"/>
    </row>
    <row r="18569" spans="1:1">
      <c r="A18569" s="56"/>
    </row>
    <row r="18570" spans="1:1">
      <c r="A18570" s="56"/>
    </row>
    <row r="18571" spans="1:1">
      <c r="A18571" s="56"/>
    </row>
    <row r="18572" spans="1:1">
      <c r="A18572" s="56"/>
    </row>
    <row r="18573" spans="1:1">
      <c r="A18573" s="56"/>
    </row>
    <row r="18574" spans="1:1">
      <c r="A18574" s="56"/>
    </row>
    <row r="18575" spans="1:1">
      <c r="A18575" s="56"/>
    </row>
    <row r="18576" spans="1:1">
      <c r="A18576" s="56"/>
    </row>
    <row r="18577" spans="1:1">
      <c r="A18577" s="56"/>
    </row>
    <row r="18578" spans="1:1">
      <c r="A18578" s="56"/>
    </row>
    <row r="18579" spans="1:1">
      <c r="A18579" s="56"/>
    </row>
    <row r="18580" spans="1:1">
      <c r="A18580" s="56"/>
    </row>
    <row r="18581" spans="1:1">
      <c r="A18581" s="56"/>
    </row>
    <row r="18582" spans="1:1">
      <c r="A18582" s="56"/>
    </row>
    <row r="18583" spans="1:1">
      <c r="A18583" s="56"/>
    </row>
    <row r="18584" spans="1:1">
      <c r="A18584" s="56"/>
    </row>
    <row r="18585" spans="1:1">
      <c r="A18585" s="56"/>
    </row>
    <row r="18586" spans="1:1">
      <c r="A18586" s="56"/>
    </row>
    <row r="18587" spans="1:1">
      <c r="A18587" s="56"/>
    </row>
    <row r="18588" spans="1:1">
      <c r="A18588" s="56"/>
    </row>
    <row r="18589" spans="1:1">
      <c r="A18589" s="56"/>
    </row>
    <row r="18590" spans="1:1">
      <c r="A18590" s="56"/>
    </row>
    <row r="18591" spans="1:1">
      <c r="A18591" s="56"/>
    </row>
    <row r="18592" spans="1:1">
      <c r="A18592" s="56"/>
    </row>
    <row r="18593" spans="1:1">
      <c r="A18593" s="56"/>
    </row>
    <row r="18594" spans="1:1">
      <c r="A18594" s="56"/>
    </row>
    <row r="18595" spans="1:1">
      <c r="A18595" s="56"/>
    </row>
    <row r="18596" spans="1:1">
      <c r="A18596" s="56"/>
    </row>
    <row r="18597" spans="1:1">
      <c r="A18597" s="56"/>
    </row>
    <row r="18598" spans="1:1">
      <c r="A18598" s="56"/>
    </row>
    <row r="18599" spans="1:1">
      <c r="A18599" s="56"/>
    </row>
    <row r="18600" spans="1:1">
      <c r="A18600" s="56"/>
    </row>
    <row r="18601" spans="1:1">
      <c r="A18601" s="56"/>
    </row>
    <row r="18602" spans="1:1">
      <c r="A18602" s="56"/>
    </row>
    <row r="18603" spans="1:1">
      <c r="A18603" s="56"/>
    </row>
    <row r="18604" spans="1:1">
      <c r="A18604" s="56"/>
    </row>
    <row r="18605" spans="1:1">
      <c r="A18605" s="56"/>
    </row>
    <row r="18606" spans="1:1">
      <c r="A18606" s="56"/>
    </row>
    <row r="18607" spans="1:1">
      <c r="A18607" s="56"/>
    </row>
    <row r="18608" spans="1:1">
      <c r="A18608" s="56"/>
    </row>
    <row r="18609" spans="1:1">
      <c r="A18609" s="56"/>
    </row>
    <row r="18610" spans="1:1">
      <c r="A18610" s="56"/>
    </row>
    <row r="18611" spans="1:1">
      <c r="A18611" s="56"/>
    </row>
    <row r="18612" spans="1:1">
      <c r="A18612" s="56"/>
    </row>
    <row r="18613" spans="1:1">
      <c r="A18613" s="56"/>
    </row>
    <row r="18614" spans="1:1">
      <c r="A18614" s="56"/>
    </row>
    <row r="18615" spans="1:1">
      <c r="A18615" s="56"/>
    </row>
    <row r="18616" spans="1:1">
      <c r="A18616" s="56"/>
    </row>
    <row r="18617" spans="1:1">
      <c r="A18617" s="56"/>
    </row>
    <row r="18618" spans="1:1">
      <c r="A18618" s="56"/>
    </row>
    <row r="18619" spans="1:1">
      <c r="A18619" s="56"/>
    </row>
    <row r="18620" spans="1:1">
      <c r="A18620" s="56"/>
    </row>
    <row r="18621" spans="1:1">
      <c r="A18621" s="56"/>
    </row>
    <row r="18622" spans="1:1">
      <c r="A18622" s="56"/>
    </row>
    <row r="18623" spans="1:1">
      <c r="A18623" s="56"/>
    </row>
    <row r="18624" spans="1:1">
      <c r="A18624" s="56"/>
    </row>
    <row r="18625" spans="1:1">
      <c r="A18625" s="56"/>
    </row>
    <row r="18626" spans="1:1">
      <c r="A18626" s="56"/>
    </row>
    <row r="18627" spans="1:1">
      <c r="A18627" s="56"/>
    </row>
    <row r="18628" spans="1:1">
      <c r="A18628" s="56"/>
    </row>
    <row r="18629" spans="1:1">
      <c r="A18629" s="56"/>
    </row>
    <row r="18630" spans="1:1">
      <c r="A18630" s="56"/>
    </row>
    <row r="18631" spans="1:1">
      <c r="A18631" s="56"/>
    </row>
    <row r="18632" spans="1:1">
      <c r="A18632" s="56"/>
    </row>
    <row r="18633" spans="1:1">
      <c r="A18633" s="56"/>
    </row>
    <row r="18634" spans="1:1">
      <c r="A18634" s="56"/>
    </row>
    <row r="18635" spans="1:1">
      <c r="A18635" s="56"/>
    </row>
    <row r="18636" spans="1:1">
      <c r="A18636" s="56"/>
    </row>
    <row r="18637" spans="1:1">
      <c r="A18637" s="56"/>
    </row>
    <row r="18638" spans="1:1">
      <c r="A18638" s="56"/>
    </row>
    <row r="18639" spans="1:1">
      <c r="A18639" s="56"/>
    </row>
    <row r="18640" spans="1:1">
      <c r="A18640" s="56"/>
    </row>
    <row r="18641" spans="1:1">
      <c r="A18641" s="56"/>
    </row>
    <row r="18642" spans="1:1">
      <c r="A18642" s="56"/>
    </row>
    <row r="18643" spans="1:1">
      <c r="A18643" s="56"/>
    </row>
    <row r="18644" spans="1:1">
      <c r="A18644" s="56"/>
    </row>
    <row r="18645" spans="1:1">
      <c r="A18645" s="56"/>
    </row>
    <row r="18646" spans="1:1">
      <c r="A18646" s="56"/>
    </row>
    <row r="18647" spans="1:1">
      <c r="A18647" s="56"/>
    </row>
    <row r="18648" spans="1:1">
      <c r="A18648" s="56"/>
    </row>
    <row r="18649" spans="1:1">
      <c r="A18649" s="56"/>
    </row>
    <row r="18650" spans="1:1">
      <c r="A18650" s="56"/>
    </row>
    <row r="18651" spans="1:1">
      <c r="A18651" s="56"/>
    </row>
    <row r="18652" spans="1:1">
      <c r="A18652" s="56"/>
    </row>
    <row r="18653" spans="1:1">
      <c r="A18653" s="56"/>
    </row>
    <row r="18654" spans="1:1">
      <c r="A18654" s="56"/>
    </row>
    <row r="18655" spans="1:1">
      <c r="A18655" s="56"/>
    </row>
    <row r="18656" spans="1:1">
      <c r="A18656" s="56"/>
    </row>
    <row r="18657" spans="1:1">
      <c r="A18657" s="56"/>
    </row>
    <row r="18658" spans="1:1">
      <c r="A18658" s="56"/>
    </row>
    <row r="18659" spans="1:1">
      <c r="A18659" s="56"/>
    </row>
    <row r="18660" spans="1:1">
      <c r="A18660" s="56"/>
    </row>
    <row r="18661" spans="1:1">
      <c r="A18661" s="56"/>
    </row>
    <row r="18662" spans="1:1">
      <c r="A18662" s="56"/>
    </row>
    <row r="18663" spans="1:1">
      <c r="A18663" s="56"/>
    </row>
    <row r="18664" spans="1:1">
      <c r="A18664" s="56"/>
    </row>
    <row r="18665" spans="1:1">
      <c r="A18665" s="56"/>
    </row>
    <row r="18666" spans="1:1">
      <c r="A18666" s="56"/>
    </row>
    <row r="18667" spans="1:1">
      <c r="A18667" s="56"/>
    </row>
    <row r="18668" spans="1:1">
      <c r="A18668" s="56"/>
    </row>
    <row r="18669" spans="1:1">
      <c r="A18669" s="56"/>
    </row>
    <row r="18670" spans="1:1">
      <c r="A18670" s="56"/>
    </row>
    <row r="18671" spans="1:1">
      <c r="A18671" s="56"/>
    </row>
    <row r="18672" spans="1:1">
      <c r="A18672" s="56"/>
    </row>
    <row r="18673" spans="1:1">
      <c r="A18673" s="56"/>
    </row>
    <row r="18674" spans="1:1">
      <c r="A18674" s="56"/>
    </row>
    <row r="18675" spans="1:1">
      <c r="A18675" s="56"/>
    </row>
    <row r="18676" spans="1:1">
      <c r="A18676" s="56"/>
    </row>
    <row r="18677" spans="1:1">
      <c r="A18677" s="56"/>
    </row>
    <row r="18678" spans="1:1">
      <c r="A18678" s="56"/>
    </row>
    <row r="18679" spans="1:1">
      <c r="A18679" s="56"/>
    </row>
    <row r="18680" spans="1:1">
      <c r="A18680" s="56"/>
    </row>
    <row r="18681" spans="1:1">
      <c r="A18681" s="56"/>
    </row>
    <row r="18682" spans="1:1">
      <c r="A18682" s="56"/>
    </row>
    <row r="18683" spans="1:1">
      <c r="A18683" s="56"/>
    </row>
    <row r="18684" spans="1:1">
      <c r="A18684" s="56"/>
    </row>
    <row r="18685" spans="1:1">
      <c r="A18685" s="56"/>
    </row>
    <row r="18686" spans="1:1">
      <c r="A18686" s="56"/>
    </row>
    <row r="18687" spans="1:1">
      <c r="A18687" s="56"/>
    </row>
    <row r="18688" spans="1:1">
      <c r="A18688" s="56"/>
    </row>
    <row r="18689" spans="1:1">
      <c r="A18689" s="56"/>
    </row>
    <row r="18690" spans="1:1">
      <c r="A18690" s="56"/>
    </row>
    <row r="18691" spans="1:1">
      <c r="A18691" s="56"/>
    </row>
    <row r="18692" spans="1:1">
      <c r="A18692" s="56"/>
    </row>
    <row r="18693" spans="1:1">
      <c r="A18693" s="56"/>
    </row>
    <row r="18694" spans="1:1">
      <c r="A18694" s="56"/>
    </row>
    <row r="18695" spans="1:1">
      <c r="A18695" s="56"/>
    </row>
    <row r="18696" spans="1:1">
      <c r="A18696" s="56"/>
    </row>
    <row r="18697" spans="1:1">
      <c r="A18697" s="56"/>
    </row>
    <row r="18698" spans="1:1">
      <c r="A18698" s="56"/>
    </row>
    <row r="18699" spans="1:1">
      <c r="A18699" s="56"/>
    </row>
    <row r="18700" spans="1:1">
      <c r="A18700" s="56"/>
    </row>
    <row r="18701" spans="1:1">
      <c r="A18701" s="56"/>
    </row>
    <row r="18702" spans="1:1">
      <c r="A18702" s="56"/>
    </row>
    <row r="18703" spans="1:1">
      <c r="A18703" s="56"/>
    </row>
    <row r="18704" spans="1:1">
      <c r="A18704" s="56"/>
    </row>
    <row r="18705" spans="1:1">
      <c r="A18705" s="56"/>
    </row>
    <row r="18706" spans="1:1">
      <c r="A18706" s="56"/>
    </row>
    <row r="18707" spans="1:1">
      <c r="A18707" s="56"/>
    </row>
    <row r="18708" spans="1:1">
      <c r="A18708" s="56"/>
    </row>
    <row r="18709" spans="1:1">
      <c r="A18709" s="56"/>
    </row>
    <row r="18710" spans="1:1">
      <c r="A18710" s="56"/>
    </row>
    <row r="18711" spans="1:1">
      <c r="A18711" s="56"/>
    </row>
    <row r="18712" spans="1:1">
      <c r="A18712" s="56"/>
    </row>
    <row r="18713" spans="1:1">
      <c r="A18713" s="56"/>
    </row>
    <row r="18714" spans="1:1">
      <c r="A18714" s="56"/>
    </row>
    <row r="18715" spans="1:1">
      <c r="A18715" s="56"/>
    </row>
    <row r="18716" spans="1:1">
      <c r="A18716" s="56"/>
    </row>
    <row r="18717" spans="1:1">
      <c r="A18717" s="56"/>
    </row>
    <row r="18718" spans="1:1">
      <c r="A18718" s="56"/>
    </row>
    <row r="18719" spans="1:1">
      <c r="A18719" s="56"/>
    </row>
    <row r="18720" spans="1:1">
      <c r="A18720" s="56"/>
    </row>
    <row r="18721" spans="1:1">
      <c r="A18721" s="56"/>
    </row>
    <row r="18722" spans="1:1">
      <c r="A18722" s="56"/>
    </row>
    <row r="18723" spans="1:1">
      <c r="A18723" s="56"/>
    </row>
    <row r="18724" spans="1:1">
      <c r="A18724" s="56"/>
    </row>
    <row r="18725" spans="1:1">
      <c r="A18725" s="56"/>
    </row>
    <row r="18726" spans="1:1">
      <c r="A18726" s="56"/>
    </row>
    <row r="18727" spans="1:1">
      <c r="A18727" s="56"/>
    </row>
    <row r="18728" spans="1:1">
      <c r="A18728" s="56"/>
    </row>
    <row r="18729" spans="1:1">
      <c r="A18729" s="56"/>
    </row>
    <row r="18730" spans="1:1">
      <c r="A18730" s="56"/>
    </row>
    <row r="18731" spans="1:1">
      <c r="A18731" s="56"/>
    </row>
    <row r="18732" spans="1:1">
      <c r="A18732" s="56"/>
    </row>
    <row r="18733" spans="1:1">
      <c r="A18733" s="56"/>
    </row>
    <row r="18734" spans="1:1">
      <c r="A18734" s="56"/>
    </row>
    <row r="18735" spans="1:1">
      <c r="A18735" s="56"/>
    </row>
    <row r="18736" spans="1:1">
      <c r="A18736" s="56"/>
    </row>
    <row r="18737" spans="1:1">
      <c r="A18737" s="56"/>
    </row>
    <row r="18738" spans="1:1">
      <c r="A18738" s="56"/>
    </row>
    <row r="18739" spans="1:1">
      <c r="A18739" s="56"/>
    </row>
    <row r="18740" spans="1:1">
      <c r="A18740" s="56"/>
    </row>
    <row r="18741" spans="1:1">
      <c r="A18741" s="56"/>
    </row>
    <row r="18742" spans="1:1">
      <c r="A18742" s="56"/>
    </row>
    <row r="18743" spans="1:1">
      <c r="A18743" s="56"/>
    </row>
    <row r="18744" spans="1:1">
      <c r="A18744" s="56"/>
    </row>
    <row r="18745" spans="1:1">
      <c r="A18745" s="56"/>
    </row>
    <row r="18746" spans="1:1">
      <c r="A18746" s="56"/>
    </row>
    <row r="18747" spans="1:1">
      <c r="A18747" s="56"/>
    </row>
    <row r="18748" spans="1:1">
      <c r="A18748" s="56"/>
    </row>
    <row r="18749" spans="1:1">
      <c r="A18749" s="56"/>
    </row>
    <row r="18750" spans="1:1">
      <c r="A18750" s="56"/>
    </row>
    <row r="18751" spans="1:1">
      <c r="A18751" s="56"/>
    </row>
    <row r="18752" spans="1:1">
      <c r="A18752" s="56"/>
    </row>
    <row r="18753" spans="1:1">
      <c r="A18753" s="56"/>
    </row>
    <row r="18754" spans="1:1">
      <c r="A18754" s="56"/>
    </row>
    <row r="18755" spans="1:1">
      <c r="A18755" s="56"/>
    </row>
    <row r="18756" spans="1:1">
      <c r="A18756" s="56"/>
    </row>
    <row r="18757" spans="1:1">
      <c r="A18757" s="56"/>
    </row>
    <row r="18758" spans="1:1">
      <c r="A18758" s="56"/>
    </row>
    <row r="18759" spans="1:1">
      <c r="A18759" s="56"/>
    </row>
    <row r="18760" spans="1:1">
      <c r="A18760" s="56"/>
    </row>
    <row r="18761" spans="1:1">
      <c r="A18761" s="56"/>
    </row>
    <row r="18762" spans="1:1">
      <c r="A18762" s="56"/>
    </row>
    <row r="18763" spans="1:1">
      <c r="A18763" s="56"/>
    </row>
    <row r="18764" spans="1:1">
      <c r="A18764" s="56"/>
    </row>
    <row r="18765" spans="1:1">
      <c r="A18765" s="56"/>
    </row>
    <row r="18766" spans="1:1">
      <c r="A18766" s="56"/>
    </row>
    <row r="18767" spans="1:1">
      <c r="A18767" s="56"/>
    </row>
    <row r="18768" spans="1:1">
      <c r="A18768" s="56"/>
    </row>
    <row r="18769" spans="1:1">
      <c r="A18769" s="56"/>
    </row>
    <row r="18770" spans="1:1">
      <c r="A18770" s="56"/>
    </row>
    <row r="18771" spans="1:1">
      <c r="A18771" s="56"/>
    </row>
    <row r="18772" spans="1:1">
      <c r="A18772" s="56"/>
    </row>
    <row r="18773" spans="1:1">
      <c r="A18773" s="56"/>
    </row>
    <row r="18774" spans="1:1">
      <c r="A18774" s="56"/>
    </row>
    <row r="18775" spans="1:1">
      <c r="A18775" s="56"/>
    </row>
    <row r="18776" spans="1:1">
      <c r="A18776" s="56"/>
    </row>
    <row r="18777" spans="1:1">
      <c r="A18777" s="56"/>
    </row>
    <row r="18778" spans="1:1">
      <c r="A18778" s="56"/>
    </row>
    <row r="18779" spans="1:1">
      <c r="A18779" s="56"/>
    </row>
    <row r="18780" spans="1:1">
      <c r="A18780" s="56"/>
    </row>
    <row r="18781" spans="1:1">
      <c r="A18781" s="56"/>
    </row>
    <row r="18782" spans="1:1">
      <c r="A18782" s="56"/>
    </row>
    <row r="18783" spans="1:1">
      <c r="A18783" s="56"/>
    </row>
    <row r="18784" spans="1:1">
      <c r="A18784" s="56"/>
    </row>
    <row r="18785" spans="1:1">
      <c r="A18785" s="56"/>
    </row>
    <row r="18786" spans="1:1">
      <c r="A18786" s="56"/>
    </row>
    <row r="18787" spans="1:1">
      <c r="A18787" s="56"/>
    </row>
    <row r="18788" spans="1:1">
      <c r="A18788" s="56"/>
    </row>
    <row r="18789" spans="1:1">
      <c r="A18789" s="56"/>
    </row>
    <row r="18790" spans="1:1">
      <c r="A18790" s="56"/>
    </row>
    <row r="18791" spans="1:1">
      <c r="A18791" s="56"/>
    </row>
    <row r="18792" spans="1:1">
      <c r="A18792" s="56"/>
    </row>
    <row r="18793" spans="1:1">
      <c r="A18793" s="56"/>
    </row>
    <row r="18794" spans="1:1">
      <c r="A18794" s="56"/>
    </row>
    <row r="18795" spans="1:1">
      <c r="A18795" s="56"/>
    </row>
    <row r="18796" spans="1:1">
      <c r="A18796" s="56"/>
    </row>
    <row r="18797" spans="1:1">
      <c r="A18797" s="56"/>
    </row>
    <row r="18798" spans="1:1">
      <c r="A18798" s="56"/>
    </row>
    <row r="18799" spans="1:1">
      <c r="A18799" s="56"/>
    </row>
    <row r="18800" spans="1:1">
      <c r="A18800" s="56"/>
    </row>
    <row r="18801" spans="1:1">
      <c r="A18801" s="56"/>
    </row>
    <row r="18802" spans="1:1">
      <c r="A18802" s="56"/>
    </row>
    <row r="18803" spans="1:1">
      <c r="A18803" s="56"/>
    </row>
    <row r="18804" spans="1:1">
      <c r="A18804" s="56"/>
    </row>
    <row r="18805" spans="1:1">
      <c r="A18805" s="56"/>
    </row>
    <row r="18806" spans="1:1">
      <c r="A18806" s="56"/>
    </row>
    <row r="18807" spans="1:1">
      <c r="A18807" s="56"/>
    </row>
    <row r="18808" spans="1:1">
      <c r="A18808" s="56"/>
    </row>
    <row r="18809" spans="1:1">
      <c r="A18809" s="56"/>
    </row>
    <row r="18810" spans="1:1">
      <c r="A18810" s="56"/>
    </row>
    <row r="18811" spans="1:1">
      <c r="A18811" s="56"/>
    </row>
    <row r="18812" spans="1:1">
      <c r="A18812" s="56"/>
    </row>
    <row r="18813" spans="1:1">
      <c r="A18813" s="56"/>
    </row>
    <row r="18814" spans="1:1">
      <c r="A18814" s="56"/>
    </row>
    <row r="18815" spans="1:1">
      <c r="A18815" s="56"/>
    </row>
    <row r="18816" spans="1:1">
      <c r="A18816" s="56"/>
    </row>
    <row r="18817" spans="1:1">
      <c r="A18817" s="56"/>
    </row>
    <row r="18818" spans="1:1">
      <c r="A18818" s="56"/>
    </row>
    <row r="18819" spans="1:1">
      <c r="A18819" s="56"/>
    </row>
    <row r="18820" spans="1:1">
      <c r="A18820" s="56"/>
    </row>
    <row r="18821" spans="1:1">
      <c r="A18821" s="56"/>
    </row>
    <row r="18822" spans="1:1">
      <c r="A18822" s="56"/>
    </row>
    <row r="18823" spans="1:1">
      <c r="A18823" s="56"/>
    </row>
    <row r="18824" spans="1:1">
      <c r="A18824" s="56"/>
    </row>
    <row r="18825" spans="1:1">
      <c r="A18825" s="56"/>
    </row>
    <row r="18826" spans="1:1">
      <c r="A18826" s="56"/>
    </row>
    <row r="18827" spans="1:1">
      <c r="A18827" s="56"/>
    </row>
    <row r="18828" spans="1:1">
      <c r="A18828" s="56"/>
    </row>
    <row r="18829" spans="1:1">
      <c r="A18829" s="56"/>
    </row>
    <row r="18830" spans="1:1">
      <c r="A18830" s="56"/>
    </row>
    <row r="18831" spans="1:1">
      <c r="A18831" s="56"/>
    </row>
    <row r="18832" spans="1:1">
      <c r="A18832" s="56"/>
    </row>
    <row r="18833" spans="1:1">
      <c r="A18833" s="56"/>
    </row>
    <row r="18834" spans="1:1">
      <c r="A18834" s="56"/>
    </row>
    <row r="18835" spans="1:1">
      <c r="A18835" s="56"/>
    </row>
    <row r="18836" spans="1:1">
      <c r="A18836" s="56"/>
    </row>
    <row r="18837" spans="1:1">
      <c r="A18837" s="56"/>
    </row>
    <row r="18838" spans="1:1">
      <c r="A18838" s="56"/>
    </row>
    <row r="18839" spans="1:1">
      <c r="A18839" s="56"/>
    </row>
    <row r="18840" spans="1:1">
      <c r="A18840" s="56"/>
    </row>
    <row r="18841" spans="1:1">
      <c r="A18841" s="56"/>
    </row>
    <row r="18842" spans="1:1">
      <c r="A18842" s="56"/>
    </row>
    <row r="18843" spans="1:1">
      <c r="A18843" s="56"/>
    </row>
    <row r="18844" spans="1:1">
      <c r="A18844" s="56"/>
    </row>
    <row r="18845" spans="1:1">
      <c r="A18845" s="56"/>
    </row>
    <row r="18846" spans="1:1">
      <c r="A18846" s="56"/>
    </row>
    <row r="18847" spans="1:1">
      <c r="A18847" s="56"/>
    </row>
    <row r="18848" spans="1:1">
      <c r="A18848" s="56"/>
    </row>
    <row r="18849" spans="1:1">
      <c r="A18849" s="56"/>
    </row>
    <row r="18850" spans="1:1">
      <c r="A18850" s="56"/>
    </row>
    <row r="18851" spans="1:1">
      <c r="A18851" s="56"/>
    </row>
    <row r="18852" spans="1:1">
      <c r="A18852" s="56"/>
    </row>
    <row r="18853" spans="1:1">
      <c r="A18853" s="56"/>
    </row>
    <row r="18854" spans="1:1">
      <c r="A18854" s="56"/>
    </row>
    <row r="18855" spans="1:1">
      <c r="A18855" s="56"/>
    </row>
    <row r="18856" spans="1:1">
      <c r="A18856" s="56"/>
    </row>
    <row r="18857" spans="1:1">
      <c r="A18857" s="56"/>
    </row>
    <row r="18858" spans="1:1">
      <c r="A18858" s="56"/>
    </row>
    <row r="18859" spans="1:1">
      <c r="A18859" s="56"/>
    </row>
    <row r="18860" spans="1:1">
      <c r="A18860" s="56"/>
    </row>
    <row r="18861" spans="1:1">
      <c r="A18861" s="56"/>
    </row>
    <row r="18862" spans="1:1">
      <c r="A18862" s="56"/>
    </row>
    <row r="18863" spans="1:1">
      <c r="A18863" s="56"/>
    </row>
    <row r="18864" spans="1:1">
      <c r="A18864" s="56"/>
    </row>
    <row r="18865" spans="1:1">
      <c r="A18865" s="56"/>
    </row>
    <row r="18866" spans="1:1">
      <c r="A18866" s="56"/>
    </row>
    <row r="18867" spans="1:1">
      <c r="A18867" s="56"/>
    </row>
    <row r="18868" spans="1:1">
      <c r="A18868" s="56"/>
    </row>
    <row r="18869" spans="1:1">
      <c r="A18869" s="56"/>
    </row>
    <row r="18870" spans="1:1">
      <c r="A18870" s="56"/>
    </row>
    <row r="18871" spans="1:1">
      <c r="A18871" s="56"/>
    </row>
    <row r="18872" spans="1:1">
      <c r="A18872" s="56"/>
    </row>
    <row r="18873" spans="1:1">
      <c r="A18873" s="56"/>
    </row>
    <row r="18874" spans="1:1">
      <c r="A18874" s="56"/>
    </row>
    <row r="18875" spans="1:1">
      <c r="A18875" s="56"/>
    </row>
    <row r="18876" spans="1:1">
      <c r="A18876" s="56"/>
    </row>
    <row r="18877" spans="1:1">
      <c r="A18877" s="56"/>
    </row>
    <row r="18878" spans="1:1">
      <c r="A18878" s="56"/>
    </row>
    <row r="18879" spans="1:1">
      <c r="A18879" s="56"/>
    </row>
    <row r="18880" spans="1:1">
      <c r="A18880" s="56"/>
    </row>
    <row r="18881" spans="1:1">
      <c r="A18881" s="56"/>
    </row>
    <row r="18882" spans="1:1">
      <c r="A18882" s="56"/>
    </row>
    <row r="18883" spans="1:1">
      <c r="A18883" s="56"/>
    </row>
    <row r="18884" spans="1:1">
      <c r="A18884" s="56"/>
    </row>
    <row r="18885" spans="1:1">
      <c r="A18885" s="56"/>
    </row>
    <row r="18886" spans="1:1">
      <c r="A18886" s="56"/>
    </row>
    <row r="18887" spans="1:1">
      <c r="A18887" s="56"/>
    </row>
    <row r="18888" spans="1:1">
      <c r="A18888" s="56"/>
    </row>
    <row r="18889" spans="1:1">
      <c r="A18889" s="56"/>
    </row>
    <row r="18890" spans="1:1">
      <c r="A18890" s="56"/>
    </row>
    <row r="18891" spans="1:1">
      <c r="A18891" s="56"/>
    </row>
    <row r="18892" spans="1:1">
      <c r="A18892" s="56"/>
    </row>
    <row r="18893" spans="1:1">
      <c r="A18893" s="56"/>
    </row>
    <row r="18894" spans="1:1">
      <c r="A18894" s="56"/>
    </row>
    <row r="18895" spans="1:1">
      <c r="A18895" s="56"/>
    </row>
    <row r="18896" spans="1:1">
      <c r="A18896" s="56"/>
    </row>
    <row r="18897" spans="1:1">
      <c r="A18897" s="56"/>
    </row>
    <row r="18898" spans="1:1">
      <c r="A18898" s="56"/>
    </row>
    <row r="18899" spans="1:1">
      <c r="A18899" s="56"/>
    </row>
    <row r="18900" spans="1:1">
      <c r="A18900" s="56"/>
    </row>
    <row r="18901" spans="1:1">
      <c r="A18901" s="56"/>
    </row>
    <row r="18902" spans="1:1">
      <c r="A18902" s="56"/>
    </row>
    <row r="18903" spans="1:1">
      <c r="A18903" s="56"/>
    </row>
    <row r="18904" spans="1:1">
      <c r="A18904" s="56"/>
    </row>
    <row r="18905" spans="1:1">
      <c r="A18905" s="56"/>
    </row>
    <row r="18906" spans="1:1">
      <c r="A18906" s="56"/>
    </row>
    <row r="18907" spans="1:1">
      <c r="A18907" s="56"/>
    </row>
    <row r="18908" spans="1:1">
      <c r="A18908" s="56"/>
    </row>
    <row r="18909" spans="1:1">
      <c r="A18909" s="56"/>
    </row>
    <row r="18910" spans="1:1">
      <c r="A18910" s="56"/>
    </row>
    <row r="18911" spans="1:1">
      <c r="A18911" s="56"/>
    </row>
    <row r="18912" spans="1:1">
      <c r="A18912" s="56"/>
    </row>
    <row r="18913" spans="1:1">
      <c r="A18913" s="56"/>
    </row>
    <row r="18914" spans="1:1">
      <c r="A18914" s="56"/>
    </row>
    <row r="18915" spans="1:1">
      <c r="A18915" s="56"/>
    </row>
    <row r="18916" spans="1:1">
      <c r="A18916" s="56"/>
    </row>
    <row r="18917" spans="1:1">
      <c r="A18917" s="56"/>
    </row>
    <row r="18918" spans="1:1">
      <c r="A18918" s="56"/>
    </row>
    <row r="18919" spans="1:1">
      <c r="A18919" s="56"/>
    </row>
    <row r="18920" spans="1:1">
      <c r="A18920" s="56"/>
    </row>
    <row r="18921" spans="1:1">
      <c r="A18921" s="56"/>
    </row>
    <row r="18922" spans="1:1">
      <c r="A18922" s="56"/>
    </row>
    <row r="18923" spans="1:1">
      <c r="A18923" s="56"/>
    </row>
    <row r="18924" spans="1:1">
      <c r="A18924" s="56"/>
    </row>
    <row r="18925" spans="1:1">
      <c r="A18925" s="56"/>
    </row>
    <row r="18926" spans="1:1">
      <c r="A18926" s="56"/>
    </row>
    <row r="18927" spans="1:1">
      <c r="A18927" s="56"/>
    </row>
    <row r="18928" spans="1:1">
      <c r="A18928" s="56"/>
    </row>
    <row r="18929" spans="1:1">
      <c r="A18929" s="56"/>
    </row>
    <row r="18930" spans="1:1">
      <c r="A18930" s="56"/>
    </row>
    <row r="18931" spans="1:1">
      <c r="A18931" s="56"/>
    </row>
    <row r="18932" spans="1:1">
      <c r="A18932" s="56"/>
    </row>
    <row r="18933" spans="1:1">
      <c r="A18933" s="56"/>
    </row>
    <row r="18934" spans="1:1">
      <c r="A18934" s="56"/>
    </row>
    <row r="18935" spans="1:1">
      <c r="A18935" s="56"/>
    </row>
    <row r="18936" spans="1:1">
      <c r="A18936" s="56"/>
    </row>
    <row r="18937" spans="1:1">
      <c r="A18937" s="56"/>
    </row>
    <row r="18938" spans="1:1">
      <c r="A18938" s="56"/>
    </row>
    <row r="18939" spans="1:1">
      <c r="A18939" s="56"/>
    </row>
    <row r="18940" spans="1:1">
      <c r="A18940" s="56"/>
    </row>
    <row r="18941" spans="1:1">
      <c r="A18941" s="56"/>
    </row>
    <row r="18942" spans="1:1">
      <c r="A18942" s="56"/>
    </row>
    <row r="18943" spans="1:1">
      <c r="A18943" s="56"/>
    </row>
    <row r="18944" spans="1:1">
      <c r="A18944" s="56"/>
    </row>
    <row r="18945" spans="1:1">
      <c r="A18945" s="56"/>
    </row>
    <row r="18946" spans="1:1">
      <c r="A18946" s="56"/>
    </row>
    <row r="18947" spans="1:1">
      <c r="A18947" s="56"/>
    </row>
    <row r="18948" spans="1:1">
      <c r="A18948" s="56"/>
    </row>
    <row r="18949" spans="1:1">
      <c r="A18949" s="56"/>
    </row>
    <row r="18950" spans="1:1">
      <c r="A18950" s="56"/>
    </row>
    <row r="18951" spans="1:1">
      <c r="A18951" s="56"/>
    </row>
    <row r="18952" spans="1:1">
      <c r="A18952" s="56"/>
    </row>
    <row r="18953" spans="1:1">
      <c r="A18953" s="56"/>
    </row>
    <row r="18954" spans="1:1">
      <c r="A18954" s="56"/>
    </row>
    <row r="18955" spans="1:1">
      <c r="A18955" s="56"/>
    </row>
    <row r="18956" spans="1:1">
      <c r="A18956" s="56"/>
    </row>
    <row r="18957" spans="1:1">
      <c r="A18957" s="56"/>
    </row>
    <row r="18958" spans="1:1">
      <c r="A18958" s="56"/>
    </row>
    <row r="18959" spans="1:1">
      <c r="A18959" s="56"/>
    </row>
    <row r="18960" spans="1:1">
      <c r="A18960" s="56"/>
    </row>
    <row r="18961" spans="1:1">
      <c r="A18961" s="56"/>
    </row>
    <row r="18962" spans="1:1">
      <c r="A18962" s="56"/>
    </row>
    <row r="18963" spans="1:1">
      <c r="A18963" s="56"/>
    </row>
    <row r="18964" spans="1:1">
      <c r="A18964" s="56"/>
    </row>
    <row r="18965" spans="1:1">
      <c r="A18965" s="56"/>
    </row>
    <row r="18966" spans="1:1">
      <c r="A18966" s="56"/>
    </row>
    <row r="18967" spans="1:1">
      <c r="A18967" s="56"/>
    </row>
    <row r="18968" spans="1:1">
      <c r="A18968" s="56"/>
    </row>
    <row r="18969" spans="1:1">
      <c r="A18969" s="56"/>
    </row>
    <row r="18970" spans="1:1">
      <c r="A18970" s="56"/>
    </row>
    <row r="18971" spans="1:1">
      <c r="A18971" s="56"/>
    </row>
    <row r="18972" spans="1:1">
      <c r="A18972" s="56"/>
    </row>
    <row r="18973" spans="1:1">
      <c r="A18973" s="56"/>
    </row>
    <row r="18974" spans="1:1">
      <c r="A18974" s="56"/>
    </row>
    <row r="18975" spans="1:1">
      <c r="A18975" s="56"/>
    </row>
    <row r="18976" spans="1:1">
      <c r="A18976" s="56"/>
    </row>
    <row r="18977" spans="1:1">
      <c r="A18977" s="56"/>
    </row>
    <row r="18978" spans="1:1">
      <c r="A18978" s="56"/>
    </row>
    <row r="18979" spans="1:1">
      <c r="A18979" s="56"/>
    </row>
    <row r="18980" spans="1:1">
      <c r="A18980" s="56"/>
    </row>
    <row r="18981" spans="1:1">
      <c r="A18981" s="56"/>
    </row>
    <row r="18982" spans="1:1">
      <c r="A18982" s="56"/>
    </row>
    <row r="18983" spans="1:1">
      <c r="A18983" s="56"/>
    </row>
    <row r="18984" spans="1:1">
      <c r="A18984" s="56"/>
    </row>
    <row r="18985" spans="1:1">
      <c r="A18985" s="56"/>
    </row>
    <row r="18986" spans="1:1">
      <c r="A18986" s="56"/>
    </row>
    <row r="18987" spans="1:1">
      <c r="A18987" s="56"/>
    </row>
    <row r="18988" spans="1:1">
      <c r="A18988" s="56"/>
    </row>
    <row r="18989" spans="1:1">
      <c r="A18989" s="56"/>
    </row>
    <row r="18990" spans="1:1">
      <c r="A18990" s="56"/>
    </row>
    <row r="18991" spans="1:1">
      <c r="A18991" s="56"/>
    </row>
    <row r="18992" spans="1:1">
      <c r="A18992" s="56"/>
    </row>
    <row r="18993" spans="1:1">
      <c r="A18993" s="56"/>
    </row>
    <row r="18994" spans="1:1">
      <c r="A18994" s="56"/>
    </row>
    <row r="18995" spans="1:1">
      <c r="A18995" s="56"/>
    </row>
    <row r="18996" spans="1:1">
      <c r="A18996" s="56"/>
    </row>
    <row r="18997" spans="1:1">
      <c r="A18997" s="56"/>
    </row>
    <row r="18998" spans="1:1">
      <c r="A18998" s="56"/>
    </row>
    <row r="18999" spans="1:1">
      <c r="A18999" s="56"/>
    </row>
    <row r="19000" spans="1:1">
      <c r="A19000" s="56"/>
    </row>
    <row r="19001" spans="1:1">
      <c r="A19001" s="56"/>
    </row>
    <row r="19002" spans="1:1">
      <c r="A19002" s="56"/>
    </row>
    <row r="19003" spans="1:1">
      <c r="A19003" s="56"/>
    </row>
    <row r="19004" spans="1:1">
      <c r="A19004" s="56"/>
    </row>
    <row r="19005" spans="1:1">
      <c r="A19005" s="56"/>
    </row>
    <row r="19006" spans="1:1">
      <c r="A19006" s="56"/>
    </row>
    <row r="19007" spans="1:1">
      <c r="A19007" s="56"/>
    </row>
    <row r="19008" spans="1:1">
      <c r="A19008" s="56"/>
    </row>
    <row r="19009" spans="1:1">
      <c r="A19009" s="56"/>
    </row>
    <row r="19010" spans="1:1">
      <c r="A19010" s="56"/>
    </row>
    <row r="19011" spans="1:1">
      <c r="A19011" s="56"/>
    </row>
    <row r="19012" spans="1:1">
      <c r="A19012" s="56"/>
    </row>
    <row r="19013" spans="1:1">
      <c r="A19013" s="56"/>
    </row>
    <row r="19014" spans="1:1">
      <c r="A19014" s="56"/>
    </row>
    <row r="19015" spans="1:1">
      <c r="A19015" s="56"/>
    </row>
    <row r="19016" spans="1:1">
      <c r="A19016" s="56"/>
    </row>
    <row r="19017" spans="1:1">
      <c r="A19017" s="56"/>
    </row>
    <row r="19018" spans="1:1">
      <c r="A19018" s="56"/>
    </row>
    <row r="19019" spans="1:1">
      <c r="A19019" s="56"/>
    </row>
    <row r="19020" spans="1:1">
      <c r="A19020" s="56"/>
    </row>
    <row r="19021" spans="1:1">
      <c r="A19021" s="56"/>
    </row>
    <row r="19022" spans="1:1">
      <c r="A19022" s="56"/>
    </row>
    <row r="19023" spans="1:1">
      <c r="A19023" s="56"/>
    </row>
    <row r="19024" spans="1:1">
      <c r="A19024" s="56"/>
    </row>
    <row r="19025" spans="1:1">
      <c r="A19025" s="56"/>
    </row>
    <row r="19026" spans="1:1">
      <c r="A19026" s="56"/>
    </row>
    <row r="19027" spans="1:1">
      <c r="A19027" s="56"/>
    </row>
    <row r="19028" spans="1:1">
      <c r="A19028" s="56"/>
    </row>
    <row r="19029" spans="1:1">
      <c r="A19029" s="56"/>
    </row>
    <row r="19030" spans="1:1">
      <c r="A19030" s="56"/>
    </row>
    <row r="19031" spans="1:1">
      <c r="A19031" s="56"/>
    </row>
    <row r="19032" spans="1:1">
      <c r="A19032" s="56"/>
    </row>
    <row r="19033" spans="1:1">
      <c r="A19033" s="56"/>
    </row>
    <row r="19034" spans="1:1">
      <c r="A19034" s="56"/>
    </row>
    <row r="19035" spans="1:1">
      <c r="A19035" s="56"/>
    </row>
    <row r="19036" spans="1:1">
      <c r="A19036" s="56"/>
    </row>
    <row r="19037" spans="1:1">
      <c r="A19037" s="56"/>
    </row>
    <row r="19038" spans="1:1">
      <c r="A19038" s="56"/>
    </row>
    <row r="19039" spans="1:1">
      <c r="A19039" s="56"/>
    </row>
    <row r="19040" spans="1:1">
      <c r="A19040" s="56"/>
    </row>
    <row r="19041" spans="1:1">
      <c r="A19041" s="56"/>
    </row>
    <row r="19042" spans="1:1">
      <c r="A19042" s="56"/>
    </row>
    <row r="19043" spans="1:1">
      <c r="A19043" s="56"/>
    </row>
    <row r="19044" spans="1:1">
      <c r="A19044" s="56"/>
    </row>
    <row r="19045" spans="1:1">
      <c r="A19045" s="56"/>
    </row>
    <row r="19046" spans="1:1">
      <c r="A19046" s="56"/>
    </row>
    <row r="19047" spans="1:1">
      <c r="A19047" s="56"/>
    </row>
    <row r="19048" spans="1:1">
      <c r="A19048" s="56"/>
    </row>
    <row r="19049" spans="1:1">
      <c r="A19049" s="56"/>
    </row>
    <row r="19050" spans="1:1">
      <c r="A19050" s="56"/>
    </row>
    <row r="19051" spans="1:1">
      <c r="A19051" s="56"/>
    </row>
    <row r="19052" spans="1:1">
      <c r="A19052" s="56"/>
    </row>
    <row r="19053" spans="1:1">
      <c r="A19053" s="56"/>
    </row>
    <row r="19054" spans="1:1">
      <c r="A19054" s="56"/>
    </row>
    <row r="19055" spans="1:1">
      <c r="A19055" s="56"/>
    </row>
    <row r="19056" spans="1:1">
      <c r="A19056" s="56"/>
    </row>
    <row r="19057" spans="1:1">
      <c r="A19057" s="56"/>
    </row>
    <row r="19058" spans="1:1">
      <c r="A19058" s="56"/>
    </row>
    <row r="19059" spans="1:1">
      <c r="A19059" s="56"/>
    </row>
    <row r="19060" spans="1:1">
      <c r="A19060" s="56"/>
    </row>
    <row r="19061" spans="1:1">
      <c r="A19061" s="56"/>
    </row>
    <row r="19062" spans="1:1">
      <c r="A19062" s="56"/>
    </row>
    <row r="19063" spans="1:1">
      <c r="A19063" s="56"/>
    </row>
    <row r="19064" spans="1:1">
      <c r="A19064" s="56"/>
    </row>
    <row r="19065" spans="1:1">
      <c r="A19065" s="56"/>
    </row>
    <row r="19066" spans="1:1">
      <c r="A19066" s="56"/>
    </row>
    <row r="19067" spans="1:1">
      <c r="A19067" s="56"/>
    </row>
    <row r="19068" spans="1:1">
      <c r="A19068" s="56"/>
    </row>
    <row r="19069" spans="1:1">
      <c r="A19069" s="56"/>
    </row>
    <row r="19070" spans="1:1">
      <c r="A19070" s="56"/>
    </row>
    <row r="19071" spans="1:1">
      <c r="A19071" s="56"/>
    </row>
    <row r="19072" spans="1:1">
      <c r="A19072" s="56"/>
    </row>
    <row r="19073" spans="1:1">
      <c r="A19073" s="56"/>
    </row>
    <row r="19074" spans="1:1">
      <c r="A19074" s="56"/>
    </row>
    <row r="19075" spans="1:1">
      <c r="A19075" s="56"/>
    </row>
    <row r="19076" spans="1:1">
      <c r="A19076" s="56"/>
    </row>
    <row r="19077" spans="1:1">
      <c r="A19077" s="56"/>
    </row>
    <row r="19078" spans="1:1">
      <c r="A19078" s="56"/>
    </row>
    <row r="19079" spans="1:1">
      <c r="A19079" s="56"/>
    </row>
    <row r="19080" spans="1:1">
      <c r="A19080" s="56"/>
    </row>
    <row r="19081" spans="1:1">
      <c r="A19081" s="56"/>
    </row>
    <row r="19082" spans="1:1">
      <c r="A19082" s="56"/>
    </row>
    <row r="19083" spans="1:1">
      <c r="A19083" s="56"/>
    </row>
    <row r="19084" spans="1:1">
      <c r="A19084" s="56"/>
    </row>
    <row r="19085" spans="1:1">
      <c r="A19085" s="56"/>
    </row>
    <row r="19086" spans="1:1">
      <c r="A19086" s="56"/>
    </row>
    <row r="19087" spans="1:1">
      <c r="A19087" s="56"/>
    </row>
    <row r="19088" spans="1:1">
      <c r="A19088" s="56"/>
    </row>
    <row r="19089" spans="1:1">
      <c r="A19089" s="56"/>
    </row>
    <row r="19090" spans="1:1">
      <c r="A19090" s="56"/>
    </row>
    <row r="19091" spans="1:1">
      <c r="A19091" s="56"/>
    </row>
    <row r="19092" spans="1:1">
      <c r="A19092" s="56"/>
    </row>
    <row r="19093" spans="1:1">
      <c r="A19093" s="56"/>
    </row>
    <row r="19094" spans="1:1">
      <c r="A19094" s="56"/>
    </row>
    <row r="19095" spans="1:1">
      <c r="A19095" s="56"/>
    </row>
    <row r="19096" spans="1:1">
      <c r="A19096" s="56"/>
    </row>
    <row r="19097" spans="1:1">
      <c r="A19097" s="56"/>
    </row>
    <row r="19098" spans="1:1">
      <c r="A19098" s="56"/>
    </row>
    <row r="19099" spans="1:1">
      <c r="A19099" s="56"/>
    </row>
    <row r="19100" spans="1:1">
      <c r="A19100" s="56"/>
    </row>
    <row r="19101" spans="1:1">
      <c r="A19101" s="56"/>
    </row>
    <row r="19102" spans="1:1">
      <c r="A19102" s="56"/>
    </row>
    <row r="19103" spans="1:1">
      <c r="A19103" s="56"/>
    </row>
    <row r="19104" spans="1:1">
      <c r="A19104" s="56"/>
    </row>
    <row r="19105" spans="1:1">
      <c r="A19105" s="56"/>
    </row>
    <row r="19106" spans="1:1">
      <c r="A19106" s="56"/>
    </row>
    <row r="19107" spans="1:1">
      <c r="A19107" s="56"/>
    </row>
    <row r="19108" spans="1:1">
      <c r="A19108" s="56"/>
    </row>
    <row r="19109" spans="1:1">
      <c r="A19109" s="56"/>
    </row>
    <row r="19110" spans="1:1">
      <c r="A19110" s="56"/>
    </row>
    <row r="19111" spans="1:1">
      <c r="A19111" s="56"/>
    </row>
    <row r="19112" spans="1:1">
      <c r="A19112" s="56"/>
    </row>
    <row r="19113" spans="1:1">
      <c r="A19113" s="56"/>
    </row>
    <row r="19114" spans="1:1">
      <c r="A19114" s="56"/>
    </row>
    <row r="19115" spans="1:1">
      <c r="A19115" s="56"/>
    </row>
    <row r="19116" spans="1:1">
      <c r="A19116" s="56"/>
    </row>
    <row r="19117" spans="1:1">
      <c r="A19117" s="56"/>
    </row>
    <row r="19118" spans="1:1">
      <c r="A19118" s="56"/>
    </row>
    <row r="19119" spans="1:1">
      <c r="A19119" s="56"/>
    </row>
    <row r="19120" spans="1:1">
      <c r="A19120" s="56"/>
    </row>
    <row r="19121" spans="1:1">
      <c r="A19121" s="56"/>
    </row>
    <row r="19122" spans="1:1">
      <c r="A19122" s="56"/>
    </row>
    <row r="19123" spans="1:1">
      <c r="A19123" s="56"/>
    </row>
    <row r="19124" spans="1:1">
      <c r="A19124" s="56"/>
    </row>
    <row r="19125" spans="1:1">
      <c r="A19125" s="56"/>
    </row>
    <row r="19126" spans="1:1">
      <c r="A19126" s="56"/>
    </row>
    <row r="19127" spans="1:1">
      <c r="A19127" s="56"/>
    </row>
    <row r="19128" spans="1:1">
      <c r="A19128" s="56"/>
    </row>
    <row r="19129" spans="1:1">
      <c r="A19129" s="56"/>
    </row>
    <row r="19130" spans="1:1">
      <c r="A19130" s="56"/>
    </row>
    <row r="19131" spans="1:1">
      <c r="A19131" s="56"/>
    </row>
    <row r="19132" spans="1:1">
      <c r="A19132" s="56"/>
    </row>
    <row r="19133" spans="1:1">
      <c r="A19133" s="56"/>
    </row>
    <row r="19134" spans="1:1">
      <c r="A19134" s="56"/>
    </row>
    <row r="19135" spans="1:1">
      <c r="A19135" s="56"/>
    </row>
    <row r="19136" spans="1:1">
      <c r="A19136" s="56"/>
    </row>
    <row r="19137" spans="1:1">
      <c r="A19137" s="56"/>
    </row>
    <row r="19138" spans="1:1">
      <c r="A19138" s="56"/>
    </row>
    <row r="19139" spans="1:1">
      <c r="A19139" s="56"/>
    </row>
    <row r="19140" spans="1:1">
      <c r="A19140" s="56"/>
    </row>
    <row r="19141" spans="1:1">
      <c r="A19141" s="56"/>
    </row>
    <row r="19142" spans="1:1">
      <c r="A19142" s="56"/>
    </row>
    <row r="19143" spans="1:1">
      <c r="A19143" s="56"/>
    </row>
    <row r="19144" spans="1:1">
      <c r="A19144" s="56"/>
    </row>
    <row r="19145" spans="1:1">
      <c r="A19145" s="56"/>
    </row>
    <row r="19146" spans="1:1">
      <c r="A19146" s="56"/>
    </row>
    <row r="19147" spans="1:1">
      <c r="A19147" s="56"/>
    </row>
    <row r="19148" spans="1:1">
      <c r="A19148" s="56"/>
    </row>
    <row r="19149" spans="1:1">
      <c r="A19149" s="56"/>
    </row>
    <row r="19150" spans="1:1">
      <c r="A19150" s="56"/>
    </row>
    <row r="19151" spans="1:1">
      <c r="A19151" s="56"/>
    </row>
    <row r="19152" spans="1:1">
      <c r="A19152" s="56"/>
    </row>
    <row r="19153" spans="1:1">
      <c r="A19153" s="56"/>
    </row>
    <row r="19154" spans="1:1">
      <c r="A19154" s="56"/>
    </row>
    <row r="19155" spans="1:1">
      <c r="A19155" s="56"/>
    </row>
    <row r="19156" spans="1:1">
      <c r="A19156" s="56"/>
    </row>
    <row r="19157" spans="1:1">
      <c r="A19157" s="56"/>
    </row>
    <row r="19158" spans="1:1">
      <c r="A19158" s="56"/>
    </row>
    <row r="19159" spans="1:1">
      <c r="A19159" s="56"/>
    </row>
    <row r="19160" spans="1:1">
      <c r="A19160" s="56"/>
    </row>
    <row r="19161" spans="1:1">
      <c r="A19161" s="56"/>
    </row>
    <row r="19162" spans="1:1">
      <c r="A19162" s="56"/>
    </row>
    <row r="19163" spans="1:1">
      <c r="A19163" s="56"/>
    </row>
    <row r="19164" spans="1:1">
      <c r="A19164" s="56"/>
    </row>
    <row r="19165" spans="1:1">
      <c r="A19165" s="56"/>
    </row>
    <row r="19166" spans="1:1">
      <c r="A19166" s="56"/>
    </row>
    <row r="19167" spans="1:1">
      <c r="A19167" s="56"/>
    </row>
    <row r="19168" spans="1:1">
      <c r="A19168" s="56"/>
    </row>
    <row r="19169" spans="1:1">
      <c r="A19169" s="56"/>
    </row>
    <row r="19170" spans="1:1">
      <c r="A19170" s="56"/>
    </row>
    <row r="19171" spans="1:1">
      <c r="A19171" s="56"/>
    </row>
    <row r="19172" spans="1:1">
      <c r="A19172" s="56"/>
    </row>
    <row r="19173" spans="1:1">
      <c r="A19173" s="56"/>
    </row>
    <row r="19174" spans="1:1">
      <c r="A19174" s="56"/>
    </row>
    <row r="19175" spans="1:1">
      <c r="A19175" s="56"/>
    </row>
    <row r="19176" spans="1:1">
      <c r="A19176" s="56"/>
    </row>
    <row r="19177" spans="1:1">
      <c r="A19177" s="56"/>
    </row>
    <row r="19178" spans="1:1">
      <c r="A19178" s="56"/>
    </row>
    <row r="19179" spans="1:1">
      <c r="A19179" s="56"/>
    </row>
    <row r="19180" spans="1:1">
      <c r="A19180" s="56"/>
    </row>
    <row r="19181" spans="1:1">
      <c r="A19181" s="56"/>
    </row>
    <row r="19182" spans="1:1">
      <c r="A19182" s="56"/>
    </row>
    <row r="19183" spans="1:1">
      <c r="A19183" s="56"/>
    </row>
    <row r="19184" spans="1:1">
      <c r="A19184" s="56"/>
    </row>
    <row r="19185" spans="1:1">
      <c r="A19185" s="56"/>
    </row>
    <row r="19186" spans="1:1">
      <c r="A19186" s="56"/>
    </row>
    <row r="19187" spans="1:1">
      <c r="A19187" s="56"/>
    </row>
    <row r="19188" spans="1:1">
      <c r="A19188" s="56"/>
    </row>
    <row r="19189" spans="1:1">
      <c r="A19189" s="56"/>
    </row>
    <row r="19190" spans="1:1">
      <c r="A19190" s="56"/>
    </row>
    <row r="19191" spans="1:1">
      <c r="A19191" s="56"/>
    </row>
    <row r="19192" spans="1:1">
      <c r="A19192" s="56"/>
    </row>
    <row r="19193" spans="1:1">
      <c r="A19193" s="56"/>
    </row>
    <row r="19194" spans="1:1">
      <c r="A19194" s="56"/>
    </row>
    <row r="19195" spans="1:1">
      <c r="A19195" s="56"/>
    </row>
    <row r="19196" spans="1:1">
      <c r="A19196" s="56"/>
    </row>
    <row r="19197" spans="1:1">
      <c r="A19197" s="56"/>
    </row>
    <row r="19198" spans="1:1">
      <c r="A19198" s="56"/>
    </row>
    <row r="19199" spans="1:1">
      <c r="A19199" s="56"/>
    </row>
    <row r="19200" spans="1:1">
      <c r="A19200" s="56"/>
    </row>
    <row r="19201" spans="1:1">
      <c r="A19201" s="56"/>
    </row>
    <row r="19202" spans="1:1">
      <c r="A19202" s="56"/>
    </row>
    <row r="19203" spans="1:1">
      <c r="A19203" s="56"/>
    </row>
    <row r="19204" spans="1:1">
      <c r="A19204" s="56"/>
    </row>
    <row r="19205" spans="1:1">
      <c r="A19205" s="56"/>
    </row>
    <row r="19206" spans="1:1">
      <c r="A19206" s="56"/>
    </row>
    <row r="19207" spans="1:1">
      <c r="A19207" s="56"/>
    </row>
    <row r="19208" spans="1:1">
      <c r="A19208" s="56"/>
    </row>
    <row r="19209" spans="1:1">
      <c r="A19209" s="56"/>
    </row>
    <row r="19210" spans="1:1">
      <c r="A19210" s="56"/>
    </row>
    <row r="19211" spans="1:1">
      <c r="A19211" s="56"/>
    </row>
    <row r="19212" spans="1:1">
      <c r="A19212" s="56"/>
    </row>
    <row r="19213" spans="1:1">
      <c r="A19213" s="56"/>
    </row>
    <row r="19214" spans="1:1">
      <c r="A19214" s="56"/>
    </row>
    <row r="19215" spans="1:1">
      <c r="A19215" s="56"/>
    </row>
    <row r="19216" spans="1:1">
      <c r="A19216" s="56"/>
    </row>
    <row r="19217" spans="1:1">
      <c r="A19217" s="56"/>
    </row>
    <row r="19218" spans="1:1">
      <c r="A19218" s="56"/>
    </row>
    <row r="19219" spans="1:1">
      <c r="A19219" s="56"/>
    </row>
    <row r="19220" spans="1:1">
      <c r="A19220" s="56"/>
    </row>
    <row r="19221" spans="1:1">
      <c r="A19221" s="56"/>
    </row>
    <row r="19222" spans="1:1">
      <c r="A19222" s="56"/>
    </row>
    <row r="19223" spans="1:1">
      <c r="A19223" s="56"/>
    </row>
    <row r="19224" spans="1:1">
      <c r="A19224" s="56"/>
    </row>
    <row r="19225" spans="1:1">
      <c r="A19225" s="56"/>
    </row>
    <row r="19226" spans="1:1">
      <c r="A19226" s="56"/>
    </row>
    <row r="19227" spans="1:1">
      <c r="A19227" s="56"/>
    </row>
    <row r="19228" spans="1:1">
      <c r="A19228" s="56"/>
    </row>
    <row r="19229" spans="1:1">
      <c r="A19229" s="56"/>
    </row>
    <row r="19230" spans="1:1">
      <c r="A19230" s="56"/>
    </row>
    <row r="19231" spans="1:1">
      <c r="A19231" s="56"/>
    </row>
    <row r="19232" spans="1:1">
      <c r="A19232" s="56"/>
    </row>
    <row r="19233" spans="1:1">
      <c r="A19233" s="56"/>
    </row>
    <row r="19234" spans="1:1">
      <c r="A19234" s="56"/>
    </row>
    <row r="19235" spans="1:1">
      <c r="A19235" s="56"/>
    </row>
    <row r="19236" spans="1:1">
      <c r="A19236" s="56"/>
    </row>
    <row r="19237" spans="1:1">
      <c r="A19237" s="56"/>
    </row>
    <row r="19238" spans="1:1">
      <c r="A19238" s="56"/>
    </row>
    <row r="19239" spans="1:1">
      <c r="A19239" s="56"/>
    </row>
    <row r="19240" spans="1:1">
      <c r="A19240" s="56"/>
    </row>
    <row r="19241" spans="1:1">
      <c r="A19241" s="56"/>
    </row>
    <row r="19242" spans="1:1">
      <c r="A19242" s="56"/>
    </row>
    <row r="19243" spans="1:1">
      <c r="A19243" s="56"/>
    </row>
    <row r="19244" spans="1:1">
      <c r="A19244" s="56"/>
    </row>
    <row r="19245" spans="1:1">
      <c r="A19245" s="56"/>
    </row>
    <row r="19246" spans="1:1">
      <c r="A19246" s="56"/>
    </row>
    <row r="19247" spans="1:1">
      <c r="A19247" s="56"/>
    </row>
    <row r="19248" spans="1:1">
      <c r="A19248" s="56"/>
    </row>
    <row r="19249" spans="1:1">
      <c r="A19249" s="56"/>
    </row>
    <row r="19250" spans="1:1">
      <c r="A19250" s="56"/>
    </row>
    <row r="19251" spans="1:1">
      <c r="A19251" s="56"/>
    </row>
    <row r="19252" spans="1:1">
      <c r="A19252" s="56"/>
    </row>
    <row r="19253" spans="1:1">
      <c r="A19253" s="56"/>
    </row>
    <row r="19254" spans="1:1">
      <c r="A19254" s="56"/>
    </row>
    <row r="19255" spans="1:1">
      <c r="A19255" s="56"/>
    </row>
    <row r="19256" spans="1:1">
      <c r="A19256" s="56"/>
    </row>
    <row r="19257" spans="1:1">
      <c r="A19257" s="56"/>
    </row>
    <row r="19258" spans="1:1">
      <c r="A19258" s="56"/>
    </row>
    <row r="19259" spans="1:1">
      <c r="A19259" s="56"/>
    </row>
    <row r="19260" spans="1:1">
      <c r="A19260" s="56"/>
    </row>
    <row r="19261" spans="1:1">
      <c r="A19261" s="56"/>
    </row>
    <row r="19262" spans="1:1">
      <c r="A19262" s="56"/>
    </row>
    <row r="19263" spans="1:1">
      <c r="A19263" s="56"/>
    </row>
    <row r="19264" spans="1:1">
      <c r="A19264" s="56"/>
    </row>
    <row r="19265" spans="1:1">
      <c r="A19265" s="56"/>
    </row>
    <row r="19266" spans="1:1">
      <c r="A19266" s="56"/>
    </row>
    <row r="19267" spans="1:1">
      <c r="A19267" s="56"/>
    </row>
    <row r="19268" spans="1:1">
      <c r="A19268" s="56"/>
    </row>
    <row r="19269" spans="1:1">
      <c r="A19269" s="56"/>
    </row>
    <row r="19270" spans="1:1">
      <c r="A19270" s="56"/>
    </row>
    <row r="19271" spans="1:1">
      <c r="A19271" s="56"/>
    </row>
    <row r="19272" spans="1:1">
      <c r="A19272" s="56"/>
    </row>
    <row r="19273" spans="1:1">
      <c r="A19273" s="56"/>
    </row>
    <row r="19274" spans="1:1">
      <c r="A19274" s="56"/>
    </row>
    <row r="19275" spans="1:1">
      <c r="A19275" s="56"/>
    </row>
    <row r="19276" spans="1:1">
      <c r="A19276" s="56"/>
    </row>
    <row r="19277" spans="1:1">
      <c r="A19277" s="56"/>
    </row>
    <row r="19278" spans="1:1">
      <c r="A19278" s="56"/>
    </row>
    <row r="19279" spans="1:1">
      <c r="A19279" s="56"/>
    </row>
    <row r="19280" spans="1:1">
      <c r="A19280" s="56"/>
    </row>
    <row r="19281" spans="1:1">
      <c r="A19281" s="56"/>
    </row>
    <row r="19282" spans="1:1">
      <c r="A19282" s="56"/>
    </row>
    <row r="19283" spans="1:1">
      <c r="A19283" s="56"/>
    </row>
    <row r="19284" spans="1:1">
      <c r="A19284" s="56"/>
    </row>
    <row r="19285" spans="1:1">
      <c r="A19285" s="56"/>
    </row>
    <row r="19286" spans="1:1">
      <c r="A19286" s="56"/>
    </row>
    <row r="19287" spans="1:1">
      <c r="A19287" s="56"/>
    </row>
    <row r="19288" spans="1:1">
      <c r="A19288" s="56"/>
    </row>
    <row r="19289" spans="1:1">
      <c r="A19289" s="56"/>
    </row>
    <row r="19290" spans="1:1">
      <c r="A19290" s="56"/>
    </row>
    <row r="19291" spans="1:1">
      <c r="A19291" s="56"/>
    </row>
    <row r="19292" spans="1:1">
      <c r="A19292" s="56"/>
    </row>
    <row r="19293" spans="1:1">
      <c r="A19293" s="56"/>
    </row>
    <row r="19294" spans="1:1">
      <c r="A19294" s="56"/>
    </row>
    <row r="19295" spans="1:1">
      <c r="A19295" s="56"/>
    </row>
    <row r="19296" spans="1:1">
      <c r="A19296" s="56"/>
    </row>
    <row r="19297" spans="1:1">
      <c r="A19297" s="56"/>
    </row>
    <row r="19298" spans="1:1">
      <c r="A19298" s="56"/>
    </row>
    <row r="19299" spans="1:1">
      <c r="A19299" s="56"/>
    </row>
    <row r="19300" spans="1:1">
      <c r="A19300" s="56"/>
    </row>
    <row r="19301" spans="1:1">
      <c r="A19301" s="56"/>
    </row>
    <row r="19302" spans="1:1">
      <c r="A19302" s="56"/>
    </row>
    <row r="19303" spans="1:1">
      <c r="A19303" s="56"/>
    </row>
    <row r="19304" spans="1:1">
      <c r="A19304" s="56"/>
    </row>
    <row r="19305" spans="1:1">
      <c r="A19305" s="56"/>
    </row>
    <row r="19306" spans="1:1">
      <c r="A19306" s="56"/>
    </row>
    <row r="19307" spans="1:1">
      <c r="A19307" s="56"/>
    </row>
    <row r="19308" spans="1:1">
      <c r="A19308" s="56"/>
    </row>
    <row r="19309" spans="1:1">
      <c r="A19309" s="56"/>
    </row>
    <row r="19310" spans="1:1">
      <c r="A19310" s="56"/>
    </row>
    <row r="19311" spans="1:1">
      <c r="A19311" s="56"/>
    </row>
    <row r="19312" spans="1:1">
      <c r="A19312" s="56"/>
    </row>
    <row r="19313" spans="1:1">
      <c r="A19313" s="56"/>
    </row>
    <row r="19314" spans="1:1">
      <c r="A19314" s="56"/>
    </row>
    <row r="19315" spans="1:1">
      <c r="A19315" s="56"/>
    </row>
    <row r="19316" spans="1:1">
      <c r="A19316" s="56"/>
    </row>
    <row r="19317" spans="1:1">
      <c r="A19317" s="56"/>
    </row>
    <row r="19318" spans="1:1">
      <c r="A19318" s="56"/>
    </row>
    <row r="19319" spans="1:1">
      <c r="A19319" s="56"/>
    </row>
    <row r="19320" spans="1:1">
      <c r="A19320" s="56"/>
    </row>
    <row r="19321" spans="1:1">
      <c r="A19321" s="56"/>
    </row>
    <row r="19322" spans="1:1">
      <c r="A19322" s="56"/>
    </row>
    <row r="19323" spans="1:1">
      <c r="A19323" s="56"/>
    </row>
    <row r="19324" spans="1:1">
      <c r="A19324" s="56"/>
    </row>
    <row r="19325" spans="1:1">
      <c r="A19325" s="56"/>
    </row>
    <row r="19326" spans="1:1">
      <c r="A19326" s="56"/>
    </row>
    <row r="19327" spans="1:1">
      <c r="A19327" s="56"/>
    </row>
    <row r="19328" spans="1:1">
      <c r="A19328" s="56"/>
    </row>
    <row r="19329" spans="1:1">
      <c r="A19329" s="56"/>
    </row>
    <row r="19330" spans="1:1">
      <c r="A19330" s="56"/>
    </row>
    <row r="19331" spans="1:1">
      <c r="A19331" s="56"/>
    </row>
    <row r="19332" spans="1:1">
      <c r="A19332" s="56"/>
    </row>
    <row r="19333" spans="1:1">
      <c r="A19333" s="56"/>
    </row>
    <row r="19334" spans="1:1">
      <c r="A19334" s="56"/>
    </row>
    <row r="19335" spans="1:1">
      <c r="A19335" s="56"/>
    </row>
    <row r="19336" spans="1:1">
      <c r="A19336" s="56"/>
    </row>
    <row r="19337" spans="1:1">
      <c r="A19337" s="56"/>
    </row>
    <row r="19338" spans="1:1">
      <c r="A19338" s="56"/>
    </row>
    <row r="19339" spans="1:1">
      <c r="A19339" s="56"/>
    </row>
    <row r="19340" spans="1:1">
      <c r="A19340" s="56"/>
    </row>
    <row r="19341" spans="1:1">
      <c r="A19341" s="56"/>
    </row>
    <row r="19342" spans="1:1">
      <c r="A19342" s="56"/>
    </row>
    <row r="19343" spans="1:1">
      <c r="A19343" s="56"/>
    </row>
    <row r="19344" spans="1:1">
      <c r="A19344" s="56"/>
    </row>
    <row r="19345" spans="1:1">
      <c r="A19345" s="56"/>
    </row>
    <row r="19346" spans="1:1">
      <c r="A19346" s="56"/>
    </row>
    <row r="19347" spans="1:1">
      <c r="A19347" s="56"/>
    </row>
    <row r="19348" spans="1:1">
      <c r="A19348" s="56"/>
    </row>
    <row r="19349" spans="1:1">
      <c r="A19349" s="56"/>
    </row>
    <row r="19350" spans="1:1">
      <c r="A19350" s="56"/>
    </row>
    <row r="19351" spans="1:1">
      <c r="A19351" s="56"/>
    </row>
    <row r="19352" spans="1:1">
      <c r="A19352" s="56"/>
    </row>
    <row r="19353" spans="1:1">
      <c r="A19353" s="56"/>
    </row>
    <row r="19354" spans="1:1">
      <c r="A19354" s="56"/>
    </row>
    <row r="19355" spans="1:1">
      <c r="A19355" s="56"/>
    </row>
    <row r="19356" spans="1:1">
      <c r="A19356" s="56"/>
    </row>
    <row r="19357" spans="1:1">
      <c r="A19357" s="56"/>
    </row>
    <row r="19358" spans="1:1">
      <c r="A19358" s="56"/>
    </row>
    <row r="19359" spans="1:1">
      <c r="A19359" s="56"/>
    </row>
    <row r="19360" spans="1:1">
      <c r="A19360" s="56"/>
    </row>
    <row r="19361" spans="1:1">
      <c r="A19361" s="56"/>
    </row>
    <row r="19362" spans="1:1">
      <c r="A19362" s="56"/>
    </row>
    <row r="19363" spans="1:1">
      <c r="A19363" s="56"/>
    </row>
    <row r="19364" spans="1:1">
      <c r="A19364" s="56"/>
    </row>
    <row r="19365" spans="1:1">
      <c r="A19365" s="56"/>
    </row>
    <row r="19366" spans="1:1">
      <c r="A19366" s="56"/>
    </row>
    <row r="19367" spans="1:1">
      <c r="A19367" s="56"/>
    </row>
    <row r="19368" spans="1:1">
      <c r="A19368" s="56"/>
    </row>
    <row r="19369" spans="1:1">
      <c r="A19369" s="56"/>
    </row>
    <row r="19370" spans="1:1">
      <c r="A19370" s="56"/>
    </row>
    <row r="19371" spans="1:1">
      <c r="A19371" s="56"/>
    </row>
    <row r="19372" spans="1:1">
      <c r="A19372" s="56"/>
    </row>
    <row r="19373" spans="1:1">
      <c r="A19373" s="56"/>
    </row>
    <row r="19374" spans="1:1">
      <c r="A19374" s="56"/>
    </row>
    <row r="19375" spans="1:1">
      <c r="A19375" s="56"/>
    </row>
    <row r="19376" spans="1:1">
      <c r="A19376" s="56"/>
    </row>
    <row r="19377" spans="1:1">
      <c r="A19377" s="56"/>
    </row>
    <row r="19378" spans="1:1">
      <c r="A19378" s="56"/>
    </row>
    <row r="19379" spans="1:1">
      <c r="A19379" s="56"/>
    </row>
    <row r="19380" spans="1:1">
      <c r="A19380" s="56"/>
    </row>
    <row r="19381" spans="1:1">
      <c r="A19381" s="56"/>
    </row>
    <row r="19382" spans="1:1">
      <c r="A19382" s="56"/>
    </row>
    <row r="19383" spans="1:1">
      <c r="A19383" s="56"/>
    </row>
    <row r="19384" spans="1:1">
      <c r="A19384" s="56"/>
    </row>
    <row r="19385" spans="1:1">
      <c r="A19385" s="56"/>
    </row>
    <row r="19386" spans="1:1">
      <c r="A19386" s="56"/>
    </row>
    <row r="19387" spans="1:1">
      <c r="A19387" s="56"/>
    </row>
    <row r="19388" spans="1:1">
      <c r="A19388" s="56"/>
    </row>
    <row r="19389" spans="1:1">
      <c r="A19389" s="56"/>
    </row>
    <row r="19390" spans="1:1">
      <c r="A19390" s="56"/>
    </row>
    <row r="19391" spans="1:1">
      <c r="A19391" s="56"/>
    </row>
    <row r="19392" spans="1:1">
      <c r="A19392" s="56"/>
    </row>
    <row r="19393" spans="1:1">
      <c r="A19393" s="56"/>
    </row>
    <row r="19394" spans="1:1">
      <c r="A19394" s="56"/>
    </row>
    <row r="19395" spans="1:1">
      <c r="A19395" s="56"/>
    </row>
    <row r="19396" spans="1:1">
      <c r="A19396" s="56"/>
    </row>
    <row r="19397" spans="1:1">
      <c r="A19397" s="56"/>
    </row>
    <row r="19398" spans="1:1">
      <c r="A19398" s="56"/>
    </row>
    <row r="19399" spans="1:1">
      <c r="A19399" s="56"/>
    </row>
    <row r="19400" spans="1:1">
      <c r="A19400" s="56"/>
    </row>
    <row r="19401" spans="1:1">
      <c r="A19401" s="56"/>
    </row>
    <row r="19402" spans="1:1">
      <c r="A19402" s="56"/>
    </row>
    <row r="19403" spans="1:1">
      <c r="A19403" s="56"/>
    </row>
    <row r="19404" spans="1:1">
      <c r="A19404" s="56"/>
    </row>
    <row r="19405" spans="1:1">
      <c r="A19405" s="56"/>
    </row>
    <row r="19406" spans="1:1">
      <c r="A19406" s="56"/>
    </row>
    <row r="19407" spans="1:1">
      <c r="A19407" s="56"/>
    </row>
    <row r="19408" spans="1:1">
      <c r="A19408" s="56"/>
    </row>
    <row r="19409" spans="1:1">
      <c r="A19409" s="56"/>
    </row>
    <row r="19410" spans="1:1">
      <c r="A19410" s="56"/>
    </row>
    <row r="19411" spans="1:1">
      <c r="A19411" s="56"/>
    </row>
    <row r="19412" spans="1:1">
      <c r="A19412" s="56"/>
    </row>
    <row r="19413" spans="1:1">
      <c r="A19413" s="56"/>
    </row>
    <row r="19414" spans="1:1">
      <c r="A19414" s="56"/>
    </row>
    <row r="19415" spans="1:1">
      <c r="A19415" s="56"/>
    </row>
    <row r="19416" spans="1:1">
      <c r="A19416" s="56"/>
    </row>
    <row r="19417" spans="1:1">
      <c r="A19417" s="56"/>
    </row>
    <row r="19418" spans="1:1">
      <c r="A19418" s="56"/>
    </row>
    <row r="19419" spans="1:1">
      <c r="A19419" s="56"/>
    </row>
    <row r="19420" spans="1:1">
      <c r="A19420" s="56"/>
    </row>
    <row r="19421" spans="1:1">
      <c r="A19421" s="56"/>
    </row>
    <row r="19422" spans="1:1">
      <c r="A19422" s="56"/>
    </row>
    <row r="19423" spans="1:1">
      <c r="A19423" s="56"/>
    </row>
    <row r="19424" spans="1:1">
      <c r="A19424" s="56"/>
    </row>
    <row r="19425" spans="1:1">
      <c r="A19425" s="56"/>
    </row>
    <row r="19426" spans="1:1">
      <c r="A19426" s="56"/>
    </row>
    <row r="19427" spans="1:1">
      <c r="A19427" s="56"/>
    </row>
    <row r="19428" spans="1:1">
      <c r="A19428" s="56"/>
    </row>
    <row r="19429" spans="1:1">
      <c r="A19429" s="56"/>
    </row>
    <row r="19430" spans="1:1">
      <c r="A19430" s="56"/>
    </row>
    <row r="19431" spans="1:1">
      <c r="A19431" s="56"/>
    </row>
    <row r="19432" spans="1:1">
      <c r="A19432" s="56"/>
    </row>
    <row r="19433" spans="1:1">
      <c r="A19433" s="56"/>
    </row>
    <row r="19434" spans="1:1">
      <c r="A19434" s="56"/>
    </row>
    <row r="19435" spans="1:1">
      <c r="A19435" s="56"/>
    </row>
    <row r="19436" spans="1:1">
      <c r="A19436" s="56"/>
    </row>
    <row r="19437" spans="1:1">
      <c r="A19437" s="56"/>
    </row>
    <row r="19438" spans="1:1">
      <c r="A19438" s="56"/>
    </row>
    <row r="19439" spans="1:1">
      <c r="A19439" s="56"/>
    </row>
    <row r="19440" spans="1:1">
      <c r="A19440" s="56"/>
    </row>
    <row r="19441" spans="1:1">
      <c r="A19441" s="56"/>
    </row>
    <row r="19442" spans="1:1">
      <c r="A19442" s="56"/>
    </row>
    <row r="19443" spans="1:1">
      <c r="A19443" s="56"/>
    </row>
    <row r="19444" spans="1:1">
      <c r="A19444" s="56"/>
    </row>
    <row r="19445" spans="1:1">
      <c r="A19445" s="56"/>
    </row>
    <row r="19446" spans="1:1">
      <c r="A19446" s="56"/>
    </row>
    <row r="19447" spans="1:1">
      <c r="A19447" s="56"/>
    </row>
    <row r="19448" spans="1:1">
      <c r="A19448" s="56"/>
    </row>
    <row r="19449" spans="1:1">
      <c r="A19449" s="56"/>
    </row>
    <row r="19450" spans="1:1">
      <c r="A19450" s="56"/>
    </row>
    <row r="19451" spans="1:1">
      <c r="A19451" s="56"/>
    </row>
    <row r="19452" spans="1:1">
      <c r="A19452" s="56"/>
    </row>
    <row r="19453" spans="1:1">
      <c r="A19453" s="56"/>
    </row>
    <row r="19454" spans="1:1">
      <c r="A19454" s="56"/>
    </row>
    <row r="19455" spans="1:1">
      <c r="A19455" s="56"/>
    </row>
    <row r="19456" spans="1:1">
      <c r="A19456" s="56"/>
    </row>
    <row r="19457" spans="1:1">
      <c r="A19457" s="56"/>
    </row>
    <row r="19458" spans="1:1">
      <c r="A19458" s="56"/>
    </row>
    <row r="19459" spans="1:1">
      <c r="A19459" s="56"/>
    </row>
    <row r="19460" spans="1:1">
      <c r="A19460" s="56"/>
    </row>
    <row r="19461" spans="1:1">
      <c r="A19461" s="56"/>
    </row>
    <row r="19462" spans="1:1">
      <c r="A19462" s="56"/>
    </row>
    <row r="19463" spans="1:1">
      <c r="A19463" s="56"/>
    </row>
    <row r="19464" spans="1:1">
      <c r="A19464" s="56"/>
    </row>
    <row r="19465" spans="1:1">
      <c r="A19465" s="56"/>
    </row>
    <row r="19466" spans="1:1">
      <c r="A19466" s="56"/>
    </row>
    <row r="19467" spans="1:1">
      <c r="A19467" s="56"/>
    </row>
    <row r="19468" spans="1:1">
      <c r="A19468" s="56"/>
    </row>
    <row r="19469" spans="1:1">
      <c r="A19469" s="56"/>
    </row>
    <row r="19470" spans="1:1">
      <c r="A19470" s="56"/>
    </row>
    <row r="19471" spans="1:1">
      <c r="A19471" s="56"/>
    </row>
    <row r="19472" spans="1:1">
      <c r="A19472" s="56"/>
    </row>
    <row r="19473" spans="1:1">
      <c r="A19473" s="56"/>
    </row>
    <row r="19474" spans="1:1">
      <c r="A19474" s="56"/>
    </row>
    <row r="19475" spans="1:1">
      <c r="A19475" s="56"/>
    </row>
    <row r="19476" spans="1:1">
      <c r="A19476" s="56"/>
    </row>
    <row r="19477" spans="1:1">
      <c r="A19477" s="56"/>
    </row>
    <row r="19478" spans="1:1">
      <c r="A19478" s="56"/>
    </row>
    <row r="19479" spans="1:1">
      <c r="A19479" s="56"/>
    </row>
    <row r="19480" spans="1:1">
      <c r="A19480" s="56"/>
    </row>
    <row r="19481" spans="1:1">
      <c r="A19481" s="56"/>
    </row>
    <row r="19482" spans="1:1">
      <c r="A19482" s="56"/>
    </row>
    <row r="19483" spans="1:1">
      <c r="A19483" s="56"/>
    </row>
    <row r="19484" spans="1:1">
      <c r="A19484" s="56"/>
    </row>
    <row r="19485" spans="1:1">
      <c r="A19485" s="56"/>
    </row>
    <row r="19486" spans="1:1">
      <c r="A19486" s="56"/>
    </row>
    <row r="19487" spans="1:1">
      <c r="A19487" s="56"/>
    </row>
    <row r="19488" spans="1:1">
      <c r="A19488" s="56"/>
    </row>
    <row r="19489" spans="1:1">
      <c r="A19489" s="56"/>
    </row>
    <row r="19490" spans="1:1">
      <c r="A19490" s="56"/>
    </row>
    <row r="19491" spans="1:1">
      <c r="A19491" s="56"/>
    </row>
    <row r="19492" spans="1:1">
      <c r="A19492" s="56"/>
    </row>
    <row r="19493" spans="1:1">
      <c r="A19493" s="56"/>
    </row>
    <row r="19494" spans="1:1">
      <c r="A19494" s="56"/>
    </row>
    <row r="19495" spans="1:1">
      <c r="A19495" s="56"/>
    </row>
    <row r="19496" spans="1:1">
      <c r="A19496" s="56"/>
    </row>
    <row r="19497" spans="1:1">
      <c r="A19497" s="56"/>
    </row>
    <row r="19498" spans="1:1">
      <c r="A19498" s="56"/>
    </row>
    <row r="19499" spans="1:1">
      <c r="A19499" s="56"/>
    </row>
    <row r="19500" spans="1:1">
      <c r="A19500" s="56"/>
    </row>
    <row r="19501" spans="1:1">
      <c r="A19501" s="56"/>
    </row>
    <row r="19502" spans="1:1">
      <c r="A19502" s="56"/>
    </row>
    <row r="19503" spans="1:1">
      <c r="A19503" s="56"/>
    </row>
    <row r="19504" spans="1:1">
      <c r="A19504" s="56"/>
    </row>
    <row r="19505" spans="1:1">
      <c r="A19505" s="56"/>
    </row>
    <row r="19506" spans="1:1">
      <c r="A19506" s="56"/>
    </row>
    <row r="19507" spans="1:1">
      <c r="A19507" s="56"/>
    </row>
    <row r="19508" spans="1:1">
      <c r="A19508" s="56"/>
    </row>
    <row r="19509" spans="1:1">
      <c r="A19509" s="56"/>
    </row>
    <row r="19510" spans="1:1">
      <c r="A19510" s="56"/>
    </row>
    <row r="19511" spans="1:1">
      <c r="A19511" s="56"/>
    </row>
    <row r="19512" spans="1:1">
      <c r="A19512" s="56"/>
    </row>
    <row r="19513" spans="1:1">
      <c r="A19513" s="56"/>
    </row>
    <row r="19514" spans="1:1">
      <c r="A19514" s="56"/>
    </row>
    <row r="19515" spans="1:1">
      <c r="A19515" s="56"/>
    </row>
    <row r="19516" spans="1:1">
      <c r="A19516" s="56"/>
    </row>
    <row r="19517" spans="1:1">
      <c r="A19517" s="56"/>
    </row>
    <row r="19518" spans="1:1">
      <c r="A19518" s="56"/>
    </row>
    <row r="19519" spans="1:1">
      <c r="A19519" s="56"/>
    </row>
    <row r="19520" spans="1:1">
      <c r="A19520" s="56"/>
    </row>
    <row r="19521" spans="1:1">
      <c r="A19521" s="56"/>
    </row>
    <row r="19522" spans="1:1">
      <c r="A19522" s="56"/>
    </row>
    <row r="19523" spans="1:1">
      <c r="A19523" s="56"/>
    </row>
    <row r="19524" spans="1:1">
      <c r="A19524" s="56"/>
    </row>
    <row r="19525" spans="1:1">
      <c r="A19525" s="56"/>
    </row>
    <row r="19526" spans="1:1">
      <c r="A19526" s="56"/>
    </row>
    <row r="19527" spans="1:1">
      <c r="A19527" s="56"/>
    </row>
    <row r="19528" spans="1:1">
      <c r="A19528" s="56"/>
    </row>
    <row r="19529" spans="1:1">
      <c r="A19529" s="56"/>
    </row>
    <row r="19530" spans="1:1">
      <c r="A19530" s="56"/>
    </row>
    <row r="19531" spans="1:1">
      <c r="A19531" s="56"/>
    </row>
    <row r="19532" spans="1:1">
      <c r="A19532" s="56"/>
    </row>
    <row r="19533" spans="1:1">
      <c r="A19533" s="56"/>
    </row>
    <row r="19534" spans="1:1">
      <c r="A19534" s="56"/>
    </row>
    <row r="19535" spans="1:1">
      <c r="A19535" s="56"/>
    </row>
    <row r="19536" spans="1:1">
      <c r="A19536" s="56"/>
    </row>
    <row r="19537" spans="1:1">
      <c r="A19537" s="56"/>
    </row>
    <row r="19538" spans="1:1">
      <c r="A19538" s="56"/>
    </row>
    <row r="19539" spans="1:1">
      <c r="A19539" s="56"/>
    </row>
    <row r="19540" spans="1:1">
      <c r="A19540" s="56"/>
    </row>
    <row r="19541" spans="1:1">
      <c r="A19541" s="56"/>
    </row>
    <row r="19542" spans="1:1">
      <c r="A19542" s="56"/>
    </row>
    <row r="19543" spans="1:1">
      <c r="A19543" s="56"/>
    </row>
    <row r="19544" spans="1:1">
      <c r="A19544" s="56"/>
    </row>
    <row r="19545" spans="1:1">
      <c r="A19545" s="56"/>
    </row>
    <row r="19546" spans="1:1">
      <c r="A19546" s="56"/>
    </row>
    <row r="19547" spans="1:1">
      <c r="A19547" s="56"/>
    </row>
    <row r="19548" spans="1:1">
      <c r="A19548" s="56"/>
    </row>
    <row r="19549" spans="1:1">
      <c r="A19549" s="56"/>
    </row>
    <row r="19550" spans="1:1">
      <c r="A19550" s="56"/>
    </row>
    <row r="19551" spans="1:1">
      <c r="A19551" s="56"/>
    </row>
    <row r="19552" spans="1:1">
      <c r="A19552" s="56"/>
    </row>
    <row r="19553" spans="1:1">
      <c r="A19553" s="56"/>
    </row>
    <row r="19554" spans="1:1">
      <c r="A19554" s="56"/>
    </row>
    <row r="19555" spans="1:1">
      <c r="A19555" s="56"/>
    </row>
    <row r="19556" spans="1:1">
      <c r="A19556" s="56"/>
    </row>
    <row r="19557" spans="1:1">
      <c r="A19557" s="56"/>
    </row>
    <row r="19558" spans="1:1">
      <c r="A19558" s="56"/>
    </row>
    <row r="19559" spans="1:1">
      <c r="A19559" s="56"/>
    </row>
    <row r="19560" spans="1:1">
      <c r="A19560" s="56"/>
    </row>
    <row r="19561" spans="1:1">
      <c r="A19561" s="56"/>
    </row>
    <row r="19562" spans="1:1">
      <c r="A19562" s="56"/>
    </row>
    <row r="19563" spans="1:1">
      <c r="A19563" s="56"/>
    </row>
    <row r="19564" spans="1:1">
      <c r="A19564" s="56"/>
    </row>
    <row r="19565" spans="1:1">
      <c r="A19565" s="56"/>
    </row>
    <row r="19566" spans="1:1">
      <c r="A19566" s="56"/>
    </row>
    <row r="19567" spans="1:1">
      <c r="A19567" s="56"/>
    </row>
    <row r="19568" spans="1:1">
      <c r="A19568" s="56"/>
    </row>
    <row r="19569" spans="1:1">
      <c r="A19569" s="56"/>
    </row>
    <row r="19570" spans="1:1">
      <c r="A19570" s="56"/>
    </row>
    <row r="19571" spans="1:1">
      <c r="A19571" s="56"/>
    </row>
    <row r="19572" spans="1:1">
      <c r="A19572" s="56"/>
    </row>
    <row r="19573" spans="1:1">
      <c r="A19573" s="56"/>
    </row>
    <row r="19574" spans="1:1">
      <c r="A19574" s="56"/>
    </row>
    <row r="19575" spans="1:1">
      <c r="A19575" s="56"/>
    </row>
    <row r="19576" spans="1:1">
      <c r="A19576" s="56"/>
    </row>
    <row r="19577" spans="1:1">
      <c r="A19577" s="56"/>
    </row>
    <row r="19578" spans="1:1">
      <c r="A19578" s="56"/>
    </row>
    <row r="19579" spans="1:1">
      <c r="A19579" s="56"/>
    </row>
    <row r="19580" spans="1:1">
      <c r="A19580" s="56"/>
    </row>
    <row r="19581" spans="1:1">
      <c r="A19581" s="56"/>
    </row>
    <row r="19582" spans="1:1">
      <c r="A19582" s="56"/>
    </row>
    <row r="19583" spans="1:1">
      <c r="A19583" s="56"/>
    </row>
    <row r="19584" spans="1:1">
      <c r="A19584" s="56"/>
    </row>
    <row r="19585" spans="1:1">
      <c r="A19585" s="56"/>
    </row>
    <row r="19586" spans="1:1">
      <c r="A19586" s="56"/>
    </row>
    <row r="19587" spans="1:1">
      <c r="A19587" s="56"/>
    </row>
    <row r="19588" spans="1:1">
      <c r="A19588" s="56"/>
    </row>
    <row r="19589" spans="1:1">
      <c r="A19589" s="56"/>
    </row>
    <row r="19590" spans="1:1">
      <c r="A19590" s="56"/>
    </row>
    <row r="19591" spans="1:1">
      <c r="A19591" s="56"/>
    </row>
    <row r="19592" spans="1:1">
      <c r="A19592" s="56"/>
    </row>
    <row r="19593" spans="1:1">
      <c r="A19593" s="56"/>
    </row>
    <row r="19594" spans="1:1">
      <c r="A19594" s="56"/>
    </row>
    <row r="19595" spans="1:1">
      <c r="A19595" s="56"/>
    </row>
    <row r="19596" spans="1:1">
      <c r="A19596" s="56"/>
    </row>
    <row r="19597" spans="1:1">
      <c r="A19597" s="56"/>
    </row>
    <row r="19598" spans="1:1">
      <c r="A19598" s="56"/>
    </row>
    <row r="19599" spans="1:1">
      <c r="A19599" s="56"/>
    </row>
    <row r="19600" spans="1:1">
      <c r="A19600" s="56"/>
    </row>
    <row r="19601" spans="1:1">
      <c r="A19601" s="56"/>
    </row>
    <row r="19602" spans="1:1">
      <c r="A19602" s="56"/>
    </row>
    <row r="19603" spans="1:1">
      <c r="A19603" s="56"/>
    </row>
    <row r="19604" spans="1:1">
      <c r="A19604" s="56"/>
    </row>
    <row r="19605" spans="1:1">
      <c r="A19605" s="56"/>
    </row>
    <row r="19606" spans="1:1">
      <c r="A19606" s="56"/>
    </row>
    <row r="19607" spans="1:1">
      <c r="A19607" s="56"/>
    </row>
    <row r="19608" spans="1:1">
      <c r="A19608" s="56"/>
    </row>
    <row r="19609" spans="1:1">
      <c r="A19609" s="56"/>
    </row>
    <row r="19610" spans="1:1">
      <c r="A19610" s="56"/>
    </row>
    <row r="19611" spans="1:1">
      <c r="A19611" s="56"/>
    </row>
    <row r="19612" spans="1:1">
      <c r="A19612" s="56"/>
    </row>
    <row r="19613" spans="1:1">
      <c r="A19613" s="56"/>
    </row>
    <row r="19614" spans="1:1">
      <c r="A19614" s="56"/>
    </row>
    <row r="19615" spans="1:1">
      <c r="A19615" s="56"/>
    </row>
    <row r="19616" spans="1:1">
      <c r="A19616" s="56"/>
    </row>
    <row r="19617" spans="1:1">
      <c r="A19617" s="56"/>
    </row>
    <row r="19618" spans="1:1">
      <c r="A19618" s="56"/>
    </row>
    <row r="19619" spans="1:1">
      <c r="A19619" s="56"/>
    </row>
    <row r="19620" spans="1:1">
      <c r="A19620" s="56"/>
    </row>
    <row r="19621" spans="1:1">
      <c r="A19621" s="56"/>
    </row>
    <row r="19622" spans="1:1">
      <c r="A19622" s="56"/>
    </row>
    <row r="19623" spans="1:1">
      <c r="A19623" s="56"/>
    </row>
    <row r="19624" spans="1:1">
      <c r="A19624" s="56"/>
    </row>
    <row r="19625" spans="1:1">
      <c r="A19625" s="56"/>
    </row>
    <row r="19626" spans="1:1">
      <c r="A19626" s="56"/>
    </row>
    <row r="19627" spans="1:1">
      <c r="A19627" s="56"/>
    </row>
    <row r="19628" spans="1:1">
      <c r="A19628" s="56"/>
    </row>
    <row r="19629" spans="1:1">
      <c r="A19629" s="56"/>
    </row>
    <row r="19630" spans="1:1">
      <c r="A19630" s="56"/>
    </row>
    <row r="19631" spans="1:1">
      <c r="A19631" s="56"/>
    </row>
    <row r="19632" spans="1:1">
      <c r="A19632" s="56"/>
    </row>
    <row r="19633" spans="1:1">
      <c r="A19633" s="56"/>
    </row>
    <row r="19634" spans="1:1">
      <c r="A19634" s="56"/>
    </row>
    <row r="19635" spans="1:1">
      <c r="A19635" s="56"/>
    </row>
    <row r="19636" spans="1:1">
      <c r="A19636" s="56"/>
    </row>
    <row r="19637" spans="1:1">
      <c r="A19637" s="56"/>
    </row>
    <row r="19638" spans="1:1">
      <c r="A19638" s="56"/>
    </row>
    <row r="19639" spans="1:1">
      <c r="A19639" s="56"/>
    </row>
    <row r="19640" spans="1:1">
      <c r="A19640" s="56"/>
    </row>
    <row r="19641" spans="1:1">
      <c r="A19641" s="56"/>
    </row>
    <row r="19642" spans="1:1">
      <c r="A19642" s="56"/>
    </row>
    <row r="19643" spans="1:1">
      <c r="A19643" s="56"/>
    </row>
    <row r="19644" spans="1:1">
      <c r="A19644" s="56"/>
    </row>
    <row r="19645" spans="1:1">
      <c r="A19645" s="56"/>
    </row>
    <row r="19646" spans="1:1">
      <c r="A19646" s="56"/>
    </row>
    <row r="19647" spans="1:1">
      <c r="A19647" s="56"/>
    </row>
    <row r="19648" spans="1:1">
      <c r="A19648" s="56"/>
    </row>
    <row r="19649" spans="1:1">
      <c r="A19649" s="56"/>
    </row>
    <row r="19650" spans="1:1">
      <c r="A19650" s="56"/>
    </row>
    <row r="19651" spans="1:1">
      <c r="A19651" s="56"/>
    </row>
    <row r="19652" spans="1:1">
      <c r="A19652" s="56"/>
    </row>
    <row r="19653" spans="1:1">
      <c r="A19653" s="56"/>
    </row>
    <row r="19654" spans="1:1">
      <c r="A19654" s="56"/>
    </row>
    <row r="19655" spans="1:1">
      <c r="A19655" s="56"/>
    </row>
    <row r="19656" spans="1:1">
      <c r="A19656" s="56"/>
    </row>
    <row r="19657" spans="1:1">
      <c r="A19657" s="56"/>
    </row>
    <row r="19658" spans="1:1">
      <c r="A19658" s="56"/>
    </row>
    <row r="19659" spans="1:1">
      <c r="A19659" s="56"/>
    </row>
    <row r="19660" spans="1:1">
      <c r="A19660" s="56"/>
    </row>
    <row r="19661" spans="1:1">
      <c r="A19661" s="56"/>
    </row>
    <row r="19662" spans="1:1">
      <c r="A19662" s="56"/>
    </row>
    <row r="19663" spans="1:1">
      <c r="A19663" s="56"/>
    </row>
    <row r="19664" spans="1:1">
      <c r="A19664" s="56"/>
    </row>
    <row r="19665" spans="1:1">
      <c r="A19665" s="56"/>
    </row>
    <row r="19666" spans="1:1">
      <c r="A19666" s="56"/>
    </row>
    <row r="19667" spans="1:1">
      <c r="A19667" s="56"/>
    </row>
    <row r="19668" spans="1:1">
      <c r="A19668" s="56"/>
    </row>
    <row r="19669" spans="1:1">
      <c r="A19669" s="56"/>
    </row>
    <row r="19670" spans="1:1">
      <c r="A19670" s="56"/>
    </row>
    <row r="19671" spans="1:1">
      <c r="A19671" s="56"/>
    </row>
    <row r="19672" spans="1:1">
      <c r="A19672" s="56"/>
    </row>
    <row r="19673" spans="1:1">
      <c r="A19673" s="56"/>
    </row>
    <row r="19674" spans="1:1">
      <c r="A19674" s="56"/>
    </row>
    <row r="19675" spans="1:1">
      <c r="A19675" s="56"/>
    </row>
    <row r="19676" spans="1:1">
      <c r="A19676" s="56"/>
    </row>
    <row r="19677" spans="1:1">
      <c r="A19677" s="56"/>
    </row>
    <row r="19678" spans="1:1">
      <c r="A19678" s="56"/>
    </row>
    <row r="19679" spans="1:1">
      <c r="A19679" s="56"/>
    </row>
    <row r="19680" spans="1:1">
      <c r="A19680" s="56"/>
    </row>
    <row r="19681" spans="1:1">
      <c r="A19681" s="56"/>
    </row>
    <row r="19682" spans="1:1">
      <c r="A19682" s="56"/>
    </row>
    <row r="19683" spans="1:1">
      <c r="A19683" s="56"/>
    </row>
    <row r="19684" spans="1:1">
      <c r="A19684" s="56"/>
    </row>
    <row r="19685" spans="1:1">
      <c r="A19685" s="56"/>
    </row>
    <row r="19686" spans="1:1">
      <c r="A19686" s="56"/>
    </row>
    <row r="19687" spans="1:1">
      <c r="A19687" s="56"/>
    </row>
    <row r="19688" spans="1:1">
      <c r="A19688" s="56"/>
    </row>
    <row r="19689" spans="1:1">
      <c r="A19689" s="56"/>
    </row>
    <row r="19690" spans="1:1">
      <c r="A19690" s="56"/>
    </row>
    <row r="19691" spans="1:1">
      <c r="A19691" s="56"/>
    </row>
    <row r="19692" spans="1:1">
      <c r="A19692" s="56"/>
    </row>
    <row r="19693" spans="1:1">
      <c r="A19693" s="56"/>
    </row>
    <row r="19694" spans="1:1">
      <c r="A19694" s="56"/>
    </row>
    <row r="19695" spans="1:1">
      <c r="A19695" s="56"/>
    </row>
    <row r="19696" spans="1:1">
      <c r="A19696" s="56"/>
    </row>
    <row r="19697" spans="1:1">
      <c r="A19697" s="56"/>
    </row>
    <row r="19698" spans="1:1">
      <c r="A19698" s="56"/>
    </row>
    <row r="19699" spans="1:1">
      <c r="A19699" s="56"/>
    </row>
    <row r="19700" spans="1:1">
      <c r="A19700" s="56"/>
    </row>
    <row r="19701" spans="1:1">
      <c r="A19701" s="56"/>
    </row>
    <row r="19702" spans="1:1">
      <c r="A19702" s="56"/>
    </row>
    <row r="19703" spans="1:1">
      <c r="A19703" s="56"/>
    </row>
    <row r="19704" spans="1:1">
      <c r="A19704" s="56"/>
    </row>
    <row r="19705" spans="1:1">
      <c r="A19705" s="56"/>
    </row>
    <row r="19706" spans="1:1">
      <c r="A19706" s="56"/>
    </row>
    <row r="19707" spans="1:1">
      <c r="A19707" s="56"/>
    </row>
    <row r="19708" spans="1:1">
      <c r="A19708" s="56"/>
    </row>
    <row r="19709" spans="1:1">
      <c r="A19709" s="56"/>
    </row>
    <row r="19710" spans="1:1">
      <c r="A19710" s="56"/>
    </row>
    <row r="19711" spans="1:1">
      <c r="A19711" s="56"/>
    </row>
    <row r="19712" spans="1:1">
      <c r="A19712" s="56"/>
    </row>
    <row r="19713" spans="1:1">
      <c r="A19713" s="56"/>
    </row>
    <row r="19714" spans="1:1">
      <c r="A19714" s="56"/>
    </row>
    <row r="19715" spans="1:1">
      <c r="A19715" s="56"/>
    </row>
    <row r="19716" spans="1:1">
      <c r="A19716" s="56"/>
    </row>
    <row r="19717" spans="1:1">
      <c r="A19717" s="56"/>
    </row>
    <row r="19718" spans="1:1">
      <c r="A19718" s="56"/>
    </row>
    <row r="19719" spans="1:1">
      <c r="A19719" s="56"/>
    </row>
    <row r="19720" spans="1:1">
      <c r="A19720" s="56"/>
    </row>
    <row r="19721" spans="1:1">
      <c r="A19721" s="56"/>
    </row>
    <row r="19722" spans="1:1">
      <c r="A19722" s="56"/>
    </row>
    <row r="19723" spans="1:1">
      <c r="A19723" s="56"/>
    </row>
    <row r="19724" spans="1:1">
      <c r="A19724" s="56"/>
    </row>
    <row r="19725" spans="1:1">
      <c r="A19725" s="56"/>
    </row>
    <row r="19726" spans="1:1">
      <c r="A19726" s="56"/>
    </row>
    <row r="19727" spans="1:1">
      <c r="A19727" s="56"/>
    </row>
    <row r="19728" spans="1:1">
      <c r="A19728" s="56"/>
    </row>
    <row r="19729" spans="1:1">
      <c r="A19729" s="56"/>
    </row>
    <row r="19730" spans="1:1">
      <c r="A19730" s="56"/>
    </row>
    <row r="19731" spans="1:1">
      <c r="A19731" s="56"/>
    </row>
    <row r="19732" spans="1:1">
      <c r="A19732" s="56"/>
    </row>
    <row r="19733" spans="1:1">
      <c r="A19733" s="56"/>
    </row>
    <row r="19734" spans="1:1">
      <c r="A19734" s="56"/>
    </row>
    <row r="19735" spans="1:1">
      <c r="A19735" s="56"/>
    </row>
    <row r="19736" spans="1:1">
      <c r="A19736" s="56"/>
    </row>
    <row r="19737" spans="1:1">
      <c r="A19737" s="56"/>
    </row>
    <row r="19738" spans="1:1">
      <c r="A19738" s="56"/>
    </row>
    <row r="19739" spans="1:1">
      <c r="A19739" s="56"/>
    </row>
    <row r="19740" spans="1:1">
      <c r="A19740" s="56"/>
    </row>
    <row r="19741" spans="1:1">
      <c r="A19741" s="56"/>
    </row>
    <row r="19742" spans="1:1">
      <c r="A19742" s="56"/>
    </row>
    <row r="19743" spans="1:1">
      <c r="A19743" s="56"/>
    </row>
    <row r="19744" spans="1:1">
      <c r="A19744" s="56"/>
    </row>
    <row r="19745" spans="1:1">
      <c r="A19745" s="56"/>
    </row>
    <row r="19746" spans="1:1">
      <c r="A19746" s="56"/>
    </row>
    <row r="19747" spans="1:1">
      <c r="A19747" s="56"/>
    </row>
    <row r="19748" spans="1:1">
      <c r="A19748" s="56"/>
    </row>
    <row r="19749" spans="1:1">
      <c r="A19749" s="56"/>
    </row>
    <row r="19750" spans="1:1">
      <c r="A19750" s="56"/>
    </row>
    <row r="19751" spans="1:1">
      <c r="A19751" s="56"/>
    </row>
    <row r="19752" spans="1:1">
      <c r="A19752" s="56"/>
    </row>
    <row r="19753" spans="1:1">
      <c r="A19753" s="56"/>
    </row>
    <row r="19754" spans="1:1">
      <c r="A19754" s="56"/>
    </row>
    <row r="19755" spans="1:1">
      <c r="A19755" s="56"/>
    </row>
    <row r="19756" spans="1:1">
      <c r="A19756" s="56"/>
    </row>
    <row r="19757" spans="1:1">
      <c r="A19757" s="56"/>
    </row>
    <row r="19758" spans="1:1">
      <c r="A19758" s="56"/>
    </row>
    <row r="19759" spans="1:1">
      <c r="A19759" s="56"/>
    </row>
    <row r="19760" spans="1:1">
      <c r="A19760" s="56"/>
    </row>
    <row r="19761" spans="1:1">
      <c r="A19761" s="56"/>
    </row>
    <row r="19762" spans="1:1">
      <c r="A19762" s="56"/>
    </row>
    <row r="19763" spans="1:1">
      <c r="A19763" s="56"/>
    </row>
    <row r="19764" spans="1:1">
      <c r="A19764" s="56"/>
    </row>
    <row r="19765" spans="1:1">
      <c r="A19765" s="56"/>
    </row>
    <row r="19766" spans="1:1">
      <c r="A19766" s="56"/>
    </row>
    <row r="19767" spans="1:1">
      <c r="A19767" s="56"/>
    </row>
    <row r="19768" spans="1:1">
      <c r="A19768" s="56"/>
    </row>
    <row r="19769" spans="1:1">
      <c r="A19769" s="56"/>
    </row>
    <row r="19770" spans="1:1">
      <c r="A19770" s="56"/>
    </row>
    <row r="19771" spans="1:1">
      <c r="A19771" s="56"/>
    </row>
    <row r="19772" spans="1:1">
      <c r="A19772" s="56"/>
    </row>
    <row r="19773" spans="1:1">
      <c r="A19773" s="56"/>
    </row>
    <row r="19774" spans="1:1">
      <c r="A19774" s="56"/>
    </row>
    <row r="19775" spans="1:1">
      <c r="A19775" s="56"/>
    </row>
    <row r="19776" spans="1:1">
      <c r="A19776" s="56"/>
    </row>
    <row r="19777" spans="1:1">
      <c r="A19777" s="56"/>
    </row>
    <row r="19778" spans="1:1">
      <c r="A19778" s="56"/>
    </row>
    <row r="19779" spans="1:1">
      <c r="A19779" s="56"/>
    </row>
    <row r="19780" spans="1:1">
      <c r="A19780" s="56"/>
    </row>
    <row r="19781" spans="1:1">
      <c r="A19781" s="56"/>
    </row>
    <row r="19782" spans="1:1">
      <c r="A19782" s="56"/>
    </row>
    <row r="19783" spans="1:1">
      <c r="A19783" s="56"/>
    </row>
    <row r="19784" spans="1:1">
      <c r="A19784" s="56"/>
    </row>
    <row r="19785" spans="1:1">
      <c r="A19785" s="56"/>
    </row>
    <row r="19786" spans="1:1">
      <c r="A19786" s="56"/>
    </row>
    <row r="19787" spans="1:1">
      <c r="A19787" s="56"/>
    </row>
    <row r="19788" spans="1:1">
      <c r="A19788" s="56"/>
    </row>
    <row r="19789" spans="1:1">
      <c r="A19789" s="56"/>
    </row>
    <row r="19790" spans="1:1">
      <c r="A19790" s="56"/>
    </row>
    <row r="19791" spans="1:1">
      <c r="A19791" s="56"/>
    </row>
    <row r="19792" spans="1:1">
      <c r="A19792" s="56"/>
    </row>
    <row r="19793" spans="1:1">
      <c r="A19793" s="56"/>
    </row>
    <row r="19794" spans="1:1">
      <c r="A19794" s="56"/>
    </row>
    <row r="19795" spans="1:1">
      <c r="A19795" s="56"/>
    </row>
    <row r="19796" spans="1:1">
      <c r="A19796" s="56"/>
    </row>
    <row r="19797" spans="1:1">
      <c r="A19797" s="56"/>
    </row>
    <row r="19798" spans="1:1">
      <c r="A19798" s="56"/>
    </row>
    <row r="19799" spans="1:1">
      <c r="A19799" s="56"/>
    </row>
    <row r="19800" spans="1:1">
      <c r="A19800" s="56"/>
    </row>
    <row r="19801" spans="1:1">
      <c r="A19801" s="56"/>
    </row>
    <row r="19802" spans="1:1">
      <c r="A19802" s="56"/>
    </row>
    <row r="19803" spans="1:1">
      <c r="A19803" s="56"/>
    </row>
    <row r="19804" spans="1:1">
      <c r="A19804" s="56"/>
    </row>
    <row r="19805" spans="1:1">
      <c r="A19805" s="56"/>
    </row>
    <row r="19806" spans="1:1">
      <c r="A19806" s="56"/>
    </row>
    <row r="19807" spans="1:1">
      <c r="A19807" s="56"/>
    </row>
    <row r="19808" spans="1:1">
      <c r="A19808" s="56"/>
    </row>
    <row r="19809" spans="1:1">
      <c r="A19809" s="56"/>
    </row>
    <row r="19810" spans="1:1">
      <c r="A19810" s="56"/>
    </row>
    <row r="19811" spans="1:1">
      <c r="A19811" s="56"/>
    </row>
    <row r="19812" spans="1:1">
      <c r="A19812" s="56"/>
    </row>
    <row r="19813" spans="1:1">
      <c r="A19813" s="56"/>
    </row>
    <row r="19814" spans="1:1">
      <c r="A19814" s="56"/>
    </row>
    <row r="19815" spans="1:1">
      <c r="A19815" s="56"/>
    </row>
    <row r="19816" spans="1:1">
      <c r="A19816" s="56"/>
    </row>
    <row r="19817" spans="1:1">
      <c r="A19817" s="56"/>
    </row>
    <row r="19818" spans="1:1">
      <c r="A19818" s="56"/>
    </row>
    <row r="19819" spans="1:1">
      <c r="A19819" s="56"/>
    </row>
    <row r="19820" spans="1:1">
      <c r="A19820" s="56"/>
    </row>
    <row r="19821" spans="1:1">
      <c r="A19821" s="56"/>
    </row>
    <row r="19822" spans="1:1">
      <c r="A19822" s="56"/>
    </row>
    <row r="19823" spans="1:1">
      <c r="A19823" s="56"/>
    </row>
    <row r="19824" spans="1:1">
      <c r="A19824" s="56"/>
    </row>
    <row r="19825" spans="1:1">
      <c r="A19825" s="56"/>
    </row>
    <row r="19826" spans="1:1">
      <c r="A19826" s="56"/>
    </row>
    <row r="19827" spans="1:1">
      <c r="A19827" s="56"/>
    </row>
    <row r="19828" spans="1:1">
      <c r="A19828" s="56"/>
    </row>
    <row r="19829" spans="1:1">
      <c r="A19829" s="56"/>
    </row>
    <row r="19830" spans="1:1">
      <c r="A19830" s="56"/>
    </row>
    <row r="19831" spans="1:1">
      <c r="A19831" s="56"/>
    </row>
    <row r="19832" spans="1:1">
      <c r="A19832" s="56"/>
    </row>
    <row r="19833" spans="1:1">
      <c r="A19833" s="56"/>
    </row>
    <row r="19834" spans="1:1">
      <c r="A19834" s="56"/>
    </row>
    <row r="19835" spans="1:1">
      <c r="A19835" s="56"/>
    </row>
    <row r="19836" spans="1:1">
      <c r="A19836" s="56"/>
    </row>
    <row r="19837" spans="1:1">
      <c r="A19837" s="56"/>
    </row>
    <row r="19838" spans="1:1">
      <c r="A19838" s="56"/>
    </row>
    <row r="19839" spans="1:1">
      <c r="A19839" s="56"/>
    </row>
    <row r="19840" spans="1:1">
      <c r="A19840" s="56"/>
    </row>
    <row r="19841" spans="1:1">
      <c r="A19841" s="56"/>
    </row>
    <row r="19842" spans="1:1">
      <c r="A19842" s="56"/>
    </row>
    <row r="19843" spans="1:1">
      <c r="A19843" s="56"/>
    </row>
    <row r="19844" spans="1:1">
      <c r="A19844" s="56"/>
    </row>
    <row r="19845" spans="1:1">
      <c r="A19845" s="56"/>
    </row>
    <row r="19846" spans="1:1">
      <c r="A19846" s="56"/>
    </row>
    <row r="19847" spans="1:1">
      <c r="A19847" s="56"/>
    </row>
    <row r="19848" spans="1:1">
      <c r="A19848" s="56"/>
    </row>
    <row r="19849" spans="1:1">
      <c r="A19849" s="56"/>
    </row>
    <row r="19850" spans="1:1">
      <c r="A19850" s="56"/>
    </row>
    <row r="19851" spans="1:1">
      <c r="A19851" s="56"/>
    </row>
    <row r="19852" spans="1:1">
      <c r="A19852" s="56"/>
    </row>
    <row r="19853" spans="1:1">
      <c r="A19853" s="56"/>
    </row>
    <row r="19854" spans="1:1">
      <c r="A19854" s="56"/>
    </row>
    <row r="19855" spans="1:1">
      <c r="A19855" s="56"/>
    </row>
    <row r="19856" spans="1:1">
      <c r="A19856" s="56"/>
    </row>
    <row r="19857" spans="1:1">
      <c r="A19857" s="56"/>
    </row>
    <row r="19858" spans="1:1">
      <c r="A19858" s="56"/>
    </row>
    <row r="19859" spans="1:1">
      <c r="A19859" s="56"/>
    </row>
    <row r="19860" spans="1:1">
      <c r="A19860" s="56"/>
    </row>
    <row r="19861" spans="1:1">
      <c r="A19861" s="56"/>
    </row>
    <row r="19862" spans="1:1">
      <c r="A19862" s="56"/>
    </row>
    <row r="19863" spans="1:1">
      <c r="A19863" s="56"/>
    </row>
    <row r="19864" spans="1:1">
      <c r="A19864" s="56"/>
    </row>
    <row r="19865" spans="1:1">
      <c r="A19865" s="56"/>
    </row>
    <row r="19866" spans="1:1">
      <c r="A19866" s="56"/>
    </row>
    <row r="19867" spans="1:1">
      <c r="A19867" s="56"/>
    </row>
    <row r="19868" spans="1:1">
      <c r="A19868" s="56"/>
    </row>
    <row r="19869" spans="1:1">
      <c r="A19869" s="56"/>
    </row>
    <row r="19870" spans="1:1">
      <c r="A19870" s="56"/>
    </row>
    <row r="19871" spans="1:1">
      <c r="A19871" s="56"/>
    </row>
    <row r="19872" spans="1:1">
      <c r="A19872" s="56"/>
    </row>
    <row r="19873" spans="1:1">
      <c r="A19873" s="56"/>
    </row>
    <row r="19874" spans="1:1">
      <c r="A19874" s="56"/>
    </row>
    <row r="19875" spans="1:1">
      <c r="A19875" s="56"/>
    </row>
    <row r="19876" spans="1:1">
      <c r="A19876" s="56"/>
    </row>
    <row r="19877" spans="1:1">
      <c r="A19877" s="56"/>
    </row>
    <row r="19878" spans="1:1">
      <c r="A19878" s="56"/>
    </row>
    <row r="19879" spans="1:1">
      <c r="A19879" s="56"/>
    </row>
    <row r="19880" spans="1:1">
      <c r="A19880" s="56"/>
    </row>
    <row r="19881" spans="1:1">
      <c r="A19881" s="56"/>
    </row>
    <row r="19882" spans="1:1">
      <c r="A19882" s="56"/>
    </row>
    <row r="19883" spans="1:1">
      <c r="A19883" s="56"/>
    </row>
    <row r="19884" spans="1:1">
      <c r="A19884" s="56"/>
    </row>
    <row r="19885" spans="1:1">
      <c r="A19885" s="56"/>
    </row>
    <row r="19886" spans="1:1">
      <c r="A19886" s="56"/>
    </row>
    <row r="19887" spans="1:1">
      <c r="A19887" s="56"/>
    </row>
    <row r="19888" spans="1:1">
      <c r="A19888" s="56"/>
    </row>
    <row r="19889" spans="1:1">
      <c r="A19889" s="56"/>
    </row>
    <row r="19890" spans="1:1">
      <c r="A19890" s="56"/>
    </row>
    <row r="19891" spans="1:1">
      <c r="A19891" s="56"/>
    </row>
    <row r="19892" spans="1:1">
      <c r="A19892" s="56"/>
    </row>
    <row r="19893" spans="1:1">
      <c r="A19893" s="56"/>
    </row>
    <row r="19894" spans="1:1">
      <c r="A19894" s="56"/>
    </row>
    <row r="19895" spans="1:1">
      <c r="A19895" s="56"/>
    </row>
    <row r="19896" spans="1:1">
      <c r="A19896" s="56"/>
    </row>
    <row r="19897" spans="1:1">
      <c r="A19897" s="56"/>
    </row>
    <row r="19898" spans="1:1">
      <c r="A19898" s="56"/>
    </row>
    <row r="19899" spans="1:1">
      <c r="A19899" s="56"/>
    </row>
    <row r="19900" spans="1:1">
      <c r="A19900" s="56"/>
    </row>
    <row r="19901" spans="1:1">
      <c r="A19901" s="56"/>
    </row>
    <row r="19902" spans="1:1">
      <c r="A19902" s="56"/>
    </row>
    <row r="19903" spans="1:1">
      <c r="A19903" s="56"/>
    </row>
    <row r="19904" spans="1:1">
      <c r="A19904" s="56"/>
    </row>
    <row r="19905" spans="1:1">
      <c r="A19905" s="56"/>
    </row>
    <row r="19906" spans="1:1">
      <c r="A19906" s="56"/>
    </row>
    <row r="19907" spans="1:1">
      <c r="A19907" s="56"/>
    </row>
    <row r="19908" spans="1:1">
      <c r="A19908" s="56"/>
    </row>
    <row r="19909" spans="1:1">
      <c r="A19909" s="56"/>
    </row>
    <row r="19910" spans="1:1">
      <c r="A19910" s="56"/>
    </row>
    <row r="19911" spans="1:1">
      <c r="A19911" s="56"/>
    </row>
    <row r="19912" spans="1:1">
      <c r="A19912" s="56"/>
    </row>
    <row r="19913" spans="1:1">
      <c r="A19913" s="56"/>
    </row>
    <row r="19914" spans="1:1">
      <c r="A19914" s="56"/>
    </row>
    <row r="19915" spans="1:1">
      <c r="A19915" s="56"/>
    </row>
    <row r="19916" spans="1:1">
      <c r="A19916" s="56"/>
    </row>
    <row r="19917" spans="1:1">
      <c r="A19917" s="56"/>
    </row>
    <row r="19918" spans="1:1">
      <c r="A19918" s="56"/>
    </row>
    <row r="19919" spans="1:1">
      <c r="A19919" s="56"/>
    </row>
    <row r="19920" spans="1:1">
      <c r="A19920" s="56"/>
    </row>
    <row r="19921" spans="1:1">
      <c r="A19921" s="56"/>
    </row>
    <row r="19922" spans="1:1">
      <c r="A19922" s="56"/>
    </row>
    <row r="19923" spans="1:1">
      <c r="A19923" s="56"/>
    </row>
    <row r="19924" spans="1:1">
      <c r="A19924" s="56"/>
    </row>
    <row r="19925" spans="1:1">
      <c r="A19925" s="56"/>
    </row>
    <row r="19926" spans="1:1">
      <c r="A19926" s="56"/>
    </row>
    <row r="19927" spans="1:1">
      <c r="A19927" s="56"/>
    </row>
    <row r="19928" spans="1:1">
      <c r="A19928" s="56"/>
    </row>
    <row r="19929" spans="1:1">
      <c r="A19929" s="56"/>
    </row>
    <row r="19930" spans="1:1">
      <c r="A19930" s="56"/>
    </row>
    <row r="19931" spans="1:1">
      <c r="A19931" s="56"/>
    </row>
    <row r="19932" spans="1:1">
      <c r="A19932" s="56"/>
    </row>
    <row r="19933" spans="1:1">
      <c r="A19933" s="56"/>
    </row>
    <row r="19934" spans="1:1">
      <c r="A19934" s="56"/>
    </row>
    <row r="19935" spans="1:1">
      <c r="A19935" s="56"/>
    </row>
    <row r="19936" spans="1:1">
      <c r="A19936" s="56"/>
    </row>
    <row r="19937" spans="1:1">
      <c r="A19937" s="56"/>
    </row>
    <row r="19938" spans="1:1">
      <c r="A19938" s="56"/>
    </row>
    <row r="19939" spans="1:1">
      <c r="A19939" s="56"/>
    </row>
    <row r="19940" spans="1:1">
      <c r="A19940" s="56"/>
    </row>
    <row r="19941" spans="1:1">
      <c r="A19941" s="56"/>
    </row>
    <row r="19942" spans="1:1">
      <c r="A19942" s="56"/>
    </row>
    <row r="19943" spans="1:1">
      <c r="A19943" s="56"/>
    </row>
    <row r="19944" spans="1:1">
      <c r="A19944" s="56"/>
    </row>
    <row r="19945" spans="1:1">
      <c r="A19945" s="56"/>
    </row>
    <row r="19946" spans="1:1">
      <c r="A19946" s="56"/>
    </row>
    <row r="19947" spans="1:1">
      <c r="A19947" s="56"/>
    </row>
    <row r="19948" spans="1:1">
      <c r="A19948" s="56"/>
    </row>
    <row r="19949" spans="1:1">
      <c r="A19949" s="56"/>
    </row>
    <row r="19950" spans="1:1">
      <c r="A19950" s="56"/>
    </row>
    <row r="19951" spans="1:1">
      <c r="A19951" s="56"/>
    </row>
    <row r="19952" spans="1:1">
      <c r="A19952" s="56"/>
    </row>
    <row r="19953" spans="1:1">
      <c r="A19953" s="56"/>
    </row>
    <row r="19954" spans="1:1">
      <c r="A19954" s="56"/>
    </row>
    <row r="19955" spans="1:1">
      <c r="A19955" s="56"/>
    </row>
    <row r="19956" spans="1:1">
      <c r="A19956" s="56"/>
    </row>
    <row r="19957" spans="1:1">
      <c r="A19957" s="56"/>
    </row>
    <row r="19958" spans="1:1">
      <c r="A19958" s="56"/>
    </row>
    <row r="19959" spans="1:1">
      <c r="A19959" s="56"/>
    </row>
    <row r="19960" spans="1:1">
      <c r="A19960" s="56"/>
    </row>
    <row r="19961" spans="1:1">
      <c r="A19961" s="56"/>
    </row>
    <row r="19962" spans="1:1">
      <c r="A19962" s="56"/>
    </row>
    <row r="19963" spans="1:1">
      <c r="A19963" s="56"/>
    </row>
    <row r="19964" spans="1:1">
      <c r="A19964" s="56"/>
    </row>
    <row r="19965" spans="1:1">
      <c r="A19965" s="56"/>
    </row>
    <row r="19966" spans="1:1">
      <c r="A19966" s="56"/>
    </row>
    <row r="19967" spans="1:1">
      <c r="A19967" s="56"/>
    </row>
    <row r="19968" spans="1:1">
      <c r="A19968" s="56"/>
    </row>
    <row r="19969" spans="1:1">
      <c r="A19969" s="56"/>
    </row>
    <row r="19970" spans="1:1">
      <c r="A19970" s="56"/>
    </row>
    <row r="19971" spans="1:1">
      <c r="A19971" s="56"/>
    </row>
    <row r="19972" spans="1:1">
      <c r="A19972" s="56"/>
    </row>
    <row r="19973" spans="1:1">
      <c r="A19973" s="56"/>
    </row>
    <row r="19974" spans="1:1">
      <c r="A19974" s="56"/>
    </row>
    <row r="19975" spans="1:1">
      <c r="A19975" s="56"/>
    </row>
    <row r="19976" spans="1:1">
      <c r="A19976" s="56"/>
    </row>
    <row r="19977" spans="1:1">
      <c r="A19977" s="56"/>
    </row>
    <row r="19978" spans="1:1">
      <c r="A19978" s="56"/>
    </row>
    <row r="19979" spans="1:1">
      <c r="A19979" s="56"/>
    </row>
    <row r="19980" spans="1:1">
      <c r="A19980" s="56"/>
    </row>
    <row r="19981" spans="1:1">
      <c r="A19981" s="56"/>
    </row>
    <row r="19982" spans="1:1">
      <c r="A19982" s="56"/>
    </row>
    <row r="19983" spans="1:1">
      <c r="A19983" s="56"/>
    </row>
    <row r="19984" spans="1:1">
      <c r="A19984" s="56"/>
    </row>
    <row r="19985" spans="1:1">
      <c r="A19985" s="56"/>
    </row>
    <row r="19986" spans="1:1">
      <c r="A19986" s="56"/>
    </row>
    <row r="19987" spans="1:1">
      <c r="A19987" s="56"/>
    </row>
    <row r="19988" spans="1:1">
      <c r="A19988" s="56"/>
    </row>
    <row r="19989" spans="1:1">
      <c r="A19989" s="56"/>
    </row>
    <row r="19990" spans="1:1">
      <c r="A19990" s="56"/>
    </row>
    <row r="19991" spans="1:1">
      <c r="A19991" s="56"/>
    </row>
    <row r="19992" spans="1:1">
      <c r="A19992" s="56"/>
    </row>
    <row r="19993" spans="1:1">
      <c r="A19993" s="56"/>
    </row>
    <row r="19994" spans="1:1">
      <c r="A19994" s="56"/>
    </row>
    <row r="19995" spans="1:1">
      <c r="A19995" s="56"/>
    </row>
    <row r="19996" spans="1:1">
      <c r="A19996" s="56"/>
    </row>
    <row r="19997" spans="1:1">
      <c r="A19997" s="56"/>
    </row>
    <row r="19998" spans="1:1">
      <c r="A19998" s="56"/>
    </row>
    <row r="19999" spans="1:1">
      <c r="A19999" s="56"/>
    </row>
    <row r="20000" spans="1:1">
      <c r="A20000" s="56"/>
    </row>
    <row r="20001" spans="1:1">
      <c r="A20001" s="56"/>
    </row>
    <row r="20002" spans="1:1">
      <c r="A20002" s="56"/>
    </row>
    <row r="20003" spans="1:1">
      <c r="A20003" s="56"/>
    </row>
    <row r="20004" spans="1:1">
      <c r="A20004" s="56"/>
    </row>
    <row r="20005" spans="1:1">
      <c r="A20005" s="56"/>
    </row>
    <row r="20006" spans="1:1">
      <c r="A20006" s="56"/>
    </row>
    <row r="20007" spans="1:1">
      <c r="A20007" s="56"/>
    </row>
    <row r="20008" spans="1:1">
      <c r="A20008" s="56"/>
    </row>
    <row r="20009" spans="1:1">
      <c r="A20009" s="56"/>
    </row>
    <row r="20010" spans="1:1">
      <c r="A20010" s="56"/>
    </row>
    <row r="20011" spans="1:1">
      <c r="A20011" s="56"/>
    </row>
    <row r="20012" spans="1:1">
      <c r="A20012" s="56"/>
    </row>
    <row r="20013" spans="1:1">
      <c r="A20013" s="56"/>
    </row>
    <row r="20014" spans="1:1">
      <c r="A20014" s="56"/>
    </row>
    <row r="20015" spans="1:1">
      <c r="A20015" s="56"/>
    </row>
    <row r="20016" spans="1:1">
      <c r="A20016" s="56"/>
    </row>
    <row r="20017" spans="1:1">
      <c r="A20017" s="56"/>
    </row>
    <row r="20018" spans="1:1">
      <c r="A20018" s="56"/>
    </row>
    <row r="20019" spans="1:1">
      <c r="A20019" s="56"/>
    </row>
    <row r="20020" spans="1:1">
      <c r="A20020" s="56"/>
    </row>
    <row r="20021" spans="1:1">
      <c r="A20021" s="56"/>
    </row>
    <row r="20022" spans="1:1">
      <c r="A20022" s="56"/>
    </row>
    <row r="20023" spans="1:1">
      <c r="A20023" s="56"/>
    </row>
    <row r="20024" spans="1:1">
      <c r="A20024" s="56"/>
    </row>
    <row r="20025" spans="1:1">
      <c r="A20025" s="56"/>
    </row>
    <row r="20026" spans="1:1">
      <c r="A20026" s="56"/>
    </row>
    <row r="20027" spans="1:1">
      <c r="A20027" s="56"/>
    </row>
    <row r="20028" spans="1:1">
      <c r="A20028" s="56"/>
    </row>
    <row r="20029" spans="1:1">
      <c r="A20029" s="56"/>
    </row>
    <row r="20030" spans="1:1">
      <c r="A20030" s="56"/>
    </row>
    <row r="20031" spans="1:1">
      <c r="A20031" s="56"/>
    </row>
    <row r="20032" spans="1:1">
      <c r="A20032" s="56"/>
    </row>
    <row r="20033" spans="1:1">
      <c r="A20033" s="56"/>
    </row>
    <row r="20034" spans="1:1">
      <c r="A20034" s="56"/>
    </row>
    <row r="20035" spans="1:1">
      <c r="A20035" s="56"/>
    </row>
    <row r="20036" spans="1:1">
      <c r="A20036" s="56"/>
    </row>
    <row r="20037" spans="1:1">
      <c r="A20037" s="56"/>
    </row>
    <row r="20038" spans="1:1">
      <c r="A20038" s="56"/>
    </row>
    <row r="20039" spans="1:1">
      <c r="A20039" s="56"/>
    </row>
    <row r="20040" spans="1:1">
      <c r="A20040" s="56"/>
    </row>
    <row r="20041" spans="1:1">
      <c r="A20041" s="56"/>
    </row>
    <row r="20042" spans="1:1">
      <c r="A20042" s="56"/>
    </row>
    <row r="20043" spans="1:1">
      <c r="A20043" s="56"/>
    </row>
    <row r="20044" spans="1:1">
      <c r="A20044" s="56"/>
    </row>
    <row r="20045" spans="1:1">
      <c r="A20045" s="56"/>
    </row>
    <row r="20046" spans="1:1">
      <c r="A20046" s="56"/>
    </row>
    <row r="20047" spans="1:1">
      <c r="A20047" s="56"/>
    </row>
    <row r="20048" spans="1:1">
      <c r="A20048" s="56"/>
    </row>
    <row r="20049" spans="1:1">
      <c r="A20049" s="56"/>
    </row>
    <row r="20050" spans="1:1">
      <c r="A20050" s="56"/>
    </row>
    <row r="20051" spans="1:1">
      <c r="A20051" s="56"/>
    </row>
    <row r="20052" spans="1:1">
      <c r="A20052" s="56"/>
    </row>
    <row r="20053" spans="1:1">
      <c r="A20053" s="56"/>
    </row>
    <row r="20054" spans="1:1">
      <c r="A20054" s="56"/>
    </row>
    <row r="20055" spans="1:1">
      <c r="A20055" s="56"/>
    </row>
    <row r="20056" spans="1:1">
      <c r="A20056" s="56"/>
    </row>
    <row r="20057" spans="1:1">
      <c r="A20057" s="56"/>
    </row>
    <row r="20058" spans="1:1">
      <c r="A20058" s="56"/>
    </row>
    <row r="20059" spans="1:1">
      <c r="A20059" s="56"/>
    </row>
    <row r="20060" spans="1:1">
      <c r="A20060" s="56"/>
    </row>
    <row r="20061" spans="1:1">
      <c r="A20061" s="56"/>
    </row>
    <row r="20062" spans="1:1">
      <c r="A20062" s="56"/>
    </row>
    <row r="20063" spans="1:1">
      <c r="A20063" s="56"/>
    </row>
    <row r="20064" spans="1:1">
      <c r="A20064" s="56"/>
    </row>
    <row r="20065" spans="1:1">
      <c r="A20065" s="56"/>
    </row>
    <row r="20066" spans="1:1">
      <c r="A20066" s="56"/>
    </row>
    <row r="20067" spans="1:1">
      <c r="A20067" s="56"/>
    </row>
    <row r="20068" spans="1:1">
      <c r="A20068" s="56"/>
    </row>
    <row r="20069" spans="1:1">
      <c r="A20069" s="56"/>
    </row>
    <row r="20070" spans="1:1">
      <c r="A20070" s="56"/>
    </row>
    <row r="20071" spans="1:1">
      <c r="A20071" s="56"/>
    </row>
    <row r="20072" spans="1:1">
      <c r="A20072" s="56"/>
    </row>
    <row r="20073" spans="1:1">
      <c r="A20073" s="56"/>
    </row>
    <row r="20074" spans="1:1">
      <c r="A20074" s="56"/>
    </row>
    <row r="20075" spans="1:1">
      <c r="A20075" s="56"/>
    </row>
    <row r="20076" spans="1:1">
      <c r="A20076" s="56"/>
    </row>
    <row r="20077" spans="1:1">
      <c r="A20077" s="56"/>
    </row>
    <row r="20078" spans="1:1">
      <c r="A20078" s="56"/>
    </row>
    <row r="20079" spans="1:1">
      <c r="A20079" s="56"/>
    </row>
    <row r="20080" spans="1:1">
      <c r="A20080" s="56"/>
    </row>
    <row r="20081" spans="1:1">
      <c r="A20081" s="56"/>
    </row>
    <row r="20082" spans="1:1">
      <c r="A20082" s="56"/>
    </row>
    <row r="20083" spans="1:1">
      <c r="A20083" s="56"/>
    </row>
    <row r="20084" spans="1:1">
      <c r="A20084" s="56"/>
    </row>
    <row r="20085" spans="1:1">
      <c r="A20085" s="56"/>
    </row>
    <row r="20086" spans="1:1">
      <c r="A20086" s="56"/>
    </row>
    <row r="20087" spans="1:1">
      <c r="A20087" s="56"/>
    </row>
    <row r="20088" spans="1:1">
      <c r="A20088" s="56"/>
    </row>
    <row r="20089" spans="1:1">
      <c r="A20089" s="56"/>
    </row>
    <row r="20090" spans="1:1">
      <c r="A20090" s="56"/>
    </row>
    <row r="20091" spans="1:1">
      <c r="A20091" s="56"/>
    </row>
    <row r="20092" spans="1:1">
      <c r="A20092" s="56"/>
    </row>
    <row r="20093" spans="1:1">
      <c r="A20093" s="56"/>
    </row>
    <row r="20094" spans="1:1">
      <c r="A20094" s="56"/>
    </row>
    <row r="20095" spans="1:1">
      <c r="A20095" s="56"/>
    </row>
    <row r="20096" spans="1:1">
      <c r="A20096" s="56"/>
    </row>
    <row r="20097" spans="1:1">
      <c r="A20097" s="56"/>
    </row>
    <row r="20098" spans="1:1">
      <c r="A20098" s="56"/>
    </row>
    <row r="20099" spans="1:1">
      <c r="A20099" s="56"/>
    </row>
    <row r="20100" spans="1:1">
      <c r="A20100" s="56"/>
    </row>
    <row r="20101" spans="1:1">
      <c r="A20101" s="56"/>
    </row>
    <row r="20102" spans="1:1">
      <c r="A20102" s="56"/>
    </row>
    <row r="20103" spans="1:1">
      <c r="A20103" s="56"/>
    </row>
    <row r="20104" spans="1:1">
      <c r="A20104" s="56"/>
    </row>
    <row r="20105" spans="1:1">
      <c r="A20105" s="56"/>
    </row>
    <row r="20106" spans="1:1">
      <c r="A20106" s="56"/>
    </row>
    <row r="20107" spans="1:1">
      <c r="A20107" s="56"/>
    </row>
    <row r="20108" spans="1:1">
      <c r="A20108" s="56"/>
    </row>
    <row r="20109" spans="1:1">
      <c r="A20109" s="56"/>
    </row>
    <row r="20110" spans="1:1">
      <c r="A20110" s="56"/>
    </row>
    <row r="20111" spans="1:1">
      <c r="A20111" s="56"/>
    </row>
    <row r="20112" spans="1:1">
      <c r="A20112" s="56"/>
    </row>
    <row r="20113" spans="1:1">
      <c r="A20113" s="56"/>
    </row>
    <row r="20114" spans="1:1">
      <c r="A20114" s="56"/>
    </row>
    <row r="20115" spans="1:1">
      <c r="A20115" s="56"/>
    </row>
    <row r="20116" spans="1:1">
      <c r="A20116" s="56"/>
    </row>
    <row r="20117" spans="1:1">
      <c r="A20117" s="56"/>
    </row>
    <row r="20118" spans="1:1">
      <c r="A20118" s="56"/>
    </row>
    <row r="20119" spans="1:1">
      <c r="A20119" s="56"/>
    </row>
    <row r="20120" spans="1:1">
      <c r="A20120" s="56"/>
    </row>
    <row r="20121" spans="1:1">
      <c r="A20121" s="56"/>
    </row>
    <row r="20122" spans="1:1">
      <c r="A20122" s="56"/>
    </row>
    <row r="20123" spans="1:1">
      <c r="A20123" s="56"/>
    </row>
    <row r="20124" spans="1:1">
      <c r="A20124" s="56"/>
    </row>
    <row r="20125" spans="1:1">
      <c r="A20125" s="56"/>
    </row>
    <row r="20126" spans="1:1">
      <c r="A20126" s="56"/>
    </row>
    <row r="20127" spans="1:1">
      <c r="A20127" s="56"/>
    </row>
    <row r="20128" spans="1:1">
      <c r="A20128" s="56"/>
    </row>
    <row r="20129" spans="1:1">
      <c r="A20129" s="56"/>
    </row>
    <row r="20130" spans="1:1">
      <c r="A20130" s="56"/>
    </row>
    <row r="20131" spans="1:1">
      <c r="A20131" s="56"/>
    </row>
    <row r="20132" spans="1:1">
      <c r="A20132" s="56"/>
    </row>
    <row r="20133" spans="1:1">
      <c r="A20133" s="56"/>
    </row>
    <row r="20134" spans="1:1">
      <c r="A20134" s="56"/>
    </row>
    <row r="20135" spans="1:1">
      <c r="A20135" s="56"/>
    </row>
    <row r="20136" spans="1:1">
      <c r="A20136" s="56"/>
    </row>
    <row r="20137" spans="1:1">
      <c r="A20137" s="56"/>
    </row>
    <row r="20138" spans="1:1">
      <c r="A20138" s="56"/>
    </row>
    <row r="20139" spans="1:1">
      <c r="A20139" s="56"/>
    </row>
    <row r="20140" spans="1:1">
      <c r="A20140" s="56"/>
    </row>
    <row r="20141" spans="1:1">
      <c r="A20141" s="56"/>
    </row>
    <row r="20142" spans="1:1">
      <c r="A20142" s="56"/>
    </row>
    <row r="20143" spans="1:1">
      <c r="A20143" s="56"/>
    </row>
    <row r="20144" spans="1:1">
      <c r="A20144" s="56"/>
    </row>
    <row r="20145" spans="1:1">
      <c r="A20145" s="56"/>
    </row>
    <row r="20146" spans="1:1">
      <c r="A20146" s="56"/>
    </row>
    <row r="20147" spans="1:1">
      <c r="A20147" s="56"/>
    </row>
    <row r="20148" spans="1:1">
      <c r="A20148" s="56"/>
    </row>
    <row r="20149" spans="1:1">
      <c r="A20149" s="56"/>
    </row>
    <row r="20150" spans="1:1">
      <c r="A20150" s="56"/>
    </row>
    <row r="20151" spans="1:1">
      <c r="A20151" s="56"/>
    </row>
    <row r="20152" spans="1:1">
      <c r="A20152" s="56"/>
    </row>
    <row r="20153" spans="1:1">
      <c r="A20153" s="56"/>
    </row>
    <row r="20154" spans="1:1">
      <c r="A20154" s="56"/>
    </row>
    <row r="20155" spans="1:1">
      <c r="A20155" s="56"/>
    </row>
    <row r="20156" spans="1:1">
      <c r="A20156" s="56"/>
    </row>
    <row r="20157" spans="1:1">
      <c r="A20157" s="56"/>
    </row>
    <row r="20158" spans="1:1">
      <c r="A20158" s="56"/>
    </row>
    <row r="20159" spans="1:1">
      <c r="A20159" s="56"/>
    </row>
    <row r="20160" spans="1:1">
      <c r="A20160" s="56"/>
    </row>
    <row r="20161" spans="1:1">
      <c r="A20161" s="56"/>
    </row>
    <row r="20162" spans="1:1">
      <c r="A20162" s="56"/>
    </row>
    <row r="20163" spans="1:1">
      <c r="A20163" s="56"/>
    </row>
    <row r="20164" spans="1:1">
      <c r="A20164" s="56"/>
    </row>
    <row r="20165" spans="1:1">
      <c r="A20165" s="56"/>
    </row>
    <row r="20166" spans="1:1">
      <c r="A20166" s="56"/>
    </row>
    <row r="20167" spans="1:1">
      <c r="A20167" s="56"/>
    </row>
    <row r="20168" spans="1:1">
      <c r="A20168" s="56"/>
    </row>
    <row r="20169" spans="1:1">
      <c r="A20169" s="56"/>
    </row>
    <row r="20170" spans="1:1">
      <c r="A20170" s="56"/>
    </row>
    <row r="20171" spans="1:1">
      <c r="A20171" s="56"/>
    </row>
    <row r="20172" spans="1:1">
      <c r="A20172" s="56"/>
    </row>
    <row r="20173" spans="1:1">
      <c r="A20173" s="56"/>
    </row>
    <row r="20174" spans="1:1">
      <c r="A20174" s="56"/>
    </row>
    <row r="20175" spans="1:1">
      <c r="A20175" s="56"/>
    </row>
    <row r="20176" spans="1:1">
      <c r="A20176" s="56"/>
    </row>
    <row r="20177" spans="1:1">
      <c r="A20177" s="56"/>
    </row>
    <row r="20178" spans="1:1">
      <c r="A20178" s="56"/>
    </row>
    <row r="20179" spans="1:1">
      <c r="A20179" s="56"/>
    </row>
    <row r="20180" spans="1:1">
      <c r="A20180" s="56"/>
    </row>
    <row r="20181" spans="1:1">
      <c r="A20181" s="56"/>
    </row>
    <row r="20182" spans="1:1">
      <c r="A20182" s="56"/>
    </row>
    <row r="20183" spans="1:1">
      <c r="A20183" s="56"/>
    </row>
    <row r="20184" spans="1:1">
      <c r="A20184" s="56"/>
    </row>
    <row r="20185" spans="1:1">
      <c r="A20185" s="56"/>
    </row>
    <row r="20186" spans="1:1">
      <c r="A20186" s="56"/>
    </row>
    <row r="20187" spans="1:1">
      <c r="A20187" s="56"/>
    </row>
    <row r="20188" spans="1:1">
      <c r="A20188" s="56"/>
    </row>
    <row r="20189" spans="1:1">
      <c r="A20189" s="56"/>
    </row>
    <row r="20190" spans="1:1">
      <c r="A20190" s="56"/>
    </row>
    <row r="20191" spans="1:1">
      <c r="A20191" s="56"/>
    </row>
    <row r="20192" spans="1:1">
      <c r="A20192" s="56"/>
    </row>
    <row r="20193" spans="1:1">
      <c r="A20193" s="56"/>
    </row>
    <row r="20194" spans="1:1">
      <c r="A20194" s="56"/>
    </row>
    <row r="20195" spans="1:1">
      <c r="A20195" s="56"/>
    </row>
    <row r="20196" spans="1:1">
      <c r="A20196" s="56"/>
    </row>
    <row r="20197" spans="1:1">
      <c r="A20197" s="56"/>
    </row>
    <row r="20198" spans="1:1">
      <c r="A20198" s="56"/>
    </row>
    <row r="20199" spans="1:1">
      <c r="A20199" s="56"/>
    </row>
    <row r="20200" spans="1:1">
      <c r="A20200" s="56"/>
    </row>
    <row r="20201" spans="1:1">
      <c r="A20201" s="56"/>
    </row>
    <row r="20202" spans="1:1">
      <c r="A20202" s="56"/>
    </row>
    <row r="20203" spans="1:1">
      <c r="A20203" s="56"/>
    </row>
    <row r="20204" spans="1:1">
      <c r="A20204" s="56"/>
    </row>
    <row r="20205" spans="1:1">
      <c r="A20205" s="56"/>
    </row>
    <row r="20206" spans="1:1">
      <c r="A20206" s="56"/>
    </row>
    <row r="20207" spans="1:1">
      <c r="A20207" s="56"/>
    </row>
    <row r="20208" spans="1:1">
      <c r="A20208" s="56"/>
    </row>
    <row r="20209" spans="1:1">
      <c r="A20209" s="56"/>
    </row>
    <row r="20210" spans="1:1">
      <c r="A20210" s="56"/>
    </row>
    <row r="20211" spans="1:1">
      <c r="A20211" s="56"/>
    </row>
    <row r="20212" spans="1:1">
      <c r="A20212" s="56"/>
    </row>
    <row r="20213" spans="1:1">
      <c r="A20213" s="56"/>
    </row>
    <row r="20214" spans="1:1">
      <c r="A20214" s="56"/>
    </row>
    <row r="20215" spans="1:1">
      <c r="A20215" s="56"/>
    </row>
    <row r="20216" spans="1:1">
      <c r="A20216" s="56"/>
    </row>
    <row r="20217" spans="1:1">
      <c r="A20217" s="56"/>
    </row>
    <row r="20218" spans="1:1">
      <c r="A20218" s="56"/>
    </row>
    <row r="20219" spans="1:1">
      <c r="A20219" s="56"/>
    </row>
    <row r="20220" spans="1:1">
      <c r="A20220" s="56"/>
    </row>
    <row r="20221" spans="1:1">
      <c r="A20221" s="56"/>
    </row>
    <row r="20222" spans="1:1">
      <c r="A20222" s="56"/>
    </row>
    <row r="20223" spans="1:1">
      <c r="A20223" s="56"/>
    </row>
    <row r="20224" spans="1:1">
      <c r="A20224" s="56"/>
    </row>
    <row r="20225" spans="1:1">
      <c r="A20225" s="56"/>
    </row>
    <row r="20226" spans="1:1">
      <c r="A20226" s="56"/>
    </row>
    <row r="20227" spans="1:1">
      <c r="A20227" s="56"/>
    </row>
    <row r="20228" spans="1:1">
      <c r="A20228" s="56"/>
    </row>
    <row r="20229" spans="1:1">
      <c r="A20229" s="56"/>
    </row>
    <row r="20230" spans="1:1">
      <c r="A20230" s="56"/>
    </row>
    <row r="20231" spans="1:1">
      <c r="A20231" s="56"/>
    </row>
    <row r="20232" spans="1:1">
      <c r="A20232" s="56"/>
    </row>
    <row r="20233" spans="1:1">
      <c r="A20233" s="56"/>
    </row>
    <row r="20234" spans="1:1">
      <c r="A20234" s="56"/>
    </row>
    <row r="20235" spans="1:1">
      <c r="A20235" s="56"/>
    </row>
    <row r="20236" spans="1:1">
      <c r="A20236" s="56"/>
    </row>
    <row r="20237" spans="1:1">
      <c r="A20237" s="56"/>
    </row>
    <row r="20238" spans="1:1">
      <c r="A20238" s="56"/>
    </row>
    <row r="20239" spans="1:1">
      <c r="A20239" s="56"/>
    </row>
    <row r="20240" spans="1:1">
      <c r="A20240" s="56"/>
    </row>
    <row r="20241" spans="1:1">
      <c r="A20241" s="56"/>
    </row>
    <row r="20242" spans="1:1">
      <c r="A20242" s="56"/>
    </row>
    <row r="20243" spans="1:1">
      <c r="A20243" s="56"/>
    </row>
    <row r="20244" spans="1:1">
      <c r="A20244" s="56"/>
    </row>
    <row r="20245" spans="1:1">
      <c r="A20245" s="56"/>
    </row>
    <row r="20246" spans="1:1">
      <c r="A20246" s="56"/>
    </row>
    <row r="20247" spans="1:1">
      <c r="A20247" s="56"/>
    </row>
    <row r="20248" spans="1:1">
      <c r="A20248" s="56"/>
    </row>
    <row r="20249" spans="1:1">
      <c r="A20249" s="56"/>
    </row>
    <row r="20250" spans="1:1">
      <c r="A20250" s="56"/>
    </row>
    <row r="20251" spans="1:1">
      <c r="A20251" s="56"/>
    </row>
    <row r="20252" spans="1:1">
      <c r="A20252" s="56"/>
    </row>
    <row r="20253" spans="1:1">
      <c r="A20253" s="56"/>
    </row>
    <row r="20254" spans="1:1">
      <c r="A20254" s="56"/>
    </row>
    <row r="20255" spans="1:1">
      <c r="A20255" s="56"/>
    </row>
    <row r="20256" spans="1:1">
      <c r="A20256" s="56"/>
    </row>
    <row r="20257" spans="1:1">
      <c r="A20257" s="56"/>
    </row>
    <row r="20258" spans="1:1">
      <c r="A20258" s="56"/>
    </row>
    <row r="20259" spans="1:1">
      <c r="A20259" s="56"/>
    </row>
    <row r="20260" spans="1:1">
      <c r="A20260" s="56"/>
    </row>
    <row r="20261" spans="1:1">
      <c r="A20261" s="56"/>
    </row>
    <row r="20262" spans="1:1">
      <c r="A20262" s="56"/>
    </row>
    <row r="20263" spans="1:1">
      <c r="A20263" s="56"/>
    </row>
    <row r="20264" spans="1:1">
      <c r="A20264" s="56"/>
    </row>
    <row r="20265" spans="1:1">
      <c r="A20265" s="56"/>
    </row>
    <row r="20266" spans="1:1">
      <c r="A20266" s="56"/>
    </row>
    <row r="20267" spans="1:1">
      <c r="A20267" s="56"/>
    </row>
    <row r="20268" spans="1:1">
      <c r="A20268" s="56"/>
    </row>
    <row r="20269" spans="1:1">
      <c r="A20269" s="56"/>
    </row>
    <row r="20270" spans="1:1">
      <c r="A20270" s="56"/>
    </row>
    <row r="20271" spans="1:1">
      <c r="A20271" s="56"/>
    </row>
    <row r="20272" spans="1:1">
      <c r="A20272" s="56"/>
    </row>
    <row r="20273" spans="1:1">
      <c r="A20273" s="56"/>
    </row>
    <row r="20274" spans="1:1">
      <c r="A20274" s="56"/>
    </row>
    <row r="20275" spans="1:1">
      <c r="A20275" s="56"/>
    </row>
    <row r="20276" spans="1:1">
      <c r="A20276" s="56"/>
    </row>
    <row r="20277" spans="1:1">
      <c r="A20277" s="56"/>
    </row>
    <row r="20278" spans="1:1">
      <c r="A20278" s="56"/>
    </row>
    <row r="20279" spans="1:1">
      <c r="A20279" s="56"/>
    </row>
    <row r="20280" spans="1:1">
      <c r="A20280" s="56"/>
    </row>
    <row r="20281" spans="1:1">
      <c r="A20281" s="56"/>
    </row>
    <row r="20282" spans="1:1">
      <c r="A20282" s="56"/>
    </row>
    <row r="20283" spans="1:1">
      <c r="A20283" s="56"/>
    </row>
    <row r="20284" spans="1:1">
      <c r="A20284" s="56"/>
    </row>
    <row r="20285" spans="1:1">
      <c r="A20285" s="56"/>
    </row>
    <row r="20286" spans="1:1">
      <c r="A20286" s="56"/>
    </row>
    <row r="20287" spans="1:1">
      <c r="A20287" s="56"/>
    </row>
    <row r="20288" spans="1:1">
      <c r="A20288" s="56"/>
    </row>
    <row r="20289" spans="1:1">
      <c r="A20289" s="56"/>
    </row>
    <row r="20290" spans="1:1">
      <c r="A20290" s="56"/>
    </row>
    <row r="20291" spans="1:1">
      <c r="A20291" s="56"/>
    </row>
    <row r="20292" spans="1:1">
      <c r="A20292" s="56"/>
    </row>
    <row r="20293" spans="1:1">
      <c r="A20293" s="56"/>
    </row>
    <row r="20294" spans="1:1">
      <c r="A20294" s="56"/>
    </row>
    <row r="20295" spans="1:1">
      <c r="A20295" s="56"/>
    </row>
    <row r="20296" spans="1:1">
      <c r="A20296" s="56"/>
    </row>
    <row r="20297" spans="1:1">
      <c r="A20297" s="56"/>
    </row>
    <row r="20298" spans="1:1">
      <c r="A20298" s="56"/>
    </row>
    <row r="20299" spans="1:1">
      <c r="A20299" s="56"/>
    </row>
    <row r="20300" spans="1:1">
      <c r="A20300" s="56"/>
    </row>
    <row r="20301" spans="1:1">
      <c r="A20301" s="56"/>
    </row>
    <row r="20302" spans="1:1">
      <c r="A20302" s="56"/>
    </row>
    <row r="20303" spans="1:1">
      <c r="A20303" s="56"/>
    </row>
    <row r="20304" spans="1:1">
      <c r="A20304" s="56"/>
    </row>
    <row r="20305" spans="1:1">
      <c r="A20305" s="56"/>
    </row>
    <row r="20306" spans="1:1">
      <c r="A20306" s="56"/>
    </row>
    <row r="20307" spans="1:1">
      <c r="A20307" s="56"/>
    </row>
    <row r="20308" spans="1:1">
      <c r="A20308" s="56"/>
    </row>
    <row r="20309" spans="1:1">
      <c r="A20309" s="56"/>
    </row>
    <row r="20310" spans="1:1">
      <c r="A20310" s="56"/>
    </row>
    <row r="20311" spans="1:1">
      <c r="A20311" s="56"/>
    </row>
    <row r="20312" spans="1:1">
      <c r="A20312" s="56"/>
    </row>
    <row r="20313" spans="1:1">
      <c r="A20313" s="56"/>
    </row>
    <row r="20314" spans="1:1">
      <c r="A20314" s="56"/>
    </row>
    <row r="20315" spans="1:1">
      <c r="A20315" s="56"/>
    </row>
    <row r="20316" spans="1:1">
      <c r="A20316" s="56"/>
    </row>
    <row r="20317" spans="1:1">
      <c r="A20317" s="56"/>
    </row>
    <row r="20318" spans="1:1">
      <c r="A20318" s="56"/>
    </row>
    <row r="20319" spans="1:1">
      <c r="A20319" s="56"/>
    </row>
    <row r="20320" spans="1:1">
      <c r="A20320" s="56"/>
    </row>
    <row r="20321" spans="1:1">
      <c r="A20321" s="56"/>
    </row>
    <row r="20322" spans="1:1">
      <c r="A20322" s="56"/>
    </row>
    <row r="20323" spans="1:1">
      <c r="A20323" s="56"/>
    </row>
    <row r="20324" spans="1:1">
      <c r="A20324" s="56"/>
    </row>
    <row r="20325" spans="1:1">
      <c r="A20325" s="56"/>
    </row>
    <row r="20326" spans="1:1">
      <c r="A20326" s="56"/>
    </row>
    <row r="20327" spans="1:1">
      <c r="A20327" s="56"/>
    </row>
    <row r="20328" spans="1:1">
      <c r="A20328" s="56"/>
    </row>
    <row r="20329" spans="1:1">
      <c r="A20329" s="56"/>
    </row>
    <row r="20330" spans="1:1">
      <c r="A20330" s="56"/>
    </row>
    <row r="20331" spans="1:1">
      <c r="A20331" s="56"/>
    </row>
    <row r="20332" spans="1:1">
      <c r="A20332" s="56"/>
    </row>
    <row r="20333" spans="1:1">
      <c r="A20333" s="56"/>
    </row>
    <row r="20334" spans="1:1">
      <c r="A20334" s="56"/>
    </row>
    <row r="20335" spans="1:1">
      <c r="A20335" s="56"/>
    </row>
    <row r="20336" spans="1:1">
      <c r="A20336" s="56"/>
    </row>
    <row r="20337" spans="1:1">
      <c r="A20337" s="56"/>
    </row>
    <row r="20338" spans="1:1">
      <c r="A20338" s="56"/>
    </row>
    <row r="20339" spans="1:1">
      <c r="A20339" s="56"/>
    </row>
    <row r="20340" spans="1:1">
      <c r="A20340" s="56"/>
    </row>
    <row r="20341" spans="1:1">
      <c r="A20341" s="56"/>
    </row>
    <row r="20342" spans="1:1">
      <c r="A20342" s="56"/>
    </row>
    <row r="20343" spans="1:1">
      <c r="A20343" s="56"/>
    </row>
    <row r="20344" spans="1:1">
      <c r="A20344" s="56"/>
    </row>
    <row r="20345" spans="1:1">
      <c r="A20345" s="56"/>
    </row>
    <row r="20346" spans="1:1">
      <c r="A20346" s="56"/>
    </row>
    <row r="20347" spans="1:1">
      <c r="A20347" s="56"/>
    </row>
    <row r="20348" spans="1:1">
      <c r="A20348" s="56"/>
    </row>
    <row r="20349" spans="1:1">
      <c r="A20349" s="56"/>
    </row>
    <row r="20350" spans="1:1">
      <c r="A20350" s="56"/>
    </row>
    <row r="20351" spans="1:1">
      <c r="A20351" s="56"/>
    </row>
    <row r="20352" spans="1:1">
      <c r="A20352" s="56"/>
    </row>
    <row r="20353" spans="1:1">
      <c r="A20353" s="56"/>
    </row>
    <row r="20354" spans="1:1">
      <c r="A20354" s="56"/>
    </row>
    <row r="20355" spans="1:1">
      <c r="A20355" s="56"/>
    </row>
    <row r="20356" spans="1:1">
      <c r="A20356" s="56"/>
    </row>
    <row r="20357" spans="1:1">
      <c r="A20357" s="56"/>
    </row>
    <row r="20358" spans="1:1">
      <c r="A20358" s="56"/>
    </row>
    <row r="20359" spans="1:1">
      <c r="A20359" s="56"/>
    </row>
    <row r="20360" spans="1:1">
      <c r="A20360" s="56"/>
    </row>
    <row r="20361" spans="1:1">
      <c r="A20361" s="56"/>
    </row>
    <row r="20362" spans="1:1">
      <c r="A20362" s="56"/>
    </row>
    <row r="20363" spans="1:1">
      <c r="A20363" s="56"/>
    </row>
    <row r="20364" spans="1:1">
      <c r="A20364" s="56"/>
    </row>
    <row r="20365" spans="1:1">
      <c r="A20365" s="56"/>
    </row>
    <row r="20366" spans="1:1">
      <c r="A20366" s="56"/>
    </row>
    <row r="20367" spans="1:1">
      <c r="A20367" s="56"/>
    </row>
    <row r="20368" spans="1:1">
      <c r="A20368" s="56"/>
    </row>
    <row r="20369" spans="1:1">
      <c r="A20369" s="56"/>
    </row>
    <row r="20370" spans="1:1">
      <c r="A20370" s="56"/>
    </row>
    <row r="20371" spans="1:1">
      <c r="A20371" s="56"/>
    </row>
    <row r="20372" spans="1:1">
      <c r="A20372" s="56"/>
    </row>
    <row r="20373" spans="1:1">
      <c r="A20373" s="56"/>
    </row>
    <row r="20374" spans="1:1">
      <c r="A20374" s="56"/>
    </row>
    <row r="20375" spans="1:1">
      <c r="A20375" s="56"/>
    </row>
    <row r="20376" spans="1:1">
      <c r="A20376" s="56"/>
    </row>
    <row r="20377" spans="1:1">
      <c r="A20377" s="56"/>
    </row>
    <row r="20378" spans="1:1">
      <c r="A20378" s="56"/>
    </row>
    <row r="20379" spans="1:1">
      <c r="A20379" s="56"/>
    </row>
    <row r="20380" spans="1:1">
      <c r="A20380" s="56"/>
    </row>
    <row r="20381" spans="1:1">
      <c r="A20381" s="56"/>
    </row>
    <row r="20382" spans="1:1">
      <c r="A20382" s="56"/>
    </row>
    <row r="20383" spans="1:1">
      <c r="A20383" s="56"/>
    </row>
    <row r="20384" spans="1:1">
      <c r="A20384" s="56"/>
    </row>
    <row r="20385" spans="1:1">
      <c r="A20385" s="56"/>
    </row>
    <row r="20386" spans="1:1">
      <c r="A20386" s="56"/>
    </row>
    <row r="20387" spans="1:1">
      <c r="A20387" s="56"/>
    </row>
    <row r="20388" spans="1:1">
      <c r="A20388" s="56"/>
    </row>
    <row r="20389" spans="1:1">
      <c r="A20389" s="56"/>
    </row>
    <row r="20390" spans="1:1">
      <c r="A20390" s="56"/>
    </row>
    <row r="20391" spans="1:1">
      <c r="A20391" s="56"/>
    </row>
    <row r="20392" spans="1:1">
      <c r="A20392" s="56"/>
    </row>
    <row r="20393" spans="1:1">
      <c r="A20393" s="56"/>
    </row>
    <row r="20394" spans="1:1">
      <c r="A20394" s="56"/>
    </row>
    <row r="20395" spans="1:1">
      <c r="A20395" s="56"/>
    </row>
    <row r="20396" spans="1:1">
      <c r="A20396" s="56"/>
    </row>
    <row r="20397" spans="1:1">
      <c r="A20397" s="56"/>
    </row>
    <row r="20398" spans="1:1">
      <c r="A20398" s="56"/>
    </row>
    <row r="20399" spans="1:1">
      <c r="A20399" s="56"/>
    </row>
    <row r="20400" spans="1:1">
      <c r="A20400" s="56"/>
    </row>
    <row r="20401" spans="1:1">
      <c r="A20401" s="56"/>
    </row>
    <row r="20402" spans="1:1">
      <c r="A20402" s="56"/>
    </row>
    <row r="20403" spans="1:1">
      <c r="A20403" s="56"/>
    </row>
    <row r="20404" spans="1:1">
      <c r="A20404" s="56"/>
    </row>
    <row r="20405" spans="1:1">
      <c r="A20405" s="56"/>
    </row>
    <row r="20406" spans="1:1">
      <c r="A20406" s="56"/>
    </row>
    <row r="20407" spans="1:1">
      <c r="A20407" s="56"/>
    </row>
    <row r="20408" spans="1:1">
      <c r="A20408" s="56"/>
    </row>
    <row r="20409" spans="1:1">
      <c r="A20409" s="56"/>
    </row>
    <row r="20410" spans="1:1">
      <c r="A20410" s="56"/>
    </row>
    <row r="20411" spans="1:1">
      <c r="A20411" s="56"/>
    </row>
    <row r="20412" spans="1:1">
      <c r="A20412" s="56"/>
    </row>
    <row r="20413" spans="1:1">
      <c r="A20413" s="56"/>
    </row>
    <row r="20414" spans="1:1">
      <c r="A20414" s="56"/>
    </row>
    <row r="20415" spans="1:1">
      <c r="A20415" s="56"/>
    </row>
    <row r="20416" spans="1:1">
      <c r="A20416" s="56"/>
    </row>
    <row r="20417" spans="1:1">
      <c r="A20417" s="56"/>
    </row>
    <row r="20418" spans="1:1">
      <c r="A20418" s="56"/>
    </row>
    <row r="20419" spans="1:1">
      <c r="A20419" s="56"/>
    </row>
    <row r="20420" spans="1:1">
      <c r="A20420" s="56"/>
    </row>
    <row r="20421" spans="1:1">
      <c r="A20421" s="56"/>
    </row>
    <row r="20422" spans="1:1">
      <c r="A20422" s="56"/>
    </row>
    <row r="20423" spans="1:1">
      <c r="A20423" s="56"/>
    </row>
    <row r="20424" spans="1:1">
      <c r="A20424" s="56"/>
    </row>
    <row r="20425" spans="1:1">
      <c r="A20425" s="56"/>
    </row>
    <row r="20426" spans="1:1">
      <c r="A20426" s="56"/>
    </row>
    <row r="20427" spans="1:1">
      <c r="A20427" s="56"/>
    </row>
    <row r="20428" spans="1:1">
      <c r="A20428" s="56"/>
    </row>
    <row r="20429" spans="1:1">
      <c r="A20429" s="56"/>
    </row>
    <row r="20430" spans="1:1">
      <c r="A20430" s="56"/>
    </row>
    <row r="20431" spans="1:1">
      <c r="A20431" s="56"/>
    </row>
    <row r="20432" spans="1:1">
      <c r="A20432" s="56"/>
    </row>
    <row r="20433" spans="1:1">
      <c r="A20433" s="56"/>
    </row>
    <row r="20434" spans="1:1">
      <c r="A20434" s="56"/>
    </row>
    <row r="20435" spans="1:1">
      <c r="A20435" s="56"/>
    </row>
    <row r="20436" spans="1:1">
      <c r="A20436" s="56"/>
    </row>
    <row r="20437" spans="1:1">
      <c r="A20437" s="56"/>
    </row>
    <row r="20438" spans="1:1">
      <c r="A20438" s="56"/>
    </row>
    <row r="20439" spans="1:1">
      <c r="A20439" s="56"/>
    </row>
    <row r="20440" spans="1:1">
      <c r="A20440" s="56"/>
    </row>
    <row r="20441" spans="1:1">
      <c r="A20441" s="56"/>
    </row>
    <row r="20442" spans="1:1">
      <c r="A20442" s="56"/>
    </row>
    <row r="20443" spans="1:1">
      <c r="A20443" s="56"/>
    </row>
    <row r="20444" spans="1:1">
      <c r="A20444" s="56"/>
    </row>
    <row r="20445" spans="1:1">
      <c r="A20445" s="56"/>
    </row>
    <row r="20446" spans="1:1">
      <c r="A20446" s="56"/>
    </row>
    <row r="20447" spans="1:1">
      <c r="A20447" s="56"/>
    </row>
    <row r="20448" spans="1:1">
      <c r="A20448" s="56"/>
    </row>
    <row r="20449" spans="1:1">
      <c r="A20449" s="56"/>
    </row>
    <row r="20450" spans="1:1">
      <c r="A20450" s="56"/>
    </row>
    <row r="20451" spans="1:1">
      <c r="A20451" s="56"/>
    </row>
    <row r="20452" spans="1:1">
      <c r="A20452" s="56"/>
    </row>
    <row r="20453" spans="1:1">
      <c r="A20453" s="56"/>
    </row>
    <row r="20454" spans="1:1">
      <c r="A20454" s="56"/>
    </row>
    <row r="20455" spans="1:1">
      <c r="A20455" s="56"/>
    </row>
    <row r="20456" spans="1:1">
      <c r="A20456" s="56"/>
    </row>
    <row r="20457" spans="1:1">
      <c r="A20457" s="56"/>
    </row>
    <row r="20458" spans="1:1">
      <c r="A20458" s="56"/>
    </row>
    <row r="20459" spans="1:1">
      <c r="A20459" s="56"/>
    </row>
    <row r="20460" spans="1:1">
      <c r="A20460" s="56"/>
    </row>
    <row r="20461" spans="1:1">
      <c r="A20461" s="56"/>
    </row>
    <row r="20462" spans="1:1">
      <c r="A20462" s="56"/>
    </row>
    <row r="20463" spans="1:1">
      <c r="A20463" s="56"/>
    </row>
    <row r="20464" spans="1:1">
      <c r="A20464" s="56"/>
    </row>
    <row r="20465" spans="1:1">
      <c r="A20465" s="56"/>
    </row>
    <row r="20466" spans="1:1">
      <c r="A20466" s="56"/>
    </row>
    <row r="20467" spans="1:1">
      <c r="A20467" s="56"/>
    </row>
    <row r="20468" spans="1:1">
      <c r="A20468" s="56"/>
    </row>
    <row r="20469" spans="1:1">
      <c r="A20469" s="56"/>
    </row>
    <row r="20470" spans="1:1">
      <c r="A20470" s="56"/>
    </row>
    <row r="20471" spans="1:1">
      <c r="A20471" s="56"/>
    </row>
    <row r="20472" spans="1:1">
      <c r="A20472" s="56"/>
    </row>
    <row r="20473" spans="1:1">
      <c r="A20473" s="56"/>
    </row>
    <row r="20474" spans="1:1">
      <c r="A20474" s="56"/>
    </row>
    <row r="20475" spans="1:1">
      <c r="A20475" s="56"/>
    </row>
    <row r="20476" spans="1:1">
      <c r="A20476" s="56"/>
    </row>
    <row r="20477" spans="1:1">
      <c r="A20477" s="56"/>
    </row>
    <row r="20478" spans="1:1">
      <c r="A20478" s="56"/>
    </row>
    <row r="20479" spans="1:1">
      <c r="A20479" s="56"/>
    </row>
    <row r="20480" spans="1:1">
      <c r="A20480" s="56"/>
    </row>
    <row r="20481" spans="1:1">
      <c r="A20481" s="56"/>
    </row>
    <row r="20482" spans="1:1">
      <c r="A20482" s="56"/>
    </row>
    <row r="20483" spans="1:1">
      <c r="A20483" s="56"/>
    </row>
    <row r="20484" spans="1:1">
      <c r="A20484" s="56"/>
    </row>
    <row r="20485" spans="1:1">
      <c r="A20485" s="56"/>
    </row>
    <row r="20486" spans="1:1">
      <c r="A20486" s="56"/>
    </row>
    <row r="20487" spans="1:1">
      <c r="A20487" s="56"/>
    </row>
    <row r="20488" spans="1:1">
      <c r="A20488" s="56"/>
    </row>
    <row r="20489" spans="1:1">
      <c r="A20489" s="56"/>
    </row>
    <row r="20490" spans="1:1">
      <c r="A20490" s="56"/>
    </row>
    <row r="20491" spans="1:1">
      <c r="A20491" s="56"/>
    </row>
    <row r="20492" spans="1:1">
      <c r="A20492" s="56"/>
    </row>
    <row r="20493" spans="1:1">
      <c r="A20493" s="56"/>
    </row>
    <row r="20494" spans="1:1">
      <c r="A20494" s="56"/>
    </row>
    <row r="20495" spans="1:1">
      <c r="A20495" s="56"/>
    </row>
    <row r="20496" spans="1:1">
      <c r="A20496" s="56"/>
    </row>
    <row r="20497" spans="1:1">
      <c r="A20497" s="56"/>
    </row>
    <row r="20498" spans="1:1">
      <c r="A20498" s="56"/>
    </row>
    <row r="20499" spans="1:1">
      <c r="A20499" s="56"/>
    </row>
    <row r="20500" spans="1:1">
      <c r="A20500" s="56"/>
    </row>
    <row r="20501" spans="1:1">
      <c r="A20501" s="56"/>
    </row>
    <row r="20502" spans="1:1">
      <c r="A20502" s="56"/>
    </row>
    <row r="20503" spans="1:1">
      <c r="A20503" s="56"/>
    </row>
    <row r="20504" spans="1:1">
      <c r="A20504" s="56"/>
    </row>
    <row r="20505" spans="1:1">
      <c r="A20505" s="56"/>
    </row>
    <row r="20506" spans="1:1">
      <c r="A20506" s="56"/>
    </row>
    <row r="20507" spans="1:1">
      <c r="A20507" s="56"/>
    </row>
    <row r="20508" spans="1:1">
      <c r="A20508" s="56"/>
    </row>
    <row r="20509" spans="1:1">
      <c r="A20509" s="56"/>
    </row>
    <row r="20510" spans="1:1">
      <c r="A20510" s="56"/>
    </row>
    <row r="20511" spans="1:1">
      <c r="A20511" s="56"/>
    </row>
    <row r="20512" spans="1:1">
      <c r="A20512" s="56"/>
    </row>
    <row r="20513" spans="1:1">
      <c r="A20513" s="56"/>
    </row>
    <row r="20514" spans="1:1">
      <c r="A20514" s="56"/>
    </row>
    <row r="20515" spans="1:1">
      <c r="A20515" s="56"/>
    </row>
    <row r="20516" spans="1:1">
      <c r="A20516" s="56"/>
    </row>
    <row r="20517" spans="1:1">
      <c r="A20517" s="56"/>
    </row>
    <row r="20518" spans="1:1">
      <c r="A20518" s="56"/>
    </row>
    <row r="20519" spans="1:1">
      <c r="A20519" s="56"/>
    </row>
    <row r="20520" spans="1:1">
      <c r="A20520" s="56"/>
    </row>
    <row r="20521" spans="1:1">
      <c r="A20521" s="56"/>
    </row>
    <row r="20522" spans="1:1">
      <c r="A20522" s="56"/>
    </row>
    <row r="20523" spans="1:1">
      <c r="A20523" s="56"/>
    </row>
    <row r="20524" spans="1:1">
      <c r="A20524" s="56"/>
    </row>
    <row r="20525" spans="1:1">
      <c r="A20525" s="56"/>
    </row>
    <row r="20526" spans="1:1">
      <c r="A20526" s="56"/>
    </row>
    <row r="20527" spans="1:1">
      <c r="A20527" s="56"/>
    </row>
    <row r="20528" spans="1:1">
      <c r="A20528" s="56"/>
    </row>
    <row r="20529" spans="1:1">
      <c r="A20529" s="56"/>
    </row>
    <row r="20530" spans="1:1">
      <c r="A20530" s="56"/>
    </row>
    <row r="20531" spans="1:1">
      <c r="A20531" s="56"/>
    </row>
    <row r="20532" spans="1:1">
      <c r="A20532" s="56"/>
    </row>
    <row r="20533" spans="1:1">
      <c r="A20533" s="56"/>
    </row>
    <row r="20534" spans="1:1">
      <c r="A20534" s="56"/>
    </row>
    <row r="20535" spans="1:1">
      <c r="A20535" s="56"/>
    </row>
    <row r="20536" spans="1:1">
      <c r="A20536" s="56"/>
    </row>
    <row r="20537" spans="1:1">
      <c r="A20537" s="56"/>
    </row>
    <row r="20538" spans="1:1">
      <c r="A20538" s="56"/>
    </row>
    <row r="20539" spans="1:1">
      <c r="A20539" s="56"/>
    </row>
    <row r="20540" spans="1:1">
      <c r="A20540" s="56"/>
    </row>
    <row r="20541" spans="1:1">
      <c r="A20541" s="56"/>
    </row>
    <row r="20542" spans="1:1">
      <c r="A20542" s="56"/>
    </row>
    <row r="20543" spans="1:1">
      <c r="A20543" s="56"/>
    </row>
    <row r="20544" spans="1:1">
      <c r="A20544" s="56"/>
    </row>
    <row r="20545" spans="1:1">
      <c r="A20545" s="56"/>
    </row>
    <row r="20546" spans="1:1">
      <c r="A20546" s="56"/>
    </row>
    <row r="20547" spans="1:1">
      <c r="A20547" s="56"/>
    </row>
    <row r="20548" spans="1:1">
      <c r="A20548" s="56"/>
    </row>
    <row r="20549" spans="1:1">
      <c r="A20549" s="56"/>
    </row>
    <row r="20550" spans="1:1">
      <c r="A20550" s="56"/>
    </row>
    <row r="20551" spans="1:1">
      <c r="A20551" s="56"/>
    </row>
    <row r="20552" spans="1:1">
      <c r="A20552" s="56"/>
    </row>
    <row r="20553" spans="1:1">
      <c r="A20553" s="56"/>
    </row>
    <row r="20554" spans="1:1">
      <c r="A20554" s="56"/>
    </row>
    <row r="20555" spans="1:1">
      <c r="A20555" s="56"/>
    </row>
    <row r="20556" spans="1:1">
      <c r="A20556" s="56"/>
    </row>
    <row r="20557" spans="1:1">
      <c r="A20557" s="56"/>
    </row>
    <row r="20558" spans="1:1">
      <c r="A20558" s="56"/>
    </row>
    <row r="20559" spans="1:1">
      <c r="A20559" s="56"/>
    </row>
    <row r="20560" spans="1:1">
      <c r="A20560" s="56"/>
    </row>
    <row r="20561" spans="1:1">
      <c r="A20561" s="56"/>
    </row>
    <row r="20562" spans="1:1">
      <c r="A20562" s="56"/>
    </row>
    <row r="20563" spans="1:1">
      <c r="A20563" s="56"/>
    </row>
    <row r="20564" spans="1:1">
      <c r="A20564" s="56"/>
    </row>
    <row r="20565" spans="1:1">
      <c r="A20565" s="56"/>
    </row>
    <row r="20566" spans="1:1">
      <c r="A20566" s="56"/>
    </row>
    <row r="20567" spans="1:1">
      <c r="A20567" s="56"/>
    </row>
    <row r="20568" spans="1:1">
      <c r="A20568" s="56"/>
    </row>
    <row r="20569" spans="1:1">
      <c r="A20569" s="56"/>
    </row>
    <row r="20570" spans="1:1">
      <c r="A20570" s="56"/>
    </row>
    <row r="20571" spans="1:1">
      <c r="A20571" s="56"/>
    </row>
    <row r="20572" spans="1:1">
      <c r="A20572" s="56"/>
    </row>
    <row r="20573" spans="1:1">
      <c r="A20573" s="56"/>
    </row>
    <row r="20574" spans="1:1">
      <c r="A20574" s="56"/>
    </row>
    <row r="20575" spans="1:1">
      <c r="A20575" s="56"/>
    </row>
    <row r="20576" spans="1:1">
      <c r="A20576" s="56"/>
    </row>
    <row r="20577" spans="1:1">
      <c r="A20577" s="56"/>
    </row>
    <row r="20578" spans="1:1">
      <c r="A20578" s="56"/>
    </row>
    <row r="20579" spans="1:1">
      <c r="A20579" s="56"/>
    </row>
    <row r="20580" spans="1:1">
      <c r="A20580" s="56"/>
    </row>
    <row r="20581" spans="1:1">
      <c r="A20581" s="56"/>
    </row>
    <row r="20582" spans="1:1">
      <c r="A20582" s="56"/>
    </row>
    <row r="20583" spans="1:1">
      <c r="A20583" s="56"/>
    </row>
    <row r="20584" spans="1:1">
      <c r="A20584" s="56"/>
    </row>
    <row r="20585" spans="1:1">
      <c r="A20585" s="56"/>
    </row>
    <row r="20586" spans="1:1">
      <c r="A20586" s="56"/>
    </row>
    <row r="20587" spans="1:1">
      <c r="A20587" s="56"/>
    </row>
    <row r="20588" spans="1:1">
      <c r="A20588" s="56"/>
    </row>
    <row r="20589" spans="1:1">
      <c r="A20589" s="56"/>
    </row>
    <row r="20590" spans="1:1">
      <c r="A20590" s="56"/>
    </row>
    <row r="20591" spans="1:1">
      <c r="A20591" s="56"/>
    </row>
    <row r="20592" spans="1:1">
      <c r="A20592" s="56"/>
    </row>
    <row r="20593" spans="1:1">
      <c r="A20593" s="56"/>
    </row>
    <row r="20594" spans="1:1">
      <c r="A20594" s="56"/>
    </row>
    <row r="20595" spans="1:1">
      <c r="A20595" s="56"/>
    </row>
    <row r="20596" spans="1:1">
      <c r="A20596" s="56"/>
    </row>
    <row r="20597" spans="1:1">
      <c r="A20597" s="56"/>
    </row>
    <row r="20598" spans="1:1">
      <c r="A20598" s="56"/>
    </row>
    <row r="20599" spans="1:1">
      <c r="A20599" s="56"/>
    </row>
    <row r="20600" spans="1:1">
      <c r="A20600" s="56"/>
    </row>
    <row r="20601" spans="1:1">
      <c r="A20601" s="56"/>
    </row>
    <row r="20602" spans="1:1">
      <c r="A20602" s="56"/>
    </row>
    <row r="20603" spans="1:1">
      <c r="A20603" s="56"/>
    </row>
    <row r="20604" spans="1:1">
      <c r="A20604" s="56"/>
    </row>
    <row r="20605" spans="1:1">
      <c r="A20605" s="56"/>
    </row>
    <row r="20606" spans="1:1">
      <c r="A20606" s="56"/>
    </row>
    <row r="20607" spans="1:1">
      <c r="A20607" s="56"/>
    </row>
    <row r="20608" spans="1:1">
      <c r="A20608" s="56"/>
    </row>
    <row r="20609" spans="1:1">
      <c r="A20609" s="56"/>
    </row>
    <row r="20610" spans="1:1">
      <c r="A20610" s="56"/>
    </row>
    <row r="20611" spans="1:1">
      <c r="A20611" s="56"/>
    </row>
    <row r="20612" spans="1:1">
      <c r="A20612" s="56"/>
    </row>
    <row r="20613" spans="1:1">
      <c r="A20613" s="56"/>
    </row>
    <row r="20614" spans="1:1">
      <c r="A20614" s="56"/>
    </row>
    <row r="20615" spans="1:1">
      <c r="A20615" s="56"/>
    </row>
    <row r="20616" spans="1:1">
      <c r="A20616" s="56"/>
    </row>
    <row r="20617" spans="1:1">
      <c r="A20617" s="56"/>
    </row>
    <row r="20618" spans="1:1">
      <c r="A20618" s="56"/>
    </row>
    <row r="20619" spans="1:1">
      <c r="A20619" s="56"/>
    </row>
    <row r="20620" spans="1:1">
      <c r="A20620" s="56"/>
    </row>
    <row r="20621" spans="1:1">
      <c r="A20621" s="56"/>
    </row>
    <row r="20622" spans="1:1">
      <c r="A20622" s="56"/>
    </row>
    <row r="20623" spans="1:1">
      <c r="A20623" s="56"/>
    </row>
    <row r="20624" spans="1:1">
      <c r="A20624" s="56"/>
    </row>
    <row r="20625" spans="1:1">
      <c r="A20625" s="56"/>
    </row>
    <row r="20626" spans="1:1">
      <c r="A20626" s="56"/>
    </row>
    <row r="20627" spans="1:1">
      <c r="A20627" s="56"/>
    </row>
    <row r="20628" spans="1:1">
      <c r="A20628" s="56"/>
    </row>
    <row r="20629" spans="1:1">
      <c r="A20629" s="56"/>
    </row>
    <row r="20630" spans="1:1">
      <c r="A20630" s="56"/>
    </row>
    <row r="20631" spans="1:1">
      <c r="A20631" s="56"/>
    </row>
    <row r="20632" spans="1:1">
      <c r="A20632" s="56"/>
    </row>
    <row r="20633" spans="1:1">
      <c r="A20633" s="56"/>
    </row>
    <row r="20634" spans="1:1">
      <c r="A20634" s="56"/>
    </row>
    <row r="20635" spans="1:1">
      <c r="A20635" s="56"/>
    </row>
    <row r="20636" spans="1:1">
      <c r="A20636" s="56"/>
    </row>
    <row r="20637" spans="1:1">
      <c r="A20637" s="56"/>
    </row>
    <row r="20638" spans="1:1">
      <c r="A20638" s="56"/>
    </row>
    <row r="20639" spans="1:1">
      <c r="A20639" s="56"/>
    </row>
    <row r="20640" spans="1:1">
      <c r="A20640" s="56"/>
    </row>
    <row r="20641" spans="1:1">
      <c r="A20641" s="56"/>
    </row>
    <row r="20642" spans="1:1">
      <c r="A20642" s="56"/>
    </row>
    <row r="20643" spans="1:1">
      <c r="A20643" s="56"/>
    </row>
    <row r="20644" spans="1:1">
      <c r="A20644" s="56"/>
    </row>
    <row r="20645" spans="1:1">
      <c r="A20645" s="56"/>
    </row>
    <row r="20646" spans="1:1">
      <c r="A20646" s="56"/>
    </row>
    <row r="20647" spans="1:1">
      <c r="A20647" s="56"/>
    </row>
    <row r="20648" spans="1:1">
      <c r="A20648" s="56"/>
    </row>
    <row r="20649" spans="1:1">
      <c r="A20649" s="56"/>
    </row>
    <row r="20650" spans="1:1">
      <c r="A20650" s="56"/>
    </row>
    <row r="20651" spans="1:1">
      <c r="A20651" s="56"/>
    </row>
    <row r="20652" spans="1:1">
      <c r="A20652" s="56"/>
    </row>
    <row r="20653" spans="1:1">
      <c r="A20653" s="56"/>
    </row>
    <row r="20654" spans="1:1">
      <c r="A20654" s="56"/>
    </row>
    <row r="20655" spans="1:1">
      <c r="A20655" s="56"/>
    </row>
    <row r="20656" spans="1:1">
      <c r="A20656" s="56"/>
    </row>
    <row r="20657" spans="1:1">
      <c r="A20657" s="56"/>
    </row>
    <row r="20658" spans="1:1">
      <c r="A20658" s="56"/>
    </row>
    <row r="20659" spans="1:1">
      <c r="A20659" s="56"/>
    </row>
    <row r="20660" spans="1:1">
      <c r="A20660" s="56"/>
    </row>
    <row r="20661" spans="1:1">
      <c r="A20661" s="56"/>
    </row>
    <row r="20662" spans="1:1">
      <c r="A20662" s="56"/>
    </row>
    <row r="20663" spans="1:1">
      <c r="A20663" s="56"/>
    </row>
    <row r="20664" spans="1:1">
      <c r="A20664" s="56"/>
    </row>
    <row r="20665" spans="1:1">
      <c r="A20665" s="56"/>
    </row>
    <row r="20666" spans="1:1">
      <c r="A20666" s="56"/>
    </row>
    <row r="20667" spans="1:1">
      <c r="A20667" s="56"/>
    </row>
    <row r="20668" spans="1:1">
      <c r="A20668" s="56"/>
    </row>
    <row r="20669" spans="1:1">
      <c r="A20669" s="56"/>
    </row>
    <row r="20670" spans="1:1">
      <c r="A20670" s="56"/>
    </row>
    <row r="20671" spans="1:1">
      <c r="A20671" s="56"/>
    </row>
    <row r="20672" spans="1:1">
      <c r="A20672" s="56"/>
    </row>
    <row r="20673" spans="1:1">
      <c r="A20673" s="56"/>
    </row>
    <row r="20674" spans="1:1">
      <c r="A20674" s="56"/>
    </row>
    <row r="20675" spans="1:1">
      <c r="A20675" s="56"/>
    </row>
    <row r="20676" spans="1:1">
      <c r="A20676" s="56"/>
    </row>
    <row r="20677" spans="1:1">
      <c r="A20677" s="56"/>
    </row>
    <row r="20678" spans="1:1">
      <c r="A20678" s="56"/>
    </row>
    <row r="20679" spans="1:1">
      <c r="A20679" s="56"/>
    </row>
    <row r="20680" spans="1:1">
      <c r="A20680" s="56"/>
    </row>
    <row r="20681" spans="1:1">
      <c r="A20681" s="56"/>
    </row>
    <row r="20682" spans="1:1">
      <c r="A20682" s="56"/>
    </row>
    <row r="20683" spans="1:1">
      <c r="A20683" s="56"/>
    </row>
    <row r="20684" spans="1:1">
      <c r="A20684" s="56"/>
    </row>
    <row r="20685" spans="1:1">
      <c r="A20685" s="56"/>
    </row>
    <row r="20686" spans="1:1">
      <c r="A20686" s="56"/>
    </row>
    <row r="20687" spans="1:1">
      <c r="A20687" s="56"/>
    </row>
    <row r="20688" spans="1:1">
      <c r="A20688" s="56"/>
    </row>
    <row r="20689" spans="1:1">
      <c r="A20689" s="56"/>
    </row>
    <row r="20690" spans="1:1">
      <c r="A20690" s="56"/>
    </row>
    <row r="20691" spans="1:1">
      <c r="A20691" s="56"/>
    </row>
    <row r="20692" spans="1:1">
      <c r="A20692" s="56"/>
    </row>
    <row r="20693" spans="1:1">
      <c r="A20693" s="56"/>
    </row>
    <row r="20694" spans="1:1">
      <c r="A20694" s="56"/>
    </row>
    <row r="20695" spans="1:1">
      <c r="A20695" s="56"/>
    </row>
    <row r="20696" spans="1:1">
      <c r="A20696" s="56"/>
    </row>
    <row r="20697" spans="1:1">
      <c r="A20697" s="56"/>
    </row>
    <row r="20698" spans="1:1">
      <c r="A20698" s="56"/>
    </row>
    <row r="20699" spans="1:1">
      <c r="A20699" s="56"/>
    </row>
    <row r="20700" spans="1:1">
      <c r="A20700" s="56"/>
    </row>
    <row r="20701" spans="1:1">
      <c r="A20701" s="56"/>
    </row>
    <row r="20702" spans="1:1">
      <c r="A20702" s="56"/>
    </row>
    <row r="20703" spans="1:1">
      <c r="A20703" s="56"/>
    </row>
    <row r="20704" spans="1:1">
      <c r="A20704" s="56"/>
    </row>
    <row r="20705" spans="1:1">
      <c r="A20705" s="56"/>
    </row>
    <row r="20706" spans="1:1">
      <c r="A20706" s="56"/>
    </row>
    <row r="20707" spans="1:1">
      <c r="A20707" s="56"/>
    </row>
    <row r="20708" spans="1:1">
      <c r="A20708" s="56"/>
    </row>
    <row r="20709" spans="1:1">
      <c r="A20709" s="56"/>
    </row>
    <row r="20710" spans="1:1">
      <c r="A20710" s="56"/>
    </row>
    <row r="20711" spans="1:1">
      <c r="A20711" s="56"/>
    </row>
    <row r="20712" spans="1:1">
      <c r="A20712" s="56"/>
    </row>
    <row r="20713" spans="1:1">
      <c r="A20713" s="56"/>
    </row>
    <row r="20714" spans="1:1">
      <c r="A20714" s="56"/>
    </row>
    <row r="20715" spans="1:1">
      <c r="A20715" s="56"/>
    </row>
    <row r="20716" spans="1:1">
      <c r="A20716" s="56"/>
    </row>
    <row r="20717" spans="1:1">
      <c r="A20717" s="56"/>
    </row>
    <row r="20718" spans="1:1">
      <c r="A20718" s="56"/>
    </row>
    <row r="20719" spans="1:1">
      <c r="A20719" s="56"/>
    </row>
    <row r="20720" spans="1:1">
      <c r="A20720" s="56"/>
    </row>
    <row r="20721" spans="1:1">
      <c r="A20721" s="56"/>
    </row>
    <row r="20722" spans="1:1">
      <c r="A20722" s="56"/>
    </row>
    <row r="20723" spans="1:1">
      <c r="A20723" s="56"/>
    </row>
    <row r="20724" spans="1:1">
      <c r="A20724" s="56"/>
    </row>
    <row r="20725" spans="1:1">
      <c r="A20725" s="56"/>
    </row>
    <row r="20726" spans="1:1">
      <c r="A20726" s="56"/>
    </row>
    <row r="20727" spans="1:1">
      <c r="A20727" s="56"/>
    </row>
    <row r="20728" spans="1:1">
      <c r="A20728" s="56"/>
    </row>
    <row r="20729" spans="1:1">
      <c r="A20729" s="56"/>
    </row>
    <row r="20730" spans="1:1">
      <c r="A20730" s="56"/>
    </row>
    <row r="20731" spans="1:1">
      <c r="A20731" s="56"/>
    </row>
    <row r="20732" spans="1:1">
      <c r="A20732" s="56"/>
    </row>
    <row r="20733" spans="1:1">
      <c r="A20733" s="56"/>
    </row>
    <row r="20734" spans="1:1">
      <c r="A20734" s="56"/>
    </row>
    <row r="20735" spans="1:1">
      <c r="A20735" s="56"/>
    </row>
    <row r="20736" spans="1:1">
      <c r="A20736" s="56"/>
    </row>
    <row r="20737" spans="1:1">
      <c r="A20737" s="56"/>
    </row>
    <row r="20738" spans="1:1">
      <c r="A20738" s="56"/>
    </row>
    <row r="20739" spans="1:1">
      <c r="A20739" s="56"/>
    </row>
    <row r="20740" spans="1:1">
      <c r="A20740" s="56"/>
    </row>
    <row r="20741" spans="1:1">
      <c r="A20741" s="56"/>
    </row>
    <row r="20742" spans="1:1">
      <c r="A20742" s="56"/>
    </row>
    <row r="20743" spans="1:1">
      <c r="A20743" s="56"/>
    </row>
    <row r="20744" spans="1:1">
      <c r="A20744" s="56"/>
    </row>
    <row r="20745" spans="1:1">
      <c r="A20745" s="56"/>
    </row>
    <row r="20746" spans="1:1">
      <c r="A20746" s="56"/>
    </row>
    <row r="20747" spans="1:1">
      <c r="A20747" s="56"/>
    </row>
    <row r="20748" spans="1:1">
      <c r="A20748" s="56"/>
    </row>
    <row r="20749" spans="1:1">
      <c r="A20749" s="56"/>
    </row>
    <row r="20750" spans="1:1">
      <c r="A20750" s="56"/>
    </row>
    <row r="20751" spans="1:1">
      <c r="A20751" s="56"/>
    </row>
    <row r="20752" spans="1:1">
      <c r="A20752" s="56"/>
    </row>
    <row r="20753" spans="1:1">
      <c r="A20753" s="56"/>
    </row>
    <row r="20754" spans="1:1">
      <c r="A20754" s="56"/>
    </row>
    <row r="20755" spans="1:1">
      <c r="A20755" s="56"/>
    </row>
    <row r="20756" spans="1:1">
      <c r="A20756" s="56"/>
    </row>
    <row r="20757" spans="1:1">
      <c r="A20757" s="56"/>
    </row>
    <row r="20758" spans="1:1">
      <c r="A20758" s="56"/>
    </row>
    <row r="20759" spans="1:1">
      <c r="A20759" s="56"/>
    </row>
    <row r="20760" spans="1:1">
      <c r="A20760" s="56"/>
    </row>
    <row r="20761" spans="1:1">
      <c r="A20761" s="56"/>
    </row>
    <row r="20762" spans="1:1">
      <c r="A20762" s="56"/>
    </row>
    <row r="20763" spans="1:1">
      <c r="A20763" s="56"/>
    </row>
    <row r="20764" spans="1:1">
      <c r="A20764" s="56"/>
    </row>
    <row r="20765" spans="1:1">
      <c r="A20765" s="56"/>
    </row>
    <row r="20766" spans="1:1">
      <c r="A20766" s="56"/>
    </row>
    <row r="20767" spans="1:1">
      <c r="A20767" s="56"/>
    </row>
    <row r="20768" spans="1:1">
      <c r="A20768" s="56"/>
    </row>
    <row r="20769" spans="1:1">
      <c r="A20769" s="56"/>
    </row>
    <row r="20770" spans="1:1">
      <c r="A20770" s="56"/>
    </row>
    <row r="20771" spans="1:1">
      <c r="A20771" s="56"/>
    </row>
    <row r="20772" spans="1:1">
      <c r="A20772" s="56"/>
    </row>
    <row r="20773" spans="1:1">
      <c r="A20773" s="56"/>
    </row>
    <row r="20774" spans="1:1">
      <c r="A20774" s="56"/>
    </row>
    <row r="20775" spans="1:1">
      <c r="A20775" s="56"/>
    </row>
    <row r="20776" spans="1:1">
      <c r="A20776" s="56"/>
    </row>
    <row r="20777" spans="1:1">
      <c r="A20777" s="56"/>
    </row>
    <row r="20778" spans="1:1">
      <c r="A20778" s="56"/>
    </row>
    <row r="20779" spans="1:1">
      <c r="A20779" s="56"/>
    </row>
    <row r="20780" spans="1:1">
      <c r="A20780" s="56"/>
    </row>
    <row r="20781" spans="1:1">
      <c r="A20781" s="56"/>
    </row>
    <row r="20782" spans="1:1">
      <c r="A20782" s="56"/>
    </row>
    <row r="20783" spans="1:1">
      <c r="A20783" s="56"/>
    </row>
    <row r="20784" spans="1:1">
      <c r="A20784" s="56"/>
    </row>
    <row r="20785" spans="1:1">
      <c r="A20785" s="56"/>
    </row>
    <row r="20786" spans="1:1">
      <c r="A20786" s="56"/>
    </row>
    <row r="20787" spans="1:1">
      <c r="A20787" s="56"/>
    </row>
    <row r="20788" spans="1:1">
      <c r="A20788" s="56"/>
    </row>
    <row r="20789" spans="1:1">
      <c r="A20789" s="56"/>
    </row>
    <row r="20790" spans="1:1">
      <c r="A20790" s="56"/>
    </row>
    <row r="20791" spans="1:1">
      <c r="A20791" s="56"/>
    </row>
    <row r="20792" spans="1:1">
      <c r="A20792" s="56"/>
    </row>
    <row r="20793" spans="1:1">
      <c r="A20793" s="56"/>
    </row>
    <row r="20794" spans="1:1">
      <c r="A20794" s="56"/>
    </row>
    <row r="20795" spans="1:1">
      <c r="A20795" s="56"/>
    </row>
    <row r="20796" spans="1:1">
      <c r="A20796" s="56"/>
    </row>
    <row r="20797" spans="1:1">
      <c r="A20797" s="56"/>
    </row>
    <row r="20798" spans="1:1">
      <c r="A20798" s="56"/>
    </row>
    <row r="20799" spans="1:1">
      <c r="A20799" s="56"/>
    </row>
    <row r="20800" spans="1:1">
      <c r="A20800" s="56"/>
    </row>
    <row r="20801" spans="1:1">
      <c r="A20801" s="56"/>
    </row>
    <row r="20802" spans="1:1">
      <c r="A20802" s="56"/>
    </row>
    <row r="20803" spans="1:1">
      <c r="A20803" s="56"/>
    </row>
    <row r="20804" spans="1:1">
      <c r="A20804" s="56"/>
    </row>
    <row r="20805" spans="1:1">
      <c r="A20805" s="56"/>
    </row>
    <row r="20806" spans="1:1">
      <c r="A20806" s="56"/>
    </row>
    <row r="20807" spans="1:1">
      <c r="A20807" s="56"/>
    </row>
    <row r="20808" spans="1:1">
      <c r="A20808" s="56"/>
    </row>
    <row r="20809" spans="1:1">
      <c r="A20809" s="56"/>
    </row>
    <row r="20810" spans="1:1">
      <c r="A20810" s="56"/>
    </row>
    <row r="20811" spans="1:1">
      <c r="A20811" s="56"/>
    </row>
    <row r="20812" spans="1:1">
      <c r="A20812" s="56"/>
    </row>
    <row r="20813" spans="1:1">
      <c r="A20813" s="56"/>
    </row>
    <row r="20814" spans="1:1">
      <c r="A20814" s="56"/>
    </row>
    <row r="20815" spans="1:1">
      <c r="A20815" s="56"/>
    </row>
    <row r="20816" spans="1:1">
      <c r="A20816" s="56"/>
    </row>
    <row r="20817" spans="1:1">
      <c r="A20817" s="56"/>
    </row>
    <row r="20818" spans="1:1">
      <c r="A20818" s="56"/>
    </row>
    <row r="20819" spans="1:1">
      <c r="A20819" s="56"/>
    </row>
    <row r="20820" spans="1:1">
      <c r="A20820" s="56"/>
    </row>
    <row r="20821" spans="1:1">
      <c r="A20821" s="56"/>
    </row>
    <row r="20822" spans="1:1">
      <c r="A20822" s="56"/>
    </row>
    <row r="20823" spans="1:1">
      <c r="A20823" s="56"/>
    </row>
    <row r="20824" spans="1:1">
      <c r="A20824" s="56"/>
    </row>
    <row r="20825" spans="1:1">
      <c r="A20825" s="56"/>
    </row>
    <row r="20826" spans="1:1">
      <c r="A20826" s="56"/>
    </row>
    <row r="20827" spans="1:1">
      <c r="A20827" s="56"/>
    </row>
    <row r="20828" spans="1:1">
      <c r="A20828" s="56"/>
    </row>
    <row r="20829" spans="1:1">
      <c r="A20829" s="56"/>
    </row>
    <row r="20830" spans="1:1">
      <c r="A20830" s="56"/>
    </row>
    <row r="20831" spans="1:1">
      <c r="A20831" s="56"/>
    </row>
    <row r="20832" spans="1:1">
      <c r="A20832" s="56"/>
    </row>
    <row r="20833" spans="1:1">
      <c r="A20833" s="56"/>
    </row>
    <row r="20834" spans="1:1">
      <c r="A20834" s="56"/>
    </row>
    <row r="20835" spans="1:1">
      <c r="A20835" s="56"/>
    </row>
    <row r="20836" spans="1:1">
      <c r="A20836" s="56"/>
    </row>
    <row r="20837" spans="1:1">
      <c r="A20837" s="56"/>
    </row>
    <row r="20838" spans="1:1">
      <c r="A20838" s="56"/>
    </row>
    <row r="20839" spans="1:1">
      <c r="A20839" s="56"/>
    </row>
    <row r="20840" spans="1:1">
      <c r="A20840" s="56"/>
    </row>
    <row r="20841" spans="1:1">
      <c r="A20841" s="56"/>
    </row>
    <row r="20842" spans="1:1">
      <c r="A20842" s="56"/>
    </row>
    <row r="20843" spans="1:1">
      <c r="A20843" s="56"/>
    </row>
    <row r="20844" spans="1:1">
      <c r="A20844" s="56"/>
    </row>
    <row r="20845" spans="1:1">
      <c r="A20845" s="56"/>
    </row>
    <row r="20846" spans="1:1">
      <c r="A20846" s="56"/>
    </row>
    <row r="20847" spans="1:1">
      <c r="A20847" s="56"/>
    </row>
    <row r="20848" spans="1:1">
      <c r="A20848" s="56"/>
    </row>
    <row r="20849" spans="1:1">
      <c r="A20849" s="56"/>
    </row>
    <row r="20850" spans="1:1">
      <c r="A20850" s="56"/>
    </row>
    <row r="20851" spans="1:1">
      <c r="A20851" s="56"/>
    </row>
    <row r="20852" spans="1:1">
      <c r="A20852" s="56"/>
    </row>
    <row r="20853" spans="1:1">
      <c r="A20853" s="56"/>
    </row>
    <row r="20854" spans="1:1">
      <c r="A20854" s="56"/>
    </row>
    <row r="20855" spans="1:1">
      <c r="A20855" s="56"/>
    </row>
    <row r="20856" spans="1:1">
      <c r="A20856" s="56"/>
    </row>
    <row r="20857" spans="1:1">
      <c r="A20857" s="56"/>
    </row>
    <row r="20858" spans="1:1">
      <c r="A20858" s="56"/>
    </row>
    <row r="20859" spans="1:1">
      <c r="A20859" s="56"/>
    </row>
    <row r="20860" spans="1:1">
      <c r="A20860" s="56"/>
    </row>
    <row r="20861" spans="1:1">
      <c r="A20861" s="56"/>
    </row>
    <row r="20862" spans="1:1">
      <c r="A20862" s="56"/>
    </row>
    <row r="20863" spans="1:1">
      <c r="A20863" s="56"/>
    </row>
    <row r="20864" spans="1:1">
      <c r="A20864" s="56"/>
    </row>
    <row r="20865" spans="1:1">
      <c r="A20865" s="56"/>
    </row>
    <row r="20866" spans="1:1">
      <c r="A20866" s="56"/>
    </row>
    <row r="20867" spans="1:1">
      <c r="A20867" s="56"/>
    </row>
    <row r="20868" spans="1:1">
      <c r="A20868" s="56"/>
    </row>
    <row r="20869" spans="1:1">
      <c r="A20869" s="56"/>
    </row>
    <row r="20870" spans="1:1">
      <c r="A20870" s="56"/>
    </row>
    <row r="20871" spans="1:1">
      <c r="A20871" s="56"/>
    </row>
    <row r="20872" spans="1:1">
      <c r="A20872" s="56"/>
    </row>
    <row r="20873" spans="1:1">
      <c r="A20873" s="56"/>
    </row>
    <row r="20874" spans="1:1">
      <c r="A20874" s="56"/>
    </row>
    <row r="20875" spans="1:1">
      <c r="A20875" s="56"/>
    </row>
    <row r="20876" spans="1:1">
      <c r="A20876" s="56"/>
    </row>
    <row r="20877" spans="1:1">
      <c r="A20877" s="56"/>
    </row>
    <row r="20878" spans="1:1">
      <c r="A20878" s="56"/>
    </row>
    <row r="20879" spans="1:1">
      <c r="A20879" s="56"/>
    </row>
    <row r="20880" spans="1:1">
      <c r="A20880" s="56"/>
    </row>
    <row r="20881" spans="1:1">
      <c r="A20881" s="56"/>
    </row>
    <row r="20882" spans="1:1">
      <c r="A20882" s="56"/>
    </row>
    <row r="20883" spans="1:1">
      <c r="A20883" s="56"/>
    </row>
    <row r="20884" spans="1:1">
      <c r="A20884" s="56"/>
    </row>
    <row r="20885" spans="1:1">
      <c r="A20885" s="56"/>
    </row>
    <row r="20886" spans="1:1">
      <c r="A20886" s="56"/>
    </row>
    <row r="20887" spans="1:1">
      <c r="A20887" s="56"/>
    </row>
    <row r="20888" spans="1:1">
      <c r="A20888" s="56"/>
    </row>
    <row r="20889" spans="1:1">
      <c r="A20889" s="56"/>
    </row>
    <row r="20890" spans="1:1">
      <c r="A20890" s="56"/>
    </row>
    <row r="20891" spans="1:1">
      <c r="A20891" s="56"/>
    </row>
    <row r="20892" spans="1:1">
      <c r="A20892" s="56"/>
    </row>
    <row r="20893" spans="1:1">
      <c r="A20893" s="56"/>
    </row>
    <row r="20894" spans="1:1">
      <c r="A20894" s="56"/>
    </row>
    <row r="20895" spans="1:1">
      <c r="A20895" s="56"/>
    </row>
    <row r="20896" spans="1:1">
      <c r="A20896" s="56"/>
    </row>
    <row r="20897" spans="1:1">
      <c r="A20897" s="56"/>
    </row>
    <row r="20898" spans="1:1">
      <c r="A20898" s="56"/>
    </row>
    <row r="20899" spans="1:1">
      <c r="A20899" s="56"/>
    </row>
    <row r="20900" spans="1:1">
      <c r="A20900" s="56"/>
    </row>
    <row r="20901" spans="1:1">
      <c r="A20901" s="56"/>
    </row>
    <row r="20902" spans="1:1">
      <c r="A20902" s="56"/>
    </row>
    <row r="20903" spans="1:1">
      <c r="A20903" s="56"/>
    </row>
    <row r="20904" spans="1:1">
      <c r="A20904" s="56"/>
    </row>
    <row r="20905" spans="1:1">
      <c r="A20905" s="56"/>
    </row>
    <row r="20906" spans="1:1">
      <c r="A20906" s="56"/>
    </row>
    <row r="20907" spans="1:1">
      <c r="A20907" s="56"/>
    </row>
    <row r="20908" spans="1:1">
      <c r="A20908" s="56"/>
    </row>
    <row r="20909" spans="1:1">
      <c r="A20909" s="56"/>
    </row>
    <row r="20910" spans="1:1">
      <c r="A20910" s="56"/>
    </row>
    <row r="20911" spans="1:1">
      <c r="A20911" s="56"/>
    </row>
    <row r="20912" spans="1:1">
      <c r="A20912" s="56"/>
    </row>
    <row r="20913" spans="1:1">
      <c r="A20913" s="56"/>
    </row>
    <row r="20914" spans="1:1">
      <c r="A20914" s="56"/>
    </row>
    <row r="20915" spans="1:1">
      <c r="A20915" s="56"/>
    </row>
    <row r="20916" spans="1:1">
      <c r="A20916" s="56"/>
    </row>
    <row r="20917" spans="1:1">
      <c r="A20917" s="56"/>
    </row>
    <row r="20918" spans="1:1">
      <c r="A20918" s="56"/>
    </row>
    <row r="20919" spans="1:1">
      <c r="A20919" s="56"/>
    </row>
    <row r="20920" spans="1:1">
      <c r="A20920" s="56"/>
    </row>
    <row r="20921" spans="1:1">
      <c r="A20921" s="56"/>
    </row>
    <row r="20922" spans="1:1">
      <c r="A20922" s="56"/>
    </row>
    <row r="20923" spans="1:1">
      <c r="A20923" s="56"/>
    </row>
    <row r="20924" spans="1:1">
      <c r="A20924" s="56"/>
    </row>
    <row r="20925" spans="1:1">
      <c r="A20925" s="56"/>
    </row>
    <row r="20926" spans="1:1">
      <c r="A20926" s="56"/>
    </row>
    <row r="20927" spans="1:1">
      <c r="A20927" s="56"/>
    </row>
    <row r="20928" spans="1:1">
      <c r="A20928" s="56"/>
    </row>
    <row r="20929" spans="1:1">
      <c r="A20929" s="56"/>
    </row>
    <row r="20930" spans="1:1">
      <c r="A20930" s="56"/>
    </row>
    <row r="20931" spans="1:1">
      <c r="A20931" s="56"/>
    </row>
    <row r="20932" spans="1:1">
      <c r="A20932" s="56"/>
    </row>
    <row r="20933" spans="1:1">
      <c r="A20933" s="56"/>
    </row>
    <row r="20934" spans="1:1">
      <c r="A20934" s="56"/>
    </row>
    <row r="20935" spans="1:1">
      <c r="A20935" s="56"/>
    </row>
    <row r="20936" spans="1:1">
      <c r="A20936" s="56"/>
    </row>
    <row r="20937" spans="1:1">
      <c r="A20937" s="56"/>
    </row>
    <row r="20938" spans="1:1">
      <c r="A20938" s="56"/>
    </row>
    <row r="20939" spans="1:1">
      <c r="A20939" s="56"/>
    </row>
    <row r="20940" spans="1:1">
      <c r="A20940" s="56"/>
    </row>
    <row r="20941" spans="1:1">
      <c r="A20941" s="56"/>
    </row>
    <row r="20942" spans="1:1">
      <c r="A20942" s="56"/>
    </row>
    <row r="20943" spans="1:1">
      <c r="A20943" s="56"/>
    </row>
    <row r="20944" spans="1:1">
      <c r="A20944" s="56"/>
    </row>
    <row r="20945" spans="1:1">
      <c r="A20945" s="56"/>
    </row>
    <row r="20946" spans="1:1">
      <c r="A20946" s="56"/>
    </row>
    <row r="20947" spans="1:1">
      <c r="A20947" s="56"/>
    </row>
    <row r="20948" spans="1:1">
      <c r="A20948" s="56"/>
    </row>
    <row r="20949" spans="1:1">
      <c r="A20949" s="56"/>
    </row>
    <row r="20950" spans="1:1">
      <c r="A20950" s="56"/>
    </row>
    <row r="20951" spans="1:1">
      <c r="A20951" s="56"/>
    </row>
    <row r="20952" spans="1:1">
      <c r="A20952" s="56"/>
    </row>
    <row r="20953" spans="1:1">
      <c r="A20953" s="56"/>
    </row>
    <row r="20954" spans="1:1">
      <c r="A20954" s="56"/>
    </row>
    <row r="20955" spans="1:1">
      <c r="A20955" s="56"/>
    </row>
    <row r="20956" spans="1:1">
      <c r="A20956" s="56"/>
    </row>
    <row r="20957" spans="1:1">
      <c r="A20957" s="56"/>
    </row>
    <row r="20958" spans="1:1">
      <c r="A20958" s="56"/>
    </row>
    <row r="20959" spans="1:1">
      <c r="A20959" s="56"/>
    </row>
    <row r="20960" spans="1:1">
      <c r="A20960" s="56"/>
    </row>
    <row r="20961" spans="1:1">
      <c r="A20961" s="56"/>
    </row>
    <row r="20962" spans="1:1">
      <c r="A20962" s="56"/>
    </row>
    <row r="20963" spans="1:1">
      <c r="A20963" s="56"/>
    </row>
    <row r="20964" spans="1:1">
      <c r="A20964" s="56"/>
    </row>
    <row r="20965" spans="1:1">
      <c r="A20965" s="56"/>
    </row>
    <row r="20966" spans="1:1">
      <c r="A20966" s="56"/>
    </row>
    <row r="20967" spans="1:1">
      <c r="A20967" s="56"/>
    </row>
    <row r="20968" spans="1:1">
      <c r="A20968" s="56"/>
    </row>
    <row r="20969" spans="1:1">
      <c r="A20969" s="56"/>
    </row>
    <row r="20970" spans="1:1">
      <c r="A20970" s="56"/>
    </row>
    <row r="20971" spans="1:1">
      <c r="A20971" s="56"/>
    </row>
    <row r="20972" spans="1:1">
      <c r="A20972" s="56"/>
    </row>
    <row r="20973" spans="1:1">
      <c r="A20973" s="56"/>
    </row>
    <row r="20974" spans="1:1">
      <c r="A20974" s="56"/>
    </row>
    <row r="20975" spans="1:1">
      <c r="A20975" s="56"/>
    </row>
    <row r="20976" spans="1:1">
      <c r="A20976" s="56"/>
    </row>
    <row r="20977" spans="1:1">
      <c r="A20977" s="56"/>
    </row>
    <row r="20978" spans="1:1">
      <c r="A20978" s="56"/>
    </row>
    <row r="20979" spans="1:1">
      <c r="A20979" s="56"/>
    </row>
    <row r="20980" spans="1:1">
      <c r="A20980" s="56"/>
    </row>
    <row r="20981" spans="1:1">
      <c r="A20981" s="56"/>
    </row>
    <row r="20982" spans="1:1">
      <c r="A20982" s="56"/>
    </row>
    <row r="20983" spans="1:1">
      <c r="A20983" s="56"/>
    </row>
    <row r="20984" spans="1:1">
      <c r="A20984" s="56"/>
    </row>
    <row r="20985" spans="1:1">
      <c r="A20985" s="56"/>
    </row>
    <row r="20986" spans="1:1">
      <c r="A20986" s="56"/>
    </row>
    <row r="20987" spans="1:1">
      <c r="A20987" s="56"/>
    </row>
    <row r="20988" spans="1:1">
      <c r="A20988" s="56"/>
    </row>
    <row r="20989" spans="1:1">
      <c r="A20989" s="56"/>
    </row>
    <row r="20990" spans="1:1">
      <c r="A20990" s="56"/>
    </row>
    <row r="20991" spans="1:1">
      <c r="A20991" s="56"/>
    </row>
    <row r="20992" spans="1:1">
      <c r="A20992" s="56"/>
    </row>
    <row r="20993" spans="1:1">
      <c r="A20993" s="56"/>
    </row>
    <row r="20994" spans="1:1">
      <c r="A20994" s="56"/>
    </row>
    <row r="20995" spans="1:1">
      <c r="A20995" s="56"/>
    </row>
    <row r="20996" spans="1:1">
      <c r="A20996" s="56"/>
    </row>
    <row r="20997" spans="1:1">
      <c r="A20997" s="56"/>
    </row>
    <row r="20998" spans="1:1">
      <c r="A20998" s="56"/>
    </row>
    <row r="20999" spans="1:1">
      <c r="A20999" s="56"/>
    </row>
    <row r="21000" spans="1:1">
      <c r="A21000" s="56"/>
    </row>
    <row r="21001" spans="1:1">
      <c r="A21001" s="56"/>
    </row>
    <row r="21002" spans="1:1">
      <c r="A21002" s="56"/>
    </row>
    <row r="21003" spans="1:1">
      <c r="A21003" s="56"/>
    </row>
    <row r="21004" spans="1:1">
      <c r="A21004" s="56"/>
    </row>
    <row r="21005" spans="1:1">
      <c r="A21005" s="56"/>
    </row>
    <row r="21006" spans="1:1">
      <c r="A21006" s="56"/>
    </row>
    <row r="21007" spans="1:1">
      <c r="A21007" s="56"/>
    </row>
    <row r="21008" spans="1:1">
      <c r="A21008" s="56"/>
    </row>
    <row r="21009" spans="1:1">
      <c r="A21009" s="56"/>
    </row>
    <row r="21010" spans="1:1">
      <c r="A21010" s="56"/>
    </row>
    <row r="21011" spans="1:1">
      <c r="A21011" s="56"/>
    </row>
    <row r="21012" spans="1:1">
      <c r="A21012" s="56"/>
    </row>
    <row r="21013" spans="1:1">
      <c r="A21013" s="56"/>
    </row>
    <row r="21014" spans="1:1">
      <c r="A21014" s="56"/>
    </row>
    <row r="21015" spans="1:1">
      <c r="A21015" s="56"/>
    </row>
    <row r="21016" spans="1:1">
      <c r="A21016" s="56"/>
    </row>
    <row r="21017" spans="1:1">
      <c r="A21017" s="56"/>
    </row>
    <row r="21018" spans="1:1">
      <c r="A21018" s="56"/>
    </row>
    <row r="21019" spans="1:1">
      <c r="A21019" s="56"/>
    </row>
    <row r="21020" spans="1:1">
      <c r="A21020" s="56"/>
    </row>
    <row r="21021" spans="1:1">
      <c r="A21021" s="56"/>
    </row>
    <row r="21022" spans="1:1">
      <c r="A21022" s="56"/>
    </row>
    <row r="21023" spans="1:1">
      <c r="A21023" s="56"/>
    </row>
    <row r="21024" spans="1:1">
      <c r="A21024" s="56"/>
    </row>
    <row r="21025" spans="1:1">
      <c r="A21025" s="56"/>
    </row>
    <row r="21026" spans="1:1">
      <c r="A21026" s="56"/>
    </row>
    <row r="21027" spans="1:1">
      <c r="A21027" s="56"/>
    </row>
    <row r="21028" spans="1:1">
      <c r="A21028" s="56"/>
    </row>
    <row r="21029" spans="1:1">
      <c r="A21029" s="56"/>
    </row>
    <row r="21030" spans="1:1">
      <c r="A21030" s="56"/>
    </row>
    <row r="21031" spans="1:1">
      <c r="A21031" s="56"/>
    </row>
    <row r="21032" spans="1:1">
      <c r="A21032" s="56"/>
    </row>
    <row r="21033" spans="1:1">
      <c r="A21033" s="56"/>
    </row>
    <row r="21034" spans="1:1">
      <c r="A21034" s="56"/>
    </row>
    <row r="21035" spans="1:1">
      <c r="A21035" s="56"/>
    </row>
    <row r="21036" spans="1:1">
      <c r="A21036" s="56"/>
    </row>
    <row r="21037" spans="1:1">
      <c r="A21037" s="56"/>
    </row>
    <row r="21038" spans="1:1">
      <c r="A21038" s="56"/>
    </row>
    <row r="21039" spans="1:1">
      <c r="A21039" s="56"/>
    </row>
    <row r="21040" spans="1:1">
      <c r="A21040" s="56"/>
    </row>
    <row r="21041" spans="1:1">
      <c r="A21041" s="56"/>
    </row>
    <row r="21042" spans="1:1">
      <c r="A21042" s="56"/>
    </row>
    <row r="21043" spans="1:1">
      <c r="A21043" s="56"/>
    </row>
    <row r="21044" spans="1:1">
      <c r="A21044" s="56"/>
    </row>
    <row r="21045" spans="1:1">
      <c r="A21045" s="56"/>
    </row>
    <row r="21046" spans="1:1">
      <c r="A21046" s="56"/>
    </row>
    <row r="21047" spans="1:1">
      <c r="A21047" s="56"/>
    </row>
    <row r="21048" spans="1:1">
      <c r="A21048" s="56"/>
    </row>
    <row r="21049" spans="1:1">
      <c r="A21049" s="56"/>
    </row>
    <row r="21050" spans="1:1">
      <c r="A21050" s="56"/>
    </row>
    <row r="21051" spans="1:1">
      <c r="A21051" s="56"/>
    </row>
    <row r="21052" spans="1:1">
      <c r="A21052" s="56"/>
    </row>
    <row r="21053" spans="1:1">
      <c r="A21053" s="56"/>
    </row>
    <row r="21054" spans="1:1">
      <c r="A21054" s="56"/>
    </row>
    <row r="21055" spans="1:1">
      <c r="A21055" s="56"/>
    </row>
    <row r="21056" spans="1:1">
      <c r="A21056" s="56"/>
    </row>
    <row r="21057" spans="1:1">
      <c r="A21057" s="56"/>
    </row>
    <row r="21058" spans="1:1">
      <c r="A21058" s="56"/>
    </row>
    <row r="21059" spans="1:1">
      <c r="A21059" s="56"/>
    </row>
    <row r="21060" spans="1:1">
      <c r="A21060" s="56"/>
    </row>
    <row r="21061" spans="1:1">
      <c r="A21061" s="56"/>
    </row>
    <row r="21062" spans="1:1">
      <c r="A21062" s="56"/>
    </row>
    <row r="21063" spans="1:1">
      <c r="A21063" s="56"/>
    </row>
    <row r="21064" spans="1:1">
      <c r="A21064" s="56"/>
    </row>
    <row r="21065" spans="1:1">
      <c r="A21065" s="56"/>
    </row>
    <row r="21066" spans="1:1">
      <c r="A21066" s="56"/>
    </row>
    <row r="21067" spans="1:1">
      <c r="A21067" s="56"/>
    </row>
    <row r="21068" spans="1:1">
      <c r="A21068" s="56"/>
    </row>
    <row r="21069" spans="1:1">
      <c r="A21069" s="56"/>
    </row>
    <row r="21070" spans="1:1">
      <c r="A21070" s="56"/>
    </row>
    <row r="21071" spans="1:1">
      <c r="A21071" s="56"/>
    </row>
    <row r="21072" spans="1:1">
      <c r="A21072" s="56"/>
    </row>
    <row r="21073" spans="1:1">
      <c r="A21073" s="56"/>
    </row>
    <row r="21074" spans="1:1">
      <c r="A21074" s="56"/>
    </row>
    <row r="21075" spans="1:1">
      <c r="A21075" s="56"/>
    </row>
    <row r="21076" spans="1:1">
      <c r="A21076" s="56"/>
    </row>
    <row r="21077" spans="1:1">
      <c r="A21077" s="56"/>
    </row>
    <row r="21078" spans="1:1">
      <c r="A21078" s="56"/>
    </row>
    <row r="21079" spans="1:1">
      <c r="A21079" s="56"/>
    </row>
    <row r="21080" spans="1:1">
      <c r="A21080" s="56"/>
    </row>
    <row r="21081" spans="1:1">
      <c r="A21081" s="56"/>
    </row>
    <row r="21082" spans="1:1">
      <c r="A21082" s="56"/>
    </row>
    <row r="21083" spans="1:1">
      <c r="A21083" s="56"/>
    </row>
    <row r="21084" spans="1:1">
      <c r="A21084" s="56"/>
    </row>
    <row r="21085" spans="1:1">
      <c r="A21085" s="56"/>
    </row>
    <row r="21086" spans="1:1">
      <c r="A21086" s="56"/>
    </row>
    <row r="21087" spans="1:1">
      <c r="A21087" s="56"/>
    </row>
    <row r="21088" spans="1:1">
      <c r="A21088" s="56"/>
    </row>
    <row r="21089" spans="1:1">
      <c r="A21089" s="56"/>
    </row>
    <row r="21090" spans="1:1">
      <c r="A21090" s="56"/>
    </row>
    <row r="21091" spans="1:1">
      <c r="A21091" s="56"/>
    </row>
    <row r="21092" spans="1:1">
      <c r="A21092" s="56"/>
    </row>
    <row r="21093" spans="1:1">
      <c r="A21093" s="56"/>
    </row>
    <row r="21094" spans="1:1">
      <c r="A21094" s="56"/>
    </row>
    <row r="21095" spans="1:1">
      <c r="A21095" s="56"/>
    </row>
    <row r="21096" spans="1:1">
      <c r="A21096" s="56"/>
    </row>
    <row r="21097" spans="1:1">
      <c r="A21097" s="56"/>
    </row>
    <row r="21098" spans="1:1">
      <c r="A21098" s="56"/>
    </row>
    <row r="21099" spans="1:1">
      <c r="A21099" s="56"/>
    </row>
    <row r="21100" spans="1:1">
      <c r="A21100" s="56"/>
    </row>
    <row r="21101" spans="1:1">
      <c r="A21101" s="56"/>
    </row>
    <row r="21102" spans="1:1">
      <c r="A21102" s="56"/>
    </row>
    <row r="21103" spans="1:1">
      <c r="A21103" s="56"/>
    </row>
    <row r="21104" spans="1:1">
      <c r="A21104" s="56"/>
    </row>
    <row r="21105" spans="1:1">
      <c r="A21105" s="56"/>
    </row>
    <row r="21106" spans="1:1">
      <c r="A21106" s="56"/>
    </row>
    <row r="21107" spans="1:1">
      <c r="A21107" s="56"/>
    </row>
    <row r="21108" spans="1:1">
      <c r="A21108" s="56"/>
    </row>
    <row r="21109" spans="1:1">
      <c r="A21109" s="56"/>
    </row>
    <row r="21110" spans="1:1">
      <c r="A21110" s="56"/>
    </row>
    <row r="21111" spans="1:1">
      <c r="A21111" s="56"/>
    </row>
    <row r="21112" spans="1:1">
      <c r="A21112" s="56"/>
    </row>
    <row r="21113" spans="1:1">
      <c r="A21113" s="56"/>
    </row>
    <row r="21114" spans="1:1">
      <c r="A21114" s="56"/>
    </row>
    <row r="21115" spans="1:1">
      <c r="A21115" s="56"/>
    </row>
    <row r="21116" spans="1:1">
      <c r="A21116" s="56"/>
    </row>
    <row r="21117" spans="1:1">
      <c r="A21117" s="56"/>
    </row>
    <row r="21118" spans="1:1">
      <c r="A21118" s="56"/>
    </row>
    <row r="21119" spans="1:1">
      <c r="A21119" s="56"/>
    </row>
    <row r="21120" spans="1:1">
      <c r="A21120" s="56"/>
    </row>
    <row r="21121" spans="1:1">
      <c r="A21121" s="56"/>
    </row>
    <row r="21122" spans="1:1">
      <c r="A21122" s="56"/>
    </row>
    <row r="21123" spans="1:1">
      <c r="A21123" s="56"/>
    </row>
    <row r="21124" spans="1:1">
      <c r="A21124" s="56"/>
    </row>
    <row r="21125" spans="1:1">
      <c r="A21125" s="56"/>
    </row>
    <row r="21126" spans="1:1">
      <c r="A21126" s="56"/>
    </row>
    <row r="21127" spans="1:1">
      <c r="A21127" s="56"/>
    </row>
    <row r="21128" spans="1:1">
      <c r="A21128" s="56"/>
    </row>
    <row r="21129" spans="1:1">
      <c r="A21129" s="56"/>
    </row>
    <row r="21130" spans="1:1">
      <c r="A21130" s="56"/>
    </row>
    <row r="21131" spans="1:1">
      <c r="A21131" s="56"/>
    </row>
    <row r="21132" spans="1:1">
      <c r="A21132" s="56"/>
    </row>
    <row r="21133" spans="1:1">
      <c r="A21133" s="56"/>
    </row>
    <row r="21134" spans="1:1">
      <c r="A21134" s="56"/>
    </row>
    <row r="21135" spans="1:1">
      <c r="A21135" s="56"/>
    </row>
    <row r="21136" spans="1:1">
      <c r="A21136" s="56"/>
    </row>
    <row r="21137" spans="1:1">
      <c r="A21137" s="56"/>
    </row>
    <row r="21138" spans="1:1">
      <c r="A21138" s="56"/>
    </row>
    <row r="21139" spans="1:1">
      <c r="A21139" s="56"/>
    </row>
    <row r="21140" spans="1:1">
      <c r="A21140" s="56"/>
    </row>
    <row r="21141" spans="1:1">
      <c r="A21141" s="56"/>
    </row>
    <row r="21142" spans="1:1">
      <c r="A21142" s="56"/>
    </row>
    <row r="21143" spans="1:1">
      <c r="A21143" s="56"/>
    </row>
    <row r="21144" spans="1:1">
      <c r="A21144" s="56"/>
    </row>
    <row r="21145" spans="1:1">
      <c r="A21145" s="56"/>
    </row>
    <row r="21146" spans="1:1">
      <c r="A21146" s="56"/>
    </row>
    <row r="21147" spans="1:1">
      <c r="A21147" s="56"/>
    </row>
    <row r="21148" spans="1:1">
      <c r="A21148" s="56"/>
    </row>
    <row r="21149" spans="1:1">
      <c r="A21149" s="56"/>
    </row>
    <row r="21150" spans="1:1">
      <c r="A21150" s="56"/>
    </row>
    <row r="21151" spans="1:1">
      <c r="A21151" s="56"/>
    </row>
    <row r="21152" spans="1:1">
      <c r="A21152" s="56"/>
    </row>
    <row r="21153" spans="1:1">
      <c r="A21153" s="56"/>
    </row>
    <row r="21154" spans="1:1">
      <c r="A21154" s="56"/>
    </row>
    <row r="21155" spans="1:1">
      <c r="A21155" s="56"/>
    </row>
    <row r="21156" spans="1:1">
      <c r="A21156" s="56"/>
    </row>
    <row r="21157" spans="1:1">
      <c r="A21157" s="56"/>
    </row>
    <row r="21158" spans="1:1">
      <c r="A21158" s="56"/>
    </row>
    <row r="21159" spans="1:1">
      <c r="A21159" s="56"/>
    </row>
    <row r="21160" spans="1:1">
      <c r="A21160" s="56"/>
    </row>
    <row r="21161" spans="1:1">
      <c r="A21161" s="56"/>
    </row>
    <row r="21162" spans="1:1">
      <c r="A21162" s="56"/>
    </row>
    <row r="21163" spans="1:1">
      <c r="A21163" s="56"/>
    </row>
    <row r="21164" spans="1:1">
      <c r="A21164" s="56"/>
    </row>
    <row r="21165" spans="1:1">
      <c r="A21165" s="56"/>
    </row>
    <row r="21166" spans="1:1">
      <c r="A21166" s="56"/>
    </row>
    <row r="21167" spans="1:1">
      <c r="A21167" s="56"/>
    </row>
    <row r="21168" spans="1:1">
      <c r="A21168" s="56"/>
    </row>
    <row r="21169" spans="1:1">
      <c r="A21169" s="56"/>
    </row>
    <row r="21170" spans="1:1">
      <c r="A21170" s="56"/>
    </row>
    <row r="21171" spans="1:1">
      <c r="A21171" s="56"/>
    </row>
    <row r="21172" spans="1:1">
      <c r="A21172" s="56"/>
    </row>
    <row r="21173" spans="1:1">
      <c r="A21173" s="56"/>
    </row>
    <row r="21174" spans="1:1">
      <c r="A21174" s="56"/>
    </row>
    <row r="21175" spans="1:1">
      <c r="A21175" s="56"/>
    </row>
    <row r="21176" spans="1:1">
      <c r="A21176" s="56"/>
    </row>
    <row r="21177" spans="1:1">
      <c r="A21177" s="56"/>
    </row>
    <row r="21178" spans="1:1">
      <c r="A21178" s="56"/>
    </row>
    <row r="21179" spans="1:1">
      <c r="A21179" s="56"/>
    </row>
    <row r="21180" spans="1:1">
      <c r="A21180" s="56"/>
    </row>
    <row r="21181" spans="1:1">
      <c r="A21181" s="56"/>
    </row>
    <row r="21182" spans="1:1">
      <c r="A21182" s="56"/>
    </row>
    <row r="21183" spans="1:1">
      <c r="A21183" s="56"/>
    </row>
    <row r="21184" spans="1:1">
      <c r="A21184" s="56"/>
    </row>
    <row r="21185" spans="1:1">
      <c r="A21185" s="56"/>
    </row>
    <row r="21186" spans="1:1">
      <c r="A21186" s="56"/>
    </row>
    <row r="21187" spans="1:1">
      <c r="A21187" s="56"/>
    </row>
    <row r="21188" spans="1:1">
      <c r="A21188" s="56"/>
    </row>
    <row r="21189" spans="1:1">
      <c r="A21189" s="56"/>
    </row>
    <row r="21190" spans="1:1">
      <c r="A21190" s="56"/>
    </row>
    <row r="21191" spans="1:1">
      <c r="A21191" s="56"/>
    </row>
    <row r="21192" spans="1:1">
      <c r="A21192" s="56"/>
    </row>
    <row r="21193" spans="1:1">
      <c r="A21193" s="56"/>
    </row>
    <row r="21194" spans="1:1">
      <c r="A21194" s="56"/>
    </row>
    <row r="21195" spans="1:1">
      <c r="A21195" s="56"/>
    </row>
    <row r="21196" spans="1:1">
      <c r="A21196" s="56"/>
    </row>
    <row r="21197" spans="1:1">
      <c r="A21197" s="56"/>
    </row>
    <row r="21198" spans="1:1">
      <c r="A21198" s="56"/>
    </row>
    <row r="21199" spans="1:1">
      <c r="A21199" s="56"/>
    </row>
    <row r="21200" spans="1:1">
      <c r="A21200" s="56"/>
    </row>
    <row r="21201" spans="1:1">
      <c r="A21201" s="56"/>
    </row>
    <row r="21202" spans="1:1">
      <c r="A21202" s="56"/>
    </row>
    <row r="21203" spans="1:1">
      <c r="A21203" s="56"/>
    </row>
    <row r="21204" spans="1:1">
      <c r="A21204" s="56"/>
    </row>
    <row r="21205" spans="1:1">
      <c r="A21205" s="56"/>
    </row>
    <row r="21206" spans="1:1">
      <c r="A21206" s="56"/>
    </row>
    <row r="21207" spans="1:1">
      <c r="A21207" s="56"/>
    </row>
    <row r="21208" spans="1:1">
      <c r="A21208" s="56"/>
    </row>
    <row r="21209" spans="1:1">
      <c r="A21209" s="56"/>
    </row>
    <row r="21210" spans="1:1">
      <c r="A21210" s="56"/>
    </row>
    <row r="21211" spans="1:1">
      <c r="A21211" s="56"/>
    </row>
    <row r="21212" spans="1:1">
      <c r="A21212" s="56"/>
    </row>
    <row r="21213" spans="1:1">
      <c r="A21213" s="56"/>
    </row>
    <row r="21214" spans="1:1">
      <c r="A21214" s="56"/>
    </row>
    <row r="21215" spans="1:1">
      <c r="A21215" s="56"/>
    </row>
    <row r="21216" spans="1:1">
      <c r="A21216" s="56"/>
    </row>
    <row r="21217" spans="1:1">
      <c r="A21217" s="56"/>
    </row>
    <row r="21218" spans="1:1">
      <c r="A21218" s="56"/>
    </row>
    <row r="21219" spans="1:1">
      <c r="A21219" s="56"/>
    </row>
    <row r="21220" spans="1:1">
      <c r="A21220" s="56"/>
    </row>
    <row r="21221" spans="1:1">
      <c r="A21221" s="56"/>
    </row>
    <row r="21222" spans="1:1">
      <c r="A21222" s="56"/>
    </row>
    <row r="21223" spans="1:1">
      <c r="A21223" s="56"/>
    </row>
    <row r="21224" spans="1:1">
      <c r="A21224" s="56"/>
    </row>
    <row r="21225" spans="1:1">
      <c r="A21225" s="56"/>
    </row>
    <row r="21226" spans="1:1">
      <c r="A21226" s="56"/>
    </row>
    <row r="21227" spans="1:1">
      <c r="A21227" s="56"/>
    </row>
    <row r="21228" spans="1:1">
      <c r="A21228" s="56"/>
    </row>
    <row r="21229" spans="1:1">
      <c r="A21229" s="56"/>
    </row>
    <row r="21230" spans="1:1">
      <c r="A21230" s="56"/>
    </row>
    <row r="21231" spans="1:1">
      <c r="A21231" s="56"/>
    </row>
    <row r="21232" spans="1:1">
      <c r="A21232" s="56"/>
    </row>
    <row r="21233" spans="1:1">
      <c r="A21233" s="56"/>
    </row>
    <row r="21234" spans="1:1">
      <c r="A21234" s="56"/>
    </row>
    <row r="21235" spans="1:1">
      <c r="A21235" s="56"/>
    </row>
    <row r="21236" spans="1:1">
      <c r="A21236" s="56"/>
    </row>
    <row r="21237" spans="1:1">
      <c r="A21237" s="56"/>
    </row>
    <row r="21238" spans="1:1">
      <c r="A21238" s="56"/>
    </row>
    <row r="21239" spans="1:1">
      <c r="A21239" s="56"/>
    </row>
    <row r="21240" spans="1:1">
      <c r="A21240" s="56"/>
    </row>
    <row r="21241" spans="1:1">
      <c r="A21241" s="56"/>
    </row>
    <row r="21242" spans="1:1">
      <c r="A21242" s="56"/>
    </row>
    <row r="21243" spans="1:1">
      <c r="A21243" s="56"/>
    </row>
    <row r="21244" spans="1:1">
      <c r="A21244" s="56"/>
    </row>
    <row r="21245" spans="1:1">
      <c r="A21245" s="56"/>
    </row>
    <row r="21246" spans="1:1">
      <c r="A21246" s="56"/>
    </row>
    <row r="21247" spans="1:1">
      <c r="A21247" s="56"/>
    </row>
    <row r="21248" spans="1:1">
      <c r="A21248" s="56"/>
    </row>
    <row r="21249" spans="1:1">
      <c r="A21249" s="56"/>
    </row>
    <row r="21250" spans="1:1">
      <c r="A21250" s="56"/>
    </row>
    <row r="21251" spans="1:1">
      <c r="A21251" s="56"/>
    </row>
    <row r="21252" spans="1:1">
      <c r="A21252" s="56"/>
    </row>
    <row r="21253" spans="1:1">
      <c r="A21253" s="56"/>
    </row>
    <row r="21254" spans="1:1">
      <c r="A21254" s="56"/>
    </row>
    <row r="21255" spans="1:1">
      <c r="A21255" s="56"/>
    </row>
    <row r="21256" spans="1:1">
      <c r="A21256" s="56"/>
    </row>
    <row r="21257" spans="1:1">
      <c r="A21257" s="56"/>
    </row>
    <row r="21258" spans="1:1">
      <c r="A21258" s="56"/>
    </row>
    <row r="21259" spans="1:1">
      <c r="A21259" s="56"/>
    </row>
    <row r="21260" spans="1:1">
      <c r="A21260" s="56"/>
    </row>
    <row r="21261" spans="1:1">
      <c r="A21261" s="56"/>
    </row>
    <row r="21262" spans="1:1">
      <c r="A21262" s="56"/>
    </row>
    <row r="21263" spans="1:1">
      <c r="A21263" s="56"/>
    </row>
    <row r="21264" spans="1:1">
      <c r="A21264" s="56"/>
    </row>
    <row r="21265" spans="1:1">
      <c r="A21265" s="56"/>
    </row>
    <row r="21266" spans="1:1">
      <c r="A21266" s="56"/>
    </row>
    <row r="21267" spans="1:1">
      <c r="A21267" s="56"/>
    </row>
    <row r="21268" spans="1:1">
      <c r="A21268" s="56"/>
    </row>
    <row r="21269" spans="1:1">
      <c r="A21269" s="56"/>
    </row>
    <row r="21270" spans="1:1">
      <c r="A21270" s="56"/>
    </row>
    <row r="21271" spans="1:1">
      <c r="A21271" s="56"/>
    </row>
    <row r="21272" spans="1:1">
      <c r="A21272" s="56"/>
    </row>
    <row r="21273" spans="1:1">
      <c r="A21273" s="56"/>
    </row>
    <row r="21274" spans="1:1">
      <c r="A21274" s="56"/>
    </row>
    <row r="21275" spans="1:1">
      <c r="A21275" s="56"/>
    </row>
    <row r="21276" spans="1:1">
      <c r="A21276" s="56"/>
    </row>
    <row r="21277" spans="1:1">
      <c r="A21277" s="56"/>
    </row>
    <row r="21278" spans="1:1">
      <c r="A21278" s="56"/>
    </row>
    <row r="21279" spans="1:1">
      <c r="A21279" s="56"/>
    </row>
    <row r="21280" spans="1:1">
      <c r="A21280" s="56"/>
    </row>
    <row r="21281" spans="1:1">
      <c r="A21281" s="56"/>
    </row>
    <row r="21282" spans="1:1">
      <c r="A21282" s="56"/>
    </row>
    <row r="21283" spans="1:1">
      <c r="A21283" s="56"/>
    </row>
    <row r="21284" spans="1:1">
      <c r="A21284" s="56"/>
    </row>
    <row r="21285" spans="1:1">
      <c r="A21285" s="56"/>
    </row>
    <row r="21286" spans="1:1">
      <c r="A21286" s="56"/>
    </row>
    <row r="21287" spans="1:1">
      <c r="A21287" s="56"/>
    </row>
    <row r="21288" spans="1:1">
      <c r="A21288" s="56"/>
    </row>
    <row r="21289" spans="1:1">
      <c r="A21289" s="56"/>
    </row>
    <row r="21290" spans="1:1">
      <c r="A21290" s="56"/>
    </row>
    <row r="21291" spans="1:1">
      <c r="A21291" s="56"/>
    </row>
    <row r="21292" spans="1:1">
      <c r="A21292" s="56"/>
    </row>
    <row r="21293" spans="1:1">
      <c r="A21293" s="56"/>
    </row>
    <row r="21294" spans="1:1">
      <c r="A21294" s="56"/>
    </row>
    <row r="21295" spans="1:1">
      <c r="A21295" s="56"/>
    </row>
    <row r="21296" spans="1:1">
      <c r="A21296" s="56"/>
    </row>
    <row r="21297" spans="1:1">
      <c r="A21297" s="56"/>
    </row>
    <row r="21298" spans="1:1">
      <c r="A21298" s="56"/>
    </row>
    <row r="21299" spans="1:1">
      <c r="A21299" s="56"/>
    </row>
    <row r="21300" spans="1:1">
      <c r="A21300" s="56"/>
    </row>
    <row r="21301" spans="1:1">
      <c r="A21301" s="56"/>
    </row>
    <row r="21302" spans="1:1">
      <c r="A21302" s="56"/>
    </row>
    <row r="21303" spans="1:1">
      <c r="A21303" s="56"/>
    </row>
    <row r="21304" spans="1:1">
      <c r="A21304" s="56"/>
    </row>
    <row r="21305" spans="1:1">
      <c r="A21305" s="56"/>
    </row>
    <row r="21306" spans="1:1">
      <c r="A21306" s="56"/>
    </row>
    <row r="21307" spans="1:1">
      <c r="A21307" s="56"/>
    </row>
    <row r="21308" spans="1:1">
      <c r="A21308" s="56"/>
    </row>
    <row r="21309" spans="1:1">
      <c r="A21309" s="56"/>
    </row>
    <row r="21310" spans="1:1">
      <c r="A21310" s="56"/>
    </row>
    <row r="21311" spans="1:1">
      <c r="A21311" s="56"/>
    </row>
    <row r="21312" spans="1:1">
      <c r="A21312" s="56"/>
    </row>
    <row r="21313" spans="1:1">
      <c r="A21313" s="56"/>
    </row>
    <row r="21314" spans="1:1">
      <c r="A21314" s="56"/>
    </row>
    <row r="21315" spans="1:1">
      <c r="A21315" s="56"/>
    </row>
    <row r="21316" spans="1:1">
      <c r="A21316" s="56"/>
    </row>
    <row r="21317" spans="1:1">
      <c r="A21317" s="56"/>
    </row>
    <row r="21318" spans="1:1">
      <c r="A21318" s="56"/>
    </row>
    <row r="21319" spans="1:1">
      <c r="A21319" s="56"/>
    </row>
    <row r="21320" spans="1:1">
      <c r="A21320" s="56"/>
    </row>
    <row r="21321" spans="1:1">
      <c r="A21321" s="56"/>
    </row>
    <row r="21322" spans="1:1">
      <c r="A21322" s="56"/>
    </row>
    <row r="21323" spans="1:1">
      <c r="A21323" s="56"/>
    </row>
    <row r="21324" spans="1:1">
      <c r="A21324" s="56"/>
    </row>
    <row r="21325" spans="1:1">
      <c r="A21325" s="56"/>
    </row>
    <row r="21326" spans="1:1">
      <c r="A21326" s="56"/>
    </row>
    <row r="21327" spans="1:1">
      <c r="A21327" s="56"/>
    </row>
    <row r="21328" spans="1:1">
      <c r="A21328" s="56"/>
    </row>
    <row r="21329" spans="1:1">
      <c r="A21329" s="56"/>
    </row>
    <row r="21330" spans="1:1">
      <c r="A21330" s="56"/>
    </row>
    <row r="21331" spans="1:1">
      <c r="A21331" s="56"/>
    </row>
    <row r="21332" spans="1:1">
      <c r="A21332" s="56"/>
    </row>
    <row r="21333" spans="1:1">
      <c r="A21333" s="56"/>
    </row>
    <row r="21334" spans="1:1">
      <c r="A21334" s="56"/>
    </row>
    <row r="21335" spans="1:1">
      <c r="A21335" s="56"/>
    </row>
    <row r="21336" spans="1:1">
      <c r="A21336" s="56"/>
    </row>
    <row r="21337" spans="1:1">
      <c r="A21337" s="56"/>
    </row>
    <row r="21338" spans="1:1">
      <c r="A21338" s="56"/>
    </row>
    <row r="21339" spans="1:1">
      <c r="A21339" s="56"/>
    </row>
    <row r="21340" spans="1:1">
      <c r="A21340" s="56"/>
    </row>
    <row r="21341" spans="1:1">
      <c r="A21341" s="56"/>
    </row>
    <row r="21342" spans="1:1">
      <c r="A21342" s="56"/>
    </row>
    <row r="21343" spans="1:1">
      <c r="A21343" s="56"/>
    </row>
    <row r="21344" spans="1:1">
      <c r="A21344" s="56"/>
    </row>
    <row r="21345" spans="1:1">
      <c r="A21345" s="56"/>
    </row>
    <row r="21346" spans="1:1">
      <c r="A21346" s="56"/>
    </row>
    <row r="21347" spans="1:1">
      <c r="A21347" s="56"/>
    </row>
    <row r="21348" spans="1:1">
      <c r="A21348" s="56"/>
    </row>
    <row r="21349" spans="1:1">
      <c r="A21349" s="56"/>
    </row>
    <row r="21350" spans="1:1">
      <c r="A21350" s="56"/>
    </row>
    <row r="21351" spans="1:1">
      <c r="A21351" s="56"/>
    </row>
    <row r="21352" spans="1:1">
      <c r="A21352" s="56"/>
    </row>
    <row r="21353" spans="1:1">
      <c r="A21353" s="56"/>
    </row>
    <row r="21354" spans="1:1">
      <c r="A21354" s="56"/>
    </row>
    <row r="21355" spans="1:1">
      <c r="A21355" s="56"/>
    </row>
    <row r="21356" spans="1:1">
      <c r="A21356" s="56"/>
    </row>
    <row r="21357" spans="1:1">
      <c r="A21357" s="56"/>
    </row>
    <row r="21358" spans="1:1">
      <c r="A21358" s="56"/>
    </row>
    <row r="21359" spans="1:1">
      <c r="A21359" s="56"/>
    </row>
    <row r="21360" spans="1:1">
      <c r="A21360" s="56"/>
    </row>
    <row r="21361" spans="1:1">
      <c r="A21361" s="56"/>
    </row>
    <row r="21362" spans="1:1">
      <c r="A21362" s="56"/>
    </row>
    <row r="21363" spans="1:1">
      <c r="A21363" s="56"/>
    </row>
    <row r="21364" spans="1:1">
      <c r="A21364" s="56"/>
    </row>
    <row r="21365" spans="1:1">
      <c r="A21365" s="56"/>
    </row>
    <row r="21366" spans="1:1">
      <c r="A21366" s="56"/>
    </row>
    <row r="21367" spans="1:1">
      <c r="A21367" s="56"/>
    </row>
    <row r="21368" spans="1:1">
      <c r="A21368" s="56"/>
    </row>
    <row r="21369" spans="1:1">
      <c r="A21369" s="56"/>
    </row>
    <row r="21370" spans="1:1">
      <c r="A21370" s="56"/>
    </row>
    <row r="21371" spans="1:1">
      <c r="A21371" s="56"/>
    </row>
    <row r="21372" spans="1:1">
      <c r="A21372" s="56"/>
    </row>
    <row r="21373" spans="1:1">
      <c r="A21373" s="56"/>
    </row>
    <row r="21374" spans="1:1">
      <c r="A21374" s="56"/>
    </row>
    <row r="21375" spans="1:1">
      <c r="A21375" s="56"/>
    </row>
    <row r="21376" spans="1:1">
      <c r="A21376" s="56"/>
    </row>
    <row r="21377" spans="1:1">
      <c r="A21377" s="56"/>
    </row>
    <row r="21378" spans="1:1">
      <c r="A21378" s="56"/>
    </row>
    <row r="21379" spans="1:1">
      <c r="A21379" s="56"/>
    </row>
    <row r="21380" spans="1:1">
      <c r="A21380" s="56"/>
    </row>
    <row r="21381" spans="1:1">
      <c r="A21381" s="56"/>
    </row>
    <row r="21382" spans="1:1">
      <c r="A21382" s="56"/>
    </row>
    <row r="21383" spans="1:1">
      <c r="A21383" s="56"/>
    </row>
    <row r="21384" spans="1:1">
      <c r="A21384" s="56"/>
    </row>
    <row r="21385" spans="1:1">
      <c r="A21385" s="56"/>
    </row>
    <row r="21386" spans="1:1">
      <c r="A21386" s="56"/>
    </row>
    <row r="21387" spans="1:1">
      <c r="A21387" s="56"/>
    </row>
    <row r="21388" spans="1:1">
      <c r="A21388" s="56"/>
    </row>
    <row r="21389" spans="1:1">
      <c r="A21389" s="56"/>
    </row>
    <row r="21390" spans="1:1">
      <c r="A21390" s="56"/>
    </row>
    <row r="21391" spans="1:1">
      <c r="A21391" s="56"/>
    </row>
    <row r="21392" spans="1:1">
      <c r="A21392" s="56"/>
    </row>
    <row r="21393" spans="1:1">
      <c r="A21393" s="56"/>
    </row>
    <row r="21394" spans="1:1">
      <c r="A21394" s="56"/>
    </row>
    <row r="21395" spans="1:1">
      <c r="A21395" s="56"/>
    </row>
    <row r="21396" spans="1:1">
      <c r="A21396" s="56"/>
    </row>
    <row r="21397" spans="1:1">
      <c r="A21397" s="56"/>
    </row>
    <row r="21398" spans="1:1">
      <c r="A21398" s="56"/>
    </row>
    <row r="21399" spans="1:1">
      <c r="A21399" s="56"/>
    </row>
    <row r="21400" spans="1:1">
      <c r="A21400" s="56"/>
    </row>
    <row r="21401" spans="1:1">
      <c r="A21401" s="56"/>
    </row>
    <row r="21402" spans="1:1">
      <c r="A21402" s="56"/>
    </row>
    <row r="21403" spans="1:1">
      <c r="A21403" s="56"/>
    </row>
    <row r="21404" spans="1:1">
      <c r="A21404" s="56"/>
    </row>
    <row r="21405" spans="1:1">
      <c r="A21405" s="56"/>
    </row>
    <row r="21406" spans="1:1">
      <c r="A21406" s="56"/>
    </row>
    <row r="21407" spans="1:1">
      <c r="A21407" s="56"/>
    </row>
    <row r="21408" spans="1:1">
      <c r="A21408" s="56"/>
    </row>
    <row r="21409" spans="1:1">
      <c r="A21409" s="56"/>
    </row>
    <row r="21410" spans="1:1">
      <c r="A21410" s="56"/>
    </row>
    <row r="21411" spans="1:1">
      <c r="A21411" s="56"/>
    </row>
    <row r="21412" spans="1:1">
      <c r="A21412" s="56"/>
    </row>
    <row r="21413" spans="1:1">
      <c r="A21413" s="56"/>
    </row>
    <row r="21414" spans="1:1">
      <c r="A21414" s="56"/>
    </row>
    <row r="21415" spans="1:1">
      <c r="A21415" s="56"/>
    </row>
    <row r="21416" spans="1:1">
      <c r="A21416" s="56"/>
    </row>
    <row r="21417" spans="1:1">
      <c r="A21417" s="56"/>
    </row>
    <row r="21418" spans="1:1">
      <c r="A21418" s="56"/>
    </row>
    <row r="21419" spans="1:1">
      <c r="A21419" s="56"/>
    </row>
    <row r="21420" spans="1:1">
      <c r="A21420" s="56"/>
    </row>
    <row r="21421" spans="1:1">
      <c r="A21421" s="56"/>
    </row>
    <row r="21422" spans="1:1">
      <c r="A21422" s="56"/>
    </row>
    <row r="21423" spans="1:1">
      <c r="A21423" s="56"/>
    </row>
    <row r="21424" spans="1:1">
      <c r="A21424" s="56"/>
    </row>
    <row r="21425" spans="1:1">
      <c r="A21425" s="56"/>
    </row>
    <row r="21426" spans="1:1">
      <c r="A21426" s="56"/>
    </row>
    <row r="21427" spans="1:1">
      <c r="A21427" s="56"/>
    </row>
    <row r="21428" spans="1:1">
      <c r="A21428" s="56"/>
    </row>
    <row r="21429" spans="1:1">
      <c r="A21429" s="56"/>
    </row>
    <row r="21430" spans="1:1">
      <c r="A21430" s="56"/>
    </row>
    <row r="21431" spans="1:1">
      <c r="A21431" s="56"/>
    </row>
    <row r="21432" spans="1:1">
      <c r="A21432" s="56"/>
    </row>
    <row r="21433" spans="1:1">
      <c r="A21433" s="56"/>
    </row>
    <row r="21434" spans="1:1">
      <c r="A21434" s="56"/>
    </row>
    <row r="21435" spans="1:1">
      <c r="A21435" s="56"/>
    </row>
    <row r="21436" spans="1:1">
      <c r="A21436" s="56"/>
    </row>
    <row r="21437" spans="1:1">
      <c r="A21437" s="56"/>
    </row>
    <row r="21438" spans="1:1">
      <c r="A21438" s="56"/>
    </row>
    <row r="21439" spans="1:1">
      <c r="A21439" s="56"/>
    </row>
    <row r="21440" spans="1:1">
      <c r="A21440" s="56"/>
    </row>
    <row r="21441" spans="1:1">
      <c r="A21441" s="56"/>
    </row>
    <row r="21442" spans="1:1">
      <c r="A21442" s="56"/>
    </row>
    <row r="21443" spans="1:1">
      <c r="A21443" s="56"/>
    </row>
    <row r="21444" spans="1:1">
      <c r="A21444" s="56"/>
    </row>
    <row r="21445" spans="1:1">
      <c r="A21445" s="56"/>
    </row>
    <row r="21446" spans="1:1">
      <c r="A21446" s="56"/>
    </row>
    <row r="21447" spans="1:1">
      <c r="A21447" s="56"/>
    </row>
    <row r="21448" spans="1:1">
      <c r="A21448" s="56"/>
    </row>
    <row r="21449" spans="1:1">
      <c r="A21449" s="56"/>
    </row>
    <row r="21450" spans="1:1">
      <c r="A21450" s="56"/>
    </row>
    <row r="21451" spans="1:1">
      <c r="A21451" s="56"/>
    </row>
    <row r="21452" spans="1:1">
      <c r="A21452" s="56"/>
    </row>
    <row r="21453" spans="1:1">
      <c r="A21453" s="56"/>
    </row>
    <row r="21454" spans="1:1">
      <c r="A21454" s="56"/>
    </row>
    <row r="21455" spans="1:1">
      <c r="A21455" s="56"/>
    </row>
    <row r="21456" spans="1:1">
      <c r="A21456" s="56"/>
    </row>
    <row r="21457" spans="1:1">
      <c r="A21457" s="56"/>
    </row>
    <row r="21458" spans="1:1">
      <c r="A21458" s="56"/>
    </row>
    <row r="21459" spans="1:1">
      <c r="A21459" s="56"/>
    </row>
    <row r="21460" spans="1:1">
      <c r="A21460" s="56"/>
    </row>
    <row r="21461" spans="1:1">
      <c r="A21461" s="56"/>
    </row>
    <row r="21462" spans="1:1">
      <c r="A21462" s="56"/>
    </row>
    <row r="21463" spans="1:1">
      <c r="A21463" s="56"/>
    </row>
    <row r="21464" spans="1:1">
      <c r="A21464" s="56"/>
    </row>
    <row r="21465" spans="1:1">
      <c r="A21465" s="56"/>
    </row>
    <row r="21466" spans="1:1">
      <c r="A21466" s="56"/>
    </row>
    <row r="21467" spans="1:1">
      <c r="A21467" s="56"/>
    </row>
    <row r="21468" spans="1:1">
      <c r="A21468" s="56"/>
    </row>
    <row r="21469" spans="1:1">
      <c r="A21469" s="56"/>
    </row>
    <row r="21470" spans="1:1">
      <c r="A21470" s="56"/>
    </row>
    <row r="21471" spans="1:1">
      <c r="A21471" s="56"/>
    </row>
    <row r="21472" spans="1:1">
      <c r="A21472" s="56"/>
    </row>
    <row r="21473" spans="1:1">
      <c r="A21473" s="56"/>
    </row>
    <row r="21474" spans="1:1">
      <c r="A21474" s="56"/>
    </row>
    <row r="21475" spans="1:1">
      <c r="A21475" s="56"/>
    </row>
    <row r="21476" spans="1:1">
      <c r="A21476" s="56"/>
    </row>
    <row r="21477" spans="1:1">
      <c r="A21477" s="56"/>
    </row>
    <row r="21478" spans="1:1">
      <c r="A21478" s="56"/>
    </row>
    <row r="21479" spans="1:1">
      <c r="A21479" s="56"/>
    </row>
    <row r="21480" spans="1:1">
      <c r="A21480" s="56"/>
    </row>
    <row r="21481" spans="1:1">
      <c r="A21481" s="56"/>
    </row>
    <row r="21482" spans="1:1">
      <c r="A21482" s="56"/>
    </row>
    <row r="21483" spans="1:1">
      <c r="A21483" s="56"/>
    </row>
    <row r="21484" spans="1:1">
      <c r="A21484" s="56"/>
    </row>
    <row r="21485" spans="1:1">
      <c r="A21485" s="56"/>
    </row>
    <row r="21486" spans="1:1">
      <c r="A21486" s="56"/>
    </row>
    <row r="21487" spans="1:1">
      <c r="A21487" s="56"/>
    </row>
    <row r="21488" spans="1:1">
      <c r="A21488" s="56"/>
    </row>
    <row r="21489" spans="1:1">
      <c r="A21489" s="56"/>
    </row>
    <row r="21490" spans="1:1">
      <c r="A21490" s="56"/>
    </row>
    <row r="21491" spans="1:1">
      <c r="A21491" s="56"/>
    </row>
    <row r="21492" spans="1:1">
      <c r="A21492" s="56"/>
    </row>
    <row r="21493" spans="1:1">
      <c r="A21493" s="56"/>
    </row>
    <row r="21494" spans="1:1">
      <c r="A21494" s="56"/>
    </row>
    <row r="21495" spans="1:1">
      <c r="A21495" s="56"/>
    </row>
    <row r="21496" spans="1:1">
      <c r="A21496" s="56"/>
    </row>
    <row r="21497" spans="1:1">
      <c r="A21497" s="56"/>
    </row>
    <row r="21498" spans="1:1">
      <c r="A21498" s="56"/>
    </row>
    <row r="21499" spans="1:1">
      <c r="A21499" s="56"/>
    </row>
    <row r="21500" spans="1:1">
      <c r="A21500" s="56"/>
    </row>
    <row r="21501" spans="1:1">
      <c r="A21501" s="56"/>
    </row>
    <row r="21502" spans="1:1">
      <c r="A21502" s="56"/>
    </row>
    <row r="21503" spans="1:1">
      <c r="A21503" s="56"/>
    </row>
    <row r="21504" spans="1:1">
      <c r="A21504" s="56"/>
    </row>
    <row r="21505" spans="1:1">
      <c r="A21505" s="56"/>
    </row>
    <row r="21506" spans="1:1">
      <c r="A21506" s="56"/>
    </row>
    <row r="21507" spans="1:1">
      <c r="A21507" s="56"/>
    </row>
    <row r="21508" spans="1:1">
      <c r="A21508" s="56"/>
    </row>
    <row r="21509" spans="1:1">
      <c r="A21509" s="56"/>
    </row>
    <row r="21510" spans="1:1">
      <c r="A21510" s="56"/>
    </row>
    <row r="21511" spans="1:1">
      <c r="A21511" s="56"/>
    </row>
    <row r="21512" spans="1:1">
      <c r="A21512" s="56"/>
    </row>
    <row r="21513" spans="1:1">
      <c r="A21513" s="56"/>
    </row>
    <row r="21514" spans="1:1">
      <c r="A21514" s="56"/>
    </row>
    <row r="21515" spans="1:1">
      <c r="A21515" s="56"/>
    </row>
    <row r="21516" spans="1:1">
      <c r="A21516" s="56"/>
    </row>
    <row r="21517" spans="1:1">
      <c r="A21517" s="56"/>
    </row>
    <row r="21518" spans="1:1">
      <c r="A21518" s="56"/>
    </row>
    <row r="21519" spans="1:1">
      <c r="A21519" s="56"/>
    </row>
    <row r="21520" spans="1:1">
      <c r="A21520" s="56"/>
    </row>
    <row r="21521" spans="1:1">
      <c r="A21521" s="56"/>
    </row>
    <row r="21522" spans="1:1">
      <c r="A21522" s="56"/>
    </row>
    <row r="21523" spans="1:1">
      <c r="A21523" s="56"/>
    </row>
    <row r="21524" spans="1:1">
      <c r="A21524" s="56"/>
    </row>
    <row r="21525" spans="1:1">
      <c r="A21525" s="56"/>
    </row>
    <row r="21526" spans="1:1">
      <c r="A21526" s="56"/>
    </row>
    <row r="21527" spans="1:1">
      <c r="A21527" s="56"/>
    </row>
    <row r="21528" spans="1:1">
      <c r="A21528" s="56"/>
    </row>
    <row r="21529" spans="1:1">
      <c r="A21529" s="56"/>
    </row>
    <row r="21530" spans="1:1">
      <c r="A21530" s="56"/>
    </row>
    <row r="21531" spans="1:1">
      <c r="A21531" s="56"/>
    </row>
    <row r="21532" spans="1:1">
      <c r="A21532" s="56"/>
    </row>
    <row r="21533" spans="1:1">
      <c r="A21533" s="56"/>
    </row>
    <row r="21534" spans="1:1">
      <c r="A21534" s="56"/>
    </row>
    <row r="21535" spans="1:1">
      <c r="A21535" s="56"/>
    </row>
    <row r="21536" spans="1:1">
      <c r="A21536" s="56"/>
    </row>
    <row r="21537" spans="1:1">
      <c r="A21537" s="56"/>
    </row>
    <row r="21538" spans="1:1">
      <c r="A21538" s="56"/>
    </row>
    <row r="21539" spans="1:1">
      <c r="A21539" s="56"/>
    </row>
    <row r="21540" spans="1:1">
      <c r="A21540" s="56"/>
    </row>
    <row r="21541" spans="1:1">
      <c r="A21541" s="56"/>
    </row>
    <row r="21542" spans="1:1">
      <c r="A21542" s="56"/>
    </row>
    <row r="21543" spans="1:1">
      <c r="A21543" s="56"/>
    </row>
    <row r="21544" spans="1:1">
      <c r="A21544" s="56"/>
    </row>
    <row r="21545" spans="1:1">
      <c r="A21545" s="56"/>
    </row>
    <row r="21546" spans="1:1">
      <c r="A21546" s="56"/>
    </row>
    <row r="21547" spans="1:1">
      <c r="A21547" s="56"/>
    </row>
    <row r="21548" spans="1:1">
      <c r="A21548" s="56"/>
    </row>
    <row r="21549" spans="1:1">
      <c r="A21549" s="56"/>
    </row>
    <row r="21550" spans="1:1">
      <c r="A21550" s="56"/>
    </row>
    <row r="21551" spans="1:1">
      <c r="A21551" s="56"/>
    </row>
    <row r="21552" spans="1:1">
      <c r="A21552" s="56"/>
    </row>
    <row r="21553" spans="1:1">
      <c r="A21553" s="56"/>
    </row>
    <row r="21554" spans="1:1">
      <c r="A21554" s="56"/>
    </row>
    <row r="21555" spans="1:1">
      <c r="A21555" s="56"/>
    </row>
    <row r="21556" spans="1:1">
      <c r="A21556" s="56"/>
    </row>
    <row r="21557" spans="1:1">
      <c r="A21557" s="56"/>
    </row>
    <row r="21558" spans="1:1">
      <c r="A21558" s="56"/>
    </row>
    <row r="21559" spans="1:1">
      <c r="A21559" s="56"/>
    </row>
    <row r="21560" spans="1:1">
      <c r="A21560" s="56"/>
    </row>
    <row r="21561" spans="1:1">
      <c r="A21561" s="56"/>
    </row>
    <row r="21562" spans="1:1">
      <c r="A21562" s="56"/>
    </row>
    <row r="21563" spans="1:1">
      <c r="A21563" s="56"/>
    </row>
    <row r="21564" spans="1:1">
      <c r="A21564" s="56"/>
    </row>
    <row r="21565" spans="1:1">
      <c r="A21565" s="56"/>
    </row>
    <row r="21566" spans="1:1">
      <c r="A21566" s="56"/>
    </row>
    <row r="21567" spans="1:1">
      <c r="A21567" s="56"/>
    </row>
    <row r="21568" spans="1:1">
      <c r="A21568" s="56"/>
    </row>
    <row r="21569" spans="1:1">
      <c r="A21569" s="56"/>
    </row>
    <row r="21570" spans="1:1">
      <c r="A21570" s="56"/>
    </row>
    <row r="21571" spans="1:1">
      <c r="A21571" s="56"/>
    </row>
    <row r="21572" spans="1:1">
      <c r="A21572" s="56"/>
    </row>
    <row r="21573" spans="1:1">
      <c r="A21573" s="56"/>
    </row>
    <row r="21574" spans="1:1">
      <c r="A21574" s="56"/>
    </row>
    <row r="21575" spans="1:1">
      <c r="A21575" s="56"/>
    </row>
    <row r="21576" spans="1:1">
      <c r="A21576" s="56"/>
    </row>
    <row r="21577" spans="1:1">
      <c r="A21577" s="56"/>
    </row>
    <row r="21578" spans="1:1">
      <c r="A21578" s="56"/>
    </row>
    <row r="21579" spans="1:1">
      <c r="A21579" s="56"/>
    </row>
    <row r="21580" spans="1:1">
      <c r="A21580" s="56"/>
    </row>
    <row r="21581" spans="1:1">
      <c r="A21581" s="56"/>
    </row>
    <row r="21582" spans="1:1">
      <c r="A21582" s="56"/>
    </row>
    <row r="21583" spans="1:1">
      <c r="A21583" s="56"/>
    </row>
    <row r="21584" spans="1:1">
      <c r="A21584" s="56"/>
    </row>
    <row r="21585" spans="1:1">
      <c r="A21585" s="56"/>
    </row>
    <row r="21586" spans="1:1">
      <c r="A21586" s="56"/>
    </row>
    <row r="21587" spans="1:1">
      <c r="A21587" s="56"/>
    </row>
    <row r="21588" spans="1:1">
      <c r="A21588" s="56"/>
    </row>
    <row r="21589" spans="1:1">
      <c r="A21589" s="56"/>
    </row>
    <row r="21590" spans="1:1">
      <c r="A21590" s="56"/>
    </row>
    <row r="21591" spans="1:1">
      <c r="A21591" s="56"/>
    </row>
    <row r="21592" spans="1:1">
      <c r="A21592" s="56"/>
    </row>
    <row r="21593" spans="1:1">
      <c r="A21593" s="56"/>
    </row>
    <row r="21594" spans="1:1">
      <c r="A21594" s="56"/>
    </row>
    <row r="21595" spans="1:1">
      <c r="A21595" s="56"/>
    </row>
    <row r="21596" spans="1:1">
      <c r="A21596" s="56"/>
    </row>
    <row r="21597" spans="1:1">
      <c r="A21597" s="56"/>
    </row>
    <row r="21598" spans="1:1">
      <c r="A21598" s="56"/>
    </row>
    <row r="21599" spans="1:1">
      <c r="A21599" s="56"/>
    </row>
    <row r="21600" spans="1:1">
      <c r="A21600" s="56"/>
    </row>
    <row r="21601" spans="1:1">
      <c r="A21601" s="56"/>
    </row>
    <row r="21602" spans="1:1">
      <c r="A21602" s="56"/>
    </row>
    <row r="21603" spans="1:1">
      <c r="A21603" s="56"/>
    </row>
    <row r="21604" spans="1:1">
      <c r="A21604" s="56"/>
    </row>
    <row r="21605" spans="1:1">
      <c r="A21605" s="56"/>
    </row>
    <row r="21606" spans="1:1">
      <c r="A21606" s="56"/>
    </row>
    <row r="21607" spans="1:1">
      <c r="A21607" s="56"/>
    </row>
    <row r="21608" spans="1:1">
      <c r="A21608" s="56"/>
    </row>
    <row r="21609" spans="1:1">
      <c r="A21609" s="56"/>
    </row>
    <row r="21610" spans="1:1">
      <c r="A21610" s="56"/>
    </row>
    <row r="21611" spans="1:1">
      <c r="A21611" s="56"/>
    </row>
    <row r="21612" spans="1:1">
      <c r="A21612" s="56"/>
    </row>
    <row r="21613" spans="1:1">
      <c r="A21613" s="56"/>
    </row>
    <row r="21614" spans="1:1">
      <c r="A21614" s="56"/>
    </row>
    <row r="21615" spans="1:1">
      <c r="A21615" s="56"/>
    </row>
    <row r="21616" spans="1:1">
      <c r="A21616" s="56"/>
    </row>
    <row r="21617" spans="1:1">
      <c r="A21617" s="56"/>
    </row>
    <row r="21618" spans="1:1">
      <c r="A21618" s="56"/>
    </row>
    <row r="21619" spans="1:1">
      <c r="A21619" s="56"/>
    </row>
    <row r="21620" spans="1:1">
      <c r="A21620" s="56"/>
    </row>
    <row r="21621" spans="1:1">
      <c r="A21621" s="56"/>
    </row>
    <row r="21622" spans="1:1">
      <c r="A21622" s="56"/>
    </row>
    <row r="21623" spans="1:1">
      <c r="A21623" s="56"/>
    </row>
    <row r="21624" spans="1:1">
      <c r="A21624" s="56"/>
    </row>
    <row r="21625" spans="1:1">
      <c r="A21625" s="56"/>
    </row>
    <row r="21626" spans="1:1">
      <c r="A21626" s="56"/>
    </row>
    <row r="21627" spans="1:1">
      <c r="A21627" s="56"/>
    </row>
    <row r="21628" spans="1:1">
      <c r="A21628" s="56"/>
    </row>
    <row r="21629" spans="1:1">
      <c r="A21629" s="56"/>
    </row>
    <row r="21630" spans="1:1">
      <c r="A21630" s="56"/>
    </row>
    <row r="21631" spans="1:1">
      <c r="A21631" s="56"/>
    </row>
    <row r="21632" spans="1:1">
      <c r="A21632" s="56"/>
    </row>
    <row r="21633" spans="1:1">
      <c r="A21633" s="56"/>
    </row>
    <row r="21634" spans="1:1">
      <c r="A21634" s="56"/>
    </row>
    <row r="21635" spans="1:1">
      <c r="A21635" s="56"/>
    </row>
    <row r="21636" spans="1:1">
      <c r="A21636" s="56"/>
    </row>
    <row r="21637" spans="1:1">
      <c r="A21637" s="56"/>
    </row>
    <row r="21638" spans="1:1">
      <c r="A21638" s="56"/>
    </row>
    <row r="21639" spans="1:1">
      <c r="A21639" s="56"/>
    </row>
    <row r="21640" spans="1:1">
      <c r="A21640" s="56"/>
    </row>
    <row r="21641" spans="1:1">
      <c r="A21641" s="56"/>
    </row>
    <row r="21642" spans="1:1">
      <c r="A21642" s="56"/>
    </row>
    <row r="21643" spans="1:1">
      <c r="A21643" s="56"/>
    </row>
    <row r="21644" spans="1:1">
      <c r="A21644" s="56"/>
    </row>
    <row r="21645" spans="1:1">
      <c r="A21645" s="56"/>
    </row>
    <row r="21646" spans="1:1">
      <c r="A21646" s="56"/>
    </row>
    <row r="21647" spans="1:1">
      <c r="A21647" s="56"/>
    </row>
    <row r="21648" spans="1:1">
      <c r="A21648" s="56"/>
    </row>
    <row r="21649" spans="1:1">
      <c r="A21649" s="56"/>
    </row>
    <row r="21650" spans="1:1">
      <c r="A21650" s="56"/>
    </row>
    <row r="21651" spans="1:1">
      <c r="A21651" s="56"/>
    </row>
    <row r="21652" spans="1:1">
      <c r="A21652" s="56"/>
    </row>
    <row r="21653" spans="1:1">
      <c r="A21653" s="56"/>
    </row>
    <row r="21654" spans="1:1">
      <c r="A21654" s="56"/>
    </row>
    <row r="21655" spans="1:1">
      <c r="A21655" s="56"/>
    </row>
    <row r="21656" spans="1:1">
      <c r="A21656" s="56"/>
    </row>
    <row r="21657" spans="1:1">
      <c r="A21657" s="56"/>
    </row>
    <row r="21658" spans="1:1">
      <c r="A21658" s="56"/>
    </row>
    <row r="21659" spans="1:1">
      <c r="A21659" s="56"/>
    </row>
    <row r="21660" spans="1:1">
      <c r="A21660" s="56"/>
    </row>
    <row r="21661" spans="1:1">
      <c r="A21661" s="56"/>
    </row>
    <row r="21662" spans="1:1">
      <c r="A21662" s="56"/>
    </row>
    <row r="21663" spans="1:1">
      <c r="A21663" s="56"/>
    </row>
    <row r="21664" spans="1:1">
      <c r="A21664" s="56"/>
    </row>
    <row r="21665" spans="1:1">
      <c r="A21665" s="56"/>
    </row>
    <row r="21666" spans="1:1">
      <c r="A21666" s="56"/>
    </row>
    <row r="21667" spans="1:1">
      <c r="A21667" s="56"/>
    </row>
    <row r="21668" spans="1:1">
      <c r="A21668" s="56"/>
    </row>
    <row r="21669" spans="1:1">
      <c r="A21669" s="56"/>
    </row>
    <row r="21670" spans="1:1">
      <c r="A21670" s="56"/>
    </row>
    <row r="21671" spans="1:1">
      <c r="A21671" s="56"/>
    </row>
    <row r="21672" spans="1:1">
      <c r="A21672" s="56"/>
    </row>
    <row r="21673" spans="1:1">
      <c r="A21673" s="56"/>
    </row>
    <row r="21674" spans="1:1">
      <c r="A21674" s="56"/>
    </row>
    <row r="21675" spans="1:1">
      <c r="A21675" s="56"/>
    </row>
    <row r="21676" spans="1:1">
      <c r="A21676" s="56"/>
    </row>
    <row r="21677" spans="1:1">
      <c r="A21677" s="56"/>
    </row>
    <row r="21678" spans="1:1">
      <c r="A21678" s="56"/>
    </row>
    <row r="21679" spans="1:1">
      <c r="A21679" s="56"/>
    </row>
    <row r="21680" spans="1:1">
      <c r="A21680" s="56"/>
    </row>
    <row r="21681" spans="1:1">
      <c r="A21681" s="56"/>
    </row>
    <row r="21682" spans="1:1">
      <c r="A21682" s="56"/>
    </row>
    <row r="21683" spans="1:1">
      <c r="A21683" s="56"/>
    </row>
    <row r="21684" spans="1:1">
      <c r="A21684" s="56"/>
    </row>
    <row r="21685" spans="1:1">
      <c r="A21685" s="56"/>
    </row>
    <row r="21686" spans="1:1">
      <c r="A21686" s="56"/>
    </row>
    <row r="21687" spans="1:1">
      <c r="A21687" s="56"/>
    </row>
    <row r="21688" spans="1:1">
      <c r="A21688" s="56"/>
    </row>
    <row r="21689" spans="1:1">
      <c r="A21689" s="56"/>
    </row>
    <row r="21690" spans="1:1">
      <c r="A21690" s="56"/>
    </row>
    <row r="21691" spans="1:1">
      <c r="A21691" s="56"/>
    </row>
    <row r="21692" spans="1:1">
      <c r="A21692" s="56"/>
    </row>
    <row r="21693" spans="1:1">
      <c r="A21693" s="56"/>
    </row>
    <row r="21694" spans="1:1">
      <c r="A21694" s="56"/>
    </row>
    <row r="21695" spans="1:1">
      <c r="A21695" s="56"/>
    </row>
    <row r="21696" spans="1:1">
      <c r="A21696" s="56"/>
    </row>
    <row r="21697" spans="1:1">
      <c r="A21697" s="56"/>
    </row>
    <row r="21698" spans="1:1">
      <c r="A21698" s="56"/>
    </row>
    <row r="21699" spans="1:1">
      <c r="A21699" s="56"/>
    </row>
    <row r="21700" spans="1:1">
      <c r="A21700" s="56"/>
    </row>
    <row r="21701" spans="1:1">
      <c r="A21701" s="56"/>
    </row>
    <row r="21702" spans="1:1">
      <c r="A21702" s="56"/>
    </row>
    <row r="21703" spans="1:1">
      <c r="A21703" s="56"/>
    </row>
    <row r="21704" spans="1:1">
      <c r="A21704" s="56"/>
    </row>
    <row r="21705" spans="1:1">
      <c r="A21705" s="56"/>
    </row>
    <row r="21706" spans="1:1">
      <c r="A21706" s="56"/>
    </row>
    <row r="21707" spans="1:1">
      <c r="A21707" s="56"/>
    </row>
    <row r="21708" spans="1:1">
      <c r="A21708" s="56"/>
    </row>
    <row r="21709" spans="1:1">
      <c r="A21709" s="56"/>
    </row>
    <row r="21710" spans="1:1">
      <c r="A21710" s="56"/>
    </row>
    <row r="21711" spans="1:1">
      <c r="A21711" s="56"/>
    </row>
    <row r="21712" spans="1:1">
      <c r="A21712" s="56"/>
    </row>
    <row r="21713" spans="1:1">
      <c r="A21713" s="56"/>
    </row>
    <row r="21714" spans="1:1">
      <c r="A21714" s="56"/>
    </row>
    <row r="21715" spans="1:1">
      <c r="A21715" s="56"/>
    </row>
    <row r="21716" spans="1:1">
      <c r="A21716" s="56"/>
    </row>
    <row r="21717" spans="1:1">
      <c r="A21717" s="56"/>
    </row>
    <row r="21718" spans="1:1">
      <c r="A21718" s="56"/>
    </row>
    <row r="21719" spans="1:1">
      <c r="A21719" s="56"/>
    </row>
    <row r="21720" spans="1:1">
      <c r="A21720" s="56"/>
    </row>
    <row r="21721" spans="1:1">
      <c r="A21721" s="56"/>
    </row>
    <row r="21722" spans="1:1">
      <c r="A21722" s="56"/>
    </row>
    <row r="21723" spans="1:1">
      <c r="A21723" s="56"/>
    </row>
    <row r="21724" spans="1:1">
      <c r="A21724" s="56"/>
    </row>
    <row r="21725" spans="1:1">
      <c r="A21725" s="56"/>
    </row>
    <row r="21726" spans="1:1">
      <c r="A21726" s="56"/>
    </row>
    <row r="21727" spans="1:1">
      <c r="A21727" s="56"/>
    </row>
    <row r="21728" spans="1:1">
      <c r="A21728" s="56"/>
    </row>
    <row r="21729" spans="1:1">
      <c r="A21729" s="56"/>
    </row>
    <row r="21730" spans="1:1">
      <c r="A21730" s="56"/>
    </row>
    <row r="21731" spans="1:1">
      <c r="A21731" s="56"/>
    </row>
    <row r="21732" spans="1:1">
      <c r="A21732" s="56"/>
    </row>
    <row r="21733" spans="1:1">
      <c r="A21733" s="56"/>
    </row>
    <row r="21734" spans="1:1">
      <c r="A21734" s="56"/>
    </row>
    <row r="21735" spans="1:1">
      <c r="A21735" s="56"/>
    </row>
    <row r="21736" spans="1:1">
      <c r="A21736" s="56"/>
    </row>
    <row r="21737" spans="1:1">
      <c r="A21737" s="56"/>
    </row>
    <row r="21738" spans="1:1">
      <c r="A21738" s="56"/>
    </row>
    <row r="21739" spans="1:1">
      <c r="A21739" s="56"/>
    </row>
    <row r="21740" spans="1:1">
      <c r="A21740" s="56"/>
    </row>
    <row r="21741" spans="1:1">
      <c r="A21741" s="56"/>
    </row>
    <row r="21742" spans="1:1">
      <c r="A21742" s="56"/>
    </row>
    <row r="21743" spans="1:1">
      <c r="A21743" s="56"/>
    </row>
    <row r="21744" spans="1:1">
      <c r="A21744" s="56"/>
    </row>
    <row r="21745" spans="1:1">
      <c r="A21745" s="56"/>
    </row>
    <row r="21746" spans="1:1">
      <c r="A21746" s="56"/>
    </row>
    <row r="21747" spans="1:1">
      <c r="A21747" s="56"/>
    </row>
    <row r="21748" spans="1:1">
      <c r="A21748" s="56"/>
    </row>
    <row r="21749" spans="1:1">
      <c r="A21749" s="56"/>
    </row>
    <row r="21750" spans="1:1">
      <c r="A21750" s="56"/>
    </row>
    <row r="21751" spans="1:1">
      <c r="A21751" s="56"/>
    </row>
    <row r="21752" spans="1:1">
      <c r="A21752" s="56"/>
    </row>
    <row r="21753" spans="1:1">
      <c r="A21753" s="56"/>
    </row>
    <row r="21754" spans="1:1">
      <c r="A21754" s="56"/>
    </row>
    <row r="21755" spans="1:1">
      <c r="A21755" s="56"/>
    </row>
    <row r="21756" spans="1:1">
      <c r="A21756" s="56"/>
    </row>
    <row r="21757" spans="1:1">
      <c r="A21757" s="56"/>
    </row>
    <row r="21758" spans="1:1">
      <c r="A21758" s="56"/>
    </row>
    <row r="21759" spans="1:1">
      <c r="A21759" s="56"/>
    </row>
    <row r="21760" spans="1:1">
      <c r="A21760" s="56"/>
    </row>
    <row r="21761" spans="1:1">
      <c r="A21761" s="56"/>
    </row>
    <row r="21762" spans="1:1">
      <c r="A21762" s="56"/>
    </row>
    <row r="21763" spans="1:1">
      <c r="A21763" s="56"/>
    </row>
    <row r="21764" spans="1:1">
      <c r="A21764" s="56"/>
    </row>
    <row r="21765" spans="1:1">
      <c r="A21765" s="56"/>
    </row>
    <row r="21766" spans="1:1">
      <c r="A21766" s="56"/>
    </row>
    <row r="21767" spans="1:1">
      <c r="A21767" s="56"/>
    </row>
    <row r="21768" spans="1:1">
      <c r="A21768" s="56"/>
    </row>
    <row r="21769" spans="1:1">
      <c r="A21769" s="56"/>
    </row>
    <row r="21770" spans="1:1">
      <c r="A21770" s="56"/>
    </row>
    <row r="21771" spans="1:1">
      <c r="A21771" s="56"/>
    </row>
    <row r="21772" spans="1:1">
      <c r="A21772" s="56"/>
    </row>
    <row r="21773" spans="1:1">
      <c r="A21773" s="56"/>
    </row>
    <row r="21774" spans="1:1">
      <c r="A21774" s="56"/>
    </row>
    <row r="21775" spans="1:1">
      <c r="A21775" s="56"/>
    </row>
    <row r="21776" spans="1:1">
      <c r="A21776" s="56"/>
    </row>
    <row r="21777" spans="1:1">
      <c r="A21777" s="56"/>
    </row>
    <row r="21778" spans="1:1">
      <c r="A21778" s="56"/>
    </row>
    <row r="21779" spans="1:1">
      <c r="A21779" s="56"/>
    </row>
    <row r="21780" spans="1:1">
      <c r="A21780" s="56"/>
    </row>
    <row r="21781" spans="1:1">
      <c r="A21781" s="56"/>
    </row>
    <row r="21782" spans="1:1">
      <c r="A21782" s="56"/>
    </row>
    <row r="21783" spans="1:1">
      <c r="A21783" s="56"/>
    </row>
    <row r="21784" spans="1:1">
      <c r="A21784" s="56"/>
    </row>
    <row r="21785" spans="1:1">
      <c r="A21785" s="56"/>
    </row>
    <row r="21786" spans="1:1">
      <c r="A21786" s="56"/>
    </row>
    <row r="21787" spans="1:1">
      <c r="A21787" s="56"/>
    </row>
    <row r="21788" spans="1:1">
      <c r="A21788" s="56"/>
    </row>
    <row r="21789" spans="1:1">
      <c r="A21789" s="56"/>
    </row>
    <row r="21790" spans="1:1">
      <c r="A21790" s="56"/>
    </row>
    <row r="21791" spans="1:1">
      <c r="A21791" s="56"/>
    </row>
    <row r="21792" spans="1:1">
      <c r="A21792" s="56"/>
    </row>
    <row r="21793" spans="1:1">
      <c r="A21793" s="56"/>
    </row>
    <row r="21794" spans="1:1">
      <c r="A21794" s="56"/>
    </row>
    <row r="21795" spans="1:1">
      <c r="A21795" s="56"/>
    </row>
    <row r="21796" spans="1:1">
      <c r="A21796" s="56"/>
    </row>
    <row r="21797" spans="1:1">
      <c r="A21797" s="56"/>
    </row>
    <row r="21798" spans="1:1">
      <c r="A21798" s="56"/>
    </row>
    <row r="21799" spans="1:1">
      <c r="A21799" s="56"/>
    </row>
    <row r="21800" spans="1:1">
      <c r="A21800" s="56"/>
    </row>
    <row r="21801" spans="1:1">
      <c r="A21801" s="56"/>
    </row>
    <row r="21802" spans="1:1">
      <c r="A21802" s="56"/>
    </row>
    <row r="21803" spans="1:1">
      <c r="A21803" s="56"/>
    </row>
    <row r="21804" spans="1:1">
      <c r="A21804" s="56"/>
    </row>
    <row r="21805" spans="1:1">
      <c r="A21805" s="56"/>
    </row>
    <row r="21806" spans="1:1">
      <c r="A21806" s="56"/>
    </row>
    <row r="21807" spans="1:1">
      <c r="A21807" s="56"/>
    </row>
    <row r="21808" spans="1:1">
      <c r="A21808" s="56"/>
    </row>
    <row r="21809" spans="1:1">
      <c r="A21809" s="56"/>
    </row>
    <row r="21810" spans="1:1">
      <c r="A21810" s="56"/>
    </row>
    <row r="21811" spans="1:1">
      <c r="A21811" s="56"/>
    </row>
    <row r="21812" spans="1:1">
      <c r="A21812" s="56"/>
    </row>
    <row r="21813" spans="1:1">
      <c r="A21813" s="56"/>
    </row>
    <row r="21814" spans="1:1">
      <c r="A21814" s="56"/>
    </row>
    <row r="21815" spans="1:1">
      <c r="A21815" s="56"/>
    </row>
    <row r="21816" spans="1:1">
      <c r="A21816" s="56"/>
    </row>
    <row r="21817" spans="1:1">
      <c r="A21817" s="56"/>
    </row>
    <row r="21818" spans="1:1">
      <c r="A21818" s="56"/>
    </row>
    <row r="21819" spans="1:1">
      <c r="A21819" s="56"/>
    </row>
    <row r="21820" spans="1:1">
      <c r="A21820" s="56"/>
    </row>
    <row r="21821" spans="1:1">
      <c r="A21821" s="56"/>
    </row>
    <row r="21822" spans="1:1">
      <c r="A21822" s="56"/>
    </row>
    <row r="21823" spans="1:1">
      <c r="A21823" s="56"/>
    </row>
    <row r="21824" spans="1:1">
      <c r="A21824" s="56"/>
    </row>
    <row r="21825" spans="1:1">
      <c r="A21825" s="56"/>
    </row>
    <row r="21826" spans="1:1">
      <c r="A21826" s="56"/>
    </row>
    <row r="21827" spans="1:1">
      <c r="A21827" s="56"/>
    </row>
    <row r="21828" spans="1:1">
      <c r="A21828" s="56"/>
    </row>
    <row r="21829" spans="1:1">
      <c r="A21829" s="56"/>
    </row>
    <row r="21830" spans="1:1">
      <c r="A21830" s="56"/>
    </row>
    <row r="21831" spans="1:1">
      <c r="A21831" s="56"/>
    </row>
    <row r="21832" spans="1:1">
      <c r="A21832" s="56"/>
    </row>
    <row r="21833" spans="1:1">
      <c r="A21833" s="56"/>
    </row>
    <row r="21834" spans="1:1">
      <c r="A21834" s="56"/>
    </row>
    <row r="21835" spans="1:1">
      <c r="A21835" s="56"/>
    </row>
    <row r="21836" spans="1:1">
      <c r="A21836" s="56"/>
    </row>
    <row r="21837" spans="1:1">
      <c r="A21837" s="56"/>
    </row>
    <row r="21838" spans="1:1">
      <c r="A21838" s="56"/>
    </row>
    <row r="21839" spans="1:1">
      <c r="A21839" s="56"/>
    </row>
    <row r="21840" spans="1:1">
      <c r="A21840" s="56"/>
    </row>
    <row r="21841" spans="1:1">
      <c r="A21841" s="56"/>
    </row>
    <row r="21842" spans="1:1">
      <c r="A21842" s="56"/>
    </row>
    <row r="21843" spans="1:1">
      <c r="A21843" s="56"/>
    </row>
    <row r="21844" spans="1:1">
      <c r="A21844" s="56"/>
    </row>
    <row r="21845" spans="1:1">
      <c r="A21845" s="56"/>
    </row>
    <row r="21846" spans="1:1">
      <c r="A21846" s="56"/>
    </row>
    <row r="21847" spans="1:1">
      <c r="A21847" s="56"/>
    </row>
    <row r="21848" spans="1:1">
      <c r="A21848" s="56"/>
    </row>
    <row r="21849" spans="1:1">
      <c r="A21849" s="56"/>
    </row>
    <row r="21850" spans="1:1">
      <c r="A21850" s="56"/>
    </row>
    <row r="21851" spans="1:1">
      <c r="A21851" s="56"/>
    </row>
    <row r="21852" spans="1:1">
      <c r="A21852" s="56"/>
    </row>
    <row r="21853" spans="1:1">
      <c r="A21853" s="56"/>
    </row>
    <row r="21854" spans="1:1">
      <c r="A21854" s="56"/>
    </row>
    <row r="21855" spans="1:1">
      <c r="A21855" s="56"/>
    </row>
    <row r="21856" spans="1:1">
      <c r="A21856" s="56"/>
    </row>
    <row r="21857" spans="1:1">
      <c r="A21857" s="56"/>
    </row>
    <row r="21858" spans="1:1">
      <c r="A21858" s="56"/>
    </row>
    <row r="21859" spans="1:1">
      <c r="A21859" s="56"/>
    </row>
    <row r="21860" spans="1:1">
      <c r="A21860" s="56"/>
    </row>
    <row r="21861" spans="1:1">
      <c r="A21861" s="56"/>
    </row>
    <row r="21862" spans="1:1">
      <c r="A21862" s="56"/>
    </row>
    <row r="21863" spans="1:1">
      <c r="A21863" s="56"/>
    </row>
    <row r="21864" spans="1:1">
      <c r="A21864" s="56"/>
    </row>
    <row r="21865" spans="1:1">
      <c r="A21865" s="56"/>
    </row>
    <row r="21866" spans="1:1">
      <c r="A21866" s="56"/>
    </row>
    <row r="21867" spans="1:1">
      <c r="A21867" s="56"/>
    </row>
    <row r="21868" spans="1:1">
      <c r="A21868" s="56"/>
    </row>
    <row r="21869" spans="1:1">
      <c r="A21869" s="56"/>
    </row>
    <row r="21870" spans="1:1">
      <c r="A21870" s="56"/>
    </row>
    <row r="21871" spans="1:1">
      <c r="A21871" s="56"/>
    </row>
    <row r="21872" spans="1:1">
      <c r="A21872" s="56"/>
    </row>
    <row r="21873" spans="1:1">
      <c r="A21873" s="56"/>
    </row>
    <row r="21874" spans="1:1">
      <c r="A21874" s="56"/>
    </row>
    <row r="21875" spans="1:1">
      <c r="A21875" s="56"/>
    </row>
    <row r="21876" spans="1:1">
      <c r="A21876" s="56"/>
    </row>
    <row r="21877" spans="1:1">
      <c r="A21877" s="56"/>
    </row>
    <row r="21878" spans="1:1">
      <c r="A21878" s="56"/>
    </row>
    <row r="21879" spans="1:1">
      <c r="A21879" s="56"/>
    </row>
    <row r="21880" spans="1:1">
      <c r="A21880" s="56"/>
    </row>
    <row r="21881" spans="1:1">
      <c r="A21881" s="56"/>
    </row>
    <row r="21882" spans="1:1">
      <c r="A21882" s="56"/>
    </row>
    <row r="21883" spans="1:1">
      <c r="A21883" s="56"/>
    </row>
    <row r="21884" spans="1:1">
      <c r="A21884" s="56"/>
    </row>
    <row r="21885" spans="1:1">
      <c r="A21885" s="56"/>
    </row>
    <row r="21886" spans="1:1">
      <c r="A21886" s="56"/>
    </row>
    <row r="21887" spans="1:1">
      <c r="A21887" s="56"/>
    </row>
    <row r="21888" spans="1:1">
      <c r="A21888" s="56"/>
    </row>
    <row r="21889" spans="1:1">
      <c r="A21889" s="56"/>
    </row>
    <row r="21890" spans="1:1">
      <c r="A21890" s="56"/>
    </row>
    <row r="21891" spans="1:1">
      <c r="A21891" s="56"/>
    </row>
    <row r="21892" spans="1:1">
      <c r="A21892" s="56"/>
    </row>
    <row r="21893" spans="1:1">
      <c r="A21893" s="56"/>
    </row>
    <row r="21894" spans="1:1">
      <c r="A21894" s="56"/>
    </row>
    <row r="21895" spans="1:1">
      <c r="A21895" s="56"/>
    </row>
    <row r="21896" spans="1:1">
      <c r="A21896" s="56"/>
    </row>
    <row r="21897" spans="1:1">
      <c r="A21897" s="56"/>
    </row>
    <row r="21898" spans="1:1">
      <c r="A21898" s="56"/>
    </row>
    <row r="21899" spans="1:1">
      <c r="A21899" s="56"/>
    </row>
    <row r="21900" spans="1:1">
      <c r="A21900" s="56"/>
    </row>
    <row r="21901" spans="1:1">
      <c r="A21901" s="56"/>
    </row>
    <row r="21902" spans="1:1">
      <c r="A21902" s="56"/>
    </row>
    <row r="21903" spans="1:1">
      <c r="A21903" s="56"/>
    </row>
    <row r="21904" spans="1:1">
      <c r="A21904" s="56"/>
    </row>
    <row r="21905" spans="1:1">
      <c r="A21905" s="56"/>
    </row>
    <row r="21906" spans="1:1">
      <c r="A21906" s="56"/>
    </row>
    <row r="21907" spans="1:1">
      <c r="A21907" s="56"/>
    </row>
    <row r="21908" spans="1:1">
      <c r="A21908" s="56"/>
    </row>
    <row r="21909" spans="1:1">
      <c r="A21909" s="56"/>
    </row>
    <row r="21910" spans="1:1">
      <c r="A21910" s="56"/>
    </row>
    <row r="21911" spans="1:1">
      <c r="A21911" s="56"/>
    </row>
    <row r="21912" spans="1:1">
      <c r="A21912" s="56"/>
    </row>
    <row r="21913" spans="1:1">
      <c r="A21913" s="56"/>
    </row>
    <row r="21914" spans="1:1">
      <c r="A21914" s="56"/>
    </row>
    <row r="21915" spans="1:1">
      <c r="A21915" s="56"/>
    </row>
    <row r="21916" spans="1:1">
      <c r="A21916" s="56"/>
    </row>
    <row r="21917" spans="1:1">
      <c r="A21917" s="56"/>
    </row>
    <row r="21918" spans="1:1">
      <c r="A21918" s="56"/>
    </row>
    <row r="21919" spans="1:1">
      <c r="A21919" s="56"/>
    </row>
    <row r="21920" spans="1:1">
      <c r="A21920" s="56"/>
    </row>
    <row r="21921" spans="1:1">
      <c r="A21921" s="56"/>
    </row>
    <row r="21922" spans="1:1">
      <c r="A21922" s="56"/>
    </row>
    <row r="21923" spans="1:1">
      <c r="A21923" s="56"/>
    </row>
    <row r="21924" spans="1:1">
      <c r="A21924" s="56"/>
    </row>
    <row r="21925" spans="1:1">
      <c r="A21925" s="56"/>
    </row>
    <row r="21926" spans="1:1">
      <c r="A21926" s="56"/>
    </row>
    <row r="21927" spans="1:1">
      <c r="A21927" s="56"/>
    </row>
    <row r="21928" spans="1:1">
      <c r="A21928" s="56"/>
    </row>
    <row r="21929" spans="1:1">
      <c r="A21929" s="56"/>
    </row>
    <row r="21930" spans="1:1">
      <c r="A21930" s="56"/>
    </row>
    <row r="21931" spans="1:1">
      <c r="A21931" s="56"/>
    </row>
    <row r="21932" spans="1:1">
      <c r="A21932" s="56"/>
    </row>
    <row r="21933" spans="1:1">
      <c r="A21933" s="56"/>
    </row>
    <row r="21934" spans="1:1">
      <c r="A21934" s="56"/>
    </row>
    <row r="21935" spans="1:1">
      <c r="A21935" s="56"/>
    </row>
    <row r="21936" spans="1:1">
      <c r="A21936" s="56"/>
    </row>
    <row r="21937" spans="1:1">
      <c r="A21937" s="56"/>
    </row>
    <row r="21938" spans="1:1">
      <c r="A21938" s="56"/>
    </row>
    <row r="21939" spans="1:1">
      <c r="A21939" s="56"/>
    </row>
    <row r="21940" spans="1:1">
      <c r="A21940" s="56"/>
    </row>
    <row r="21941" spans="1:1">
      <c r="A21941" s="56"/>
    </row>
    <row r="21942" spans="1:1">
      <c r="A21942" s="56"/>
    </row>
    <row r="21943" spans="1:1">
      <c r="A21943" s="56"/>
    </row>
    <row r="21944" spans="1:1">
      <c r="A21944" s="56"/>
    </row>
    <row r="21945" spans="1:1">
      <c r="A21945" s="56"/>
    </row>
    <row r="21946" spans="1:1">
      <c r="A21946" s="56"/>
    </row>
    <row r="21947" spans="1:1">
      <c r="A21947" s="56"/>
    </row>
    <row r="21948" spans="1:1">
      <c r="A21948" s="56"/>
    </row>
    <row r="21949" spans="1:1">
      <c r="A21949" s="56"/>
    </row>
    <row r="21950" spans="1:1">
      <c r="A21950" s="56"/>
    </row>
    <row r="21951" spans="1:1">
      <c r="A21951" s="56"/>
    </row>
    <row r="21952" spans="1:1">
      <c r="A21952" s="56"/>
    </row>
    <row r="21953" spans="1:1">
      <c r="A21953" s="56"/>
    </row>
    <row r="21954" spans="1:1">
      <c r="A21954" s="56"/>
    </row>
    <row r="21955" spans="1:1">
      <c r="A21955" s="56"/>
    </row>
    <row r="21956" spans="1:1">
      <c r="A21956" s="56"/>
    </row>
    <row r="21957" spans="1:1">
      <c r="A21957" s="56"/>
    </row>
    <row r="21958" spans="1:1">
      <c r="A21958" s="56"/>
    </row>
    <row r="21959" spans="1:1">
      <c r="A21959" s="56"/>
    </row>
    <row r="21960" spans="1:1">
      <c r="A21960" s="56"/>
    </row>
    <row r="21961" spans="1:1">
      <c r="A21961" s="56"/>
    </row>
    <row r="21962" spans="1:1">
      <c r="A21962" s="56"/>
    </row>
    <row r="21963" spans="1:1">
      <c r="A21963" s="56"/>
    </row>
    <row r="21964" spans="1:1">
      <c r="A21964" s="56"/>
    </row>
    <row r="21965" spans="1:1">
      <c r="A21965" s="56"/>
    </row>
    <row r="21966" spans="1:1">
      <c r="A21966" s="56"/>
    </row>
    <row r="21967" spans="1:1">
      <c r="A21967" s="56"/>
    </row>
    <row r="21968" spans="1:1">
      <c r="A21968" s="56"/>
    </row>
    <row r="21969" spans="1:1">
      <c r="A21969" s="56"/>
    </row>
    <row r="21970" spans="1:1">
      <c r="A21970" s="56"/>
    </row>
    <row r="21971" spans="1:1">
      <c r="A21971" s="56"/>
    </row>
    <row r="21972" spans="1:1">
      <c r="A21972" s="56"/>
    </row>
    <row r="21973" spans="1:1">
      <c r="A21973" s="56"/>
    </row>
    <row r="21974" spans="1:1">
      <c r="A21974" s="56"/>
    </row>
    <row r="21975" spans="1:1">
      <c r="A21975" s="56"/>
    </row>
    <row r="21976" spans="1:1">
      <c r="A21976" s="56"/>
    </row>
    <row r="21977" spans="1:1">
      <c r="A21977" s="56"/>
    </row>
    <row r="21978" spans="1:1">
      <c r="A21978" s="56"/>
    </row>
    <row r="21979" spans="1:1">
      <c r="A21979" s="56"/>
    </row>
    <row r="21980" spans="1:1">
      <c r="A21980" s="56"/>
    </row>
    <row r="21981" spans="1:1">
      <c r="A21981" s="56"/>
    </row>
    <row r="21982" spans="1:1">
      <c r="A21982" s="56"/>
    </row>
    <row r="21983" spans="1:1">
      <c r="A21983" s="56"/>
    </row>
    <row r="21984" spans="1:1">
      <c r="A21984" s="56"/>
    </row>
    <row r="21985" spans="1:1">
      <c r="A21985" s="56"/>
    </row>
    <row r="21986" spans="1:1">
      <c r="A21986" s="56"/>
    </row>
    <row r="21987" spans="1:1">
      <c r="A21987" s="56"/>
    </row>
    <row r="21988" spans="1:1">
      <c r="A21988" s="56"/>
    </row>
    <row r="21989" spans="1:1">
      <c r="A21989" s="56"/>
    </row>
    <row r="21990" spans="1:1">
      <c r="A21990" s="56"/>
    </row>
    <row r="21991" spans="1:1">
      <c r="A21991" s="56"/>
    </row>
    <row r="21992" spans="1:1">
      <c r="A21992" s="56"/>
    </row>
    <row r="21993" spans="1:1">
      <c r="A21993" s="56"/>
    </row>
    <row r="21994" spans="1:1">
      <c r="A21994" s="56"/>
    </row>
    <row r="21995" spans="1:1">
      <c r="A21995" s="56"/>
    </row>
    <row r="21996" spans="1:1">
      <c r="A21996" s="56"/>
    </row>
    <row r="21997" spans="1:1">
      <c r="A21997" s="56"/>
    </row>
    <row r="21998" spans="1:1">
      <c r="A21998" s="56"/>
    </row>
    <row r="21999" spans="1:1">
      <c r="A21999" s="56"/>
    </row>
    <row r="22000" spans="1:1">
      <c r="A22000" s="56"/>
    </row>
    <row r="22001" spans="1:1">
      <c r="A22001" s="56"/>
    </row>
    <row r="22002" spans="1:1">
      <c r="A22002" s="56"/>
    </row>
    <row r="22003" spans="1:1">
      <c r="A22003" s="56"/>
    </row>
    <row r="22004" spans="1:1">
      <c r="A22004" s="56"/>
    </row>
    <row r="22005" spans="1:1">
      <c r="A22005" s="56"/>
    </row>
    <row r="22006" spans="1:1">
      <c r="A22006" s="56"/>
    </row>
    <row r="22007" spans="1:1">
      <c r="A22007" s="56"/>
    </row>
    <row r="22008" spans="1:1">
      <c r="A22008" s="56"/>
    </row>
    <row r="22009" spans="1:1">
      <c r="A22009" s="56"/>
    </row>
    <row r="22010" spans="1:1">
      <c r="A22010" s="56"/>
    </row>
    <row r="22011" spans="1:1">
      <c r="A22011" s="56"/>
    </row>
    <row r="22012" spans="1:1">
      <c r="A22012" s="56"/>
    </row>
    <row r="22013" spans="1:1">
      <c r="A22013" s="56"/>
    </row>
    <row r="22014" spans="1:1">
      <c r="A22014" s="56"/>
    </row>
    <row r="22015" spans="1:1">
      <c r="A22015" s="56"/>
    </row>
    <row r="22016" spans="1:1">
      <c r="A22016" s="56"/>
    </row>
    <row r="22017" spans="1:1">
      <c r="A22017" s="56"/>
    </row>
    <row r="22018" spans="1:1">
      <c r="A22018" s="56"/>
    </row>
    <row r="22019" spans="1:1">
      <c r="A22019" s="56"/>
    </row>
    <row r="22020" spans="1:1">
      <c r="A22020" s="56"/>
    </row>
    <row r="22021" spans="1:1">
      <c r="A22021" s="56"/>
    </row>
    <row r="22022" spans="1:1">
      <c r="A22022" s="56"/>
    </row>
    <row r="22023" spans="1:1">
      <c r="A22023" s="56"/>
    </row>
    <row r="22024" spans="1:1">
      <c r="A22024" s="56"/>
    </row>
    <row r="22025" spans="1:1">
      <c r="A22025" s="56"/>
    </row>
    <row r="22026" spans="1:1">
      <c r="A22026" s="56"/>
    </row>
    <row r="22027" spans="1:1">
      <c r="A22027" s="56"/>
    </row>
    <row r="22028" spans="1:1">
      <c r="A22028" s="56"/>
    </row>
    <row r="22029" spans="1:1">
      <c r="A22029" s="56"/>
    </row>
    <row r="22030" spans="1:1">
      <c r="A22030" s="56"/>
    </row>
    <row r="22031" spans="1:1">
      <c r="A22031" s="56"/>
    </row>
    <row r="22032" spans="1:1">
      <c r="A22032" s="56"/>
    </row>
    <row r="22033" spans="1:1">
      <c r="A22033" s="56"/>
    </row>
    <row r="22034" spans="1:1">
      <c r="A22034" s="56"/>
    </row>
    <row r="22035" spans="1:1">
      <c r="A22035" s="56"/>
    </row>
    <row r="22036" spans="1:1">
      <c r="A22036" s="56"/>
    </row>
    <row r="22037" spans="1:1">
      <c r="A22037" s="56"/>
    </row>
    <row r="22038" spans="1:1">
      <c r="A22038" s="56"/>
    </row>
    <row r="22039" spans="1:1">
      <c r="A22039" s="56"/>
    </row>
    <row r="22040" spans="1:1">
      <c r="A22040" s="56"/>
    </row>
    <row r="22041" spans="1:1">
      <c r="A22041" s="56"/>
    </row>
    <row r="22042" spans="1:1">
      <c r="A22042" s="56"/>
    </row>
    <row r="22043" spans="1:1">
      <c r="A22043" s="56"/>
    </row>
    <row r="22044" spans="1:1">
      <c r="A22044" s="56"/>
    </row>
    <row r="22045" spans="1:1">
      <c r="A22045" s="56"/>
    </row>
    <row r="22046" spans="1:1">
      <c r="A22046" s="56"/>
    </row>
    <row r="22047" spans="1:1">
      <c r="A22047" s="56"/>
    </row>
    <row r="22048" spans="1:1">
      <c r="A22048" s="56"/>
    </row>
    <row r="22049" spans="1:1">
      <c r="A22049" s="56"/>
    </row>
    <row r="22050" spans="1:1">
      <c r="A22050" s="56"/>
    </row>
    <row r="22051" spans="1:1">
      <c r="A22051" s="56"/>
    </row>
    <row r="22052" spans="1:1">
      <c r="A22052" s="56"/>
    </row>
    <row r="22053" spans="1:1">
      <c r="A22053" s="56"/>
    </row>
    <row r="22054" spans="1:1">
      <c r="A22054" s="56"/>
    </row>
    <row r="22055" spans="1:1">
      <c r="A22055" s="56"/>
    </row>
    <row r="22056" spans="1:1">
      <c r="A22056" s="56"/>
    </row>
    <row r="22057" spans="1:1">
      <c r="A22057" s="56"/>
    </row>
    <row r="22058" spans="1:1">
      <c r="A22058" s="56"/>
    </row>
    <row r="22059" spans="1:1">
      <c r="A22059" s="56"/>
    </row>
    <row r="22060" spans="1:1">
      <c r="A22060" s="56"/>
    </row>
    <row r="22061" spans="1:1">
      <c r="A22061" s="56"/>
    </row>
    <row r="22062" spans="1:1">
      <c r="A22062" s="56"/>
    </row>
    <row r="22063" spans="1:1">
      <c r="A22063" s="56"/>
    </row>
    <row r="22064" spans="1:1">
      <c r="A22064" s="56"/>
    </row>
    <row r="22065" spans="1:1">
      <c r="A22065" s="56"/>
    </row>
    <row r="22066" spans="1:1">
      <c r="A22066" s="56"/>
    </row>
    <row r="22067" spans="1:1">
      <c r="A22067" s="56"/>
    </row>
    <row r="22068" spans="1:1">
      <c r="A22068" s="56"/>
    </row>
    <row r="22069" spans="1:1">
      <c r="A22069" s="56"/>
    </row>
    <row r="22070" spans="1:1">
      <c r="A22070" s="56"/>
    </row>
    <row r="22071" spans="1:1">
      <c r="A22071" s="56"/>
    </row>
    <row r="22072" spans="1:1">
      <c r="A22072" s="56"/>
    </row>
    <row r="22073" spans="1:1">
      <c r="A22073" s="56"/>
    </row>
    <row r="22074" spans="1:1">
      <c r="A22074" s="56"/>
    </row>
    <row r="22075" spans="1:1">
      <c r="A22075" s="56"/>
    </row>
    <row r="22076" spans="1:1">
      <c r="A22076" s="56"/>
    </row>
    <row r="22077" spans="1:1">
      <c r="A22077" s="56"/>
    </row>
    <row r="22078" spans="1:1">
      <c r="A22078" s="56"/>
    </row>
    <row r="22079" spans="1:1">
      <c r="A22079" s="56"/>
    </row>
    <row r="22080" spans="1:1">
      <c r="A22080" s="56"/>
    </row>
    <row r="22081" spans="1:1">
      <c r="A22081" s="56"/>
    </row>
    <row r="22082" spans="1:1">
      <c r="A22082" s="56"/>
    </row>
    <row r="22083" spans="1:1">
      <c r="A22083" s="56"/>
    </row>
    <row r="22084" spans="1:1">
      <c r="A22084" s="56"/>
    </row>
    <row r="22085" spans="1:1">
      <c r="A22085" s="56"/>
    </row>
    <row r="22086" spans="1:1">
      <c r="A22086" s="56"/>
    </row>
    <row r="22087" spans="1:1">
      <c r="A22087" s="56"/>
    </row>
    <row r="22088" spans="1:1">
      <c r="A22088" s="56"/>
    </row>
    <row r="22089" spans="1:1">
      <c r="A22089" s="56"/>
    </row>
    <row r="22090" spans="1:1">
      <c r="A22090" s="56"/>
    </row>
    <row r="22091" spans="1:1">
      <c r="A22091" s="56"/>
    </row>
    <row r="22092" spans="1:1">
      <c r="A22092" s="56"/>
    </row>
    <row r="22093" spans="1:1">
      <c r="A22093" s="56"/>
    </row>
    <row r="22094" spans="1:1">
      <c r="A22094" s="56"/>
    </row>
    <row r="22095" spans="1:1">
      <c r="A22095" s="56"/>
    </row>
    <row r="22096" spans="1:1">
      <c r="A22096" s="56"/>
    </row>
    <row r="22097" spans="1:1">
      <c r="A22097" s="56"/>
    </row>
    <row r="22098" spans="1:1">
      <c r="A22098" s="56"/>
    </row>
    <row r="22099" spans="1:1">
      <c r="A22099" s="56"/>
    </row>
    <row r="22100" spans="1:1">
      <c r="A22100" s="56"/>
    </row>
    <row r="22101" spans="1:1">
      <c r="A22101" s="56"/>
    </row>
    <row r="22102" spans="1:1">
      <c r="A22102" s="56"/>
    </row>
    <row r="22103" spans="1:1">
      <c r="A22103" s="56"/>
    </row>
    <row r="22104" spans="1:1">
      <c r="A22104" s="56"/>
    </row>
    <row r="22105" spans="1:1">
      <c r="A22105" s="56"/>
    </row>
    <row r="22106" spans="1:1">
      <c r="A22106" s="56"/>
    </row>
    <row r="22107" spans="1:1">
      <c r="A22107" s="56"/>
    </row>
    <row r="22108" spans="1:1">
      <c r="A22108" s="56"/>
    </row>
    <row r="22109" spans="1:1">
      <c r="A22109" s="56"/>
    </row>
    <row r="22110" spans="1:1">
      <c r="A22110" s="56"/>
    </row>
    <row r="22111" spans="1:1">
      <c r="A22111" s="56"/>
    </row>
    <row r="22112" spans="1:1">
      <c r="A22112" s="56"/>
    </row>
    <row r="22113" spans="1:1">
      <c r="A22113" s="56"/>
    </row>
    <row r="22114" spans="1:1">
      <c r="A22114" s="56"/>
    </row>
    <row r="22115" spans="1:1">
      <c r="A22115" s="56"/>
    </row>
    <row r="22116" spans="1:1">
      <c r="A22116" s="56"/>
    </row>
    <row r="22117" spans="1:1">
      <c r="A22117" s="56"/>
    </row>
    <row r="22118" spans="1:1">
      <c r="A22118" s="56"/>
    </row>
    <row r="22119" spans="1:1">
      <c r="A22119" s="56"/>
    </row>
    <row r="22120" spans="1:1">
      <c r="A22120" s="56"/>
    </row>
    <row r="22121" spans="1:1">
      <c r="A22121" s="56"/>
    </row>
    <row r="22122" spans="1:1">
      <c r="A22122" s="56"/>
    </row>
    <row r="22123" spans="1:1">
      <c r="A22123" s="56"/>
    </row>
    <row r="22124" spans="1:1">
      <c r="A22124" s="56"/>
    </row>
    <row r="22125" spans="1:1">
      <c r="A22125" s="56"/>
    </row>
    <row r="22126" spans="1:1">
      <c r="A22126" s="56"/>
    </row>
    <row r="22127" spans="1:1">
      <c r="A22127" s="56"/>
    </row>
    <row r="22128" spans="1:1">
      <c r="A22128" s="56"/>
    </row>
    <row r="22129" spans="1:1">
      <c r="A22129" s="56"/>
    </row>
    <row r="22130" spans="1:1">
      <c r="A22130" s="56"/>
    </row>
    <row r="22131" spans="1:1">
      <c r="A22131" s="56"/>
    </row>
    <row r="22132" spans="1:1">
      <c r="A22132" s="56"/>
    </row>
    <row r="22133" spans="1:1">
      <c r="A22133" s="56"/>
    </row>
    <row r="22134" spans="1:1">
      <c r="A22134" s="56"/>
    </row>
    <row r="22135" spans="1:1">
      <c r="A22135" s="56"/>
    </row>
    <row r="22136" spans="1:1">
      <c r="A22136" s="56"/>
    </row>
    <row r="22137" spans="1:1">
      <c r="A22137" s="56"/>
    </row>
    <row r="22138" spans="1:1">
      <c r="A22138" s="56"/>
    </row>
    <row r="22139" spans="1:1">
      <c r="A22139" s="56"/>
    </row>
    <row r="22140" spans="1:1">
      <c r="A22140" s="56"/>
    </row>
    <row r="22141" spans="1:1">
      <c r="A22141" s="56"/>
    </row>
    <row r="22142" spans="1:1">
      <c r="A22142" s="56"/>
    </row>
    <row r="22143" spans="1:1">
      <c r="A22143" s="56"/>
    </row>
    <row r="22144" spans="1:1">
      <c r="A22144" s="56"/>
    </row>
    <row r="22145" spans="1:1">
      <c r="A22145" s="56"/>
    </row>
    <row r="22146" spans="1:1">
      <c r="A22146" s="56"/>
    </row>
    <row r="22147" spans="1:1">
      <c r="A22147" s="56"/>
    </row>
    <row r="22148" spans="1:1">
      <c r="A22148" s="56"/>
    </row>
    <row r="22149" spans="1:1">
      <c r="A22149" s="56"/>
    </row>
    <row r="22150" spans="1:1">
      <c r="A22150" s="56"/>
    </row>
    <row r="22151" spans="1:1">
      <c r="A22151" s="56"/>
    </row>
    <row r="22152" spans="1:1">
      <c r="A22152" s="56"/>
    </row>
    <row r="22153" spans="1:1">
      <c r="A22153" s="56"/>
    </row>
    <row r="22154" spans="1:1">
      <c r="A22154" s="56"/>
    </row>
    <row r="22155" spans="1:1">
      <c r="A22155" s="56"/>
    </row>
    <row r="22156" spans="1:1">
      <c r="A22156" s="56"/>
    </row>
    <row r="22157" spans="1:1">
      <c r="A22157" s="56"/>
    </row>
    <row r="22158" spans="1:1">
      <c r="A22158" s="56"/>
    </row>
    <row r="22159" spans="1:1">
      <c r="A22159" s="56"/>
    </row>
    <row r="22160" spans="1:1">
      <c r="A22160" s="56"/>
    </row>
    <row r="22161" spans="1:1">
      <c r="A22161" s="56"/>
    </row>
    <row r="22162" spans="1:1">
      <c r="A22162" s="56"/>
    </row>
    <row r="22163" spans="1:1">
      <c r="A22163" s="56"/>
    </row>
    <row r="22164" spans="1:1">
      <c r="A22164" s="56"/>
    </row>
    <row r="22165" spans="1:1">
      <c r="A22165" s="56"/>
    </row>
    <row r="22166" spans="1:1">
      <c r="A22166" s="56"/>
    </row>
    <row r="22167" spans="1:1">
      <c r="A22167" s="56"/>
    </row>
    <row r="22168" spans="1:1">
      <c r="A22168" s="56"/>
    </row>
    <row r="22169" spans="1:1">
      <c r="A22169" s="56"/>
    </row>
    <row r="22170" spans="1:1">
      <c r="A22170" s="56"/>
    </row>
    <row r="22171" spans="1:1">
      <c r="A22171" s="56"/>
    </row>
    <row r="22172" spans="1:1">
      <c r="A22172" s="56"/>
    </row>
    <row r="22173" spans="1:1">
      <c r="A22173" s="56"/>
    </row>
    <row r="22174" spans="1:1">
      <c r="A22174" s="56"/>
    </row>
    <row r="22175" spans="1:1">
      <c r="A22175" s="56"/>
    </row>
    <row r="22176" spans="1:1">
      <c r="A22176" s="56"/>
    </row>
    <row r="22177" spans="1:1">
      <c r="A22177" s="56"/>
    </row>
    <row r="22178" spans="1:1">
      <c r="A22178" s="56"/>
    </row>
    <row r="22179" spans="1:1">
      <c r="A22179" s="56"/>
    </row>
    <row r="22180" spans="1:1">
      <c r="A22180" s="56"/>
    </row>
    <row r="22181" spans="1:1">
      <c r="A22181" s="56"/>
    </row>
    <row r="22182" spans="1:1">
      <c r="A22182" s="56"/>
    </row>
    <row r="22183" spans="1:1">
      <c r="A22183" s="56"/>
    </row>
    <row r="22184" spans="1:1">
      <c r="A22184" s="56"/>
    </row>
    <row r="22185" spans="1:1">
      <c r="A22185" s="56"/>
    </row>
    <row r="22186" spans="1:1">
      <c r="A22186" s="56"/>
    </row>
    <row r="22187" spans="1:1">
      <c r="A22187" s="56"/>
    </row>
    <row r="22188" spans="1:1">
      <c r="A22188" s="56"/>
    </row>
    <row r="22189" spans="1:1">
      <c r="A22189" s="56"/>
    </row>
    <row r="22190" spans="1:1">
      <c r="A22190" s="56"/>
    </row>
    <row r="22191" spans="1:1">
      <c r="A22191" s="56"/>
    </row>
    <row r="22192" spans="1:1">
      <c r="A22192" s="56"/>
    </row>
    <row r="22193" spans="1:1">
      <c r="A22193" s="56"/>
    </row>
    <row r="22194" spans="1:1">
      <c r="A22194" s="56"/>
    </row>
    <row r="22195" spans="1:1">
      <c r="A22195" s="56"/>
    </row>
    <row r="22196" spans="1:1">
      <c r="A22196" s="56"/>
    </row>
    <row r="22197" spans="1:1">
      <c r="A22197" s="56"/>
    </row>
    <row r="22198" spans="1:1">
      <c r="A22198" s="56"/>
    </row>
    <row r="22199" spans="1:1">
      <c r="A22199" s="56"/>
    </row>
    <row r="22200" spans="1:1">
      <c r="A22200" s="56"/>
    </row>
    <row r="22201" spans="1:1">
      <c r="A22201" s="56"/>
    </row>
    <row r="22202" spans="1:1">
      <c r="A22202" s="56"/>
    </row>
    <row r="22203" spans="1:1">
      <c r="A22203" s="56"/>
    </row>
    <row r="22204" spans="1:1">
      <c r="A22204" s="56"/>
    </row>
    <row r="22205" spans="1:1">
      <c r="A22205" s="56"/>
    </row>
    <row r="22206" spans="1:1">
      <c r="A22206" s="56"/>
    </row>
    <row r="22207" spans="1:1">
      <c r="A22207" s="56"/>
    </row>
    <row r="22208" spans="1:1">
      <c r="A22208" s="56"/>
    </row>
    <row r="22209" spans="1:1">
      <c r="A22209" s="56"/>
    </row>
    <row r="22210" spans="1:1">
      <c r="A22210" s="56"/>
    </row>
    <row r="22211" spans="1:1">
      <c r="A22211" s="56"/>
    </row>
    <row r="22212" spans="1:1">
      <c r="A22212" s="56"/>
    </row>
    <row r="22213" spans="1:1">
      <c r="A22213" s="56"/>
    </row>
    <row r="22214" spans="1:1">
      <c r="A22214" s="56"/>
    </row>
    <row r="22215" spans="1:1">
      <c r="A22215" s="56"/>
    </row>
    <row r="22216" spans="1:1">
      <c r="A22216" s="56"/>
    </row>
    <row r="22217" spans="1:1">
      <c r="A22217" s="56"/>
    </row>
    <row r="22218" spans="1:1">
      <c r="A22218" s="56"/>
    </row>
    <row r="22219" spans="1:1">
      <c r="A22219" s="56"/>
    </row>
    <row r="22220" spans="1:1">
      <c r="A22220" s="56"/>
    </row>
    <row r="22221" spans="1:1">
      <c r="A22221" s="56"/>
    </row>
    <row r="22222" spans="1:1">
      <c r="A22222" s="56"/>
    </row>
    <row r="22223" spans="1:1">
      <c r="A22223" s="56"/>
    </row>
    <row r="22224" spans="1:1">
      <c r="A22224" s="56"/>
    </row>
    <row r="22225" spans="1:1">
      <c r="A22225" s="56"/>
    </row>
    <row r="22226" spans="1:1">
      <c r="A22226" s="56"/>
    </row>
    <row r="22227" spans="1:1">
      <c r="A22227" s="56"/>
    </row>
    <row r="22228" spans="1:1">
      <c r="A22228" s="56"/>
    </row>
    <row r="22229" spans="1:1">
      <c r="A22229" s="56"/>
    </row>
    <row r="22230" spans="1:1">
      <c r="A22230" s="56"/>
    </row>
    <row r="22231" spans="1:1">
      <c r="A22231" s="56"/>
    </row>
    <row r="22232" spans="1:1">
      <c r="A22232" s="56"/>
    </row>
    <row r="22233" spans="1:1">
      <c r="A22233" s="56"/>
    </row>
    <row r="22234" spans="1:1">
      <c r="A22234" s="56"/>
    </row>
    <row r="22235" spans="1:1">
      <c r="A22235" s="56"/>
    </row>
    <row r="22236" spans="1:1">
      <c r="A22236" s="56"/>
    </row>
    <row r="22237" spans="1:1">
      <c r="A22237" s="56"/>
    </row>
    <row r="22238" spans="1:1">
      <c r="A22238" s="56"/>
    </row>
    <row r="22239" spans="1:1">
      <c r="A22239" s="56"/>
    </row>
    <row r="22240" spans="1:1">
      <c r="A22240" s="56"/>
    </row>
    <row r="22241" spans="1:1">
      <c r="A22241" s="56"/>
    </row>
    <row r="22242" spans="1:1">
      <c r="A22242" s="56"/>
    </row>
    <row r="22243" spans="1:1">
      <c r="A22243" s="56"/>
    </row>
    <row r="22244" spans="1:1">
      <c r="A22244" s="56"/>
    </row>
    <row r="22245" spans="1:1">
      <c r="A22245" s="56"/>
    </row>
    <row r="22246" spans="1:1">
      <c r="A22246" s="56"/>
    </row>
    <row r="22247" spans="1:1">
      <c r="A22247" s="56"/>
    </row>
    <row r="22248" spans="1:1">
      <c r="A22248" s="56"/>
    </row>
    <row r="22249" spans="1:1">
      <c r="A22249" s="56"/>
    </row>
    <row r="22250" spans="1:1">
      <c r="A22250" s="56"/>
    </row>
    <row r="22251" spans="1:1">
      <c r="A22251" s="56"/>
    </row>
    <row r="22252" spans="1:1">
      <c r="A22252" s="56"/>
    </row>
    <row r="22253" spans="1:1">
      <c r="A22253" s="56"/>
    </row>
    <row r="22254" spans="1:1">
      <c r="A22254" s="56"/>
    </row>
    <row r="22255" spans="1:1">
      <c r="A22255" s="56"/>
    </row>
    <row r="22256" spans="1:1">
      <c r="A22256" s="56"/>
    </row>
    <row r="22257" spans="1:1">
      <c r="A22257" s="56"/>
    </row>
    <row r="22258" spans="1:1">
      <c r="A22258" s="56"/>
    </row>
    <row r="22259" spans="1:1">
      <c r="A22259" s="56"/>
    </row>
    <row r="22260" spans="1:1">
      <c r="A22260" s="56"/>
    </row>
    <row r="22261" spans="1:1">
      <c r="A22261" s="56"/>
    </row>
    <row r="22262" spans="1:1">
      <c r="A22262" s="56"/>
    </row>
    <row r="22263" spans="1:1">
      <c r="A22263" s="56"/>
    </row>
    <row r="22264" spans="1:1">
      <c r="A22264" s="56"/>
    </row>
    <row r="22265" spans="1:1">
      <c r="A22265" s="56"/>
    </row>
    <row r="22266" spans="1:1">
      <c r="A22266" s="56"/>
    </row>
    <row r="22267" spans="1:1">
      <c r="A22267" s="56"/>
    </row>
    <row r="22268" spans="1:1">
      <c r="A22268" s="56"/>
    </row>
    <row r="22269" spans="1:1">
      <c r="A22269" s="56"/>
    </row>
    <row r="22270" spans="1:1">
      <c r="A22270" s="56"/>
    </row>
    <row r="22271" spans="1:1">
      <c r="A22271" s="56"/>
    </row>
    <row r="22272" spans="1:1">
      <c r="A22272" s="56"/>
    </row>
    <row r="22273" spans="1:1">
      <c r="A22273" s="56"/>
    </row>
    <row r="22274" spans="1:1">
      <c r="A22274" s="56"/>
    </row>
    <row r="22275" spans="1:1">
      <c r="A22275" s="56"/>
    </row>
    <row r="22276" spans="1:1">
      <c r="A22276" s="56"/>
    </row>
    <row r="22277" spans="1:1">
      <c r="A22277" s="56"/>
    </row>
    <row r="22278" spans="1:1">
      <c r="A22278" s="56"/>
    </row>
    <row r="22279" spans="1:1">
      <c r="A22279" s="56"/>
    </row>
    <row r="22280" spans="1:1">
      <c r="A22280" s="56"/>
    </row>
    <row r="22281" spans="1:1">
      <c r="A22281" s="56"/>
    </row>
    <row r="22282" spans="1:1">
      <c r="A22282" s="56"/>
    </row>
    <row r="22283" spans="1:1">
      <c r="A22283" s="56"/>
    </row>
    <row r="22284" spans="1:1">
      <c r="A22284" s="56"/>
    </row>
    <row r="22285" spans="1:1">
      <c r="A22285" s="56"/>
    </row>
    <row r="22286" spans="1:1">
      <c r="A22286" s="56"/>
    </row>
    <row r="22287" spans="1:1">
      <c r="A22287" s="56"/>
    </row>
    <row r="22288" spans="1:1">
      <c r="A22288" s="56"/>
    </row>
    <row r="22289" spans="1:1">
      <c r="A22289" s="56"/>
    </row>
    <row r="22290" spans="1:1">
      <c r="A22290" s="56"/>
    </row>
    <row r="22291" spans="1:1">
      <c r="A22291" s="56"/>
    </row>
    <row r="22292" spans="1:1">
      <c r="A22292" s="56"/>
    </row>
    <row r="22293" spans="1:1">
      <c r="A22293" s="56"/>
    </row>
    <row r="22294" spans="1:1">
      <c r="A22294" s="56"/>
    </row>
    <row r="22295" spans="1:1">
      <c r="A22295" s="56"/>
    </row>
    <row r="22296" spans="1:1">
      <c r="A22296" s="56"/>
    </row>
    <row r="22297" spans="1:1">
      <c r="A22297" s="56"/>
    </row>
    <row r="22298" spans="1:1">
      <c r="A22298" s="56"/>
    </row>
    <row r="22299" spans="1:1">
      <c r="A22299" s="56"/>
    </row>
    <row r="22300" spans="1:1">
      <c r="A22300" s="56"/>
    </row>
    <row r="22301" spans="1:1">
      <c r="A22301" s="56"/>
    </row>
    <row r="22302" spans="1:1">
      <c r="A22302" s="56"/>
    </row>
    <row r="22303" spans="1:1">
      <c r="A22303" s="56"/>
    </row>
    <row r="22304" spans="1:1">
      <c r="A22304" s="56"/>
    </row>
    <row r="22305" spans="1:1">
      <c r="A22305" s="56"/>
    </row>
    <row r="22306" spans="1:1">
      <c r="A22306" s="56"/>
    </row>
    <row r="22307" spans="1:1">
      <c r="A22307" s="56"/>
    </row>
    <row r="22308" spans="1:1">
      <c r="A22308" s="56"/>
    </row>
    <row r="22309" spans="1:1">
      <c r="A22309" s="56"/>
    </row>
    <row r="22310" spans="1:1">
      <c r="A22310" s="56"/>
    </row>
    <row r="22311" spans="1:1">
      <c r="A22311" s="56"/>
    </row>
    <row r="22312" spans="1:1">
      <c r="A22312" s="56"/>
    </row>
    <row r="22313" spans="1:1">
      <c r="A22313" s="56"/>
    </row>
    <row r="22314" spans="1:1">
      <c r="A22314" s="56"/>
    </row>
    <row r="22315" spans="1:1">
      <c r="A22315" s="56"/>
    </row>
    <row r="22316" spans="1:1">
      <c r="A22316" s="56"/>
    </row>
    <row r="22317" spans="1:1">
      <c r="A22317" s="56"/>
    </row>
    <row r="22318" spans="1:1">
      <c r="A22318" s="56"/>
    </row>
    <row r="22319" spans="1:1">
      <c r="A22319" s="56"/>
    </row>
    <row r="22320" spans="1:1">
      <c r="A22320" s="56"/>
    </row>
    <row r="22321" spans="1:1">
      <c r="A22321" s="56"/>
    </row>
    <row r="22322" spans="1:1">
      <c r="A22322" s="56"/>
    </row>
    <row r="22323" spans="1:1">
      <c r="A22323" s="56"/>
    </row>
    <row r="22324" spans="1:1">
      <c r="A22324" s="56"/>
    </row>
    <row r="22325" spans="1:1">
      <c r="A22325" s="56"/>
    </row>
    <row r="22326" spans="1:1">
      <c r="A22326" s="56"/>
    </row>
    <row r="22327" spans="1:1">
      <c r="A22327" s="56"/>
    </row>
    <row r="22328" spans="1:1">
      <c r="A22328" s="56"/>
    </row>
    <row r="22329" spans="1:1">
      <c r="A22329" s="56"/>
    </row>
    <row r="22330" spans="1:1">
      <c r="A22330" s="56"/>
    </row>
    <row r="22331" spans="1:1">
      <c r="A22331" s="56"/>
    </row>
    <row r="22332" spans="1:1">
      <c r="A22332" s="56"/>
    </row>
    <row r="22333" spans="1:1">
      <c r="A22333" s="56"/>
    </row>
    <row r="22334" spans="1:1">
      <c r="A22334" s="56"/>
    </row>
    <row r="22335" spans="1:1">
      <c r="A22335" s="56"/>
    </row>
    <row r="22336" spans="1:1">
      <c r="A22336" s="56"/>
    </row>
    <row r="22337" spans="1:1">
      <c r="A22337" s="56"/>
    </row>
    <row r="22338" spans="1:1">
      <c r="A22338" s="56"/>
    </row>
    <row r="22339" spans="1:1">
      <c r="A22339" s="56"/>
    </row>
    <row r="22340" spans="1:1">
      <c r="A22340" s="56"/>
    </row>
    <row r="22341" spans="1:1">
      <c r="A22341" s="56"/>
    </row>
    <row r="22342" spans="1:1">
      <c r="A22342" s="56"/>
    </row>
    <row r="22343" spans="1:1">
      <c r="A22343" s="56"/>
    </row>
    <row r="22344" spans="1:1">
      <c r="A22344" s="56"/>
    </row>
    <row r="22345" spans="1:1">
      <c r="A22345" s="56"/>
    </row>
    <row r="22346" spans="1:1">
      <c r="A22346" s="56"/>
    </row>
    <row r="22347" spans="1:1">
      <c r="A22347" s="56"/>
    </row>
    <row r="22348" spans="1:1">
      <c r="A22348" s="56"/>
    </row>
    <row r="22349" spans="1:1">
      <c r="A22349" s="56"/>
    </row>
    <row r="22350" spans="1:1">
      <c r="A22350" s="56"/>
    </row>
    <row r="22351" spans="1:1">
      <c r="A22351" s="56"/>
    </row>
    <row r="22352" spans="1:1">
      <c r="A22352" s="56"/>
    </row>
    <row r="22353" spans="1:1">
      <c r="A22353" s="56"/>
    </row>
    <row r="22354" spans="1:1">
      <c r="A22354" s="56"/>
    </row>
    <row r="22355" spans="1:1">
      <c r="A22355" s="56"/>
    </row>
    <row r="22356" spans="1:1">
      <c r="A22356" s="56"/>
    </row>
    <row r="22357" spans="1:1">
      <c r="A22357" s="56"/>
    </row>
    <row r="22358" spans="1:1">
      <c r="A22358" s="56"/>
    </row>
    <row r="22359" spans="1:1">
      <c r="A22359" s="56"/>
    </row>
    <row r="22360" spans="1:1">
      <c r="A22360" s="56"/>
    </row>
    <row r="22361" spans="1:1">
      <c r="A22361" s="56"/>
    </row>
    <row r="22362" spans="1:1">
      <c r="A22362" s="56"/>
    </row>
    <row r="22363" spans="1:1">
      <c r="A22363" s="56"/>
    </row>
    <row r="22364" spans="1:1">
      <c r="A22364" s="56"/>
    </row>
    <row r="22365" spans="1:1">
      <c r="A22365" s="56"/>
    </row>
    <row r="22366" spans="1:1">
      <c r="A22366" s="56"/>
    </row>
    <row r="22367" spans="1:1">
      <c r="A22367" s="56"/>
    </row>
    <row r="22368" spans="1:1">
      <c r="A22368" s="56"/>
    </row>
    <row r="22369" spans="1:1">
      <c r="A22369" s="56"/>
    </row>
    <row r="22370" spans="1:1">
      <c r="A22370" s="56"/>
    </row>
    <row r="22371" spans="1:1">
      <c r="A22371" s="56"/>
    </row>
    <row r="22372" spans="1:1">
      <c r="A22372" s="56"/>
    </row>
    <row r="22373" spans="1:1">
      <c r="A22373" s="56"/>
    </row>
    <row r="22374" spans="1:1">
      <c r="A22374" s="56"/>
    </row>
    <row r="22375" spans="1:1">
      <c r="A22375" s="56"/>
    </row>
    <row r="22376" spans="1:1">
      <c r="A22376" s="56"/>
    </row>
    <row r="22377" spans="1:1">
      <c r="A22377" s="56"/>
    </row>
    <row r="22378" spans="1:1">
      <c r="A22378" s="56"/>
    </row>
    <row r="22379" spans="1:1">
      <c r="A22379" s="56"/>
    </row>
    <row r="22380" spans="1:1">
      <c r="A22380" s="56"/>
    </row>
    <row r="22381" spans="1:1">
      <c r="A22381" s="56"/>
    </row>
    <row r="22382" spans="1:1">
      <c r="A22382" s="56"/>
    </row>
    <row r="22383" spans="1:1">
      <c r="A22383" s="56"/>
    </row>
    <row r="22384" spans="1:1">
      <c r="A22384" s="56"/>
    </row>
    <row r="22385" spans="1:1">
      <c r="A22385" s="56"/>
    </row>
    <row r="22386" spans="1:1">
      <c r="A22386" s="56"/>
    </row>
    <row r="22387" spans="1:1">
      <c r="A22387" s="56"/>
    </row>
    <row r="22388" spans="1:1">
      <c r="A22388" s="56"/>
    </row>
    <row r="22389" spans="1:1">
      <c r="A22389" s="56"/>
    </row>
    <row r="22390" spans="1:1">
      <c r="A22390" s="56"/>
    </row>
    <row r="22391" spans="1:1">
      <c r="A22391" s="56"/>
    </row>
    <row r="22392" spans="1:1">
      <c r="A22392" s="56"/>
    </row>
    <row r="22393" spans="1:1">
      <c r="A22393" s="56"/>
    </row>
    <row r="22394" spans="1:1">
      <c r="A22394" s="56"/>
    </row>
    <row r="22395" spans="1:1">
      <c r="A22395" s="56"/>
    </row>
    <row r="22396" spans="1:1">
      <c r="A22396" s="56"/>
    </row>
    <row r="22397" spans="1:1">
      <c r="A22397" s="56"/>
    </row>
    <row r="22398" spans="1:1">
      <c r="A22398" s="56"/>
    </row>
    <row r="22399" spans="1:1">
      <c r="A22399" s="56"/>
    </row>
    <row r="22400" spans="1:1">
      <c r="A22400" s="56"/>
    </row>
    <row r="22401" spans="1:1">
      <c r="A22401" s="56"/>
    </row>
    <row r="22402" spans="1:1">
      <c r="A22402" s="56"/>
    </row>
    <row r="22403" spans="1:1">
      <c r="A22403" s="56"/>
    </row>
    <row r="22404" spans="1:1">
      <c r="A22404" s="56"/>
    </row>
    <row r="22405" spans="1:1">
      <c r="A22405" s="56"/>
    </row>
    <row r="22406" spans="1:1">
      <c r="A22406" s="56"/>
    </row>
    <row r="22407" spans="1:1">
      <c r="A22407" s="56"/>
    </row>
    <row r="22408" spans="1:1">
      <c r="A22408" s="56"/>
    </row>
    <row r="22409" spans="1:1">
      <c r="A22409" s="56"/>
    </row>
    <row r="22410" spans="1:1">
      <c r="A22410" s="56"/>
    </row>
    <row r="22411" spans="1:1">
      <c r="A22411" s="56"/>
    </row>
    <row r="22412" spans="1:1">
      <c r="A22412" s="56"/>
    </row>
    <row r="22413" spans="1:1">
      <c r="A22413" s="56"/>
    </row>
    <row r="22414" spans="1:1">
      <c r="A22414" s="56"/>
    </row>
    <row r="22415" spans="1:1">
      <c r="A22415" s="56"/>
    </row>
    <row r="22416" spans="1:1">
      <c r="A22416" s="56"/>
    </row>
    <row r="22417" spans="1:1">
      <c r="A22417" s="56"/>
    </row>
    <row r="22418" spans="1:1">
      <c r="A22418" s="56"/>
    </row>
    <row r="22419" spans="1:1">
      <c r="A22419" s="56"/>
    </row>
    <row r="22420" spans="1:1">
      <c r="A22420" s="56"/>
    </row>
    <row r="22421" spans="1:1">
      <c r="A22421" s="56"/>
    </row>
    <row r="22422" spans="1:1">
      <c r="A22422" s="56"/>
    </row>
    <row r="22423" spans="1:1">
      <c r="A22423" s="56"/>
    </row>
    <row r="22424" spans="1:1">
      <c r="A22424" s="56"/>
    </row>
    <row r="22425" spans="1:1">
      <c r="A22425" s="56"/>
    </row>
    <row r="22426" spans="1:1">
      <c r="A22426" s="56"/>
    </row>
    <row r="22427" spans="1:1">
      <c r="A22427" s="56"/>
    </row>
    <row r="22428" spans="1:1">
      <c r="A22428" s="56"/>
    </row>
    <row r="22429" spans="1:1">
      <c r="A22429" s="56"/>
    </row>
    <row r="22430" spans="1:1">
      <c r="A22430" s="56"/>
    </row>
    <row r="22431" spans="1:1">
      <c r="A22431" s="56"/>
    </row>
    <row r="22432" spans="1:1">
      <c r="A22432" s="56"/>
    </row>
    <row r="22433" spans="1:1">
      <c r="A22433" s="56"/>
    </row>
    <row r="22434" spans="1:1">
      <c r="A22434" s="56"/>
    </row>
    <row r="22435" spans="1:1">
      <c r="A22435" s="56"/>
    </row>
    <row r="22436" spans="1:1">
      <c r="A22436" s="56"/>
    </row>
    <row r="22437" spans="1:1">
      <c r="A22437" s="56"/>
    </row>
    <row r="22438" spans="1:1">
      <c r="A22438" s="56"/>
    </row>
    <row r="22439" spans="1:1">
      <c r="A22439" s="56"/>
    </row>
    <row r="22440" spans="1:1">
      <c r="A22440" s="56"/>
    </row>
    <row r="22441" spans="1:1">
      <c r="A22441" s="56"/>
    </row>
    <row r="22442" spans="1:1">
      <c r="A22442" s="56"/>
    </row>
    <row r="22443" spans="1:1">
      <c r="A22443" s="56"/>
    </row>
    <row r="22444" spans="1:1">
      <c r="A22444" s="56"/>
    </row>
    <row r="22445" spans="1:1">
      <c r="A22445" s="56"/>
    </row>
    <row r="22446" spans="1:1">
      <c r="A22446" s="56"/>
    </row>
    <row r="22447" spans="1:1">
      <c r="A22447" s="56"/>
    </row>
    <row r="22448" spans="1:1">
      <c r="A22448" s="56"/>
    </row>
    <row r="22449" spans="1:1">
      <c r="A22449" s="56"/>
    </row>
    <row r="22450" spans="1:1">
      <c r="A22450" s="56"/>
    </row>
    <row r="22451" spans="1:1">
      <c r="A22451" s="56"/>
    </row>
    <row r="22452" spans="1:1">
      <c r="A22452" s="56"/>
    </row>
    <row r="22453" spans="1:1">
      <c r="A22453" s="56"/>
    </row>
    <row r="22454" spans="1:1">
      <c r="A22454" s="56"/>
    </row>
    <row r="22455" spans="1:1">
      <c r="A22455" s="56"/>
    </row>
    <row r="22456" spans="1:1">
      <c r="A22456" s="56"/>
    </row>
    <row r="22457" spans="1:1">
      <c r="A22457" s="56"/>
    </row>
    <row r="22458" spans="1:1">
      <c r="A22458" s="56"/>
    </row>
    <row r="22459" spans="1:1">
      <c r="A22459" s="56"/>
    </row>
    <row r="22460" spans="1:1">
      <c r="A22460" s="56"/>
    </row>
    <row r="22461" spans="1:1">
      <c r="A22461" s="56"/>
    </row>
    <row r="22462" spans="1:1">
      <c r="A22462" s="56"/>
    </row>
    <row r="22463" spans="1:1">
      <c r="A22463" s="56"/>
    </row>
    <row r="22464" spans="1:1">
      <c r="A22464" s="56"/>
    </row>
    <row r="22465" spans="1:1">
      <c r="A22465" s="56"/>
    </row>
    <row r="22466" spans="1:1">
      <c r="A22466" s="56"/>
    </row>
    <row r="22467" spans="1:1">
      <c r="A22467" s="56"/>
    </row>
    <row r="22468" spans="1:1">
      <c r="A22468" s="56"/>
    </row>
    <row r="22469" spans="1:1">
      <c r="A22469" s="56"/>
    </row>
    <row r="22470" spans="1:1">
      <c r="A22470" s="56"/>
    </row>
    <row r="22471" spans="1:1">
      <c r="A22471" s="56"/>
    </row>
    <row r="22472" spans="1:1">
      <c r="A22472" s="56"/>
    </row>
    <row r="22473" spans="1:1">
      <c r="A22473" s="56"/>
    </row>
    <row r="22474" spans="1:1">
      <c r="A22474" s="56"/>
    </row>
    <row r="22475" spans="1:1">
      <c r="A22475" s="56"/>
    </row>
    <row r="22476" spans="1:1">
      <c r="A22476" s="56"/>
    </row>
    <row r="22477" spans="1:1">
      <c r="A22477" s="56"/>
    </row>
    <row r="22478" spans="1:1">
      <c r="A22478" s="56"/>
    </row>
    <row r="22479" spans="1:1">
      <c r="A22479" s="56"/>
    </row>
    <row r="22480" spans="1:1">
      <c r="A22480" s="56"/>
    </row>
    <row r="22481" spans="1:1">
      <c r="A22481" s="56"/>
    </row>
    <row r="22482" spans="1:1">
      <c r="A22482" s="56"/>
    </row>
    <row r="22483" spans="1:1">
      <c r="A22483" s="56"/>
    </row>
    <row r="22484" spans="1:1">
      <c r="A22484" s="56"/>
    </row>
    <row r="22485" spans="1:1">
      <c r="A22485" s="56"/>
    </row>
    <row r="22486" spans="1:1">
      <c r="A22486" s="56"/>
    </row>
    <row r="22487" spans="1:1">
      <c r="A22487" s="56"/>
    </row>
    <row r="22488" spans="1:1">
      <c r="A22488" s="56"/>
    </row>
    <row r="22489" spans="1:1">
      <c r="A22489" s="56"/>
    </row>
    <row r="22490" spans="1:1">
      <c r="A22490" s="56"/>
    </row>
    <row r="22491" spans="1:1">
      <c r="A22491" s="56"/>
    </row>
    <row r="22492" spans="1:1">
      <c r="A22492" s="56"/>
    </row>
    <row r="22493" spans="1:1">
      <c r="A22493" s="56"/>
    </row>
    <row r="22494" spans="1:1">
      <c r="A22494" s="56"/>
    </row>
    <row r="22495" spans="1:1">
      <c r="A22495" s="56"/>
    </row>
    <row r="22496" spans="1:1">
      <c r="A22496" s="56"/>
    </row>
    <row r="22497" spans="1:1">
      <c r="A22497" s="56"/>
    </row>
    <row r="22498" spans="1:1">
      <c r="A22498" s="56"/>
    </row>
    <row r="22499" spans="1:1">
      <c r="A22499" s="56"/>
    </row>
    <row r="22500" spans="1:1">
      <c r="A22500" s="56"/>
    </row>
    <row r="22501" spans="1:1">
      <c r="A22501" s="56"/>
    </row>
    <row r="22502" spans="1:1">
      <c r="A22502" s="56"/>
    </row>
    <row r="22503" spans="1:1">
      <c r="A22503" s="56"/>
    </row>
    <row r="22504" spans="1:1">
      <c r="A22504" s="56"/>
    </row>
    <row r="22505" spans="1:1">
      <c r="A22505" s="56"/>
    </row>
    <row r="22506" spans="1:1">
      <c r="A22506" s="56"/>
    </row>
    <row r="22507" spans="1:1">
      <c r="A22507" s="56"/>
    </row>
    <row r="22508" spans="1:1">
      <c r="A22508" s="56"/>
    </row>
    <row r="22509" spans="1:1">
      <c r="A22509" s="56"/>
    </row>
    <row r="22510" spans="1:1">
      <c r="A22510" s="56"/>
    </row>
    <row r="22511" spans="1:1">
      <c r="A22511" s="56"/>
    </row>
    <row r="22512" spans="1:1">
      <c r="A22512" s="56"/>
    </row>
    <row r="22513" spans="1:1">
      <c r="A22513" s="56"/>
    </row>
    <row r="22514" spans="1:1">
      <c r="A22514" s="56"/>
    </row>
    <row r="22515" spans="1:1">
      <c r="A22515" s="56"/>
    </row>
    <row r="22516" spans="1:1">
      <c r="A22516" s="56"/>
    </row>
    <row r="22517" spans="1:1">
      <c r="A22517" s="56"/>
    </row>
    <row r="22518" spans="1:1">
      <c r="A22518" s="56"/>
    </row>
    <row r="22519" spans="1:1">
      <c r="A22519" s="56"/>
    </row>
    <row r="22520" spans="1:1">
      <c r="A22520" s="56"/>
    </row>
    <row r="22521" spans="1:1">
      <c r="A22521" s="56"/>
    </row>
    <row r="22522" spans="1:1">
      <c r="A22522" s="56"/>
    </row>
    <row r="22523" spans="1:1">
      <c r="A22523" s="56"/>
    </row>
    <row r="22524" spans="1:1">
      <c r="A22524" s="56"/>
    </row>
    <row r="22525" spans="1:1">
      <c r="A22525" s="56"/>
    </row>
    <row r="22526" spans="1:1">
      <c r="A22526" s="56"/>
    </row>
    <row r="22527" spans="1:1">
      <c r="A22527" s="56"/>
    </row>
    <row r="22528" spans="1:1">
      <c r="A22528" s="56"/>
    </row>
    <row r="22529" spans="1:1">
      <c r="A22529" s="56"/>
    </row>
    <row r="22530" spans="1:1">
      <c r="A22530" s="56"/>
    </row>
    <row r="22531" spans="1:1">
      <c r="A22531" s="56"/>
    </row>
    <row r="22532" spans="1:1">
      <c r="A22532" s="56"/>
    </row>
    <row r="22533" spans="1:1">
      <c r="A22533" s="56"/>
    </row>
    <row r="22534" spans="1:1">
      <c r="A22534" s="56"/>
    </row>
    <row r="22535" spans="1:1">
      <c r="A22535" s="56"/>
    </row>
    <row r="22536" spans="1:1">
      <c r="A22536" s="56"/>
    </row>
    <row r="22537" spans="1:1">
      <c r="A22537" s="56"/>
    </row>
    <row r="22538" spans="1:1">
      <c r="A22538" s="56"/>
    </row>
    <row r="22539" spans="1:1">
      <c r="A22539" s="56"/>
    </row>
    <row r="22540" spans="1:1">
      <c r="A22540" s="56"/>
    </row>
    <row r="22541" spans="1:1">
      <c r="A22541" s="56"/>
    </row>
    <row r="22542" spans="1:1">
      <c r="A22542" s="56"/>
    </row>
    <row r="22543" spans="1:1">
      <c r="A22543" s="56"/>
    </row>
    <row r="22544" spans="1:1">
      <c r="A22544" s="56"/>
    </row>
    <row r="22545" spans="1:1">
      <c r="A22545" s="56"/>
    </row>
    <row r="22546" spans="1:1">
      <c r="A22546" s="56"/>
    </row>
    <row r="22547" spans="1:1">
      <c r="A22547" s="56"/>
    </row>
    <row r="22548" spans="1:1">
      <c r="A22548" s="56"/>
    </row>
    <row r="22549" spans="1:1">
      <c r="A22549" s="56"/>
    </row>
    <row r="22550" spans="1:1">
      <c r="A22550" s="56"/>
    </row>
    <row r="22551" spans="1:1">
      <c r="A22551" s="56"/>
    </row>
    <row r="22552" spans="1:1">
      <c r="A22552" s="56"/>
    </row>
    <row r="22553" spans="1:1">
      <c r="A22553" s="56"/>
    </row>
    <row r="22554" spans="1:1">
      <c r="A22554" s="56"/>
    </row>
    <row r="22555" spans="1:1">
      <c r="A22555" s="56"/>
    </row>
    <row r="22556" spans="1:1">
      <c r="A22556" s="56"/>
    </row>
    <row r="22557" spans="1:1">
      <c r="A22557" s="56"/>
    </row>
    <row r="22558" spans="1:1">
      <c r="A22558" s="56"/>
    </row>
    <row r="22559" spans="1:1">
      <c r="A22559" s="56"/>
    </row>
    <row r="22560" spans="1:1">
      <c r="A22560" s="56"/>
    </row>
    <row r="22561" spans="1:1">
      <c r="A22561" s="56"/>
    </row>
    <row r="22562" spans="1:1">
      <c r="A22562" s="56"/>
    </row>
    <row r="22563" spans="1:1">
      <c r="A22563" s="56"/>
    </row>
    <row r="22564" spans="1:1">
      <c r="A22564" s="56"/>
    </row>
    <row r="22565" spans="1:1">
      <c r="A22565" s="56"/>
    </row>
    <row r="22566" spans="1:1">
      <c r="A22566" s="56"/>
    </row>
    <row r="22567" spans="1:1">
      <c r="A22567" s="56"/>
    </row>
    <row r="22568" spans="1:1">
      <c r="A22568" s="56"/>
    </row>
    <row r="22569" spans="1:1">
      <c r="A22569" s="56"/>
    </row>
    <row r="22570" spans="1:1">
      <c r="A22570" s="56"/>
    </row>
    <row r="22571" spans="1:1">
      <c r="A22571" s="56"/>
    </row>
    <row r="22572" spans="1:1">
      <c r="A22572" s="56"/>
    </row>
    <row r="22573" spans="1:1">
      <c r="A22573" s="56"/>
    </row>
    <row r="22574" spans="1:1">
      <c r="A22574" s="56"/>
    </row>
    <row r="22575" spans="1:1">
      <c r="A22575" s="56"/>
    </row>
    <row r="22576" spans="1:1">
      <c r="A22576" s="56"/>
    </row>
    <row r="22577" spans="1:1">
      <c r="A22577" s="56"/>
    </row>
    <row r="22578" spans="1:1">
      <c r="A22578" s="56"/>
    </row>
    <row r="22579" spans="1:1">
      <c r="A22579" s="56"/>
    </row>
    <row r="22580" spans="1:1">
      <c r="A22580" s="56"/>
    </row>
    <row r="22581" spans="1:1">
      <c r="A22581" s="56"/>
    </row>
    <row r="22582" spans="1:1">
      <c r="A22582" s="56"/>
    </row>
    <row r="22583" spans="1:1">
      <c r="A22583" s="56"/>
    </row>
    <row r="22584" spans="1:1">
      <c r="A22584" s="56"/>
    </row>
    <row r="22585" spans="1:1">
      <c r="A22585" s="56"/>
    </row>
    <row r="22586" spans="1:1">
      <c r="A22586" s="56"/>
    </row>
    <row r="22587" spans="1:1">
      <c r="A22587" s="56"/>
    </row>
    <row r="22588" spans="1:1">
      <c r="A22588" s="56"/>
    </row>
    <row r="22589" spans="1:1">
      <c r="A22589" s="56"/>
    </row>
    <row r="22590" spans="1:1">
      <c r="A22590" s="56"/>
    </row>
    <row r="22591" spans="1:1">
      <c r="A22591" s="56"/>
    </row>
    <row r="22592" spans="1:1">
      <c r="A22592" s="56"/>
    </row>
    <row r="22593" spans="1:1">
      <c r="A22593" s="56"/>
    </row>
    <row r="22594" spans="1:1">
      <c r="A22594" s="56"/>
    </row>
    <row r="22595" spans="1:1">
      <c r="A22595" s="56"/>
    </row>
    <row r="22596" spans="1:1">
      <c r="A22596" s="56"/>
    </row>
    <row r="22597" spans="1:1">
      <c r="A22597" s="56"/>
    </row>
    <row r="22598" spans="1:1">
      <c r="A22598" s="56"/>
    </row>
    <row r="22599" spans="1:1">
      <c r="A22599" s="56"/>
    </row>
    <row r="22600" spans="1:1">
      <c r="A22600" s="56"/>
    </row>
    <row r="22601" spans="1:1">
      <c r="A22601" s="56"/>
    </row>
    <row r="22602" spans="1:1">
      <c r="A22602" s="56"/>
    </row>
    <row r="22603" spans="1:1">
      <c r="A22603" s="56"/>
    </row>
    <row r="22604" spans="1:1">
      <c r="A22604" s="56"/>
    </row>
    <row r="22605" spans="1:1">
      <c r="A22605" s="56"/>
    </row>
    <row r="22606" spans="1:1">
      <c r="A22606" s="56"/>
    </row>
    <row r="22607" spans="1:1">
      <c r="A22607" s="56"/>
    </row>
    <row r="22608" spans="1:1">
      <c r="A22608" s="56"/>
    </row>
    <row r="22609" spans="1:1">
      <c r="A22609" s="56"/>
    </row>
    <row r="22610" spans="1:1">
      <c r="A22610" s="56"/>
    </row>
    <row r="22611" spans="1:1">
      <c r="A22611" s="56"/>
    </row>
    <row r="22612" spans="1:1">
      <c r="A22612" s="56"/>
    </row>
    <row r="22613" spans="1:1">
      <c r="A22613" s="56"/>
    </row>
    <row r="22614" spans="1:1">
      <c r="A22614" s="56"/>
    </row>
    <row r="22615" spans="1:1">
      <c r="A22615" s="56"/>
    </row>
    <row r="22616" spans="1:1">
      <c r="A22616" s="56"/>
    </row>
    <row r="22617" spans="1:1">
      <c r="A22617" s="56"/>
    </row>
    <row r="22618" spans="1:1">
      <c r="A22618" s="56"/>
    </row>
    <row r="22619" spans="1:1">
      <c r="A22619" s="56"/>
    </row>
    <row r="22620" spans="1:1">
      <c r="A22620" s="56"/>
    </row>
    <row r="22621" spans="1:1">
      <c r="A22621" s="56"/>
    </row>
    <row r="22622" spans="1:1">
      <c r="A22622" s="56"/>
    </row>
    <row r="22623" spans="1:1">
      <c r="A22623" s="56"/>
    </row>
    <row r="22624" spans="1:1">
      <c r="A22624" s="56"/>
    </row>
    <row r="22625" spans="1:1">
      <c r="A22625" s="56"/>
    </row>
    <row r="22626" spans="1:1">
      <c r="A22626" s="56"/>
    </row>
    <row r="22627" spans="1:1">
      <c r="A22627" s="56"/>
    </row>
    <row r="22628" spans="1:1">
      <c r="A22628" s="56"/>
    </row>
    <row r="22629" spans="1:1">
      <c r="A22629" s="56"/>
    </row>
    <row r="22630" spans="1:1">
      <c r="A22630" s="56"/>
    </row>
    <row r="22631" spans="1:1">
      <c r="A22631" s="56"/>
    </row>
    <row r="22632" spans="1:1">
      <c r="A22632" s="56"/>
    </row>
    <row r="22633" spans="1:1">
      <c r="A22633" s="56"/>
    </row>
    <row r="22634" spans="1:1">
      <c r="A22634" s="56"/>
    </row>
    <row r="22635" spans="1:1">
      <c r="A22635" s="56"/>
    </row>
    <row r="22636" spans="1:1">
      <c r="A22636" s="56"/>
    </row>
    <row r="22637" spans="1:1">
      <c r="A22637" s="56"/>
    </row>
    <row r="22638" spans="1:1">
      <c r="A22638" s="56"/>
    </row>
    <row r="22639" spans="1:1">
      <c r="A22639" s="56"/>
    </row>
    <row r="22640" spans="1:1">
      <c r="A22640" s="56"/>
    </row>
    <row r="22641" spans="1:1">
      <c r="A22641" s="56"/>
    </row>
    <row r="22642" spans="1:1">
      <c r="A22642" s="56"/>
    </row>
    <row r="22643" spans="1:1">
      <c r="A22643" s="56"/>
    </row>
    <row r="22644" spans="1:1">
      <c r="A22644" s="56"/>
    </row>
    <row r="22645" spans="1:1">
      <c r="A22645" s="56"/>
    </row>
    <row r="22646" spans="1:1">
      <c r="A22646" s="56"/>
    </row>
    <row r="22647" spans="1:1">
      <c r="A22647" s="56"/>
    </row>
    <row r="22648" spans="1:1">
      <c r="A22648" s="56"/>
    </row>
    <row r="22649" spans="1:1">
      <c r="A22649" s="56"/>
    </row>
    <row r="22650" spans="1:1">
      <c r="A22650" s="56"/>
    </row>
    <row r="22651" spans="1:1">
      <c r="A22651" s="56"/>
    </row>
    <row r="22652" spans="1:1">
      <c r="A22652" s="56"/>
    </row>
    <row r="22653" spans="1:1">
      <c r="A22653" s="56"/>
    </row>
    <row r="22654" spans="1:1">
      <c r="A22654" s="56"/>
    </row>
    <row r="22655" spans="1:1">
      <c r="A22655" s="56"/>
    </row>
    <row r="22656" spans="1:1">
      <c r="A22656" s="56"/>
    </row>
    <row r="22657" spans="1:1">
      <c r="A22657" s="56"/>
    </row>
    <row r="22658" spans="1:1">
      <c r="A22658" s="56"/>
    </row>
    <row r="22659" spans="1:1">
      <c r="A22659" s="56"/>
    </row>
    <row r="22660" spans="1:1">
      <c r="A22660" s="56"/>
    </row>
    <row r="22661" spans="1:1">
      <c r="A22661" s="56"/>
    </row>
    <row r="22662" spans="1:1">
      <c r="A22662" s="56"/>
    </row>
    <row r="22663" spans="1:1">
      <c r="A22663" s="56"/>
    </row>
    <row r="22664" spans="1:1">
      <c r="A22664" s="56"/>
    </row>
    <row r="22665" spans="1:1">
      <c r="A22665" s="56"/>
    </row>
    <row r="22666" spans="1:1">
      <c r="A22666" s="56"/>
    </row>
    <row r="22667" spans="1:1">
      <c r="A22667" s="56"/>
    </row>
    <row r="22668" spans="1:1">
      <c r="A22668" s="56"/>
    </row>
    <row r="22669" spans="1:1">
      <c r="A22669" s="56"/>
    </row>
    <row r="22670" spans="1:1">
      <c r="A22670" s="56"/>
    </row>
    <row r="22671" spans="1:1">
      <c r="A22671" s="56"/>
    </row>
    <row r="22672" spans="1:1">
      <c r="A22672" s="56"/>
    </row>
    <row r="22673" spans="1:1">
      <c r="A22673" s="56"/>
    </row>
    <row r="22674" spans="1:1">
      <c r="A22674" s="56"/>
    </row>
    <row r="22675" spans="1:1">
      <c r="A22675" s="56"/>
    </row>
    <row r="22676" spans="1:1">
      <c r="A22676" s="56"/>
    </row>
    <row r="22677" spans="1:1">
      <c r="A22677" s="56"/>
    </row>
    <row r="22678" spans="1:1">
      <c r="A22678" s="56"/>
    </row>
    <row r="22679" spans="1:1">
      <c r="A22679" s="56"/>
    </row>
    <row r="22680" spans="1:1">
      <c r="A22680" s="56"/>
    </row>
    <row r="22681" spans="1:1">
      <c r="A22681" s="56"/>
    </row>
    <row r="22682" spans="1:1">
      <c r="A22682" s="56"/>
    </row>
    <row r="22683" spans="1:1">
      <c r="A22683" s="56"/>
    </row>
    <row r="22684" spans="1:1">
      <c r="A22684" s="56"/>
    </row>
    <row r="22685" spans="1:1">
      <c r="A22685" s="56"/>
    </row>
    <row r="22686" spans="1:1">
      <c r="A22686" s="56"/>
    </row>
    <row r="22687" spans="1:1">
      <c r="A22687" s="56"/>
    </row>
    <row r="22688" spans="1:1">
      <c r="A22688" s="56"/>
    </row>
    <row r="22689" spans="1:1">
      <c r="A22689" s="56"/>
    </row>
    <row r="22690" spans="1:1">
      <c r="A22690" s="56"/>
    </row>
    <row r="22691" spans="1:1">
      <c r="A22691" s="56"/>
    </row>
    <row r="22692" spans="1:1">
      <c r="A22692" s="56"/>
    </row>
    <row r="22693" spans="1:1">
      <c r="A22693" s="56"/>
    </row>
    <row r="22694" spans="1:1">
      <c r="A22694" s="56"/>
    </row>
    <row r="22695" spans="1:1">
      <c r="A22695" s="56"/>
    </row>
    <row r="22696" spans="1:1">
      <c r="A22696" s="56"/>
    </row>
    <row r="22697" spans="1:1">
      <c r="A22697" s="56"/>
    </row>
    <row r="22698" spans="1:1">
      <c r="A22698" s="56"/>
    </row>
    <row r="22699" spans="1:1">
      <c r="A22699" s="56"/>
    </row>
    <row r="22700" spans="1:1">
      <c r="A22700" s="56"/>
    </row>
    <row r="22701" spans="1:1">
      <c r="A22701" s="56"/>
    </row>
    <row r="22702" spans="1:1">
      <c r="A22702" s="56"/>
    </row>
    <row r="22703" spans="1:1">
      <c r="A22703" s="56"/>
    </row>
    <row r="22704" spans="1:1">
      <c r="A22704" s="56"/>
    </row>
    <row r="22705" spans="1:1">
      <c r="A22705" s="56"/>
    </row>
    <row r="22706" spans="1:1">
      <c r="A22706" s="56"/>
    </row>
    <row r="22707" spans="1:1">
      <c r="A22707" s="56"/>
    </row>
    <row r="22708" spans="1:1">
      <c r="A22708" s="56"/>
    </row>
    <row r="22709" spans="1:1">
      <c r="A22709" s="56"/>
    </row>
    <row r="22710" spans="1:1">
      <c r="A22710" s="56"/>
    </row>
    <row r="22711" spans="1:1">
      <c r="A22711" s="56"/>
    </row>
    <row r="22712" spans="1:1">
      <c r="A22712" s="56"/>
    </row>
    <row r="22713" spans="1:1">
      <c r="A22713" s="56"/>
    </row>
    <row r="22714" spans="1:1">
      <c r="A22714" s="56"/>
    </row>
    <row r="22715" spans="1:1">
      <c r="A22715" s="56"/>
    </row>
    <row r="22716" spans="1:1">
      <c r="A22716" s="56"/>
    </row>
    <row r="22717" spans="1:1">
      <c r="A22717" s="56"/>
    </row>
    <row r="22718" spans="1:1">
      <c r="A22718" s="56"/>
    </row>
    <row r="22719" spans="1:1">
      <c r="A22719" s="56"/>
    </row>
    <row r="22720" spans="1:1">
      <c r="A22720" s="56"/>
    </row>
    <row r="22721" spans="1:1">
      <c r="A22721" s="56"/>
    </row>
    <row r="22722" spans="1:1">
      <c r="A22722" s="56"/>
    </row>
    <row r="22723" spans="1:1">
      <c r="A22723" s="56"/>
    </row>
    <row r="22724" spans="1:1">
      <c r="A22724" s="56"/>
    </row>
    <row r="22725" spans="1:1">
      <c r="A22725" s="56"/>
    </row>
    <row r="22726" spans="1:1">
      <c r="A22726" s="56"/>
    </row>
    <row r="22727" spans="1:1">
      <c r="A22727" s="56"/>
    </row>
    <row r="22728" spans="1:1">
      <c r="A22728" s="56"/>
    </row>
    <row r="22729" spans="1:1">
      <c r="A22729" s="56"/>
    </row>
    <row r="22730" spans="1:1">
      <c r="A22730" s="56"/>
    </row>
    <row r="22731" spans="1:1">
      <c r="A22731" s="56"/>
    </row>
    <row r="22732" spans="1:1">
      <c r="A22732" s="56"/>
    </row>
    <row r="22733" spans="1:1">
      <c r="A22733" s="56"/>
    </row>
    <row r="22734" spans="1:1">
      <c r="A22734" s="56"/>
    </row>
    <row r="22735" spans="1:1">
      <c r="A22735" s="56"/>
    </row>
    <row r="22736" spans="1:1">
      <c r="A22736" s="56"/>
    </row>
    <row r="22737" spans="1:1">
      <c r="A22737" s="56"/>
    </row>
    <row r="22738" spans="1:1">
      <c r="A22738" s="56"/>
    </row>
    <row r="22739" spans="1:1">
      <c r="A22739" s="56"/>
    </row>
    <row r="22740" spans="1:1">
      <c r="A22740" s="56"/>
    </row>
    <row r="22741" spans="1:1">
      <c r="A22741" s="56"/>
    </row>
    <row r="22742" spans="1:1">
      <c r="A22742" s="56"/>
    </row>
    <row r="22743" spans="1:1">
      <c r="A22743" s="56"/>
    </row>
    <row r="22744" spans="1:1">
      <c r="A22744" s="56"/>
    </row>
    <row r="22745" spans="1:1">
      <c r="A22745" s="56"/>
    </row>
    <row r="22746" spans="1:1">
      <c r="A22746" s="56"/>
    </row>
    <row r="22747" spans="1:1">
      <c r="A22747" s="56"/>
    </row>
    <row r="22748" spans="1:1">
      <c r="A22748" s="56"/>
    </row>
    <row r="22749" spans="1:1">
      <c r="A22749" s="56"/>
    </row>
    <row r="22750" spans="1:1">
      <c r="A22750" s="56"/>
    </row>
    <row r="22751" spans="1:1">
      <c r="A22751" s="56"/>
    </row>
    <row r="22752" spans="1:1">
      <c r="A22752" s="56"/>
    </row>
    <row r="22753" spans="1:1">
      <c r="A22753" s="56"/>
    </row>
    <row r="22754" spans="1:1">
      <c r="A22754" s="56"/>
    </row>
    <row r="22755" spans="1:1">
      <c r="A22755" s="56"/>
    </row>
    <row r="22756" spans="1:1">
      <c r="A22756" s="56"/>
    </row>
    <row r="22757" spans="1:1">
      <c r="A22757" s="56"/>
    </row>
    <row r="22758" spans="1:1">
      <c r="A22758" s="56"/>
    </row>
    <row r="22759" spans="1:1">
      <c r="A22759" s="56"/>
    </row>
    <row r="22760" spans="1:1">
      <c r="A22760" s="56"/>
    </row>
    <row r="22761" spans="1:1">
      <c r="A22761" s="56"/>
    </row>
    <row r="22762" spans="1:1">
      <c r="A22762" s="56"/>
    </row>
    <row r="22763" spans="1:1">
      <c r="A22763" s="56"/>
    </row>
    <row r="22764" spans="1:1">
      <c r="A22764" s="56"/>
    </row>
    <row r="22765" spans="1:1">
      <c r="A22765" s="56"/>
    </row>
    <row r="22766" spans="1:1">
      <c r="A22766" s="56"/>
    </row>
    <row r="22767" spans="1:1">
      <c r="A22767" s="56"/>
    </row>
    <row r="22768" spans="1:1">
      <c r="A22768" s="56"/>
    </row>
    <row r="22769" spans="1:1">
      <c r="A22769" s="56"/>
    </row>
    <row r="22770" spans="1:1">
      <c r="A22770" s="56"/>
    </row>
    <row r="22771" spans="1:1">
      <c r="A22771" s="56"/>
    </row>
    <row r="22772" spans="1:1">
      <c r="A22772" s="56"/>
    </row>
    <row r="22773" spans="1:1">
      <c r="A22773" s="56"/>
    </row>
    <row r="22774" spans="1:1">
      <c r="A22774" s="56"/>
    </row>
    <row r="22775" spans="1:1">
      <c r="A22775" s="56"/>
    </row>
    <row r="22776" spans="1:1">
      <c r="A22776" s="56"/>
    </row>
    <row r="22777" spans="1:1">
      <c r="A22777" s="56"/>
    </row>
    <row r="22778" spans="1:1">
      <c r="A22778" s="56"/>
    </row>
    <row r="22779" spans="1:1">
      <c r="A22779" s="56"/>
    </row>
    <row r="22780" spans="1:1">
      <c r="A22780" s="56"/>
    </row>
    <row r="22781" spans="1:1">
      <c r="A22781" s="56"/>
    </row>
    <row r="22782" spans="1:1">
      <c r="A22782" s="56"/>
    </row>
    <row r="22783" spans="1:1">
      <c r="A22783" s="56"/>
    </row>
    <row r="22784" spans="1:1">
      <c r="A22784" s="56"/>
    </row>
    <row r="22785" spans="1:1">
      <c r="A22785" s="56"/>
    </row>
    <row r="22786" spans="1:1">
      <c r="A22786" s="56"/>
    </row>
    <row r="22787" spans="1:1">
      <c r="A22787" s="56"/>
    </row>
    <row r="22788" spans="1:1">
      <c r="A22788" s="56"/>
    </row>
    <row r="22789" spans="1:1">
      <c r="A22789" s="56"/>
    </row>
    <row r="22790" spans="1:1">
      <c r="A22790" s="56"/>
    </row>
    <row r="22791" spans="1:1">
      <c r="A22791" s="56"/>
    </row>
    <row r="22792" spans="1:1">
      <c r="A22792" s="56"/>
    </row>
    <row r="22793" spans="1:1">
      <c r="A22793" s="56"/>
    </row>
    <row r="22794" spans="1:1">
      <c r="A22794" s="56"/>
    </row>
    <row r="22795" spans="1:1">
      <c r="A22795" s="56"/>
    </row>
    <row r="22796" spans="1:1">
      <c r="A22796" s="56"/>
    </row>
    <row r="22797" spans="1:1">
      <c r="A22797" s="56"/>
    </row>
    <row r="22798" spans="1:1">
      <c r="A22798" s="56"/>
    </row>
    <row r="22799" spans="1:1">
      <c r="A22799" s="56"/>
    </row>
    <row r="22800" spans="1:1">
      <c r="A22800" s="56"/>
    </row>
    <row r="22801" spans="1:1">
      <c r="A22801" s="56"/>
    </row>
    <row r="22802" spans="1:1">
      <c r="A22802" s="56"/>
    </row>
    <row r="22803" spans="1:1">
      <c r="A22803" s="56"/>
    </row>
    <row r="22804" spans="1:1">
      <c r="A22804" s="56"/>
    </row>
    <row r="22805" spans="1:1">
      <c r="A22805" s="56"/>
    </row>
    <row r="22806" spans="1:1">
      <c r="A22806" s="56"/>
    </row>
    <row r="22807" spans="1:1">
      <c r="A22807" s="56"/>
    </row>
    <row r="22808" spans="1:1">
      <c r="A22808" s="56"/>
    </row>
    <row r="22809" spans="1:1">
      <c r="A22809" s="56"/>
    </row>
    <row r="22810" spans="1:1">
      <c r="A22810" s="56"/>
    </row>
    <row r="22811" spans="1:1">
      <c r="A22811" s="56"/>
    </row>
    <row r="22812" spans="1:1">
      <c r="A22812" s="56"/>
    </row>
    <row r="22813" spans="1:1">
      <c r="A22813" s="56"/>
    </row>
    <row r="22814" spans="1:1">
      <c r="A22814" s="56"/>
    </row>
    <row r="22815" spans="1:1">
      <c r="A22815" s="56"/>
    </row>
    <row r="22816" spans="1:1">
      <c r="A22816" s="56"/>
    </row>
    <row r="22817" spans="1:1">
      <c r="A22817" s="56"/>
    </row>
    <row r="22818" spans="1:1">
      <c r="A22818" s="56"/>
    </row>
    <row r="22819" spans="1:1">
      <c r="A22819" s="56"/>
    </row>
    <row r="22820" spans="1:1">
      <c r="A22820" s="56"/>
    </row>
    <row r="22821" spans="1:1">
      <c r="A22821" s="56"/>
    </row>
    <row r="22822" spans="1:1">
      <c r="A22822" s="56"/>
    </row>
    <row r="22823" spans="1:1">
      <c r="A22823" s="56"/>
    </row>
    <row r="22824" spans="1:1">
      <c r="A22824" s="56"/>
    </row>
    <row r="22825" spans="1:1">
      <c r="A22825" s="56"/>
    </row>
    <row r="22826" spans="1:1">
      <c r="A22826" s="56"/>
    </row>
    <row r="22827" spans="1:1">
      <c r="A22827" s="56"/>
    </row>
    <row r="22828" spans="1:1">
      <c r="A22828" s="56"/>
    </row>
    <row r="22829" spans="1:1">
      <c r="A22829" s="56"/>
    </row>
    <row r="22830" spans="1:1">
      <c r="A22830" s="56"/>
    </row>
    <row r="22831" spans="1:1">
      <c r="A22831" s="56"/>
    </row>
    <row r="22832" spans="1:1">
      <c r="A22832" s="56"/>
    </row>
    <row r="22833" spans="1:1">
      <c r="A22833" s="56"/>
    </row>
    <row r="22834" spans="1:1">
      <c r="A22834" s="56"/>
    </row>
    <row r="22835" spans="1:1">
      <c r="A22835" s="56"/>
    </row>
    <row r="22836" spans="1:1">
      <c r="A22836" s="56"/>
    </row>
    <row r="22837" spans="1:1">
      <c r="A22837" s="56"/>
    </row>
    <row r="22838" spans="1:1">
      <c r="A22838" s="56"/>
    </row>
    <row r="22839" spans="1:1">
      <c r="A22839" s="56"/>
    </row>
    <row r="22840" spans="1:1">
      <c r="A22840" s="56"/>
    </row>
    <row r="22841" spans="1:1">
      <c r="A22841" s="56"/>
    </row>
    <row r="22842" spans="1:1">
      <c r="A22842" s="56"/>
    </row>
    <row r="22843" spans="1:1">
      <c r="A22843" s="56"/>
    </row>
    <row r="22844" spans="1:1">
      <c r="A22844" s="56"/>
    </row>
    <row r="22845" spans="1:1">
      <c r="A22845" s="56"/>
    </row>
    <row r="22846" spans="1:1">
      <c r="A22846" s="56"/>
    </row>
    <row r="22847" spans="1:1">
      <c r="A22847" s="56"/>
    </row>
    <row r="22848" spans="1:1">
      <c r="A22848" s="56"/>
    </row>
    <row r="22849" spans="1:1">
      <c r="A22849" s="56"/>
    </row>
    <row r="22850" spans="1:1">
      <c r="A22850" s="56"/>
    </row>
    <row r="22851" spans="1:1">
      <c r="A22851" s="56"/>
    </row>
    <row r="22852" spans="1:1">
      <c r="A22852" s="56"/>
    </row>
    <row r="22853" spans="1:1">
      <c r="A22853" s="56"/>
    </row>
    <row r="22854" spans="1:1">
      <c r="A22854" s="56"/>
    </row>
    <row r="22855" spans="1:1">
      <c r="A22855" s="56"/>
    </row>
    <row r="22856" spans="1:1">
      <c r="A22856" s="56"/>
    </row>
    <row r="22857" spans="1:1">
      <c r="A22857" s="56"/>
    </row>
    <row r="22858" spans="1:1">
      <c r="A22858" s="56"/>
    </row>
    <row r="22859" spans="1:1">
      <c r="A22859" s="56"/>
    </row>
    <row r="22860" spans="1:1">
      <c r="A22860" s="56"/>
    </row>
    <row r="22861" spans="1:1">
      <c r="A22861" s="56"/>
    </row>
    <row r="22862" spans="1:1">
      <c r="A22862" s="56"/>
    </row>
    <row r="22863" spans="1:1">
      <c r="A22863" s="56"/>
    </row>
    <row r="22864" spans="1:1">
      <c r="A22864" s="56"/>
    </row>
    <row r="22865" spans="1:1">
      <c r="A22865" s="56"/>
    </row>
    <row r="22866" spans="1:1">
      <c r="A22866" s="56"/>
    </row>
    <row r="22867" spans="1:1">
      <c r="A22867" s="56"/>
    </row>
    <row r="22868" spans="1:1">
      <c r="A22868" s="56"/>
    </row>
    <row r="22869" spans="1:1">
      <c r="A22869" s="56"/>
    </row>
    <row r="22870" spans="1:1">
      <c r="A22870" s="56"/>
    </row>
    <row r="22871" spans="1:1">
      <c r="A22871" s="56"/>
    </row>
    <row r="22872" spans="1:1">
      <c r="A22872" s="56"/>
    </row>
    <row r="22873" spans="1:1">
      <c r="A22873" s="56"/>
    </row>
    <row r="22874" spans="1:1">
      <c r="A22874" s="56"/>
    </row>
    <row r="22875" spans="1:1">
      <c r="A22875" s="56"/>
    </row>
    <row r="22876" spans="1:1">
      <c r="A22876" s="56"/>
    </row>
    <row r="22877" spans="1:1">
      <c r="A22877" s="56"/>
    </row>
    <row r="22878" spans="1:1">
      <c r="A22878" s="56"/>
    </row>
    <row r="22879" spans="1:1">
      <c r="A22879" s="56"/>
    </row>
    <row r="22880" spans="1:1">
      <c r="A22880" s="56"/>
    </row>
    <row r="22881" spans="1:1">
      <c r="A22881" s="56"/>
    </row>
    <row r="22882" spans="1:1">
      <c r="A22882" s="56"/>
    </row>
    <row r="22883" spans="1:1">
      <c r="A22883" s="56"/>
    </row>
    <row r="22884" spans="1:1">
      <c r="A22884" s="56"/>
    </row>
    <row r="22885" spans="1:1">
      <c r="A22885" s="56"/>
    </row>
    <row r="22886" spans="1:1">
      <c r="A22886" s="56"/>
    </row>
    <row r="22887" spans="1:1">
      <c r="A22887" s="56"/>
    </row>
    <row r="22888" spans="1:1">
      <c r="A22888" s="56"/>
    </row>
    <row r="22889" spans="1:1">
      <c r="A22889" s="56"/>
    </row>
    <row r="22890" spans="1:1">
      <c r="A22890" s="56"/>
    </row>
    <row r="22891" spans="1:1">
      <c r="A22891" s="56"/>
    </row>
    <row r="22892" spans="1:1">
      <c r="A22892" s="56"/>
    </row>
    <row r="22893" spans="1:1">
      <c r="A22893" s="56"/>
    </row>
    <row r="22894" spans="1:1">
      <c r="A22894" s="56"/>
    </row>
    <row r="22895" spans="1:1">
      <c r="A22895" s="56"/>
    </row>
    <row r="22896" spans="1:1">
      <c r="A22896" s="56"/>
    </row>
    <row r="22897" spans="1:1">
      <c r="A22897" s="56"/>
    </row>
    <row r="22898" spans="1:1">
      <c r="A22898" s="56"/>
    </row>
    <row r="22899" spans="1:1">
      <c r="A22899" s="56"/>
    </row>
    <row r="22900" spans="1:1">
      <c r="A22900" s="56"/>
    </row>
    <row r="22901" spans="1:1">
      <c r="A22901" s="56"/>
    </row>
    <row r="22902" spans="1:1">
      <c r="A22902" s="56"/>
    </row>
    <row r="22903" spans="1:1">
      <c r="A22903" s="56"/>
    </row>
    <row r="22904" spans="1:1">
      <c r="A22904" s="56"/>
    </row>
    <row r="22905" spans="1:1">
      <c r="A22905" s="56"/>
    </row>
    <row r="22906" spans="1:1">
      <c r="A22906" s="56"/>
    </row>
    <row r="22907" spans="1:1">
      <c r="A22907" s="56"/>
    </row>
    <row r="22908" spans="1:1">
      <c r="A22908" s="56"/>
    </row>
    <row r="22909" spans="1:1">
      <c r="A22909" s="56"/>
    </row>
    <row r="22910" spans="1:1">
      <c r="A22910" s="56"/>
    </row>
    <row r="22911" spans="1:1">
      <c r="A22911" s="56"/>
    </row>
    <row r="22912" spans="1:1">
      <c r="A22912" s="56"/>
    </row>
    <row r="22913" spans="1:1">
      <c r="A22913" s="56"/>
    </row>
    <row r="22914" spans="1:1">
      <c r="A22914" s="56"/>
    </row>
    <row r="22915" spans="1:1">
      <c r="A22915" s="56"/>
    </row>
    <row r="22916" spans="1:1">
      <c r="A22916" s="56"/>
    </row>
    <row r="22917" spans="1:1">
      <c r="A22917" s="56"/>
    </row>
    <row r="22918" spans="1:1">
      <c r="A22918" s="56"/>
    </row>
    <row r="22919" spans="1:1">
      <c r="A22919" s="56"/>
    </row>
    <row r="22920" spans="1:1">
      <c r="A22920" s="56"/>
    </row>
    <row r="22921" spans="1:1">
      <c r="A22921" s="56"/>
    </row>
    <row r="22922" spans="1:1">
      <c r="A22922" s="56"/>
    </row>
    <row r="22923" spans="1:1">
      <c r="A22923" s="56"/>
    </row>
    <row r="22924" spans="1:1">
      <c r="A22924" s="56"/>
    </row>
    <row r="22925" spans="1:1">
      <c r="A22925" s="56"/>
    </row>
    <row r="22926" spans="1:1">
      <c r="A22926" s="56"/>
    </row>
    <row r="22927" spans="1:1">
      <c r="A22927" s="56"/>
    </row>
    <row r="22928" spans="1:1">
      <c r="A22928" s="56"/>
    </row>
    <row r="22929" spans="1:1">
      <c r="A22929" s="56"/>
    </row>
    <row r="22930" spans="1:1">
      <c r="A22930" s="56"/>
    </row>
    <row r="22931" spans="1:1">
      <c r="A22931" s="56"/>
    </row>
    <row r="22932" spans="1:1">
      <c r="A22932" s="56"/>
    </row>
    <row r="22933" spans="1:1">
      <c r="A22933" s="56"/>
    </row>
    <row r="22934" spans="1:1">
      <c r="A22934" s="56"/>
    </row>
    <row r="22935" spans="1:1">
      <c r="A22935" s="56"/>
    </row>
    <row r="22936" spans="1:1">
      <c r="A22936" s="56"/>
    </row>
    <row r="22937" spans="1:1">
      <c r="A22937" s="56"/>
    </row>
    <row r="22938" spans="1:1">
      <c r="A22938" s="56"/>
    </row>
    <row r="22939" spans="1:1">
      <c r="A22939" s="56"/>
    </row>
    <row r="22940" spans="1:1">
      <c r="A22940" s="56"/>
    </row>
    <row r="22941" spans="1:1">
      <c r="A22941" s="56"/>
    </row>
    <row r="22942" spans="1:1">
      <c r="A22942" s="56"/>
    </row>
    <row r="22943" spans="1:1">
      <c r="A22943" s="56"/>
    </row>
    <row r="22944" spans="1:1">
      <c r="A22944" s="56"/>
    </row>
    <row r="22945" spans="1:1">
      <c r="A22945" s="56"/>
    </row>
    <row r="22946" spans="1:1">
      <c r="A22946" s="56"/>
    </row>
    <row r="22947" spans="1:1">
      <c r="A22947" s="56"/>
    </row>
    <row r="22948" spans="1:1">
      <c r="A22948" s="56"/>
    </row>
    <row r="22949" spans="1:1">
      <c r="A22949" s="56"/>
    </row>
    <row r="22950" spans="1:1">
      <c r="A22950" s="56"/>
    </row>
    <row r="22951" spans="1:1">
      <c r="A22951" s="56"/>
    </row>
    <row r="22952" spans="1:1">
      <c r="A22952" s="56"/>
    </row>
    <row r="22953" spans="1:1">
      <c r="A22953" s="56"/>
    </row>
    <row r="22954" spans="1:1">
      <c r="A22954" s="56"/>
    </row>
    <row r="22955" spans="1:1">
      <c r="A22955" s="56"/>
    </row>
    <row r="22956" spans="1:1">
      <c r="A22956" s="56"/>
    </row>
    <row r="22957" spans="1:1">
      <c r="A22957" s="56"/>
    </row>
    <row r="22958" spans="1:1">
      <c r="A22958" s="56"/>
    </row>
    <row r="22959" spans="1:1">
      <c r="A22959" s="56"/>
    </row>
    <row r="22960" spans="1:1">
      <c r="A22960" s="56"/>
    </row>
    <row r="22961" spans="1:1">
      <c r="A22961" s="56"/>
    </row>
    <row r="22962" spans="1:1">
      <c r="A22962" s="56"/>
    </row>
    <row r="22963" spans="1:1">
      <c r="A22963" s="56"/>
    </row>
    <row r="22964" spans="1:1">
      <c r="A22964" s="56"/>
    </row>
    <row r="22965" spans="1:1">
      <c r="A22965" s="56"/>
    </row>
    <row r="22966" spans="1:1">
      <c r="A22966" s="56"/>
    </row>
    <row r="22967" spans="1:1">
      <c r="A22967" s="56"/>
    </row>
    <row r="22968" spans="1:1">
      <c r="A22968" s="56"/>
    </row>
    <row r="22969" spans="1:1">
      <c r="A22969" s="56"/>
    </row>
    <row r="22970" spans="1:1">
      <c r="A22970" s="56"/>
    </row>
    <row r="22971" spans="1:1">
      <c r="A22971" s="56"/>
    </row>
    <row r="22972" spans="1:1">
      <c r="A22972" s="56"/>
    </row>
    <row r="22973" spans="1:1">
      <c r="A22973" s="56"/>
    </row>
    <row r="22974" spans="1:1">
      <c r="A22974" s="56"/>
    </row>
    <row r="22975" spans="1:1">
      <c r="A22975" s="56"/>
    </row>
    <row r="22976" spans="1:1">
      <c r="A22976" s="56"/>
    </row>
    <row r="22977" spans="1:1">
      <c r="A22977" s="56"/>
    </row>
    <row r="22978" spans="1:1">
      <c r="A22978" s="56"/>
    </row>
    <row r="22979" spans="1:1">
      <c r="A22979" s="56"/>
    </row>
    <row r="22980" spans="1:1">
      <c r="A22980" s="56"/>
    </row>
    <row r="22981" spans="1:1">
      <c r="A22981" s="56"/>
    </row>
    <row r="22982" spans="1:1">
      <c r="A22982" s="56"/>
    </row>
    <row r="22983" spans="1:1">
      <c r="A22983" s="56"/>
    </row>
    <row r="22984" spans="1:1">
      <c r="A22984" s="56"/>
    </row>
    <row r="22985" spans="1:1">
      <c r="A22985" s="56"/>
    </row>
    <row r="22986" spans="1:1">
      <c r="A22986" s="56"/>
    </row>
    <row r="22987" spans="1:1">
      <c r="A22987" s="56"/>
    </row>
    <row r="22988" spans="1:1">
      <c r="A22988" s="56"/>
    </row>
    <row r="22989" spans="1:1">
      <c r="A22989" s="56"/>
    </row>
    <row r="22990" spans="1:1">
      <c r="A22990" s="56"/>
    </row>
    <row r="22991" spans="1:1">
      <c r="A22991" s="56"/>
    </row>
    <row r="22992" spans="1:1">
      <c r="A22992" s="56"/>
    </row>
    <row r="22993" spans="1:1">
      <c r="A22993" s="56"/>
    </row>
    <row r="22994" spans="1:1">
      <c r="A22994" s="56"/>
    </row>
    <row r="22995" spans="1:1">
      <c r="A22995" s="56"/>
    </row>
    <row r="22996" spans="1:1">
      <c r="A22996" s="56"/>
    </row>
    <row r="22997" spans="1:1">
      <c r="A22997" s="56"/>
    </row>
    <row r="22998" spans="1:1">
      <c r="A22998" s="56"/>
    </row>
    <row r="22999" spans="1:1">
      <c r="A22999" s="56"/>
    </row>
    <row r="23000" spans="1:1">
      <c r="A23000" s="56"/>
    </row>
    <row r="23001" spans="1:1">
      <c r="A23001" s="56"/>
    </row>
    <row r="23002" spans="1:1">
      <c r="A23002" s="56"/>
    </row>
    <row r="23003" spans="1:1">
      <c r="A23003" s="56"/>
    </row>
    <row r="23004" spans="1:1">
      <c r="A23004" s="56"/>
    </row>
    <row r="23005" spans="1:1">
      <c r="A23005" s="56"/>
    </row>
    <row r="23006" spans="1:1">
      <c r="A23006" s="56"/>
    </row>
    <row r="23007" spans="1:1">
      <c r="A23007" s="56"/>
    </row>
    <row r="23008" spans="1:1">
      <c r="A23008" s="56"/>
    </row>
    <row r="23009" spans="1:1">
      <c r="A23009" s="56"/>
    </row>
    <row r="23010" spans="1:1">
      <c r="A23010" s="56"/>
    </row>
    <row r="23011" spans="1:1">
      <c r="A23011" s="56"/>
    </row>
    <row r="23012" spans="1:1">
      <c r="A23012" s="56"/>
    </row>
    <row r="23013" spans="1:1">
      <c r="A23013" s="56"/>
    </row>
    <row r="23014" spans="1:1">
      <c r="A23014" s="56"/>
    </row>
    <row r="23015" spans="1:1">
      <c r="A23015" s="56"/>
    </row>
    <row r="23016" spans="1:1">
      <c r="A23016" s="56"/>
    </row>
    <row r="23017" spans="1:1">
      <c r="A23017" s="56"/>
    </row>
    <row r="23018" spans="1:1">
      <c r="A23018" s="56"/>
    </row>
    <row r="23019" spans="1:1">
      <c r="A23019" s="56"/>
    </row>
    <row r="23020" spans="1:1">
      <c r="A23020" s="56"/>
    </row>
    <row r="23021" spans="1:1">
      <c r="A23021" s="56"/>
    </row>
    <row r="23022" spans="1:1">
      <c r="A23022" s="56"/>
    </row>
    <row r="23023" spans="1:1">
      <c r="A23023" s="56"/>
    </row>
    <row r="23024" spans="1:1">
      <c r="A23024" s="56"/>
    </row>
    <row r="23025" spans="1:1">
      <c r="A23025" s="56"/>
    </row>
    <row r="23026" spans="1:1">
      <c r="A23026" s="56"/>
    </row>
    <row r="23027" spans="1:1">
      <c r="A23027" s="56"/>
    </row>
    <row r="23028" spans="1:1">
      <c r="A23028" s="56"/>
    </row>
    <row r="23029" spans="1:1">
      <c r="A23029" s="56"/>
    </row>
    <row r="23030" spans="1:1">
      <c r="A23030" s="56"/>
    </row>
    <row r="23031" spans="1:1">
      <c r="A23031" s="56"/>
    </row>
    <row r="23032" spans="1:1">
      <c r="A23032" s="56"/>
    </row>
    <row r="23033" spans="1:1">
      <c r="A23033" s="56"/>
    </row>
    <row r="23034" spans="1:1">
      <c r="A23034" s="56"/>
    </row>
    <row r="23035" spans="1:1">
      <c r="A23035" s="56"/>
    </row>
    <row r="23036" spans="1:1">
      <c r="A23036" s="56"/>
    </row>
    <row r="23037" spans="1:1">
      <c r="A23037" s="56"/>
    </row>
    <row r="23038" spans="1:1">
      <c r="A23038" s="56"/>
    </row>
    <row r="23039" spans="1:1">
      <c r="A23039" s="56"/>
    </row>
    <row r="23040" spans="1:1">
      <c r="A23040" s="56"/>
    </row>
    <row r="23041" spans="1:1">
      <c r="A23041" s="56"/>
    </row>
    <row r="23042" spans="1:1">
      <c r="A23042" s="56"/>
    </row>
    <row r="23043" spans="1:1">
      <c r="A23043" s="56"/>
    </row>
    <row r="23044" spans="1:1">
      <c r="A23044" s="56"/>
    </row>
    <row r="23045" spans="1:1">
      <c r="A23045" s="56"/>
    </row>
    <row r="23046" spans="1:1">
      <c r="A23046" s="56"/>
    </row>
    <row r="23047" spans="1:1">
      <c r="A23047" s="56"/>
    </row>
    <row r="23048" spans="1:1">
      <c r="A23048" s="56"/>
    </row>
    <row r="23049" spans="1:1">
      <c r="A23049" s="56"/>
    </row>
    <row r="23050" spans="1:1">
      <c r="A23050" s="56"/>
    </row>
    <row r="23051" spans="1:1">
      <c r="A23051" s="56"/>
    </row>
    <row r="23052" spans="1:1">
      <c r="A23052" s="56"/>
    </row>
    <row r="23053" spans="1:1">
      <c r="A23053" s="56"/>
    </row>
    <row r="23054" spans="1:1">
      <c r="A23054" s="56"/>
    </row>
    <row r="23055" spans="1:1">
      <c r="A23055" s="56"/>
    </row>
    <row r="23056" spans="1:1">
      <c r="A23056" s="56"/>
    </row>
    <row r="23057" spans="1:1">
      <c r="A23057" s="56"/>
    </row>
    <row r="23058" spans="1:1">
      <c r="A23058" s="56"/>
    </row>
    <row r="23059" spans="1:1">
      <c r="A23059" s="56"/>
    </row>
    <row r="23060" spans="1:1">
      <c r="A23060" s="56"/>
    </row>
    <row r="23061" spans="1:1">
      <c r="A23061" s="56"/>
    </row>
    <row r="23062" spans="1:1">
      <c r="A23062" s="56"/>
    </row>
    <row r="23063" spans="1:1">
      <c r="A23063" s="56"/>
    </row>
    <row r="23064" spans="1:1">
      <c r="A23064" s="56"/>
    </row>
    <row r="23065" spans="1:1">
      <c r="A23065" s="56"/>
    </row>
    <row r="23066" spans="1:1">
      <c r="A23066" s="56"/>
    </row>
    <row r="23067" spans="1:1">
      <c r="A23067" s="56"/>
    </row>
    <row r="23068" spans="1:1">
      <c r="A23068" s="56"/>
    </row>
    <row r="23069" spans="1:1">
      <c r="A23069" s="56"/>
    </row>
    <row r="23070" spans="1:1">
      <c r="A23070" s="56"/>
    </row>
    <row r="23071" spans="1:1">
      <c r="A23071" s="56"/>
    </row>
    <row r="23072" spans="1:1">
      <c r="A23072" s="56"/>
    </row>
    <row r="23073" spans="1:1">
      <c r="A23073" s="56"/>
    </row>
    <row r="23074" spans="1:1">
      <c r="A23074" s="56"/>
    </row>
    <row r="23075" spans="1:1">
      <c r="A23075" s="56"/>
    </row>
    <row r="23076" spans="1:1">
      <c r="A23076" s="56"/>
    </row>
    <row r="23077" spans="1:1">
      <c r="A23077" s="56"/>
    </row>
    <row r="23078" spans="1:1">
      <c r="A23078" s="56"/>
    </row>
    <row r="23079" spans="1:1">
      <c r="A23079" s="56"/>
    </row>
    <row r="23080" spans="1:1">
      <c r="A23080" s="56"/>
    </row>
    <row r="23081" spans="1:1">
      <c r="A23081" s="56"/>
    </row>
    <row r="23082" spans="1:1">
      <c r="A23082" s="56"/>
    </row>
    <row r="23083" spans="1:1">
      <c r="A23083" s="56"/>
    </row>
    <row r="23084" spans="1:1">
      <c r="A23084" s="56"/>
    </row>
    <row r="23085" spans="1:1">
      <c r="A23085" s="56"/>
    </row>
    <row r="23086" spans="1:1">
      <c r="A23086" s="56"/>
    </row>
    <row r="23087" spans="1:1">
      <c r="A23087" s="56"/>
    </row>
    <row r="23088" spans="1:1">
      <c r="A23088" s="56"/>
    </row>
    <row r="23089" spans="1:1">
      <c r="A23089" s="56"/>
    </row>
    <row r="23090" spans="1:1">
      <c r="A23090" s="56"/>
    </row>
    <row r="23091" spans="1:1">
      <c r="A23091" s="56"/>
    </row>
    <row r="23092" spans="1:1">
      <c r="A23092" s="56"/>
    </row>
    <row r="23093" spans="1:1">
      <c r="A23093" s="56"/>
    </row>
    <row r="23094" spans="1:1">
      <c r="A23094" s="56"/>
    </row>
    <row r="23095" spans="1:1">
      <c r="A23095" s="56"/>
    </row>
    <row r="23096" spans="1:1">
      <c r="A23096" s="56"/>
    </row>
    <row r="23097" spans="1:1">
      <c r="A23097" s="56"/>
    </row>
    <row r="23098" spans="1:1">
      <c r="A23098" s="56"/>
    </row>
    <row r="23099" spans="1:1">
      <c r="A23099" s="56"/>
    </row>
    <row r="23100" spans="1:1">
      <c r="A23100" s="56"/>
    </row>
    <row r="23101" spans="1:1">
      <c r="A23101" s="56"/>
    </row>
    <row r="23102" spans="1:1">
      <c r="A23102" s="56"/>
    </row>
    <row r="23103" spans="1:1">
      <c r="A23103" s="56"/>
    </row>
    <row r="23104" spans="1:1">
      <c r="A23104" s="56"/>
    </row>
    <row r="23105" spans="1:1">
      <c r="A23105" s="56"/>
    </row>
    <row r="23106" spans="1:1">
      <c r="A23106" s="56"/>
    </row>
    <row r="23107" spans="1:1">
      <c r="A23107" s="56"/>
    </row>
    <row r="23108" spans="1:1">
      <c r="A23108" s="56"/>
    </row>
    <row r="23109" spans="1:1">
      <c r="A23109" s="56"/>
    </row>
    <row r="23110" spans="1:1">
      <c r="A23110" s="56"/>
    </row>
    <row r="23111" spans="1:1">
      <c r="A23111" s="56"/>
    </row>
    <row r="23112" spans="1:1">
      <c r="A23112" s="56"/>
    </row>
    <row r="23113" spans="1:1">
      <c r="A23113" s="56"/>
    </row>
    <row r="23114" spans="1:1">
      <c r="A23114" s="56"/>
    </row>
    <row r="23115" spans="1:1">
      <c r="A23115" s="56"/>
    </row>
    <row r="23116" spans="1:1">
      <c r="A23116" s="56"/>
    </row>
    <row r="23117" spans="1:1">
      <c r="A23117" s="56"/>
    </row>
    <row r="23118" spans="1:1">
      <c r="A23118" s="56"/>
    </row>
    <row r="23119" spans="1:1">
      <c r="A23119" s="56"/>
    </row>
    <row r="23120" spans="1:1">
      <c r="A23120" s="56"/>
    </row>
    <row r="23121" spans="1:1">
      <c r="A23121" s="56"/>
    </row>
    <row r="23122" spans="1:1">
      <c r="A23122" s="56"/>
    </row>
    <row r="23123" spans="1:1">
      <c r="A23123" s="56"/>
    </row>
    <row r="23124" spans="1:1">
      <c r="A23124" s="56"/>
    </row>
    <row r="23125" spans="1:1">
      <c r="A23125" s="56"/>
    </row>
    <row r="23126" spans="1:1">
      <c r="A23126" s="56"/>
    </row>
    <row r="23127" spans="1:1">
      <c r="A23127" s="56"/>
    </row>
    <row r="23128" spans="1:1">
      <c r="A23128" s="56"/>
    </row>
    <row r="23129" spans="1:1">
      <c r="A23129" s="56"/>
    </row>
    <row r="23130" spans="1:1">
      <c r="A23130" s="56"/>
    </row>
    <row r="23131" spans="1:1">
      <c r="A23131" s="56"/>
    </row>
    <row r="23132" spans="1:1">
      <c r="A23132" s="56"/>
    </row>
    <row r="23133" spans="1:1">
      <c r="A23133" s="56"/>
    </row>
    <row r="23134" spans="1:1">
      <c r="A23134" s="56"/>
    </row>
    <row r="23135" spans="1:1">
      <c r="A23135" s="56"/>
    </row>
    <row r="23136" spans="1:1">
      <c r="A23136" s="56"/>
    </row>
    <row r="23137" spans="1:1">
      <c r="A23137" s="56"/>
    </row>
    <row r="23138" spans="1:1">
      <c r="A23138" s="56"/>
    </row>
    <row r="23139" spans="1:1">
      <c r="A23139" s="56"/>
    </row>
    <row r="23140" spans="1:1">
      <c r="A23140" s="56"/>
    </row>
    <row r="23141" spans="1:1">
      <c r="A23141" s="56"/>
    </row>
    <row r="23142" spans="1:1">
      <c r="A23142" s="56"/>
    </row>
    <row r="23143" spans="1:1">
      <c r="A23143" s="56"/>
    </row>
    <row r="23144" spans="1:1">
      <c r="A23144" s="56"/>
    </row>
    <row r="23145" spans="1:1">
      <c r="A23145" s="56"/>
    </row>
    <row r="23146" spans="1:1">
      <c r="A23146" s="56"/>
    </row>
    <row r="23147" spans="1:1">
      <c r="A23147" s="56"/>
    </row>
    <row r="23148" spans="1:1">
      <c r="A23148" s="56"/>
    </row>
    <row r="23149" spans="1:1">
      <c r="A23149" s="56"/>
    </row>
    <row r="23150" spans="1:1">
      <c r="A23150" s="56"/>
    </row>
    <row r="23151" spans="1:1">
      <c r="A23151" s="56"/>
    </row>
    <row r="23152" spans="1:1">
      <c r="A23152" s="56"/>
    </row>
    <row r="23153" spans="1:1">
      <c r="A23153" s="56"/>
    </row>
    <row r="23154" spans="1:1">
      <c r="A23154" s="56"/>
    </row>
    <row r="23155" spans="1:1">
      <c r="A23155" s="56"/>
    </row>
    <row r="23156" spans="1:1">
      <c r="A23156" s="56"/>
    </row>
    <row r="23157" spans="1:1">
      <c r="A23157" s="56"/>
    </row>
    <row r="23158" spans="1:1">
      <c r="A23158" s="56"/>
    </row>
    <row r="23159" spans="1:1">
      <c r="A23159" s="56"/>
    </row>
    <row r="23160" spans="1:1">
      <c r="A23160" s="56"/>
    </row>
    <row r="23161" spans="1:1">
      <c r="A23161" s="56"/>
    </row>
    <row r="23162" spans="1:1">
      <c r="A23162" s="56"/>
    </row>
    <row r="23163" spans="1:1">
      <c r="A23163" s="56"/>
    </row>
    <row r="23164" spans="1:1">
      <c r="A23164" s="56"/>
    </row>
    <row r="23165" spans="1:1">
      <c r="A23165" s="56"/>
    </row>
    <row r="23166" spans="1:1">
      <c r="A23166" s="56"/>
    </row>
    <row r="23167" spans="1:1">
      <c r="A23167" s="56"/>
    </row>
    <row r="23168" spans="1:1">
      <c r="A23168" s="56"/>
    </row>
    <row r="23169" spans="1:1">
      <c r="A23169" s="56"/>
    </row>
    <row r="23170" spans="1:1">
      <c r="A23170" s="56"/>
    </row>
    <row r="23171" spans="1:1">
      <c r="A23171" s="56"/>
    </row>
    <row r="23172" spans="1:1">
      <c r="A23172" s="56"/>
    </row>
    <row r="23173" spans="1:1">
      <c r="A23173" s="56"/>
    </row>
    <row r="23174" spans="1:1">
      <c r="A23174" s="56"/>
    </row>
    <row r="23175" spans="1:1">
      <c r="A23175" s="56"/>
    </row>
    <row r="23176" spans="1:1">
      <c r="A23176" s="56"/>
    </row>
    <row r="23177" spans="1:1">
      <c r="A23177" s="56"/>
    </row>
    <row r="23178" spans="1:1">
      <c r="A23178" s="56"/>
    </row>
    <row r="23179" spans="1:1">
      <c r="A23179" s="56"/>
    </row>
    <row r="23180" spans="1:1">
      <c r="A23180" s="56"/>
    </row>
    <row r="23181" spans="1:1">
      <c r="A23181" s="56"/>
    </row>
    <row r="23182" spans="1:1">
      <c r="A23182" s="56"/>
    </row>
    <row r="23183" spans="1:1">
      <c r="A23183" s="56"/>
    </row>
    <row r="23184" spans="1:1">
      <c r="A23184" s="56"/>
    </row>
    <row r="23185" spans="1:1">
      <c r="A23185" s="56"/>
    </row>
    <row r="23186" spans="1:1">
      <c r="A23186" s="56"/>
    </row>
    <row r="23187" spans="1:1">
      <c r="A23187" s="56"/>
    </row>
    <row r="23188" spans="1:1">
      <c r="A23188" s="56"/>
    </row>
    <row r="23189" spans="1:1">
      <c r="A23189" s="56"/>
    </row>
    <row r="23190" spans="1:1">
      <c r="A23190" s="56"/>
    </row>
    <row r="23191" spans="1:1">
      <c r="A23191" s="56"/>
    </row>
    <row r="23192" spans="1:1">
      <c r="A23192" s="56"/>
    </row>
    <row r="23193" spans="1:1">
      <c r="A23193" s="56"/>
    </row>
    <row r="23194" spans="1:1">
      <c r="A23194" s="56"/>
    </row>
    <row r="23195" spans="1:1">
      <c r="A23195" s="56"/>
    </row>
    <row r="23196" spans="1:1">
      <c r="A23196" s="56"/>
    </row>
    <row r="23197" spans="1:1">
      <c r="A23197" s="56"/>
    </row>
    <row r="23198" spans="1:1">
      <c r="A23198" s="56"/>
    </row>
    <row r="23199" spans="1:1">
      <c r="A23199" s="56"/>
    </row>
    <row r="23200" spans="1:1">
      <c r="A23200" s="56"/>
    </row>
    <row r="23201" spans="1:1">
      <c r="A23201" s="56"/>
    </row>
    <row r="23202" spans="1:1">
      <c r="A23202" s="56"/>
    </row>
    <row r="23203" spans="1:1">
      <c r="A23203" s="56"/>
    </row>
    <row r="23204" spans="1:1">
      <c r="A23204" s="56"/>
    </row>
    <row r="23205" spans="1:1">
      <c r="A23205" s="56"/>
    </row>
    <row r="23206" spans="1:1">
      <c r="A23206" s="56"/>
    </row>
    <row r="23207" spans="1:1">
      <c r="A23207" s="56"/>
    </row>
    <row r="23208" spans="1:1">
      <c r="A23208" s="56"/>
    </row>
    <row r="23209" spans="1:1">
      <c r="A23209" s="56"/>
    </row>
    <row r="23210" spans="1:1">
      <c r="A23210" s="56"/>
    </row>
    <row r="23211" spans="1:1">
      <c r="A23211" s="56"/>
    </row>
    <row r="23212" spans="1:1">
      <c r="A23212" s="56"/>
    </row>
    <row r="23213" spans="1:1">
      <c r="A23213" s="56"/>
    </row>
    <row r="23214" spans="1:1">
      <c r="A23214" s="56"/>
    </row>
    <row r="23215" spans="1:1">
      <c r="A23215" s="56"/>
    </row>
    <row r="23216" spans="1:1">
      <c r="A23216" s="56"/>
    </row>
    <row r="23217" spans="1:1">
      <c r="A23217" s="56"/>
    </row>
    <row r="23218" spans="1:1">
      <c r="A23218" s="56"/>
    </row>
    <row r="23219" spans="1:1">
      <c r="A23219" s="56"/>
    </row>
    <row r="23220" spans="1:1">
      <c r="A23220" s="56"/>
    </row>
    <row r="23221" spans="1:1">
      <c r="A23221" s="56"/>
    </row>
    <row r="23222" spans="1:1">
      <c r="A23222" s="56"/>
    </row>
    <row r="23223" spans="1:1">
      <c r="A23223" s="56"/>
    </row>
    <row r="23224" spans="1:1">
      <c r="A23224" s="56"/>
    </row>
    <row r="23225" spans="1:1">
      <c r="A23225" s="56"/>
    </row>
    <row r="23226" spans="1:1">
      <c r="A23226" s="56"/>
    </row>
    <row r="23227" spans="1:1">
      <c r="A23227" s="56"/>
    </row>
    <row r="23228" spans="1:1">
      <c r="A23228" s="56"/>
    </row>
    <row r="23229" spans="1:1">
      <c r="A23229" s="56"/>
    </row>
    <row r="23230" spans="1:1">
      <c r="A23230" s="56"/>
    </row>
    <row r="23231" spans="1:1">
      <c r="A23231" s="56"/>
    </row>
    <row r="23232" spans="1:1">
      <c r="A23232" s="56"/>
    </row>
    <row r="23233" spans="1:1">
      <c r="A23233" s="56"/>
    </row>
    <row r="23234" spans="1:1">
      <c r="A23234" s="56"/>
    </row>
    <row r="23235" spans="1:1">
      <c r="A23235" s="56"/>
    </row>
    <row r="23236" spans="1:1">
      <c r="A23236" s="56"/>
    </row>
    <row r="23237" spans="1:1">
      <c r="A23237" s="56"/>
    </row>
    <row r="23238" spans="1:1">
      <c r="A23238" s="56"/>
    </row>
    <row r="23239" spans="1:1">
      <c r="A23239" s="56"/>
    </row>
    <row r="23240" spans="1:1">
      <c r="A23240" s="56"/>
    </row>
    <row r="23241" spans="1:1">
      <c r="A23241" s="56"/>
    </row>
    <row r="23242" spans="1:1">
      <c r="A23242" s="56"/>
    </row>
    <row r="23243" spans="1:1">
      <c r="A23243" s="56"/>
    </row>
    <row r="23244" spans="1:1">
      <c r="A23244" s="56"/>
    </row>
    <row r="23245" spans="1:1">
      <c r="A23245" s="56"/>
    </row>
    <row r="23246" spans="1:1">
      <c r="A23246" s="56"/>
    </row>
    <row r="23247" spans="1:1">
      <c r="A23247" s="56"/>
    </row>
    <row r="23248" spans="1:1">
      <c r="A23248" s="56"/>
    </row>
    <row r="23249" spans="1:1">
      <c r="A23249" s="56"/>
    </row>
    <row r="23250" spans="1:1">
      <c r="A23250" s="56"/>
    </row>
    <row r="23251" spans="1:1">
      <c r="A23251" s="56"/>
    </row>
    <row r="23252" spans="1:1">
      <c r="A23252" s="56"/>
    </row>
    <row r="23253" spans="1:1">
      <c r="A23253" s="56"/>
    </row>
    <row r="23254" spans="1:1">
      <c r="A23254" s="56"/>
    </row>
    <row r="23255" spans="1:1">
      <c r="A23255" s="56"/>
    </row>
    <row r="23256" spans="1:1">
      <c r="A23256" s="56"/>
    </row>
    <row r="23257" spans="1:1">
      <c r="A23257" s="56"/>
    </row>
    <row r="23258" spans="1:1">
      <c r="A23258" s="56"/>
    </row>
    <row r="23259" spans="1:1">
      <c r="A23259" s="56"/>
    </row>
    <row r="23260" spans="1:1">
      <c r="A23260" s="56"/>
    </row>
    <row r="23261" spans="1:1">
      <c r="A23261" s="56"/>
    </row>
    <row r="23262" spans="1:1">
      <c r="A23262" s="56"/>
    </row>
    <row r="23263" spans="1:1">
      <c r="A23263" s="56"/>
    </row>
    <row r="23264" spans="1:1">
      <c r="A23264" s="56"/>
    </row>
    <row r="23265" spans="1:1">
      <c r="A23265" s="56"/>
    </row>
    <row r="23266" spans="1:1">
      <c r="A23266" s="56"/>
    </row>
    <row r="23267" spans="1:1">
      <c r="A23267" s="56"/>
    </row>
    <row r="23268" spans="1:1">
      <c r="A23268" s="56"/>
    </row>
    <row r="23269" spans="1:1">
      <c r="A23269" s="56"/>
    </row>
    <row r="23270" spans="1:1">
      <c r="A23270" s="56"/>
    </row>
    <row r="23271" spans="1:1">
      <c r="A23271" s="56"/>
    </row>
    <row r="23272" spans="1:1">
      <c r="A23272" s="56"/>
    </row>
    <row r="23273" spans="1:1">
      <c r="A23273" s="56"/>
    </row>
    <row r="23274" spans="1:1">
      <c r="A23274" s="56"/>
    </row>
    <row r="23275" spans="1:1">
      <c r="A23275" s="56"/>
    </row>
    <row r="23276" spans="1:1">
      <c r="A23276" s="56"/>
    </row>
    <row r="23277" spans="1:1">
      <c r="A23277" s="56"/>
    </row>
    <row r="23278" spans="1:1">
      <c r="A23278" s="56"/>
    </row>
    <row r="23279" spans="1:1">
      <c r="A23279" s="56"/>
    </row>
    <row r="23280" spans="1:1">
      <c r="A23280" s="56"/>
    </row>
    <row r="23281" spans="1:1">
      <c r="A23281" s="56"/>
    </row>
    <row r="23282" spans="1:1">
      <c r="A23282" s="56"/>
    </row>
    <row r="23283" spans="1:1">
      <c r="A23283" s="56"/>
    </row>
    <row r="23284" spans="1:1">
      <c r="A23284" s="56"/>
    </row>
    <row r="23285" spans="1:1">
      <c r="A23285" s="56"/>
    </row>
    <row r="23286" spans="1:1">
      <c r="A23286" s="56"/>
    </row>
    <row r="23287" spans="1:1">
      <c r="A23287" s="56"/>
    </row>
    <row r="23288" spans="1:1">
      <c r="A23288" s="56"/>
    </row>
    <row r="23289" spans="1:1">
      <c r="A23289" s="56"/>
    </row>
    <row r="23290" spans="1:1">
      <c r="A23290" s="56"/>
    </row>
    <row r="23291" spans="1:1">
      <c r="A23291" s="56"/>
    </row>
    <row r="23292" spans="1:1">
      <c r="A23292" s="56"/>
    </row>
    <row r="23293" spans="1:1">
      <c r="A23293" s="56"/>
    </row>
    <row r="23294" spans="1:1">
      <c r="A23294" s="56"/>
    </row>
    <row r="23295" spans="1:1">
      <c r="A23295" s="56"/>
    </row>
    <row r="23296" spans="1:1">
      <c r="A23296" s="56"/>
    </row>
    <row r="23297" spans="1:1">
      <c r="A23297" s="56"/>
    </row>
    <row r="23298" spans="1:1">
      <c r="A23298" s="56"/>
    </row>
    <row r="23299" spans="1:1">
      <c r="A23299" s="56"/>
    </row>
    <row r="23300" spans="1:1">
      <c r="A23300" s="56"/>
    </row>
    <row r="23301" spans="1:1">
      <c r="A23301" s="56"/>
    </row>
    <row r="23302" spans="1:1">
      <c r="A23302" s="56"/>
    </row>
    <row r="23303" spans="1:1">
      <c r="A23303" s="56"/>
    </row>
    <row r="23304" spans="1:1">
      <c r="A23304" s="56"/>
    </row>
    <row r="23305" spans="1:1">
      <c r="A23305" s="56"/>
    </row>
    <row r="23306" spans="1:1">
      <c r="A23306" s="56"/>
    </row>
    <row r="23307" spans="1:1">
      <c r="A23307" s="56"/>
    </row>
    <row r="23308" spans="1:1">
      <c r="A23308" s="56"/>
    </row>
    <row r="23309" spans="1:1">
      <c r="A23309" s="56"/>
    </row>
    <row r="23310" spans="1:1">
      <c r="A23310" s="56"/>
    </row>
    <row r="23311" spans="1:1">
      <c r="A23311" s="56"/>
    </row>
    <row r="23312" spans="1:1">
      <c r="A23312" s="56"/>
    </row>
    <row r="23313" spans="1:1">
      <c r="A23313" s="56"/>
    </row>
    <row r="23314" spans="1:1">
      <c r="A23314" s="56"/>
    </row>
    <row r="23315" spans="1:1">
      <c r="A23315" s="56"/>
    </row>
    <row r="23316" spans="1:1">
      <c r="A23316" s="56"/>
    </row>
    <row r="23317" spans="1:1">
      <c r="A23317" s="56"/>
    </row>
    <row r="23318" spans="1:1">
      <c r="A23318" s="56"/>
    </row>
    <row r="23319" spans="1:1">
      <c r="A23319" s="56"/>
    </row>
    <row r="23320" spans="1:1">
      <c r="A23320" s="56"/>
    </row>
    <row r="23321" spans="1:1">
      <c r="A23321" s="56"/>
    </row>
    <row r="23322" spans="1:1">
      <c r="A23322" s="56"/>
    </row>
    <row r="23323" spans="1:1">
      <c r="A23323" s="56"/>
    </row>
    <row r="23324" spans="1:1">
      <c r="A23324" s="56"/>
    </row>
    <row r="23325" spans="1:1">
      <c r="A23325" s="56"/>
    </row>
    <row r="23326" spans="1:1">
      <c r="A23326" s="56"/>
    </row>
    <row r="23327" spans="1:1">
      <c r="A23327" s="56"/>
    </row>
    <row r="23328" spans="1:1">
      <c r="A23328" s="56"/>
    </row>
    <row r="23329" spans="1:1">
      <c r="A23329" s="56"/>
    </row>
    <row r="23330" spans="1:1">
      <c r="A23330" s="56"/>
    </row>
    <row r="23331" spans="1:1">
      <c r="A23331" s="56"/>
    </row>
    <row r="23332" spans="1:1">
      <c r="A23332" s="56"/>
    </row>
    <row r="23333" spans="1:1">
      <c r="A23333" s="56"/>
    </row>
    <row r="23334" spans="1:1">
      <c r="A23334" s="56"/>
    </row>
    <row r="23335" spans="1:1">
      <c r="A23335" s="56"/>
    </row>
    <row r="23336" spans="1:1">
      <c r="A23336" s="56"/>
    </row>
    <row r="23337" spans="1:1">
      <c r="A23337" s="56"/>
    </row>
    <row r="23338" spans="1:1">
      <c r="A23338" s="56"/>
    </row>
    <row r="23339" spans="1:1">
      <c r="A23339" s="56"/>
    </row>
    <row r="23340" spans="1:1">
      <c r="A23340" s="56"/>
    </row>
    <row r="23341" spans="1:1">
      <c r="A23341" s="56"/>
    </row>
    <row r="23342" spans="1:1">
      <c r="A23342" s="56"/>
    </row>
    <row r="23343" spans="1:1">
      <c r="A23343" s="56"/>
    </row>
    <row r="23344" spans="1:1">
      <c r="A23344" s="56"/>
    </row>
    <row r="23345" spans="1:1">
      <c r="A23345" s="56"/>
    </row>
    <row r="23346" spans="1:1">
      <c r="A23346" s="56"/>
    </row>
    <row r="23347" spans="1:1">
      <c r="A23347" s="56"/>
    </row>
    <row r="23348" spans="1:1">
      <c r="A23348" s="56"/>
    </row>
    <row r="23349" spans="1:1">
      <c r="A23349" s="56"/>
    </row>
    <row r="23350" spans="1:1">
      <c r="A23350" s="56"/>
    </row>
    <row r="23351" spans="1:1">
      <c r="A23351" s="56"/>
    </row>
    <row r="23352" spans="1:1">
      <c r="A23352" s="56"/>
    </row>
    <row r="23353" spans="1:1">
      <c r="A23353" s="56"/>
    </row>
    <row r="23354" spans="1:1">
      <c r="A23354" s="56"/>
    </row>
    <row r="23355" spans="1:1">
      <c r="A23355" s="56"/>
    </row>
    <row r="23356" spans="1:1">
      <c r="A23356" s="56"/>
    </row>
    <row r="23357" spans="1:1">
      <c r="A23357" s="56"/>
    </row>
    <row r="23358" spans="1:1">
      <c r="A23358" s="56"/>
    </row>
    <row r="23359" spans="1:1">
      <c r="A23359" s="56"/>
    </row>
    <row r="23360" spans="1:1">
      <c r="A23360" s="56"/>
    </row>
    <row r="23361" spans="1:1">
      <c r="A23361" s="56"/>
    </row>
    <row r="23362" spans="1:1">
      <c r="A23362" s="56"/>
    </row>
    <row r="23363" spans="1:1">
      <c r="A23363" s="56"/>
    </row>
    <row r="23364" spans="1:1">
      <c r="A23364" s="56"/>
    </row>
    <row r="23365" spans="1:1">
      <c r="A23365" s="56"/>
    </row>
    <row r="23366" spans="1:1">
      <c r="A23366" s="56"/>
    </row>
    <row r="23367" spans="1:1">
      <c r="A23367" s="56"/>
    </row>
    <row r="23368" spans="1:1">
      <c r="A23368" s="56"/>
    </row>
    <row r="23369" spans="1:1">
      <c r="A23369" s="56"/>
    </row>
    <row r="23370" spans="1:1">
      <c r="A23370" s="56"/>
    </row>
    <row r="23371" spans="1:1">
      <c r="A23371" s="56"/>
    </row>
    <row r="23372" spans="1:1">
      <c r="A23372" s="56"/>
    </row>
    <row r="23373" spans="1:1">
      <c r="A23373" s="56"/>
    </row>
    <row r="23374" spans="1:1">
      <c r="A23374" s="56"/>
    </row>
    <row r="23375" spans="1:1">
      <c r="A23375" s="56"/>
    </row>
    <row r="23376" spans="1:1">
      <c r="A23376" s="56"/>
    </row>
    <row r="23377" spans="1:1">
      <c r="A23377" s="56"/>
    </row>
    <row r="23378" spans="1:1">
      <c r="A23378" s="56"/>
    </row>
    <row r="23379" spans="1:1">
      <c r="A23379" s="56"/>
    </row>
    <row r="23380" spans="1:1">
      <c r="A23380" s="56"/>
    </row>
    <row r="23381" spans="1:1">
      <c r="A23381" s="56"/>
    </row>
    <row r="23382" spans="1:1">
      <c r="A23382" s="56"/>
    </row>
    <row r="23383" spans="1:1">
      <c r="A23383" s="56"/>
    </row>
    <row r="23384" spans="1:1">
      <c r="A23384" s="56"/>
    </row>
    <row r="23385" spans="1:1">
      <c r="A23385" s="56"/>
    </row>
    <row r="23386" spans="1:1">
      <c r="A23386" s="56"/>
    </row>
    <row r="23387" spans="1:1">
      <c r="A23387" s="56"/>
    </row>
    <row r="23388" spans="1:1">
      <c r="A23388" s="56"/>
    </row>
    <row r="23389" spans="1:1">
      <c r="A23389" s="56"/>
    </row>
    <row r="23390" spans="1:1">
      <c r="A23390" s="56"/>
    </row>
    <row r="23391" spans="1:1">
      <c r="A23391" s="56"/>
    </row>
    <row r="23392" spans="1:1">
      <c r="A23392" s="56"/>
    </row>
    <row r="23393" spans="1:1">
      <c r="A23393" s="56"/>
    </row>
    <row r="23394" spans="1:1">
      <c r="A23394" s="56"/>
    </row>
    <row r="23395" spans="1:1">
      <c r="A23395" s="56"/>
    </row>
    <row r="23396" spans="1:1">
      <c r="A23396" s="56"/>
    </row>
    <row r="23397" spans="1:1">
      <c r="A23397" s="56"/>
    </row>
    <row r="23398" spans="1:1">
      <c r="A23398" s="56"/>
    </row>
    <row r="23399" spans="1:1">
      <c r="A23399" s="56"/>
    </row>
    <row r="23400" spans="1:1">
      <c r="A23400" s="56"/>
    </row>
    <row r="23401" spans="1:1">
      <c r="A23401" s="56"/>
    </row>
    <row r="23402" spans="1:1">
      <c r="A23402" s="56"/>
    </row>
    <row r="23403" spans="1:1">
      <c r="A23403" s="56"/>
    </row>
    <row r="23404" spans="1:1">
      <c r="A23404" s="56"/>
    </row>
    <row r="23405" spans="1:1">
      <c r="A23405" s="56"/>
    </row>
    <row r="23406" spans="1:1">
      <c r="A23406" s="56"/>
    </row>
    <row r="23407" spans="1:1">
      <c r="A23407" s="56"/>
    </row>
    <row r="23408" spans="1:1">
      <c r="A23408" s="56"/>
    </row>
    <row r="23409" spans="1:1">
      <c r="A23409" s="56"/>
    </row>
    <row r="23410" spans="1:1">
      <c r="A23410" s="56"/>
    </row>
    <row r="23411" spans="1:1">
      <c r="A23411" s="56"/>
    </row>
    <row r="23412" spans="1:1">
      <c r="A23412" s="56"/>
    </row>
    <row r="23413" spans="1:1">
      <c r="A23413" s="56"/>
    </row>
    <row r="23414" spans="1:1">
      <c r="A23414" s="56"/>
    </row>
    <row r="23415" spans="1:1">
      <c r="A23415" s="56"/>
    </row>
    <row r="23416" spans="1:1">
      <c r="A23416" s="56"/>
    </row>
    <row r="23417" spans="1:1">
      <c r="A23417" s="56"/>
    </row>
    <row r="23418" spans="1:1">
      <c r="A23418" s="56"/>
    </row>
    <row r="23419" spans="1:1">
      <c r="A23419" s="56"/>
    </row>
    <row r="23420" spans="1:1">
      <c r="A23420" s="56"/>
    </row>
    <row r="23421" spans="1:1">
      <c r="A23421" s="56"/>
    </row>
    <row r="23422" spans="1:1">
      <c r="A23422" s="56"/>
    </row>
    <row r="23423" spans="1:1">
      <c r="A23423" s="56"/>
    </row>
    <row r="23424" spans="1:1">
      <c r="A23424" s="56"/>
    </row>
    <row r="23425" spans="1:1">
      <c r="A23425" s="56"/>
    </row>
    <row r="23426" spans="1:1">
      <c r="A23426" s="56"/>
    </row>
    <row r="23427" spans="1:1">
      <c r="A23427" s="56"/>
    </row>
    <row r="23428" spans="1:1">
      <c r="A23428" s="56"/>
    </row>
    <row r="23429" spans="1:1">
      <c r="A23429" s="56"/>
    </row>
    <row r="23430" spans="1:1">
      <c r="A23430" s="56"/>
    </row>
    <row r="23431" spans="1:1">
      <c r="A23431" s="56"/>
    </row>
    <row r="23432" spans="1:1">
      <c r="A23432" s="56"/>
    </row>
    <row r="23433" spans="1:1">
      <c r="A23433" s="56"/>
    </row>
    <row r="23434" spans="1:1">
      <c r="A23434" s="56"/>
    </row>
    <row r="23435" spans="1:1">
      <c r="A23435" s="56"/>
    </row>
    <row r="23436" spans="1:1">
      <c r="A23436" s="56"/>
    </row>
    <row r="23437" spans="1:1">
      <c r="A23437" s="56"/>
    </row>
    <row r="23438" spans="1:1">
      <c r="A23438" s="56"/>
    </row>
    <row r="23439" spans="1:1">
      <c r="A23439" s="56"/>
    </row>
    <row r="23440" spans="1:1">
      <c r="A23440" s="56"/>
    </row>
    <row r="23441" spans="1:1">
      <c r="A23441" s="56"/>
    </row>
    <row r="23442" spans="1:1">
      <c r="A23442" s="56"/>
    </row>
    <row r="23443" spans="1:1">
      <c r="A23443" s="56"/>
    </row>
    <row r="23444" spans="1:1">
      <c r="A23444" s="56"/>
    </row>
    <row r="23445" spans="1:1">
      <c r="A23445" s="56"/>
    </row>
    <row r="23446" spans="1:1">
      <c r="A23446" s="56"/>
    </row>
    <row r="23447" spans="1:1">
      <c r="A23447" s="56"/>
    </row>
    <row r="23448" spans="1:1">
      <c r="A23448" s="56"/>
    </row>
    <row r="23449" spans="1:1">
      <c r="A23449" s="56"/>
    </row>
    <row r="23450" spans="1:1">
      <c r="A23450" s="56"/>
    </row>
    <row r="23451" spans="1:1">
      <c r="A23451" s="56"/>
    </row>
    <row r="23452" spans="1:1">
      <c r="A23452" s="56"/>
    </row>
    <row r="23453" spans="1:1">
      <c r="A23453" s="56"/>
    </row>
    <row r="23454" spans="1:1">
      <c r="A23454" s="56"/>
    </row>
    <row r="23455" spans="1:1">
      <c r="A23455" s="56"/>
    </row>
    <row r="23456" spans="1:1">
      <c r="A23456" s="56"/>
    </row>
    <row r="23457" spans="1:1">
      <c r="A23457" s="56"/>
    </row>
    <row r="23458" spans="1:1">
      <c r="A23458" s="56"/>
    </row>
    <row r="23459" spans="1:1">
      <c r="A23459" s="56"/>
    </row>
    <row r="23460" spans="1:1">
      <c r="A23460" s="56"/>
    </row>
    <row r="23461" spans="1:1">
      <c r="A23461" s="56"/>
    </row>
    <row r="23462" spans="1:1">
      <c r="A23462" s="56"/>
    </row>
    <row r="23463" spans="1:1">
      <c r="A23463" s="56"/>
    </row>
    <row r="23464" spans="1:1">
      <c r="A23464" s="56"/>
    </row>
    <row r="23465" spans="1:1">
      <c r="A23465" s="56"/>
    </row>
    <row r="23466" spans="1:1">
      <c r="A23466" s="56"/>
    </row>
    <row r="23467" spans="1:1">
      <c r="A23467" s="56"/>
    </row>
    <row r="23468" spans="1:1">
      <c r="A23468" s="56"/>
    </row>
    <row r="23469" spans="1:1">
      <c r="A23469" s="56"/>
    </row>
    <row r="23470" spans="1:1">
      <c r="A23470" s="56"/>
    </row>
    <row r="23471" spans="1:1">
      <c r="A23471" s="56"/>
    </row>
    <row r="23472" spans="1:1">
      <c r="A23472" s="56"/>
    </row>
    <row r="23473" spans="1:1">
      <c r="A23473" s="56"/>
    </row>
    <row r="23474" spans="1:1">
      <c r="A23474" s="56"/>
    </row>
    <row r="23475" spans="1:1">
      <c r="A23475" s="56"/>
    </row>
    <row r="23476" spans="1:1">
      <c r="A23476" s="56"/>
    </row>
    <row r="23477" spans="1:1">
      <c r="A23477" s="56"/>
    </row>
    <row r="23478" spans="1:1">
      <c r="A23478" s="56"/>
    </row>
    <row r="23479" spans="1:1">
      <c r="A23479" s="56"/>
    </row>
    <row r="23480" spans="1:1">
      <c r="A23480" s="56"/>
    </row>
    <row r="23481" spans="1:1">
      <c r="A23481" s="56"/>
    </row>
    <row r="23482" spans="1:1">
      <c r="A23482" s="56"/>
    </row>
    <row r="23483" spans="1:1">
      <c r="A23483" s="56"/>
    </row>
    <row r="23484" spans="1:1">
      <c r="A23484" s="56"/>
    </row>
    <row r="23485" spans="1:1">
      <c r="A23485" s="56"/>
    </row>
    <row r="23486" spans="1:1">
      <c r="A23486" s="56"/>
    </row>
    <row r="23487" spans="1:1">
      <c r="A23487" s="56"/>
    </row>
    <row r="23488" spans="1:1">
      <c r="A23488" s="56"/>
    </row>
    <row r="23489" spans="1:1">
      <c r="A23489" s="56"/>
    </row>
    <row r="23490" spans="1:1">
      <c r="A23490" s="56"/>
    </row>
    <row r="23491" spans="1:1">
      <c r="A23491" s="56"/>
    </row>
    <row r="23492" spans="1:1">
      <c r="A23492" s="56"/>
    </row>
    <row r="23493" spans="1:1">
      <c r="A23493" s="56"/>
    </row>
    <row r="23494" spans="1:1">
      <c r="A23494" s="56"/>
    </row>
    <row r="23495" spans="1:1">
      <c r="A23495" s="56"/>
    </row>
    <row r="23496" spans="1:1">
      <c r="A23496" s="56"/>
    </row>
    <row r="23497" spans="1:1">
      <c r="A23497" s="56"/>
    </row>
    <row r="23498" spans="1:1">
      <c r="A23498" s="56"/>
    </row>
    <row r="23499" spans="1:1">
      <c r="A23499" s="56"/>
    </row>
    <row r="23500" spans="1:1">
      <c r="A23500" s="56"/>
    </row>
    <row r="23501" spans="1:1">
      <c r="A23501" s="56"/>
    </row>
    <row r="23502" spans="1:1">
      <c r="A23502" s="56"/>
    </row>
    <row r="23503" spans="1:1">
      <c r="A23503" s="56"/>
    </row>
    <row r="23504" spans="1:1">
      <c r="A23504" s="56"/>
    </row>
    <row r="23505" spans="1:1">
      <c r="A23505" s="56"/>
    </row>
    <row r="23506" spans="1:1">
      <c r="A23506" s="56"/>
    </row>
    <row r="23507" spans="1:1">
      <c r="A23507" s="56"/>
    </row>
    <row r="23508" spans="1:1">
      <c r="A23508" s="56"/>
    </row>
    <row r="23509" spans="1:1">
      <c r="A23509" s="56"/>
    </row>
    <row r="23510" spans="1:1">
      <c r="A23510" s="56"/>
    </row>
    <row r="23511" spans="1:1">
      <c r="A23511" s="56"/>
    </row>
    <row r="23512" spans="1:1">
      <c r="A23512" s="56"/>
    </row>
    <row r="23513" spans="1:1">
      <c r="A23513" s="56"/>
    </row>
    <row r="23514" spans="1:1">
      <c r="A23514" s="56"/>
    </row>
    <row r="23515" spans="1:1">
      <c r="A23515" s="56"/>
    </row>
    <row r="23516" spans="1:1">
      <c r="A23516" s="56"/>
    </row>
    <row r="23517" spans="1:1">
      <c r="A23517" s="56"/>
    </row>
    <row r="23518" spans="1:1">
      <c r="A23518" s="56"/>
    </row>
    <row r="23519" spans="1:1">
      <c r="A23519" s="56"/>
    </row>
    <row r="23520" spans="1:1">
      <c r="A23520" s="56"/>
    </row>
    <row r="23521" spans="1:1">
      <c r="A23521" s="56"/>
    </row>
    <row r="23522" spans="1:1">
      <c r="A23522" s="56"/>
    </row>
    <row r="23523" spans="1:1">
      <c r="A23523" s="56"/>
    </row>
    <row r="23524" spans="1:1">
      <c r="A23524" s="56"/>
    </row>
    <row r="23525" spans="1:1">
      <c r="A23525" s="56"/>
    </row>
    <row r="23526" spans="1:1">
      <c r="A23526" s="56"/>
    </row>
    <row r="23527" spans="1:1">
      <c r="A23527" s="56"/>
    </row>
    <row r="23528" spans="1:1">
      <c r="A23528" s="56"/>
    </row>
    <row r="23529" spans="1:1">
      <c r="A23529" s="56"/>
    </row>
    <row r="23530" spans="1:1">
      <c r="A23530" s="56"/>
    </row>
    <row r="23531" spans="1:1">
      <c r="A23531" s="56"/>
    </row>
    <row r="23532" spans="1:1">
      <c r="A23532" s="56"/>
    </row>
    <row r="23533" spans="1:1">
      <c r="A23533" s="56"/>
    </row>
    <row r="23534" spans="1:1">
      <c r="A23534" s="56"/>
    </row>
    <row r="23535" spans="1:1">
      <c r="A23535" s="56"/>
    </row>
    <row r="23536" spans="1:1">
      <c r="A23536" s="56"/>
    </row>
    <row r="23537" spans="1:1">
      <c r="A23537" s="56"/>
    </row>
    <row r="23538" spans="1:1">
      <c r="A23538" s="56"/>
    </row>
    <row r="23539" spans="1:1">
      <c r="A23539" s="56"/>
    </row>
    <row r="23540" spans="1:1">
      <c r="A23540" s="56"/>
    </row>
    <row r="23541" spans="1:1">
      <c r="A23541" s="56"/>
    </row>
    <row r="23542" spans="1:1">
      <c r="A23542" s="56"/>
    </row>
    <row r="23543" spans="1:1">
      <c r="A23543" s="56"/>
    </row>
    <row r="23544" spans="1:1">
      <c r="A23544" s="56"/>
    </row>
    <row r="23545" spans="1:1">
      <c r="A23545" s="56"/>
    </row>
    <row r="23546" spans="1:1">
      <c r="A23546" s="56"/>
    </row>
    <row r="23547" spans="1:1">
      <c r="A23547" s="56"/>
    </row>
    <row r="23548" spans="1:1">
      <c r="A23548" s="56"/>
    </row>
    <row r="23549" spans="1:1">
      <c r="A23549" s="56"/>
    </row>
    <row r="23550" spans="1:1">
      <c r="A23550" s="56"/>
    </row>
    <row r="23551" spans="1:1">
      <c r="A23551" s="56"/>
    </row>
    <row r="23552" spans="1:1">
      <c r="A23552" s="56"/>
    </row>
    <row r="23553" spans="1:1">
      <c r="A23553" s="56"/>
    </row>
    <row r="23554" spans="1:1">
      <c r="A23554" s="56"/>
    </row>
    <row r="23555" spans="1:1">
      <c r="A23555" s="56"/>
    </row>
    <row r="23556" spans="1:1">
      <c r="A23556" s="56"/>
    </row>
    <row r="23557" spans="1:1">
      <c r="A23557" s="56"/>
    </row>
    <row r="23558" spans="1:1">
      <c r="A23558" s="56"/>
    </row>
    <row r="23559" spans="1:1">
      <c r="A23559" s="56"/>
    </row>
    <row r="23560" spans="1:1">
      <c r="A23560" s="56"/>
    </row>
    <row r="23561" spans="1:1">
      <c r="A23561" s="56"/>
    </row>
    <row r="23562" spans="1:1">
      <c r="A23562" s="56"/>
    </row>
    <row r="23563" spans="1:1">
      <c r="A23563" s="56"/>
    </row>
    <row r="23564" spans="1:1">
      <c r="A23564" s="56"/>
    </row>
    <row r="23565" spans="1:1">
      <c r="A23565" s="56"/>
    </row>
    <row r="23566" spans="1:1">
      <c r="A23566" s="56"/>
    </row>
    <row r="23567" spans="1:1">
      <c r="A23567" s="56"/>
    </row>
    <row r="23568" spans="1:1">
      <c r="A23568" s="56"/>
    </row>
    <row r="23569" spans="1:1">
      <c r="A23569" s="56"/>
    </row>
    <row r="23570" spans="1:1">
      <c r="A23570" s="56"/>
    </row>
    <row r="23571" spans="1:1">
      <c r="A23571" s="56"/>
    </row>
    <row r="23572" spans="1:1">
      <c r="A23572" s="56"/>
    </row>
    <row r="23573" spans="1:1">
      <c r="A23573" s="56"/>
    </row>
    <row r="23574" spans="1:1">
      <c r="A23574" s="56"/>
    </row>
    <row r="23575" spans="1:1">
      <c r="A23575" s="56"/>
    </row>
    <row r="23576" spans="1:1">
      <c r="A23576" s="56"/>
    </row>
    <row r="23577" spans="1:1">
      <c r="A23577" s="56"/>
    </row>
    <row r="23578" spans="1:1">
      <c r="A23578" s="56"/>
    </row>
    <row r="23579" spans="1:1">
      <c r="A23579" s="56"/>
    </row>
    <row r="23580" spans="1:1">
      <c r="A23580" s="56"/>
    </row>
    <row r="23581" spans="1:1">
      <c r="A23581" s="56"/>
    </row>
    <row r="23582" spans="1:1">
      <c r="A23582" s="56"/>
    </row>
    <row r="23583" spans="1:1">
      <c r="A23583" s="56"/>
    </row>
    <row r="23584" spans="1:1">
      <c r="A23584" s="56"/>
    </row>
    <row r="23585" spans="1:1">
      <c r="A23585" s="56"/>
    </row>
    <row r="23586" spans="1:1">
      <c r="A23586" s="56"/>
    </row>
    <row r="23587" spans="1:1">
      <c r="A23587" s="56"/>
    </row>
    <row r="23588" spans="1:1">
      <c r="A23588" s="56"/>
    </row>
    <row r="23589" spans="1:1">
      <c r="A23589" s="56"/>
    </row>
    <row r="23590" spans="1:1">
      <c r="A23590" s="56"/>
    </row>
    <row r="23591" spans="1:1">
      <c r="A23591" s="56"/>
    </row>
    <row r="23592" spans="1:1">
      <c r="A23592" s="56"/>
    </row>
    <row r="23593" spans="1:1">
      <c r="A23593" s="56"/>
    </row>
    <row r="23594" spans="1:1">
      <c r="A23594" s="56"/>
    </row>
    <row r="23595" spans="1:1">
      <c r="A23595" s="56"/>
    </row>
    <row r="23596" spans="1:1">
      <c r="A23596" s="56"/>
    </row>
    <row r="23597" spans="1:1">
      <c r="A23597" s="56"/>
    </row>
    <row r="23598" spans="1:1">
      <c r="A23598" s="56"/>
    </row>
    <row r="23599" spans="1:1">
      <c r="A23599" s="56"/>
    </row>
    <row r="23600" spans="1:1">
      <c r="A23600" s="56"/>
    </row>
    <row r="23601" spans="1:1">
      <c r="A23601" s="56"/>
    </row>
    <row r="23602" spans="1:1">
      <c r="A23602" s="56"/>
    </row>
    <row r="23603" spans="1:1">
      <c r="A23603" s="56"/>
    </row>
    <row r="23604" spans="1:1">
      <c r="A23604" s="56"/>
    </row>
    <row r="23605" spans="1:1">
      <c r="A23605" s="56"/>
    </row>
    <row r="23606" spans="1:1">
      <c r="A23606" s="56"/>
    </row>
    <row r="23607" spans="1:1">
      <c r="A23607" s="56"/>
    </row>
    <row r="23608" spans="1:1">
      <c r="A23608" s="56"/>
    </row>
    <row r="23609" spans="1:1">
      <c r="A23609" s="56"/>
    </row>
    <row r="23610" spans="1:1">
      <c r="A23610" s="56"/>
    </row>
    <row r="23611" spans="1:1">
      <c r="A23611" s="56"/>
    </row>
    <row r="23612" spans="1:1">
      <c r="A23612" s="56"/>
    </row>
    <row r="23613" spans="1:1">
      <c r="A23613" s="56"/>
    </row>
    <row r="23614" spans="1:1">
      <c r="A23614" s="56"/>
    </row>
    <row r="23615" spans="1:1">
      <c r="A23615" s="56"/>
    </row>
    <row r="23616" spans="1:1">
      <c r="A23616" s="56"/>
    </row>
    <row r="23617" spans="1:1">
      <c r="A23617" s="56"/>
    </row>
    <row r="23618" spans="1:1">
      <c r="A23618" s="56"/>
    </row>
    <row r="23619" spans="1:1">
      <c r="A23619" s="56"/>
    </row>
    <row r="23620" spans="1:1">
      <c r="A23620" s="56"/>
    </row>
    <row r="23621" spans="1:1">
      <c r="A23621" s="56"/>
    </row>
    <row r="23622" spans="1:1">
      <c r="A23622" s="56"/>
    </row>
    <row r="23623" spans="1:1">
      <c r="A23623" s="56"/>
    </row>
    <row r="23624" spans="1:1">
      <c r="A23624" s="56"/>
    </row>
    <row r="23625" spans="1:1">
      <c r="A23625" s="56"/>
    </row>
    <row r="23626" spans="1:1">
      <c r="A23626" s="56"/>
    </row>
    <row r="23627" spans="1:1">
      <c r="A23627" s="56"/>
    </row>
    <row r="23628" spans="1:1">
      <c r="A23628" s="56"/>
    </row>
    <row r="23629" spans="1:1">
      <c r="A23629" s="56"/>
    </row>
    <row r="23630" spans="1:1">
      <c r="A23630" s="56"/>
    </row>
    <row r="23631" spans="1:1">
      <c r="A23631" s="56"/>
    </row>
    <row r="23632" spans="1:1">
      <c r="A23632" s="56"/>
    </row>
    <row r="23633" spans="1:1">
      <c r="A23633" s="56"/>
    </row>
    <row r="23634" spans="1:1">
      <c r="A23634" s="56"/>
    </row>
    <row r="23635" spans="1:1">
      <c r="A23635" s="56"/>
    </row>
    <row r="23636" spans="1:1">
      <c r="A23636" s="56"/>
    </row>
    <row r="23637" spans="1:1">
      <c r="A23637" s="56"/>
    </row>
    <row r="23638" spans="1:1">
      <c r="A23638" s="56"/>
    </row>
    <row r="23639" spans="1:1">
      <c r="A23639" s="56"/>
    </row>
    <row r="23640" spans="1:1">
      <c r="A23640" s="56"/>
    </row>
    <row r="23641" spans="1:1">
      <c r="A23641" s="56"/>
    </row>
    <row r="23642" spans="1:1">
      <c r="A23642" s="56"/>
    </row>
    <row r="23643" spans="1:1">
      <c r="A23643" s="56"/>
    </row>
    <row r="23644" spans="1:1">
      <c r="A23644" s="56"/>
    </row>
    <row r="23645" spans="1:1">
      <c r="A23645" s="56"/>
    </row>
    <row r="23646" spans="1:1">
      <c r="A23646" s="56"/>
    </row>
    <row r="23647" spans="1:1">
      <c r="A23647" s="56"/>
    </row>
    <row r="23648" spans="1:1">
      <c r="A23648" s="56"/>
    </row>
    <row r="23649" spans="1:1">
      <c r="A23649" s="56"/>
    </row>
    <row r="23650" spans="1:1">
      <c r="A23650" s="56"/>
    </row>
    <row r="23651" spans="1:1">
      <c r="A23651" s="56"/>
    </row>
    <row r="23652" spans="1:1">
      <c r="A23652" s="56"/>
    </row>
    <row r="23653" spans="1:1">
      <c r="A23653" s="56"/>
    </row>
    <row r="23654" spans="1:1">
      <c r="A23654" s="56"/>
    </row>
    <row r="23655" spans="1:1">
      <c r="A23655" s="56"/>
    </row>
    <row r="23656" spans="1:1">
      <c r="A23656" s="56"/>
    </row>
    <row r="23657" spans="1:1">
      <c r="A23657" s="56"/>
    </row>
    <row r="23658" spans="1:1">
      <c r="A23658" s="56"/>
    </row>
    <row r="23659" spans="1:1">
      <c r="A23659" s="56"/>
    </row>
    <row r="23660" spans="1:1">
      <c r="A23660" s="56"/>
    </row>
    <row r="23661" spans="1:1">
      <c r="A23661" s="56"/>
    </row>
    <row r="23662" spans="1:1">
      <c r="A23662" s="56"/>
    </row>
    <row r="23663" spans="1:1">
      <c r="A23663" s="56"/>
    </row>
    <row r="23664" spans="1:1">
      <c r="A23664" s="56"/>
    </row>
    <row r="23665" spans="1:1">
      <c r="A23665" s="56"/>
    </row>
    <row r="23666" spans="1:1">
      <c r="A23666" s="56"/>
    </row>
    <row r="23667" spans="1:1">
      <c r="A23667" s="56"/>
    </row>
    <row r="23668" spans="1:1">
      <c r="A23668" s="56"/>
    </row>
    <row r="23669" spans="1:1">
      <c r="A23669" s="56"/>
    </row>
    <row r="23670" spans="1:1">
      <c r="A23670" s="56"/>
    </row>
    <row r="23671" spans="1:1">
      <c r="A23671" s="56"/>
    </row>
    <row r="23672" spans="1:1">
      <c r="A23672" s="56"/>
    </row>
    <row r="23673" spans="1:1">
      <c r="A23673" s="56"/>
    </row>
    <row r="23674" spans="1:1">
      <c r="A23674" s="56"/>
    </row>
    <row r="23675" spans="1:1">
      <c r="A23675" s="56"/>
    </row>
    <row r="23676" spans="1:1">
      <c r="A23676" s="56"/>
    </row>
    <row r="23677" spans="1:1">
      <c r="A23677" s="56"/>
    </row>
    <row r="23678" spans="1:1">
      <c r="A23678" s="56"/>
    </row>
    <row r="23679" spans="1:1">
      <c r="A23679" s="56"/>
    </row>
    <row r="23680" spans="1:1">
      <c r="A23680" s="56"/>
    </row>
    <row r="23681" spans="1:1">
      <c r="A23681" s="56"/>
    </row>
    <row r="23682" spans="1:1">
      <c r="A23682" s="56"/>
    </row>
    <row r="23683" spans="1:1">
      <c r="A23683" s="56"/>
    </row>
    <row r="23684" spans="1:1">
      <c r="A23684" s="56"/>
    </row>
    <row r="23685" spans="1:1">
      <c r="A23685" s="56"/>
    </row>
    <row r="23686" spans="1:1">
      <c r="A23686" s="56"/>
    </row>
    <row r="23687" spans="1:1">
      <c r="A23687" s="56"/>
    </row>
    <row r="23688" spans="1:1">
      <c r="A23688" s="56"/>
    </row>
    <row r="23689" spans="1:1">
      <c r="A23689" s="56"/>
    </row>
    <row r="23690" spans="1:1">
      <c r="A23690" s="56"/>
    </row>
    <row r="23691" spans="1:1">
      <c r="A23691" s="56"/>
    </row>
    <row r="23692" spans="1:1">
      <c r="A23692" s="56"/>
    </row>
    <row r="23693" spans="1:1">
      <c r="A23693" s="56"/>
    </row>
    <row r="23694" spans="1:1">
      <c r="A23694" s="56"/>
    </row>
    <row r="23695" spans="1:1">
      <c r="A23695" s="56"/>
    </row>
    <row r="23696" spans="1:1">
      <c r="A23696" s="56"/>
    </row>
    <row r="23697" spans="1:1">
      <c r="A23697" s="56"/>
    </row>
    <row r="23698" spans="1:1">
      <c r="A23698" s="56"/>
    </row>
    <row r="23699" spans="1:1">
      <c r="A23699" s="56"/>
    </row>
    <row r="23700" spans="1:1">
      <c r="A23700" s="56"/>
    </row>
    <row r="23701" spans="1:1">
      <c r="A23701" s="56"/>
    </row>
    <row r="23702" spans="1:1">
      <c r="A23702" s="56"/>
    </row>
    <row r="23703" spans="1:1">
      <c r="A23703" s="56"/>
    </row>
    <row r="23704" spans="1:1">
      <c r="A23704" s="56"/>
    </row>
    <row r="23705" spans="1:1">
      <c r="A23705" s="56"/>
    </row>
    <row r="23706" spans="1:1">
      <c r="A23706" s="56"/>
    </row>
    <row r="23707" spans="1:1">
      <c r="A23707" s="56"/>
    </row>
    <row r="23708" spans="1:1">
      <c r="A23708" s="56"/>
    </row>
    <row r="23709" spans="1:1">
      <c r="A23709" s="56"/>
    </row>
    <row r="23710" spans="1:1">
      <c r="A23710" s="56"/>
    </row>
    <row r="23711" spans="1:1">
      <c r="A23711" s="56"/>
    </row>
    <row r="23712" spans="1:1">
      <c r="A23712" s="56"/>
    </row>
    <row r="23713" spans="1:1">
      <c r="A23713" s="56"/>
    </row>
    <row r="23714" spans="1:1">
      <c r="A23714" s="56"/>
    </row>
    <row r="23715" spans="1:1">
      <c r="A23715" s="56"/>
    </row>
    <row r="23716" spans="1:1">
      <c r="A23716" s="56"/>
    </row>
    <row r="23717" spans="1:1">
      <c r="A23717" s="56"/>
    </row>
    <row r="23718" spans="1:1">
      <c r="A23718" s="56"/>
    </row>
    <row r="23719" spans="1:1">
      <c r="A23719" s="56"/>
    </row>
    <row r="23720" spans="1:1">
      <c r="A23720" s="56"/>
    </row>
    <row r="23721" spans="1:1">
      <c r="A23721" s="56"/>
    </row>
    <row r="23722" spans="1:1">
      <c r="A23722" s="56"/>
    </row>
    <row r="23723" spans="1:1">
      <c r="A23723" s="56"/>
    </row>
    <row r="23724" spans="1:1">
      <c r="A23724" s="56"/>
    </row>
    <row r="23725" spans="1:1">
      <c r="A23725" s="56"/>
    </row>
    <row r="23726" spans="1:1">
      <c r="A23726" s="56"/>
    </row>
    <row r="23727" spans="1:1">
      <c r="A23727" s="56"/>
    </row>
    <row r="23728" spans="1:1">
      <c r="A23728" s="56"/>
    </row>
    <row r="23729" spans="1:1">
      <c r="A23729" s="56"/>
    </row>
    <row r="23730" spans="1:1">
      <c r="A23730" s="56"/>
    </row>
    <row r="23731" spans="1:1">
      <c r="A23731" s="56"/>
    </row>
    <row r="23732" spans="1:1">
      <c r="A23732" s="56"/>
    </row>
    <row r="23733" spans="1:1">
      <c r="A23733" s="56"/>
    </row>
    <row r="23734" spans="1:1">
      <c r="A23734" s="56"/>
    </row>
    <row r="23735" spans="1:1">
      <c r="A23735" s="56"/>
    </row>
    <row r="23736" spans="1:1">
      <c r="A23736" s="56"/>
    </row>
    <row r="23737" spans="1:1">
      <c r="A23737" s="56"/>
    </row>
    <row r="23738" spans="1:1">
      <c r="A23738" s="56"/>
    </row>
    <row r="23739" spans="1:1">
      <c r="A23739" s="56"/>
    </row>
    <row r="23740" spans="1:1">
      <c r="A23740" s="56"/>
    </row>
    <row r="23741" spans="1:1">
      <c r="A23741" s="56"/>
    </row>
    <row r="23742" spans="1:1">
      <c r="A23742" s="56"/>
    </row>
    <row r="23743" spans="1:1">
      <c r="A23743" s="56"/>
    </row>
    <row r="23744" spans="1:1">
      <c r="A23744" s="56"/>
    </row>
    <row r="23745" spans="1:1">
      <c r="A23745" s="56"/>
    </row>
    <row r="23746" spans="1:1">
      <c r="A23746" s="56"/>
    </row>
    <row r="23747" spans="1:1">
      <c r="A23747" s="56"/>
    </row>
    <row r="23748" spans="1:1">
      <c r="A23748" s="56"/>
    </row>
    <row r="23749" spans="1:1">
      <c r="A23749" s="56"/>
    </row>
    <row r="23750" spans="1:1">
      <c r="A23750" s="56"/>
    </row>
    <row r="23751" spans="1:1">
      <c r="A23751" s="56"/>
    </row>
    <row r="23752" spans="1:1">
      <c r="A23752" s="56"/>
    </row>
    <row r="23753" spans="1:1">
      <c r="A23753" s="56"/>
    </row>
    <row r="23754" spans="1:1">
      <c r="A23754" s="56"/>
    </row>
    <row r="23755" spans="1:1">
      <c r="A23755" s="56"/>
    </row>
    <row r="23756" spans="1:1">
      <c r="A23756" s="56"/>
    </row>
    <row r="23757" spans="1:1">
      <c r="A23757" s="56"/>
    </row>
    <row r="23758" spans="1:1">
      <c r="A23758" s="56"/>
    </row>
    <row r="23759" spans="1:1">
      <c r="A23759" s="56"/>
    </row>
    <row r="23760" spans="1:1">
      <c r="A23760" s="56"/>
    </row>
    <row r="23761" spans="1:1">
      <c r="A23761" s="56"/>
    </row>
    <row r="23762" spans="1:1">
      <c r="A23762" s="56"/>
    </row>
    <row r="23763" spans="1:1">
      <c r="A23763" s="56"/>
    </row>
    <row r="23764" spans="1:1">
      <c r="A23764" s="56"/>
    </row>
    <row r="23765" spans="1:1">
      <c r="A23765" s="56"/>
    </row>
    <row r="23766" spans="1:1">
      <c r="A23766" s="56"/>
    </row>
    <row r="23767" spans="1:1">
      <c r="A23767" s="56"/>
    </row>
    <row r="23768" spans="1:1">
      <c r="A23768" s="56"/>
    </row>
    <row r="23769" spans="1:1">
      <c r="A23769" s="56"/>
    </row>
    <row r="23770" spans="1:1">
      <c r="A23770" s="56"/>
    </row>
    <row r="23771" spans="1:1">
      <c r="A23771" s="56"/>
    </row>
    <row r="23772" spans="1:1">
      <c r="A23772" s="56"/>
    </row>
    <row r="23773" spans="1:1">
      <c r="A23773" s="56"/>
    </row>
    <row r="23774" spans="1:1">
      <c r="A23774" s="56"/>
    </row>
    <row r="23775" spans="1:1">
      <c r="A23775" s="56"/>
    </row>
    <row r="23776" spans="1:1">
      <c r="A23776" s="56"/>
    </row>
    <row r="23777" spans="1:1">
      <c r="A23777" s="56"/>
    </row>
    <row r="23778" spans="1:1">
      <c r="A23778" s="56"/>
    </row>
    <row r="23779" spans="1:1">
      <c r="A23779" s="56"/>
    </row>
    <row r="23780" spans="1:1">
      <c r="A23780" s="56"/>
    </row>
    <row r="23781" spans="1:1">
      <c r="A23781" s="56"/>
    </row>
    <row r="23782" spans="1:1">
      <c r="A23782" s="56"/>
    </row>
    <row r="23783" spans="1:1">
      <c r="A23783" s="56"/>
    </row>
    <row r="23784" spans="1:1">
      <c r="A23784" s="56"/>
    </row>
    <row r="23785" spans="1:1">
      <c r="A23785" s="56"/>
    </row>
    <row r="23786" spans="1:1">
      <c r="A23786" s="56"/>
    </row>
    <row r="23787" spans="1:1">
      <c r="A23787" s="56"/>
    </row>
    <row r="23788" spans="1:1">
      <c r="A23788" s="56"/>
    </row>
    <row r="23789" spans="1:1">
      <c r="A23789" s="56"/>
    </row>
    <row r="23790" spans="1:1">
      <c r="A23790" s="56"/>
    </row>
    <row r="23791" spans="1:1">
      <c r="A23791" s="56"/>
    </row>
    <row r="23792" spans="1:1">
      <c r="A23792" s="56"/>
    </row>
    <row r="23793" spans="1:1">
      <c r="A23793" s="56"/>
    </row>
    <row r="23794" spans="1:1">
      <c r="A23794" s="56"/>
    </row>
    <row r="23795" spans="1:1">
      <c r="A23795" s="56"/>
    </row>
    <row r="23796" spans="1:1">
      <c r="A23796" s="56"/>
    </row>
    <row r="23797" spans="1:1">
      <c r="A23797" s="56"/>
    </row>
    <row r="23798" spans="1:1">
      <c r="A23798" s="56"/>
    </row>
    <row r="23799" spans="1:1">
      <c r="A23799" s="56"/>
    </row>
    <row r="23800" spans="1:1">
      <c r="A23800" s="56"/>
    </row>
    <row r="23801" spans="1:1">
      <c r="A23801" s="56"/>
    </row>
    <row r="23802" spans="1:1">
      <c r="A23802" s="56"/>
    </row>
    <row r="23803" spans="1:1">
      <c r="A23803" s="56"/>
    </row>
    <row r="23804" spans="1:1">
      <c r="A23804" s="56"/>
    </row>
    <row r="23805" spans="1:1">
      <c r="A23805" s="56"/>
    </row>
    <row r="23806" spans="1:1">
      <c r="A23806" s="56"/>
    </row>
    <row r="23807" spans="1:1">
      <c r="A23807" s="56"/>
    </row>
    <row r="23808" spans="1:1">
      <c r="A23808" s="56"/>
    </row>
    <row r="23809" spans="1:1">
      <c r="A23809" s="56"/>
    </row>
    <row r="23810" spans="1:1">
      <c r="A23810" s="56"/>
    </row>
    <row r="23811" spans="1:1">
      <c r="A23811" s="56"/>
    </row>
    <row r="23812" spans="1:1">
      <c r="A23812" s="56"/>
    </row>
    <row r="23813" spans="1:1">
      <c r="A23813" s="56"/>
    </row>
    <row r="23814" spans="1:1">
      <c r="A23814" s="56"/>
    </row>
    <row r="23815" spans="1:1">
      <c r="A23815" s="56"/>
    </row>
    <row r="23816" spans="1:1">
      <c r="A23816" s="56"/>
    </row>
    <row r="23817" spans="1:1">
      <c r="A23817" s="56"/>
    </row>
    <row r="23818" spans="1:1">
      <c r="A23818" s="56"/>
    </row>
    <row r="23819" spans="1:1">
      <c r="A23819" s="56"/>
    </row>
    <row r="23820" spans="1:1">
      <c r="A23820" s="56"/>
    </row>
    <row r="23821" spans="1:1">
      <c r="A23821" s="56"/>
    </row>
    <row r="23822" spans="1:1">
      <c r="A23822" s="56"/>
    </row>
    <row r="23823" spans="1:1">
      <c r="A23823" s="56"/>
    </row>
    <row r="23824" spans="1:1">
      <c r="A23824" s="56"/>
    </row>
    <row r="23825" spans="1:1">
      <c r="A23825" s="56"/>
    </row>
    <row r="23826" spans="1:1">
      <c r="A23826" s="56"/>
    </row>
    <row r="23827" spans="1:1">
      <c r="A23827" s="56"/>
    </row>
    <row r="23828" spans="1:1">
      <c r="A23828" s="56"/>
    </row>
    <row r="23829" spans="1:1">
      <c r="A23829" s="56"/>
    </row>
    <row r="23830" spans="1:1">
      <c r="A23830" s="56"/>
    </row>
    <row r="23831" spans="1:1">
      <c r="A23831" s="56"/>
    </row>
    <row r="23832" spans="1:1">
      <c r="A23832" s="56"/>
    </row>
    <row r="23833" spans="1:1">
      <c r="A23833" s="56"/>
    </row>
    <row r="23834" spans="1:1">
      <c r="A23834" s="56"/>
    </row>
    <row r="23835" spans="1:1">
      <c r="A23835" s="56"/>
    </row>
    <row r="23836" spans="1:1">
      <c r="A23836" s="56"/>
    </row>
    <row r="23837" spans="1:1">
      <c r="A23837" s="56"/>
    </row>
    <row r="23838" spans="1:1">
      <c r="A23838" s="56"/>
    </row>
    <row r="23839" spans="1:1">
      <c r="A23839" s="56"/>
    </row>
    <row r="23840" spans="1:1">
      <c r="A23840" s="56"/>
    </row>
    <row r="23841" spans="1:1">
      <c r="A23841" s="56"/>
    </row>
    <row r="23842" spans="1:1">
      <c r="A23842" s="56"/>
    </row>
    <row r="23843" spans="1:1">
      <c r="A23843" s="56"/>
    </row>
    <row r="23844" spans="1:1">
      <c r="A23844" s="56"/>
    </row>
    <row r="23845" spans="1:1">
      <c r="A23845" s="56"/>
    </row>
    <row r="23846" spans="1:1">
      <c r="A23846" s="56"/>
    </row>
    <row r="23847" spans="1:1">
      <c r="A23847" s="56"/>
    </row>
    <row r="23848" spans="1:1">
      <c r="A23848" s="56"/>
    </row>
    <row r="23849" spans="1:1">
      <c r="A23849" s="56"/>
    </row>
    <row r="23850" spans="1:1">
      <c r="A23850" s="56"/>
    </row>
    <row r="23851" spans="1:1">
      <c r="A23851" s="56"/>
    </row>
    <row r="23852" spans="1:1">
      <c r="A23852" s="56"/>
    </row>
    <row r="23853" spans="1:1">
      <c r="A23853" s="56"/>
    </row>
    <row r="23854" spans="1:1">
      <c r="A23854" s="56"/>
    </row>
    <row r="23855" spans="1:1">
      <c r="A23855" s="56"/>
    </row>
    <row r="23856" spans="1:1">
      <c r="A23856" s="56"/>
    </row>
    <row r="23857" spans="1:1">
      <c r="A23857" s="56"/>
    </row>
    <row r="23858" spans="1:1">
      <c r="A23858" s="56"/>
    </row>
    <row r="23859" spans="1:1">
      <c r="A23859" s="56"/>
    </row>
    <row r="23860" spans="1:1">
      <c r="A23860" s="56"/>
    </row>
    <row r="23861" spans="1:1">
      <c r="A23861" s="56"/>
    </row>
    <row r="23862" spans="1:1">
      <c r="A23862" s="56"/>
    </row>
    <row r="23863" spans="1:1">
      <c r="A23863" s="56"/>
    </row>
    <row r="23864" spans="1:1">
      <c r="A23864" s="56"/>
    </row>
    <row r="23865" spans="1:1">
      <c r="A23865" s="56"/>
    </row>
    <row r="23866" spans="1:1">
      <c r="A23866" s="56"/>
    </row>
    <row r="23867" spans="1:1">
      <c r="A23867" s="56"/>
    </row>
    <row r="23868" spans="1:1">
      <c r="A23868" s="56"/>
    </row>
    <row r="23869" spans="1:1">
      <c r="A23869" s="56"/>
    </row>
    <row r="23870" spans="1:1">
      <c r="A23870" s="56"/>
    </row>
    <row r="23871" spans="1:1">
      <c r="A23871" s="56"/>
    </row>
    <row r="23872" spans="1:1">
      <c r="A23872" s="56"/>
    </row>
    <row r="23873" spans="1:1">
      <c r="A23873" s="56"/>
    </row>
    <row r="23874" spans="1:1">
      <c r="A23874" s="56"/>
    </row>
    <row r="23875" spans="1:1">
      <c r="A23875" s="56"/>
    </row>
    <row r="23876" spans="1:1">
      <c r="A23876" s="56"/>
    </row>
    <row r="23877" spans="1:1">
      <c r="A23877" s="56"/>
    </row>
    <row r="23878" spans="1:1">
      <c r="A23878" s="56"/>
    </row>
    <row r="23879" spans="1:1">
      <c r="A23879" s="56"/>
    </row>
    <row r="23880" spans="1:1">
      <c r="A23880" s="56"/>
    </row>
    <row r="23881" spans="1:1">
      <c r="A23881" s="56"/>
    </row>
    <row r="23882" spans="1:1">
      <c r="A23882" s="56"/>
    </row>
    <row r="23883" spans="1:1">
      <c r="A23883" s="56"/>
    </row>
    <row r="23884" spans="1:1">
      <c r="A23884" s="56"/>
    </row>
    <row r="23885" spans="1:1">
      <c r="A23885" s="56"/>
    </row>
    <row r="23886" spans="1:1">
      <c r="A23886" s="56"/>
    </row>
    <row r="23887" spans="1:1">
      <c r="A23887" s="56"/>
    </row>
    <row r="23888" spans="1:1">
      <c r="A23888" s="56"/>
    </row>
    <row r="23889" spans="1:1">
      <c r="A23889" s="56"/>
    </row>
    <row r="23890" spans="1:1">
      <c r="A23890" s="56"/>
    </row>
    <row r="23891" spans="1:1">
      <c r="A23891" s="56"/>
    </row>
    <row r="23892" spans="1:1">
      <c r="A23892" s="56"/>
    </row>
    <row r="23893" spans="1:1">
      <c r="A23893" s="56"/>
    </row>
    <row r="23894" spans="1:1">
      <c r="A23894" s="56"/>
    </row>
    <row r="23895" spans="1:1">
      <c r="A23895" s="56"/>
    </row>
    <row r="23896" spans="1:1">
      <c r="A23896" s="56"/>
    </row>
    <row r="23897" spans="1:1">
      <c r="A23897" s="56"/>
    </row>
    <row r="23898" spans="1:1">
      <c r="A23898" s="56"/>
    </row>
    <row r="23899" spans="1:1">
      <c r="A23899" s="56"/>
    </row>
    <row r="23900" spans="1:1">
      <c r="A23900" s="56"/>
    </row>
    <row r="23901" spans="1:1">
      <c r="A23901" s="56"/>
    </row>
    <row r="23902" spans="1:1">
      <c r="A23902" s="56"/>
    </row>
    <row r="23903" spans="1:1">
      <c r="A23903" s="56"/>
    </row>
    <row r="23904" spans="1:1">
      <c r="A23904" s="56"/>
    </row>
    <row r="23905" spans="1:1">
      <c r="A23905" s="56"/>
    </row>
    <row r="23906" spans="1:1">
      <c r="A23906" s="56"/>
    </row>
    <row r="23907" spans="1:1">
      <c r="A23907" s="56"/>
    </row>
    <row r="23908" spans="1:1">
      <c r="A23908" s="56"/>
    </row>
    <row r="23909" spans="1:1">
      <c r="A23909" s="56"/>
    </row>
    <row r="23910" spans="1:1">
      <c r="A23910" s="56"/>
    </row>
    <row r="23911" spans="1:1">
      <c r="A23911" s="56"/>
    </row>
    <row r="23912" spans="1:1">
      <c r="A23912" s="56"/>
    </row>
    <row r="23913" spans="1:1">
      <c r="A23913" s="56"/>
    </row>
    <row r="23914" spans="1:1">
      <c r="A23914" s="56"/>
    </row>
    <row r="23915" spans="1:1">
      <c r="A23915" s="56"/>
    </row>
    <row r="23916" spans="1:1">
      <c r="A23916" s="56"/>
    </row>
    <row r="23917" spans="1:1">
      <c r="A23917" s="56"/>
    </row>
    <row r="23918" spans="1:1">
      <c r="A23918" s="56"/>
    </row>
    <row r="23919" spans="1:1">
      <c r="A23919" s="56"/>
    </row>
    <row r="23920" spans="1:1">
      <c r="A23920" s="56"/>
    </row>
    <row r="23921" spans="1:1">
      <c r="A23921" s="56"/>
    </row>
    <row r="23922" spans="1:1">
      <c r="A23922" s="56"/>
    </row>
    <row r="23923" spans="1:1">
      <c r="A23923" s="56"/>
    </row>
    <row r="23924" spans="1:1">
      <c r="A23924" s="56"/>
    </row>
    <row r="23925" spans="1:1">
      <c r="A23925" s="56"/>
    </row>
    <row r="23926" spans="1:1">
      <c r="A23926" s="56"/>
    </row>
    <row r="23927" spans="1:1">
      <c r="A23927" s="56"/>
    </row>
    <row r="23928" spans="1:1">
      <c r="A23928" s="56"/>
    </row>
    <row r="23929" spans="1:1">
      <c r="A23929" s="56"/>
    </row>
    <row r="23930" spans="1:1">
      <c r="A23930" s="56"/>
    </row>
    <row r="23931" spans="1:1">
      <c r="A23931" s="56"/>
    </row>
    <row r="23932" spans="1:1">
      <c r="A23932" s="56"/>
    </row>
    <row r="23933" spans="1:1">
      <c r="A23933" s="56"/>
    </row>
    <row r="23934" spans="1:1">
      <c r="A23934" s="56"/>
    </row>
    <row r="23935" spans="1:1">
      <c r="A23935" s="56"/>
    </row>
    <row r="23936" spans="1:1">
      <c r="A23936" s="56"/>
    </row>
    <row r="23937" spans="1:1">
      <c r="A23937" s="56"/>
    </row>
    <row r="23938" spans="1:1">
      <c r="A23938" s="56"/>
    </row>
    <row r="23939" spans="1:1">
      <c r="A23939" s="56"/>
    </row>
    <row r="23940" spans="1:1">
      <c r="A23940" s="56"/>
    </row>
    <row r="23941" spans="1:1">
      <c r="A23941" s="56"/>
    </row>
    <row r="23942" spans="1:1">
      <c r="A23942" s="56"/>
    </row>
    <row r="23943" spans="1:1">
      <c r="A23943" s="56"/>
    </row>
    <row r="23944" spans="1:1">
      <c r="A23944" s="56"/>
    </row>
    <row r="23945" spans="1:1">
      <c r="A23945" s="56"/>
    </row>
    <row r="23946" spans="1:1">
      <c r="A23946" s="56"/>
    </row>
    <row r="23947" spans="1:1">
      <c r="A23947" s="56"/>
    </row>
    <row r="23948" spans="1:1">
      <c r="A23948" s="56"/>
    </row>
    <row r="23949" spans="1:1">
      <c r="A23949" s="56"/>
    </row>
    <row r="23950" spans="1:1">
      <c r="A23950" s="56"/>
    </row>
    <row r="23951" spans="1:1">
      <c r="A23951" s="56"/>
    </row>
    <row r="23952" spans="1:1">
      <c r="A23952" s="56"/>
    </row>
    <row r="23953" spans="1:1">
      <c r="A23953" s="56"/>
    </row>
    <row r="23954" spans="1:1">
      <c r="A23954" s="56"/>
    </row>
    <row r="23955" spans="1:1">
      <c r="A23955" s="56"/>
    </row>
    <row r="23956" spans="1:1">
      <c r="A23956" s="56"/>
    </row>
    <row r="23957" spans="1:1">
      <c r="A23957" s="56"/>
    </row>
    <row r="23958" spans="1:1">
      <c r="A23958" s="56"/>
    </row>
    <row r="23959" spans="1:1">
      <c r="A23959" s="56"/>
    </row>
    <row r="23960" spans="1:1">
      <c r="A23960" s="56"/>
    </row>
    <row r="23961" spans="1:1">
      <c r="A23961" s="56"/>
    </row>
    <row r="23962" spans="1:1">
      <c r="A23962" s="56"/>
    </row>
    <row r="23963" spans="1:1">
      <c r="A23963" s="56"/>
    </row>
    <row r="23964" spans="1:1">
      <c r="A23964" s="56"/>
    </row>
    <row r="23965" spans="1:1">
      <c r="A23965" s="56"/>
    </row>
    <row r="23966" spans="1:1">
      <c r="A23966" s="56"/>
    </row>
    <row r="23967" spans="1:1">
      <c r="A23967" s="56"/>
    </row>
    <row r="23968" spans="1:1">
      <c r="A23968" s="56"/>
    </row>
    <row r="23969" spans="1:1">
      <c r="A23969" s="56"/>
    </row>
    <row r="23970" spans="1:1">
      <c r="A23970" s="56"/>
    </row>
    <row r="23971" spans="1:1">
      <c r="A23971" s="56"/>
    </row>
    <row r="23972" spans="1:1">
      <c r="A23972" s="56"/>
    </row>
    <row r="23973" spans="1:1">
      <c r="A23973" s="56"/>
    </row>
    <row r="23974" spans="1:1">
      <c r="A23974" s="56"/>
    </row>
    <row r="23975" spans="1:1">
      <c r="A23975" s="56"/>
    </row>
    <row r="23976" spans="1:1">
      <c r="A23976" s="56"/>
    </row>
    <row r="23977" spans="1:1">
      <c r="A23977" s="56"/>
    </row>
    <row r="23978" spans="1:1">
      <c r="A23978" s="56"/>
    </row>
    <row r="23979" spans="1:1">
      <c r="A23979" s="56"/>
    </row>
    <row r="23980" spans="1:1">
      <c r="A23980" s="56"/>
    </row>
    <row r="23981" spans="1:1">
      <c r="A23981" s="56"/>
    </row>
    <row r="23982" spans="1:1">
      <c r="A23982" s="56"/>
    </row>
    <row r="23983" spans="1:1">
      <c r="A23983" s="56"/>
    </row>
    <row r="23984" spans="1:1">
      <c r="A23984" s="56"/>
    </row>
    <row r="23985" spans="1:1">
      <c r="A23985" s="56"/>
    </row>
    <row r="23986" spans="1:1">
      <c r="A23986" s="56"/>
    </row>
    <row r="23987" spans="1:1">
      <c r="A23987" s="56"/>
    </row>
    <row r="23988" spans="1:1">
      <c r="A23988" s="56"/>
    </row>
    <row r="23989" spans="1:1">
      <c r="A23989" s="56"/>
    </row>
    <row r="23990" spans="1:1">
      <c r="A23990" s="56"/>
    </row>
    <row r="23991" spans="1:1">
      <c r="A23991" s="56"/>
    </row>
    <row r="23992" spans="1:1">
      <c r="A23992" s="56"/>
    </row>
    <row r="23993" spans="1:1">
      <c r="A23993" s="56"/>
    </row>
    <row r="23994" spans="1:1">
      <c r="A23994" s="56"/>
    </row>
    <row r="23995" spans="1:1">
      <c r="A23995" s="56"/>
    </row>
    <row r="23996" spans="1:1">
      <c r="A23996" s="56"/>
    </row>
    <row r="23997" spans="1:1">
      <c r="A23997" s="56"/>
    </row>
    <row r="23998" spans="1:1">
      <c r="A23998" s="56"/>
    </row>
    <row r="23999" spans="1:1">
      <c r="A23999" s="56"/>
    </row>
    <row r="24000" spans="1:1">
      <c r="A24000" s="56"/>
    </row>
    <row r="24001" spans="1:1">
      <c r="A24001" s="56"/>
    </row>
    <row r="24002" spans="1:1">
      <c r="A24002" s="56"/>
    </row>
    <row r="24003" spans="1:1">
      <c r="A24003" s="56"/>
    </row>
    <row r="24004" spans="1:1">
      <c r="A24004" s="56"/>
    </row>
    <row r="24005" spans="1:1">
      <c r="A24005" s="56"/>
    </row>
    <row r="24006" spans="1:1">
      <c r="A24006" s="56"/>
    </row>
    <row r="24007" spans="1:1">
      <c r="A24007" s="56"/>
    </row>
    <row r="24008" spans="1:1">
      <c r="A24008" s="56"/>
    </row>
    <row r="24009" spans="1:1">
      <c r="A24009" s="56"/>
    </row>
    <row r="24010" spans="1:1">
      <c r="A24010" s="56"/>
    </row>
    <row r="24011" spans="1:1">
      <c r="A24011" s="56"/>
    </row>
    <row r="24012" spans="1:1">
      <c r="A24012" s="56"/>
    </row>
    <row r="24013" spans="1:1">
      <c r="A24013" s="56"/>
    </row>
    <row r="24014" spans="1:1">
      <c r="A24014" s="56"/>
    </row>
    <row r="24015" spans="1:1">
      <c r="A24015" s="56"/>
    </row>
    <row r="24016" spans="1:1">
      <c r="A24016" s="56"/>
    </row>
    <row r="24017" spans="1:1">
      <c r="A24017" s="56"/>
    </row>
    <row r="24018" spans="1:1">
      <c r="A24018" s="56"/>
    </row>
    <row r="24019" spans="1:1">
      <c r="A24019" s="56"/>
    </row>
    <row r="24020" spans="1:1">
      <c r="A24020" s="56"/>
    </row>
    <row r="24021" spans="1:1">
      <c r="A24021" s="56"/>
    </row>
    <row r="24022" spans="1:1">
      <c r="A24022" s="56"/>
    </row>
    <row r="24023" spans="1:1">
      <c r="A24023" s="56"/>
    </row>
    <row r="24024" spans="1:1">
      <c r="A24024" s="56"/>
    </row>
    <row r="24025" spans="1:1">
      <c r="A24025" s="56"/>
    </row>
    <row r="24026" spans="1:1">
      <c r="A24026" s="56"/>
    </row>
    <row r="24027" spans="1:1">
      <c r="A24027" s="56"/>
    </row>
    <row r="24028" spans="1:1">
      <c r="A24028" s="56"/>
    </row>
    <row r="24029" spans="1:1">
      <c r="A24029" s="56"/>
    </row>
    <row r="24030" spans="1:1">
      <c r="A24030" s="56"/>
    </row>
    <row r="24031" spans="1:1">
      <c r="A24031" s="56"/>
    </row>
    <row r="24032" spans="1:1">
      <c r="A24032" s="56"/>
    </row>
    <row r="24033" spans="1:1">
      <c r="A24033" s="56"/>
    </row>
    <row r="24034" spans="1:1">
      <c r="A24034" s="56"/>
    </row>
    <row r="24035" spans="1:1">
      <c r="A24035" s="56"/>
    </row>
    <row r="24036" spans="1:1">
      <c r="A24036" s="56"/>
    </row>
    <row r="24037" spans="1:1">
      <c r="A24037" s="56"/>
    </row>
    <row r="24038" spans="1:1">
      <c r="A24038" s="56"/>
    </row>
    <row r="24039" spans="1:1">
      <c r="A24039" s="56"/>
    </row>
    <row r="24040" spans="1:1">
      <c r="A24040" s="56"/>
    </row>
    <row r="24041" spans="1:1">
      <c r="A24041" s="56"/>
    </row>
    <row r="24042" spans="1:1">
      <c r="A24042" s="56"/>
    </row>
    <row r="24043" spans="1:1">
      <c r="A24043" s="56"/>
    </row>
    <row r="24044" spans="1:1">
      <c r="A24044" s="56"/>
    </row>
    <row r="24045" spans="1:1">
      <c r="A24045" s="56"/>
    </row>
    <row r="24046" spans="1:1">
      <c r="A24046" s="56"/>
    </row>
    <row r="24047" spans="1:1">
      <c r="A24047" s="56"/>
    </row>
    <row r="24048" spans="1:1">
      <c r="A24048" s="56"/>
    </row>
    <row r="24049" spans="1:1">
      <c r="A24049" s="56"/>
    </row>
    <row r="24050" spans="1:1">
      <c r="A24050" s="56"/>
    </row>
    <row r="24051" spans="1:1">
      <c r="A24051" s="56"/>
    </row>
    <row r="24052" spans="1:1">
      <c r="A24052" s="56"/>
    </row>
    <row r="24053" spans="1:1">
      <c r="A24053" s="56"/>
    </row>
    <row r="24054" spans="1:1">
      <c r="A24054" s="56"/>
    </row>
    <row r="24055" spans="1:1">
      <c r="A24055" s="56"/>
    </row>
    <row r="24056" spans="1:1">
      <c r="A24056" s="56"/>
    </row>
    <row r="24057" spans="1:1">
      <c r="A24057" s="56"/>
    </row>
    <row r="24058" spans="1:1">
      <c r="A24058" s="56"/>
    </row>
    <row r="24059" spans="1:1">
      <c r="A24059" s="56"/>
    </row>
    <row r="24060" spans="1:1">
      <c r="A24060" s="56"/>
    </row>
    <row r="24061" spans="1:1">
      <c r="A24061" s="56"/>
    </row>
    <row r="24062" spans="1:1">
      <c r="A24062" s="56"/>
    </row>
    <row r="24063" spans="1:1">
      <c r="A24063" s="56"/>
    </row>
    <row r="24064" spans="1:1">
      <c r="A24064" s="56"/>
    </row>
    <row r="24065" spans="1:1">
      <c r="A24065" s="56"/>
    </row>
    <row r="24066" spans="1:1">
      <c r="A24066" s="56"/>
    </row>
    <row r="24067" spans="1:1">
      <c r="A24067" s="56"/>
    </row>
    <row r="24068" spans="1:1">
      <c r="A24068" s="56"/>
    </row>
    <row r="24069" spans="1:1">
      <c r="A24069" s="56"/>
    </row>
    <row r="24070" spans="1:1">
      <c r="A24070" s="56"/>
    </row>
    <row r="24071" spans="1:1">
      <c r="A24071" s="56"/>
    </row>
    <row r="24072" spans="1:1">
      <c r="A24072" s="56"/>
    </row>
    <row r="24073" spans="1:1">
      <c r="A24073" s="56"/>
    </row>
    <row r="24074" spans="1:1">
      <c r="A24074" s="56"/>
    </row>
    <row r="24075" spans="1:1">
      <c r="A24075" s="56"/>
    </row>
    <row r="24076" spans="1:1">
      <c r="A24076" s="56"/>
    </row>
    <row r="24077" spans="1:1">
      <c r="A24077" s="56"/>
    </row>
    <row r="24078" spans="1:1">
      <c r="A24078" s="56"/>
    </row>
    <row r="24079" spans="1:1">
      <c r="A24079" s="56"/>
    </row>
    <row r="24080" spans="1:1">
      <c r="A24080" s="56"/>
    </row>
    <row r="24081" spans="1:1">
      <c r="A24081" s="56"/>
    </row>
    <row r="24082" spans="1:1">
      <c r="A24082" s="56"/>
    </row>
    <row r="24083" spans="1:1">
      <c r="A24083" s="56"/>
    </row>
    <row r="24084" spans="1:1">
      <c r="A24084" s="56"/>
    </row>
    <row r="24085" spans="1:1">
      <c r="A24085" s="56"/>
    </row>
    <row r="24086" spans="1:1">
      <c r="A24086" s="56"/>
    </row>
    <row r="24087" spans="1:1">
      <c r="A24087" s="56"/>
    </row>
    <row r="24088" spans="1:1">
      <c r="A24088" s="56"/>
    </row>
    <row r="24089" spans="1:1">
      <c r="A24089" s="56"/>
    </row>
    <row r="24090" spans="1:1">
      <c r="A24090" s="56"/>
    </row>
    <row r="24091" spans="1:1">
      <c r="A24091" s="56"/>
    </row>
    <row r="24092" spans="1:1">
      <c r="A24092" s="56"/>
    </row>
    <row r="24093" spans="1:1">
      <c r="A24093" s="56"/>
    </row>
    <row r="24094" spans="1:1">
      <c r="A24094" s="56"/>
    </row>
    <row r="24095" spans="1:1">
      <c r="A24095" s="56"/>
    </row>
    <row r="24096" spans="1:1">
      <c r="A24096" s="56"/>
    </row>
    <row r="24097" spans="1:1">
      <c r="A24097" s="56"/>
    </row>
    <row r="24098" spans="1:1">
      <c r="A24098" s="56"/>
    </row>
    <row r="24099" spans="1:1">
      <c r="A24099" s="56"/>
    </row>
    <row r="24100" spans="1:1">
      <c r="A24100" s="56"/>
    </row>
    <row r="24101" spans="1:1">
      <c r="A24101" s="56"/>
    </row>
    <row r="24102" spans="1:1">
      <c r="A24102" s="56"/>
    </row>
    <row r="24103" spans="1:1">
      <c r="A24103" s="56"/>
    </row>
    <row r="24104" spans="1:1">
      <c r="A24104" s="56"/>
    </row>
    <row r="24105" spans="1:1">
      <c r="A24105" s="56"/>
    </row>
    <row r="24106" spans="1:1">
      <c r="A24106" s="56"/>
    </row>
    <row r="24107" spans="1:1">
      <c r="A24107" s="56"/>
    </row>
    <row r="24108" spans="1:1">
      <c r="A24108" s="56"/>
    </row>
    <row r="24109" spans="1:1">
      <c r="A24109" s="56"/>
    </row>
    <row r="24110" spans="1:1">
      <c r="A24110" s="56"/>
    </row>
    <row r="24111" spans="1:1">
      <c r="A24111" s="56"/>
    </row>
    <row r="24112" spans="1:1">
      <c r="A24112" s="56"/>
    </row>
    <row r="24113" spans="1:1">
      <c r="A24113" s="56"/>
    </row>
    <row r="24114" spans="1:1">
      <c r="A24114" s="56"/>
    </row>
    <row r="24115" spans="1:1">
      <c r="A24115" s="56"/>
    </row>
    <row r="24116" spans="1:1">
      <c r="A24116" s="56"/>
    </row>
    <row r="24117" spans="1:1">
      <c r="A24117" s="56"/>
    </row>
    <row r="24118" spans="1:1">
      <c r="A24118" s="56"/>
    </row>
    <row r="24119" spans="1:1">
      <c r="A24119" s="56"/>
    </row>
    <row r="24120" spans="1:1">
      <c r="A24120" s="56"/>
    </row>
    <row r="24121" spans="1:1">
      <c r="A24121" s="56"/>
    </row>
    <row r="24122" spans="1:1">
      <c r="A24122" s="56"/>
    </row>
    <row r="24123" spans="1:1">
      <c r="A24123" s="56"/>
    </row>
    <row r="24124" spans="1:1">
      <c r="A24124" s="56"/>
    </row>
    <row r="24125" spans="1:1">
      <c r="A24125" s="56"/>
    </row>
    <row r="24126" spans="1:1">
      <c r="A24126" s="56"/>
    </row>
    <row r="24127" spans="1:1">
      <c r="A24127" s="56"/>
    </row>
    <row r="24128" spans="1:1">
      <c r="A24128" s="56"/>
    </row>
    <row r="24129" spans="1:1">
      <c r="A24129" s="56"/>
    </row>
    <row r="24130" spans="1:1">
      <c r="A24130" s="56"/>
    </row>
    <row r="24131" spans="1:1">
      <c r="A24131" s="56"/>
    </row>
    <row r="24132" spans="1:1">
      <c r="A24132" s="56"/>
    </row>
    <row r="24133" spans="1:1">
      <c r="A24133" s="56"/>
    </row>
    <row r="24134" spans="1:1">
      <c r="A24134" s="56"/>
    </row>
    <row r="24135" spans="1:1">
      <c r="A24135" s="56"/>
    </row>
    <row r="24136" spans="1:1">
      <c r="A24136" s="56"/>
    </row>
    <row r="24137" spans="1:1">
      <c r="A24137" s="56"/>
    </row>
    <row r="24138" spans="1:1">
      <c r="A24138" s="56"/>
    </row>
    <row r="24139" spans="1:1">
      <c r="A24139" s="56"/>
    </row>
    <row r="24140" spans="1:1">
      <c r="A24140" s="56"/>
    </row>
    <row r="24141" spans="1:1">
      <c r="A24141" s="56"/>
    </row>
    <row r="24142" spans="1:1">
      <c r="A24142" s="56"/>
    </row>
    <row r="24143" spans="1:1">
      <c r="A24143" s="56"/>
    </row>
    <row r="24144" spans="1:1">
      <c r="A24144" s="56"/>
    </row>
    <row r="24145" spans="1:1">
      <c r="A24145" s="56"/>
    </row>
    <row r="24146" spans="1:1">
      <c r="A24146" s="56"/>
    </row>
    <row r="24147" spans="1:1">
      <c r="A24147" s="56"/>
    </row>
    <row r="24148" spans="1:1">
      <c r="A24148" s="56"/>
    </row>
    <row r="24149" spans="1:1">
      <c r="A24149" s="56"/>
    </row>
    <row r="24150" spans="1:1">
      <c r="A24150" s="56"/>
    </row>
    <row r="24151" spans="1:1">
      <c r="A24151" s="56"/>
    </row>
    <row r="24152" spans="1:1">
      <c r="A24152" s="56"/>
    </row>
    <row r="24153" spans="1:1">
      <c r="A24153" s="56"/>
    </row>
    <row r="24154" spans="1:1">
      <c r="A24154" s="56"/>
    </row>
    <row r="24155" spans="1:1">
      <c r="A24155" s="56"/>
    </row>
    <row r="24156" spans="1:1">
      <c r="A24156" s="56"/>
    </row>
    <row r="24157" spans="1:1">
      <c r="A24157" s="56"/>
    </row>
    <row r="24158" spans="1:1">
      <c r="A24158" s="56"/>
    </row>
    <row r="24159" spans="1:1">
      <c r="A24159" s="56"/>
    </row>
    <row r="24160" spans="1:1">
      <c r="A24160" s="56"/>
    </row>
    <row r="24161" spans="1:1">
      <c r="A24161" s="56"/>
    </row>
    <row r="24162" spans="1:1">
      <c r="A24162" s="56"/>
    </row>
    <row r="24163" spans="1:1">
      <c r="A24163" s="56"/>
    </row>
    <row r="24164" spans="1:1">
      <c r="A24164" s="56"/>
    </row>
    <row r="24165" spans="1:1">
      <c r="A24165" s="56"/>
    </row>
    <row r="24166" spans="1:1">
      <c r="A24166" s="56"/>
    </row>
    <row r="24167" spans="1:1">
      <c r="A24167" s="56"/>
    </row>
    <row r="24168" spans="1:1">
      <c r="A24168" s="56"/>
    </row>
    <row r="24169" spans="1:1">
      <c r="A24169" s="56"/>
    </row>
    <row r="24170" spans="1:1">
      <c r="A24170" s="56"/>
    </row>
    <row r="24171" spans="1:1">
      <c r="A24171" s="56"/>
    </row>
    <row r="24172" spans="1:1">
      <c r="A24172" s="56"/>
    </row>
    <row r="24173" spans="1:1">
      <c r="A24173" s="56"/>
    </row>
    <row r="24174" spans="1:1">
      <c r="A24174" s="56"/>
    </row>
    <row r="24175" spans="1:1">
      <c r="A24175" s="56"/>
    </row>
    <row r="24176" spans="1:1">
      <c r="A24176" s="56"/>
    </row>
    <row r="24177" spans="1:1">
      <c r="A24177" s="56"/>
    </row>
    <row r="24178" spans="1:1">
      <c r="A24178" s="56"/>
    </row>
    <row r="24179" spans="1:1">
      <c r="A24179" s="56"/>
    </row>
    <row r="24180" spans="1:1">
      <c r="A24180" s="56"/>
    </row>
    <row r="24181" spans="1:1">
      <c r="A24181" s="56"/>
    </row>
    <row r="24182" spans="1:1">
      <c r="A24182" s="56"/>
    </row>
    <row r="24183" spans="1:1">
      <c r="A24183" s="56"/>
    </row>
    <row r="24184" spans="1:1">
      <c r="A24184" s="56"/>
    </row>
    <row r="24185" spans="1:1">
      <c r="A24185" s="56"/>
    </row>
    <row r="24186" spans="1:1">
      <c r="A24186" s="56"/>
    </row>
    <row r="24187" spans="1:1">
      <c r="A24187" s="56"/>
    </row>
    <row r="24188" spans="1:1">
      <c r="A24188" s="56"/>
    </row>
    <row r="24189" spans="1:1">
      <c r="A24189" s="56"/>
    </row>
    <row r="24190" spans="1:1">
      <c r="A24190" s="56"/>
    </row>
    <row r="24191" spans="1:1">
      <c r="A24191" s="56"/>
    </row>
    <row r="24192" spans="1:1">
      <c r="A24192" s="56"/>
    </row>
    <row r="24193" spans="1:1">
      <c r="A24193" s="56"/>
    </row>
    <row r="24194" spans="1:1">
      <c r="A24194" s="56"/>
    </row>
    <row r="24195" spans="1:1">
      <c r="A24195" s="56"/>
    </row>
    <row r="24196" spans="1:1">
      <c r="A24196" s="56"/>
    </row>
    <row r="24197" spans="1:1">
      <c r="A24197" s="56"/>
    </row>
    <row r="24198" spans="1:1">
      <c r="A24198" s="56"/>
    </row>
    <row r="24199" spans="1:1">
      <c r="A24199" s="56"/>
    </row>
    <row r="24200" spans="1:1">
      <c r="A24200" s="56"/>
    </row>
    <row r="24201" spans="1:1">
      <c r="A24201" s="56"/>
    </row>
    <row r="24202" spans="1:1">
      <c r="A24202" s="56"/>
    </row>
    <row r="24203" spans="1:1">
      <c r="A24203" s="56"/>
    </row>
    <row r="24204" spans="1:1">
      <c r="A24204" s="56"/>
    </row>
    <row r="24205" spans="1:1">
      <c r="A24205" s="56"/>
    </row>
    <row r="24206" spans="1:1">
      <c r="A24206" s="56"/>
    </row>
    <row r="24207" spans="1:1">
      <c r="A24207" s="56"/>
    </row>
    <row r="24208" spans="1:1">
      <c r="A24208" s="56"/>
    </row>
    <row r="24209" spans="1:1">
      <c r="A24209" s="56"/>
    </row>
    <row r="24210" spans="1:1">
      <c r="A24210" s="56"/>
    </row>
    <row r="24211" spans="1:1">
      <c r="A24211" s="56"/>
    </row>
    <row r="24212" spans="1:1">
      <c r="A24212" s="56"/>
    </row>
    <row r="24213" spans="1:1">
      <c r="A24213" s="56"/>
    </row>
    <row r="24214" spans="1:1">
      <c r="A24214" s="56"/>
    </row>
    <row r="24215" spans="1:1">
      <c r="A24215" s="56"/>
    </row>
    <row r="24216" spans="1:1">
      <c r="A24216" s="56"/>
    </row>
    <row r="24217" spans="1:1">
      <c r="A24217" s="56"/>
    </row>
    <row r="24218" spans="1:1">
      <c r="A24218" s="56"/>
    </row>
    <row r="24219" spans="1:1">
      <c r="A24219" s="56"/>
    </row>
    <row r="24220" spans="1:1">
      <c r="A24220" s="56"/>
    </row>
    <row r="24221" spans="1:1">
      <c r="A24221" s="56"/>
    </row>
    <row r="24222" spans="1:1">
      <c r="A24222" s="56"/>
    </row>
    <row r="24223" spans="1:1">
      <c r="A24223" s="56"/>
    </row>
    <row r="24224" spans="1:1">
      <c r="A24224" s="56"/>
    </row>
    <row r="24225" spans="1:1">
      <c r="A24225" s="56"/>
    </row>
    <row r="24226" spans="1:1">
      <c r="A24226" s="56"/>
    </row>
    <row r="24227" spans="1:1">
      <c r="A24227" s="56"/>
    </row>
    <row r="24228" spans="1:1">
      <c r="A24228" s="56"/>
    </row>
    <row r="24229" spans="1:1">
      <c r="A24229" s="56"/>
    </row>
    <row r="24230" spans="1:1">
      <c r="A24230" s="56"/>
    </row>
    <row r="24231" spans="1:1">
      <c r="A24231" s="56"/>
    </row>
    <row r="24232" spans="1:1">
      <c r="A24232" s="56"/>
    </row>
    <row r="24233" spans="1:1">
      <c r="A24233" s="56"/>
    </row>
    <row r="24234" spans="1:1">
      <c r="A24234" s="56"/>
    </row>
    <row r="24235" spans="1:1">
      <c r="A24235" s="56"/>
    </row>
    <row r="24236" spans="1:1">
      <c r="A24236" s="56"/>
    </row>
    <row r="24237" spans="1:1">
      <c r="A24237" s="56"/>
    </row>
    <row r="24238" spans="1:1">
      <c r="A24238" s="56"/>
    </row>
    <row r="24239" spans="1:1">
      <c r="A24239" s="56"/>
    </row>
    <row r="24240" spans="1:1">
      <c r="A24240" s="56"/>
    </row>
    <row r="24241" spans="1:1">
      <c r="A24241" s="56"/>
    </row>
    <row r="24242" spans="1:1">
      <c r="A24242" s="56"/>
    </row>
    <row r="24243" spans="1:1">
      <c r="A24243" s="56"/>
    </row>
    <row r="24244" spans="1:1">
      <c r="A24244" s="56"/>
    </row>
    <row r="24245" spans="1:1">
      <c r="A24245" s="56"/>
    </row>
    <row r="24246" spans="1:1">
      <c r="A24246" s="56"/>
    </row>
    <row r="24247" spans="1:1">
      <c r="A24247" s="56"/>
    </row>
    <row r="24248" spans="1:1">
      <c r="A24248" s="56"/>
    </row>
    <row r="24249" spans="1:1">
      <c r="A24249" s="56"/>
    </row>
    <row r="24250" spans="1:1">
      <c r="A24250" s="56"/>
    </row>
    <row r="24251" spans="1:1">
      <c r="A24251" s="56"/>
    </row>
    <row r="24252" spans="1:1">
      <c r="A24252" s="56"/>
    </row>
    <row r="24253" spans="1:1">
      <c r="A24253" s="56"/>
    </row>
    <row r="24254" spans="1:1">
      <c r="A24254" s="56"/>
    </row>
    <row r="24255" spans="1:1">
      <c r="A24255" s="56"/>
    </row>
    <row r="24256" spans="1:1">
      <c r="A24256" s="56"/>
    </row>
    <row r="24257" spans="1:1">
      <c r="A24257" s="56"/>
    </row>
    <row r="24258" spans="1:1">
      <c r="A24258" s="56"/>
    </row>
    <row r="24259" spans="1:1">
      <c r="A24259" s="56"/>
    </row>
    <row r="24260" spans="1:1">
      <c r="A24260" s="56"/>
    </row>
    <row r="24261" spans="1:1">
      <c r="A24261" s="56"/>
    </row>
    <row r="24262" spans="1:1">
      <c r="A24262" s="56"/>
    </row>
    <row r="24263" spans="1:1">
      <c r="A24263" s="56"/>
    </row>
    <row r="24264" spans="1:1">
      <c r="A24264" s="56"/>
    </row>
    <row r="24265" spans="1:1">
      <c r="A24265" s="56"/>
    </row>
    <row r="24266" spans="1:1">
      <c r="A24266" s="56"/>
    </row>
    <row r="24267" spans="1:1">
      <c r="A24267" s="56"/>
    </row>
    <row r="24268" spans="1:1">
      <c r="A24268" s="56"/>
    </row>
    <row r="24269" spans="1:1">
      <c r="A24269" s="56"/>
    </row>
    <row r="24270" spans="1:1">
      <c r="A24270" s="56"/>
    </row>
    <row r="24271" spans="1:1">
      <c r="A24271" s="56"/>
    </row>
    <row r="24272" spans="1:1">
      <c r="A24272" s="56"/>
    </row>
    <row r="24273" spans="1:1">
      <c r="A24273" s="56"/>
    </row>
    <row r="24274" spans="1:1">
      <c r="A24274" s="56"/>
    </row>
    <row r="24275" spans="1:1">
      <c r="A24275" s="56"/>
    </row>
    <row r="24276" spans="1:1">
      <c r="A24276" s="56"/>
    </row>
    <row r="24277" spans="1:1">
      <c r="A24277" s="56"/>
    </row>
    <row r="24278" spans="1:1">
      <c r="A24278" s="56"/>
    </row>
    <row r="24279" spans="1:1">
      <c r="A24279" s="56"/>
    </row>
    <row r="24280" spans="1:1">
      <c r="A24280" s="56"/>
    </row>
    <row r="24281" spans="1:1">
      <c r="A24281" s="56"/>
    </row>
    <row r="24282" spans="1:1">
      <c r="A24282" s="56"/>
    </row>
    <row r="24283" spans="1:1">
      <c r="A24283" s="56"/>
    </row>
    <row r="24284" spans="1:1">
      <c r="A24284" s="56"/>
    </row>
    <row r="24285" spans="1:1">
      <c r="A24285" s="56"/>
    </row>
    <row r="24286" spans="1:1">
      <c r="A24286" s="56"/>
    </row>
    <row r="24287" spans="1:1">
      <c r="A24287" s="56"/>
    </row>
    <row r="24288" spans="1:1">
      <c r="A24288" s="56"/>
    </row>
    <row r="24289" spans="1:1">
      <c r="A24289" s="56"/>
    </row>
    <row r="24290" spans="1:1">
      <c r="A24290" s="56"/>
    </row>
    <row r="24291" spans="1:1">
      <c r="A24291" s="56"/>
    </row>
    <row r="24292" spans="1:1">
      <c r="A24292" s="56"/>
    </row>
    <row r="24293" spans="1:1">
      <c r="A24293" s="56"/>
    </row>
    <row r="24294" spans="1:1">
      <c r="A24294" s="56"/>
    </row>
    <row r="24295" spans="1:1">
      <c r="A24295" s="56"/>
    </row>
    <row r="24296" spans="1:1">
      <c r="A24296" s="56"/>
    </row>
    <row r="24297" spans="1:1">
      <c r="A24297" s="56"/>
    </row>
    <row r="24298" spans="1:1">
      <c r="A24298" s="56"/>
    </row>
    <row r="24299" spans="1:1">
      <c r="A24299" s="56"/>
    </row>
    <row r="24300" spans="1:1">
      <c r="A24300" s="56"/>
    </row>
    <row r="24301" spans="1:1">
      <c r="A24301" s="56"/>
    </row>
    <row r="24302" spans="1:1">
      <c r="A24302" s="56"/>
    </row>
    <row r="24303" spans="1:1">
      <c r="A24303" s="56"/>
    </row>
    <row r="24304" spans="1:1">
      <c r="A24304" s="56"/>
    </row>
    <row r="24305" spans="1:1">
      <c r="A24305" s="56"/>
    </row>
    <row r="24306" spans="1:1">
      <c r="A24306" s="56"/>
    </row>
    <row r="24307" spans="1:1">
      <c r="A24307" s="56"/>
    </row>
    <row r="24308" spans="1:1">
      <c r="A24308" s="56"/>
    </row>
    <row r="24309" spans="1:1">
      <c r="A24309" s="56"/>
    </row>
    <row r="24310" spans="1:1">
      <c r="A24310" s="56"/>
    </row>
    <row r="24311" spans="1:1">
      <c r="A24311" s="56"/>
    </row>
    <row r="24312" spans="1:1">
      <c r="A24312" s="56"/>
    </row>
    <row r="24313" spans="1:1">
      <c r="A24313" s="56"/>
    </row>
    <row r="24314" spans="1:1">
      <c r="A24314" s="56"/>
    </row>
    <row r="24315" spans="1:1">
      <c r="A24315" s="56"/>
    </row>
    <row r="24316" spans="1:1">
      <c r="A24316" s="56"/>
    </row>
    <row r="24317" spans="1:1">
      <c r="A24317" s="56"/>
    </row>
    <row r="24318" spans="1:1">
      <c r="A24318" s="56"/>
    </row>
    <row r="24319" spans="1:1">
      <c r="A24319" s="56"/>
    </row>
    <row r="24320" spans="1:1">
      <c r="A24320" s="56"/>
    </row>
    <row r="24321" spans="1:1">
      <c r="A24321" s="56"/>
    </row>
    <row r="24322" spans="1:1">
      <c r="A24322" s="56"/>
    </row>
    <row r="24323" spans="1:1">
      <c r="A24323" s="56"/>
    </row>
    <row r="24324" spans="1:1">
      <c r="A24324" s="56"/>
    </row>
    <row r="24325" spans="1:1">
      <c r="A24325" s="56"/>
    </row>
    <row r="24326" spans="1:1">
      <c r="A24326" s="56"/>
    </row>
    <row r="24327" spans="1:1">
      <c r="A24327" s="56"/>
    </row>
    <row r="24328" spans="1:1">
      <c r="A24328" s="56"/>
    </row>
    <row r="24329" spans="1:1">
      <c r="A24329" s="56"/>
    </row>
    <row r="24330" spans="1:1">
      <c r="A24330" s="56"/>
    </row>
    <row r="24331" spans="1:1">
      <c r="A24331" s="56"/>
    </row>
    <row r="24332" spans="1:1">
      <c r="A24332" s="56"/>
    </row>
    <row r="24333" spans="1:1">
      <c r="A24333" s="56"/>
    </row>
    <row r="24334" spans="1:1">
      <c r="A24334" s="56"/>
    </row>
    <row r="24335" spans="1:1">
      <c r="A24335" s="56"/>
    </row>
    <row r="24336" spans="1:1">
      <c r="A24336" s="56"/>
    </row>
    <row r="24337" spans="1:1">
      <c r="A24337" s="56"/>
    </row>
    <row r="24338" spans="1:1">
      <c r="A24338" s="56"/>
    </row>
    <row r="24339" spans="1:1">
      <c r="A24339" s="56"/>
    </row>
    <row r="24340" spans="1:1">
      <c r="A24340" s="56"/>
    </row>
    <row r="24341" spans="1:1">
      <c r="A24341" s="56"/>
    </row>
    <row r="24342" spans="1:1">
      <c r="A24342" s="56"/>
    </row>
    <row r="24343" spans="1:1">
      <c r="A24343" s="56"/>
    </row>
    <row r="24344" spans="1:1">
      <c r="A24344" s="56"/>
    </row>
    <row r="24345" spans="1:1">
      <c r="A24345" s="56"/>
    </row>
    <row r="24346" spans="1:1">
      <c r="A24346" s="56"/>
    </row>
    <row r="24347" spans="1:1">
      <c r="A24347" s="56"/>
    </row>
    <row r="24348" spans="1:1">
      <c r="A24348" s="56"/>
    </row>
    <row r="24349" spans="1:1">
      <c r="A24349" s="56"/>
    </row>
    <row r="24350" spans="1:1">
      <c r="A24350" s="56"/>
    </row>
    <row r="24351" spans="1:1">
      <c r="A24351" s="56"/>
    </row>
    <row r="24352" spans="1:1">
      <c r="A24352" s="56"/>
    </row>
    <row r="24353" spans="1:1">
      <c r="A24353" s="56"/>
    </row>
    <row r="24354" spans="1:1">
      <c r="A24354" s="56"/>
    </row>
    <row r="24355" spans="1:1">
      <c r="A24355" s="56"/>
    </row>
    <row r="24356" spans="1:1">
      <c r="A24356" s="56"/>
    </row>
    <row r="24357" spans="1:1">
      <c r="A24357" s="56"/>
    </row>
    <row r="24358" spans="1:1">
      <c r="A24358" s="56"/>
    </row>
    <row r="24359" spans="1:1">
      <c r="A24359" s="56"/>
    </row>
    <row r="24360" spans="1:1">
      <c r="A24360" s="56"/>
    </row>
    <row r="24361" spans="1:1">
      <c r="A24361" s="56"/>
    </row>
    <row r="24362" spans="1:1">
      <c r="A24362" s="56"/>
    </row>
    <row r="24363" spans="1:1">
      <c r="A24363" s="56"/>
    </row>
    <row r="24364" spans="1:1">
      <c r="A24364" s="56"/>
    </row>
    <row r="24365" spans="1:1">
      <c r="A24365" s="56"/>
    </row>
    <row r="24366" spans="1:1">
      <c r="A24366" s="56"/>
    </row>
    <row r="24367" spans="1:1">
      <c r="A24367" s="56"/>
    </row>
    <row r="24368" spans="1:1">
      <c r="A24368" s="56"/>
    </row>
    <row r="24369" spans="1:1">
      <c r="A24369" s="56"/>
    </row>
    <row r="24370" spans="1:1">
      <c r="A24370" s="56"/>
    </row>
    <row r="24371" spans="1:1">
      <c r="A24371" s="56"/>
    </row>
    <row r="24372" spans="1:1">
      <c r="A24372" s="56"/>
    </row>
    <row r="24373" spans="1:1">
      <c r="A24373" s="56"/>
    </row>
    <row r="24374" spans="1:1">
      <c r="A24374" s="56"/>
    </row>
    <row r="24375" spans="1:1">
      <c r="A24375" s="56"/>
    </row>
    <row r="24376" spans="1:1">
      <c r="A24376" s="56"/>
    </row>
    <row r="24377" spans="1:1">
      <c r="A24377" s="56"/>
    </row>
    <row r="24378" spans="1:1">
      <c r="A24378" s="56"/>
    </row>
    <row r="24379" spans="1:1">
      <c r="A24379" s="56"/>
    </row>
    <row r="24380" spans="1:1">
      <c r="A24380" s="56"/>
    </row>
    <row r="24381" spans="1:1">
      <c r="A24381" s="56"/>
    </row>
    <row r="24382" spans="1:1">
      <c r="A24382" s="56"/>
    </row>
    <row r="24383" spans="1:1">
      <c r="A24383" s="56"/>
    </row>
    <row r="24384" spans="1:1">
      <c r="A24384" s="56"/>
    </row>
    <row r="24385" spans="1:1">
      <c r="A24385" s="56"/>
    </row>
    <row r="24386" spans="1:1">
      <c r="A24386" s="56"/>
    </row>
    <row r="24387" spans="1:1">
      <c r="A24387" s="56"/>
    </row>
    <row r="24388" spans="1:1">
      <c r="A24388" s="56"/>
    </row>
    <row r="24389" spans="1:1">
      <c r="A24389" s="56"/>
    </row>
    <row r="24390" spans="1:1">
      <c r="A24390" s="56"/>
    </row>
    <row r="24391" spans="1:1">
      <c r="A24391" s="56"/>
    </row>
    <row r="24392" spans="1:1">
      <c r="A24392" s="56"/>
    </row>
    <row r="24393" spans="1:1">
      <c r="A24393" s="56"/>
    </row>
    <row r="24394" spans="1:1">
      <c r="A24394" s="56"/>
    </row>
    <row r="24395" spans="1:1">
      <c r="A24395" s="56"/>
    </row>
    <row r="24396" spans="1:1">
      <c r="A24396" s="56"/>
    </row>
    <row r="24397" spans="1:1">
      <c r="A24397" s="56"/>
    </row>
    <row r="24398" spans="1:1">
      <c r="A24398" s="56"/>
    </row>
    <row r="24399" spans="1:1">
      <c r="A24399" s="56"/>
    </row>
    <row r="24400" spans="1:1">
      <c r="A24400" s="56"/>
    </row>
    <row r="24401" spans="1:1">
      <c r="A24401" s="56"/>
    </row>
    <row r="24402" spans="1:1">
      <c r="A24402" s="56"/>
    </row>
    <row r="24403" spans="1:1">
      <c r="A24403" s="56"/>
    </row>
    <row r="24404" spans="1:1">
      <c r="A24404" s="56"/>
    </row>
    <row r="24405" spans="1:1">
      <c r="A24405" s="56"/>
    </row>
    <row r="24406" spans="1:1">
      <c r="A24406" s="56"/>
    </row>
    <row r="24407" spans="1:1">
      <c r="A24407" s="56"/>
    </row>
    <row r="24408" spans="1:1">
      <c r="A24408" s="56"/>
    </row>
    <row r="24409" spans="1:1">
      <c r="A24409" s="56"/>
    </row>
    <row r="24410" spans="1:1">
      <c r="A24410" s="56"/>
    </row>
    <row r="24411" spans="1:1">
      <c r="A24411" s="56"/>
    </row>
    <row r="24412" spans="1:1">
      <c r="A24412" s="56"/>
    </row>
    <row r="24413" spans="1:1">
      <c r="A24413" s="56"/>
    </row>
    <row r="24414" spans="1:1">
      <c r="A24414" s="56"/>
    </row>
    <row r="24415" spans="1:1">
      <c r="A24415" s="56"/>
    </row>
    <row r="24416" spans="1:1">
      <c r="A24416" s="56"/>
    </row>
    <row r="24417" spans="1:1">
      <c r="A24417" s="56"/>
    </row>
    <row r="24418" spans="1:1">
      <c r="A24418" s="56"/>
    </row>
    <row r="24419" spans="1:1">
      <c r="A24419" s="56"/>
    </row>
    <row r="24420" spans="1:1">
      <c r="A24420" s="56"/>
    </row>
    <row r="24421" spans="1:1">
      <c r="A24421" s="56"/>
    </row>
    <row r="24422" spans="1:1">
      <c r="A24422" s="56"/>
    </row>
    <row r="24423" spans="1:1">
      <c r="A24423" s="56"/>
    </row>
    <row r="24424" spans="1:1">
      <c r="A24424" s="56"/>
    </row>
    <row r="24425" spans="1:1">
      <c r="A24425" s="56"/>
    </row>
    <row r="24426" spans="1:1">
      <c r="A24426" s="56"/>
    </row>
    <row r="24427" spans="1:1">
      <c r="A24427" s="56"/>
    </row>
    <row r="24428" spans="1:1">
      <c r="A24428" s="56"/>
    </row>
    <row r="24429" spans="1:1">
      <c r="A24429" s="56"/>
    </row>
    <row r="24430" spans="1:1">
      <c r="A24430" s="56"/>
    </row>
    <row r="24431" spans="1:1">
      <c r="A24431" s="56"/>
    </row>
    <row r="24432" spans="1:1">
      <c r="A24432" s="56"/>
    </row>
    <row r="24433" spans="1:1">
      <c r="A24433" s="56"/>
    </row>
    <row r="24434" spans="1:1">
      <c r="A24434" s="56"/>
    </row>
    <row r="24435" spans="1:1">
      <c r="A24435" s="56"/>
    </row>
    <row r="24436" spans="1:1">
      <c r="A24436" s="56"/>
    </row>
    <row r="24437" spans="1:1">
      <c r="A24437" s="56"/>
    </row>
    <row r="24438" spans="1:1">
      <c r="A24438" s="56"/>
    </row>
    <row r="24439" spans="1:1">
      <c r="A24439" s="56"/>
    </row>
    <row r="24440" spans="1:1">
      <c r="A24440" s="56"/>
    </row>
    <row r="24441" spans="1:1">
      <c r="A24441" s="56"/>
    </row>
    <row r="24442" spans="1:1">
      <c r="A24442" s="56"/>
    </row>
    <row r="24443" spans="1:1">
      <c r="A24443" s="56"/>
    </row>
    <row r="24444" spans="1:1">
      <c r="A24444" s="56"/>
    </row>
    <row r="24445" spans="1:1">
      <c r="A24445" s="56"/>
    </row>
    <row r="24446" spans="1:1">
      <c r="A24446" s="56"/>
    </row>
    <row r="24447" spans="1:1">
      <c r="A24447" s="56"/>
    </row>
    <row r="24448" spans="1:1">
      <c r="A24448" s="56"/>
    </row>
    <row r="24449" spans="1:1">
      <c r="A24449" s="56"/>
    </row>
    <row r="24450" spans="1:1">
      <c r="A24450" s="56"/>
    </row>
    <row r="24451" spans="1:1">
      <c r="A24451" s="56"/>
    </row>
    <row r="24452" spans="1:1">
      <c r="A24452" s="56"/>
    </row>
    <row r="24453" spans="1:1">
      <c r="A24453" s="56"/>
    </row>
    <row r="24454" spans="1:1">
      <c r="A24454" s="56"/>
    </row>
    <row r="24455" spans="1:1">
      <c r="A24455" s="56"/>
    </row>
    <row r="24456" spans="1:1">
      <c r="A24456" s="56"/>
    </row>
    <row r="24457" spans="1:1">
      <c r="A24457" s="56"/>
    </row>
    <row r="24458" spans="1:1">
      <c r="A24458" s="56"/>
    </row>
    <row r="24459" spans="1:1">
      <c r="A24459" s="56"/>
    </row>
    <row r="24460" spans="1:1">
      <c r="A24460" s="56"/>
    </row>
    <row r="24461" spans="1:1">
      <c r="A24461" s="56"/>
    </row>
    <row r="24462" spans="1:1">
      <c r="A24462" s="56"/>
    </row>
    <row r="24463" spans="1:1">
      <c r="A24463" s="56"/>
    </row>
    <row r="24464" spans="1:1">
      <c r="A24464" s="56"/>
    </row>
    <row r="24465" spans="1:1">
      <c r="A24465" s="56"/>
    </row>
    <row r="24466" spans="1:1">
      <c r="A24466" s="56"/>
    </row>
    <row r="24467" spans="1:1">
      <c r="A24467" s="56"/>
    </row>
    <row r="24468" spans="1:1">
      <c r="A24468" s="56"/>
    </row>
    <row r="24469" spans="1:1">
      <c r="A24469" s="56"/>
    </row>
    <row r="24470" spans="1:1">
      <c r="A24470" s="56"/>
    </row>
    <row r="24471" spans="1:1">
      <c r="A24471" s="56"/>
    </row>
    <row r="24472" spans="1:1">
      <c r="A24472" s="56"/>
    </row>
    <row r="24473" spans="1:1">
      <c r="A24473" s="56"/>
    </row>
    <row r="24474" spans="1:1">
      <c r="A24474" s="56"/>
    </row>
    <row r="24475" spans="1:1">
      <c r="A24475" s="56"/>
    </row>
    <row r="24476" spans="1:1">
      <c r="A24476" s="56"/>
    </row>
    <row r="24477" spans="1:1">
      <c r="A24477" s="56"/>
    </row>
    <row r="24478" spans="1:1">
      <c r="A24478" s="56"/>
    </row>
    <row r="24479" spans="1:1">
      <c r="A24479" s="56"/>
    </row>
    <row r="24480" spans="1:1">
      <c r="A24480" s="56"/>
    </row>
    <row r="24481" spans="1:1">
      <c r="A24481" s="56"/>
    </row>
    <row r="24482" spans="1:1">
      <c r="A24482" s="56"/>
    </row>
    <row r="24483" spans="1:1">
      <c r="A24483" s="56"/>
    </row>
    <row r="24484" spans="1:1">
      <c r="A24484" s="56"/>
    </row>
    <row r="24485" spans="1:1">
      <c r="A24485" s="56"/>
    </row>
    <row r="24486" spans="1:1">
      <c r="A24486" s="56"/>
    </row>
    <row r="24487" spans="1:1">
      <c r="A24487" s="56"/>
    </row>
    <row r="24488" spans="1:1">
      <c r="A24488" s="56"/>
    </row>
    <row r="24489" spans="1:1">
      <c r="A24489" s="56"/>
    </row>
    <row r="24490" spans="1:1">
      <c r="A24490" s="56"/>
    </row>
    <row r="24491" spans="1:1">
      <c r="A24491" s="56"/>
    </row>
    <row r="24492" spans="1:1">
      <c r="A24492" s="56"/>
    </row>
    <row r="24493" spans="1:1">
      <c r="A24493" s="56"/>
    </row>
    <row r="24494" spans="1:1">
      <c r="A24494" s="56"/>
    </row>
    <row r="24495" spans="1:1">
      <c r="A24495" s="56"/>
    </row>
    <row r="24496" spans="1:1">
      <c r="A24496" s="56"/>
    </row>
    <row r="24497" spans="1:1">
      <c r="A24497" s="56"/>
    </row>
    <row r="24498" spans="1:1">
      <c r="A24498" s="56"/>
    </row>
    <row r="24499" spans="1:1">
      <c r="A24499" s="56"/>
    </row>
    <row r="24500" spans="1:1">
      <c r="A24500" s="56"/>
    </row>
    <row r="24501" spans="1:1">
      <c r="A24501" s="56"/>
    </row>
    <row r="24502" spans="1:1">
      <c r="A24502" s="56"/>
    </row>
    <row r="24503" spans="1:1">
      <c r="A24503" s="56"/>
    </row>
    <row r="24504" spans="1:1">
      <c r="A24504" s="56"/>
    </row>
    <row r="24505" spans="1:1">
      <c r="A24505" s="56"/>
    </row>
    <row r="24506" spans="1:1">
      <c r="A24506" s="56"/>
    </row>
    <row r="24507" spans="1:1">
      <c r="A24507" s="56"/>
    </row>
    <row r="24508" spans="1:1">
      <c r="A24508" s="56"/>
    </row>
    <row r="24509" spans="1:1">
      <c r="A24509" s="56"/>
    </row>
    <row r="24510" spans="1:1">
      <c r="A24510" s="56"/>
    </row>
    <row r="24511" spans="1:1">
      <c r="A24511" s="56"/>
    </row>
    <row r="24512" spans="1:1">
      <c r="A24512" s="56"/>
    </row>
    <row r="24513" spans="1:1">
      <c r="A24513" s="56"/>
    </row>
    <row r="24514" spans="1:1">
      <c r="A24514" s="56"/>
    </row>
    <row r="24515" spans="1:1">
      <c r="A24515" s="56"/>
    </row>
    <row r="24516" spans="1:1">
      <c r="A24516" s="56"/>
    </row>
    <row r="24517" spans="1:1">
      <c r="A24517" s="56"/>
    </row>
    <row r="24518" spans="1:1">
      <c r="A24518" s="56"/>
    </row>
    <row r="24519" spans="1:1">
      <c r="A24519" s="56"/>
    </row>
    <row r="24520" spans="1:1">
      <c r="A24520" s="56"/>
    </row>
    <row r="24521" spans="1:1">
      <c r="A24521" s="56"/>
    </row>
    <row r="24522" spans="1:1">
      <c r="A24522" s="56"/>
    </row>
    <row r="24523" spans="1:1">
      <c r="A24523" s="56"/>
    </row>
    <row r="24524" spans="1:1">
      <c r="A24524" s="56"/>
    </row>
    <row r="24525" spans="1:1">
      <c r="A24525" s="56"/>
    </row>
    <row r="24526" spans="1:1">
      <c r="A24526" s="56"/>
    </row>
    <row r="24527" spans="1:1">
      <c r="A24527" s="56"/>
    </row>
    <row r="24528" spans="1:1">
      <c r="A24528" s="56"/>
    </row>
    <row r="24529" spans="1:1">
      <c r="A24529" s="56"/>
    </row>
    <row r="24530" spans="1:1">
      <c r="A24530" s="56"/>
    </row>
    <row r="24531" spans="1:1">
      <c r="A24531" s="56"/>
    </row>
    <row r="24532" spans="1:1">
      <c r="A24532" s="56"/>
    </row>
    <row r="24533" spans="1:1">
      <c r="A24533" s="56"/>
    </row>
    <row r="24534" spans="1:1">
      <c r="A24534" s="56"/>
    </row>
    <row r="24535" spans="1:1">
      <c r="A24535" s="56"/>
    </row>
    <row r="24536" spans="1:1">
      <c r="A24536" s="56"/>
    </row>
    <row r="24537" spans="1:1">
      <c r="A24537" s="56"/>
    </row>
    <row r="24538" spans="1:1">
      <c r="A24538" s="56"/>
    </row>
    <row r="24539" spans="1:1">
      <c r="A24539" s="56"/>
    </row>
    <row r="24540" spans="1:1">
      <c r="A24540" s="56"/>
    </row>
    <row r="24541" spans="1:1">
      <c r="A24541" s="56"/>
    </row>
    <row r="24542" spans="1:1">
      <c r="A24542" s="56"/>
    </row>
    <row r="24543" spans="1:1">
      <c r="A24543" s="56"/>
    </row>
    <row r="24544" spans="1:1">
      <c r="A24544" s="56"/>
    </row>
    <row r="24545" spans="1:1">
      <c r="A24545" s="56"/>
    </row>
    <row r="24546" spans="1:1">
      <c r="A24546" s="56"/>
    </row>
    <row r="24547" spans="1:1">
      <c r="A24547" s="56"/>
    </row>
    <row r="24548" spans="1:1">
      <c r="A24548" s="56"/>
    </row>
    <row r="24549" spans="1:1">
      <c r="A24549" s="56"/>
    </row>
    <row r="24550" spans="1:1">
      <c r="A24550" s="56"/>
    </row>
    <row r="24551" spans="1:1">
      <c r="A24551" s="56"/>
    </row>
    <row r="24552" spans="1:1">
      <c r="A24552" s="56"/>
    </row>
    <row r="24553" spans="1:1">
      <c r="A24553" s="56"/>
    </row>
    <row r="24554" spans="1:1">
      <c r="A24554" s="56"/>
    </row>
    <row r="24555" spans="1:1">
      <c r="A24555" s="56"/>
    </row>
    <row r="24556" spans="1:1">
      <c r="A24556" s="56"/>
    </row>
    <row r="24557" spans="1:1">
      <c r="A24557" s="56"/>
    </row>
    <row r="24558" spans="1:1">
      <c r="A24558" s="56"/>
    </row>
    <row r="24559" spans="1:1">
      <c r="A24559" s="56"/>
    </row>
    <row r="24560" spans="1:1">
      <c r="A24560" s="56"/>
    </row>
    <row r="24561" spans="1:1">
      <c r="A24561" s="56"/>
    </row>
    <row r="24562" spans="1:1">
      <c r="A24562" s="56"/>
    </row>
    <row r="24563" spans="1:1">
      <c r="A24563" s="56"/>
    </row>
    <row r="24564" spans="1:1">
      <c r="A24564" s="56"/>
    </row>
    <row r="24565" spans="1:1">
      <c r="A24565" s="56"/>
    </row>
    <row r="24566" spans="1:1">
      <c r="A24566" s="56"/>
    </row>
    <row r="24567" spans="1:1">
      <c r="A24567" s="56"/>
    </row>
    <row r="24568" spans="1:1">
      <c r="A24568" s="56"/>
    </row>
    <row r="24569" spans="1:1">
      <c r="A24569" s="56"/>
    </row>
    <row r="24570" spans="1:1">
      <c r="A24570" s="56"/>
    </row>
    <row r="24571" spans="1:1">
      <c r="A24571" s="56"/>
    </row>
    <row r="24572" spans="1:1">
      <c r="A24572" s="56"/>
    </row>
    <row r="24573" spans="1:1">
      <c r="A24573" s="56"/>
    </row>
    <row r="24574" spans="1:1">
      <c r="A24574" s="56"/>
    </row>
    <row r="24575" spans="1:1">
      <c r="A24575" s="56"/>
    </row>
    <row r="24576" spans="1:1">
      <c r="A24576" s="56"/>
    </row>
    <row r="24577" spans="1:1">
      <c r="A24577" s="56"/>
    </row>
    <row r="24578" spans="1:1">
      <c r="A24578" s="56"/>
    </row>
    <row r="24579" spans="1:1">
      <c r="A24579" s="56"/>
    </row>
    <row r="24580" spans="1:1">
      <c r="A24580" s="56"/>
    </row>
    <row r="24581" spans="1:1">
      <c r="A24581" s="56"/>
    </row>
    <row r="24582" spans="1:1">
      <c r="A24582" s="56"/>
    </row>
    <row r="24583" spans="1:1">
      <c r="A24583" s="56"/>
    </row>
    <row r="24584" spans="1:1">
      <c r="A24584" s="56"/>
    </row>
    <row r="24585" spans="1:1">
      <c r="A24585" s="56"/>
    </row>
    <row r="24586" spans="1:1">
      <c r="A24586" s="56"/>
    </row>
    <row r="24587" spans="1:1">
      <c r="A24587" s="56"/>
    </row>
    <row r="24588" spans="1:1">
      <c r="A24588" s="56"/>
    </row>
    <row r="24589" spans="1:1">
      <c r="A24589" s="56"/>
    </row>
    <row r="24590" spans="1:1">
      <c r="A24590" s="56"/>
    </row>
    <row r="24591" spans="1:1">
      <c r="A24591" s="56"/>
    </row>
    <row r="24592" spans="1:1">
      <c r="A24592" s="56"/>
    </row>
    <row r="24593" spans="1:1">
      <c r="A24593" s="56"/>
    </row>
    <row r="24594" spans="1:1">
      <c r="A24594" s="56"/>
    </row>
    <row r="24595" spans="1:1">
      <c r="A24595" s="56"/>
    </row>
    <row r="24596" spans="1:1">
      <c r="A24596" s="56"/>
    </row>
    <row r="24597" spans="1:1">
      <c r="A24597" s="56"/>
    </row>
    <row r="24598" spans="1:1">
      <c r="A24598" s="56"/>
    </row>
    <row r="24599" spans="1:1">
      <c r="A24599" s="56"/>
    </row>
    <row r="24600" spans="1:1">
      <c r="A24600" s="56"/>
    </row>
    <row r="24601" spans="1:1">
      <c r="A24601" s="56"/>
    </row>
    <row r="24602" spans="1:1">
      <c r="A24602" s="56"/>
    </row>
    <row r="24603" spans="1:1">
      <c r="A24603" s="56"/>
    </row>
    <row r="24604" spans="1:1">
      <c r="A24604" s="56"/>
    </row>
    <row r="24605" spans="1:1">
      <c r="A24605" s="56"/>
    </row>
    <row r="24606" spans="1:1">
      <c r="A24606" s="56"/>
    </row>
    <row r="24607" spans="1:1">
      <c r="A24607" s="56"/>
    </row>
    <row r="24608" spans="1:1">
      <c r="A24608" s="56"/>
    </row>
    <row r="24609" spans="1:1">
      <c r="A24609" s="56"/>
    </row>
    <row r="24610" spans="1:1">
      <c r="A24610" s="56"/>
    </row>
    <row r="24611" spans="1:1">
      <c r="A24611" s="56"/>
    </row>
    <row r="24612" spans="1:1">
      <c r="A24612" s="56"/>
    </row>
    <row r="24613" spans="1:1">
      <c r="A24613" s="56"/>
    </row>
    <row r="24614" spans="1:1">
      <c r="A24614" s="56"/>
    </row>
    <row r="24615" spans="1:1">
      <c r="A24615" s="56"/>
    </row>
    <row r="24616" spans="1:1">
      <c r="A24616" s="56"/>
    </row>
    <row r="24617" spans="1:1">
      <c r="A24617" s="56"/>
    </row>
    <row r="24618" spans="1:1">
      <c r="A24618" s="56"/>
    </row>
    <row r="24619" spans="1:1">
      <c r="A24619" s="56"/>
    </row>
    <row r="24620" spans="1:1">
      <c r="A24620" s="56"/>
    </row>
    <row r="24621" spans="1:1">
      <c r="A24621" s="56"/>
    </row>
    <row r="24622" spans="1:1">
      <c r="A24622" s="56"/>
    </row>
    <row r="24623" spans="1:1">
      <c r="A24623" s="56"/>
    </row>
    <row r="24624" spans="1:1">
      <c r="A24624" s="56"/>
    </row>
    <row r="24625" spans="1:1">
      <c r="A24625" s="56"/>
    </row>
    <row r="24626" spans="1:1">
      <c r="A24626" s="56"/>
    </row>
    <row r="24627" spans="1:1">
      <c r="A24627" s="56"/>
    </row>
    <row r="24628" spans="1:1">
      <c r="A24628" s="56"/>
    </row>
    <row r="24629" spans="1:1">
      <c r="A24629" s="56"/>
    </row>
    <row r="24630" spans="1:1">
      <c r="A24630" s="56"/>
    </row>
    <row r="24631" spans="1:1">
      <c r="A24631" s="56"/>
    </row>
    <row r="24632" spans="1:1">
      <c r="A24632" s="56"/>
    </row>
    <row r="24633" spans="1:1">
      <c r="A24633" s="56"/>
    </row>
    <row r="24634" spans="1:1">
      <c r="A24634" s="56"/>
    </row>
    <row r="24635" spans="1:1">
      <c r="A24635" s="56"/>
    </row>
    <row r="24636" spans="1:1">
      <c r="A24636" s="56"/>
    </row>
    <row r="24637" spans="1:1">
      <c r="A24637" s="56"/>
    </row>
    <row r="24638" spans="1:1">
      <c r="A24638" s="56"/>
    </row>
    <row r="24639" spans="1:1">
      <c r="A24639" s="56"/>
    </row>
    <row r="24640" spans="1:1">
      <c r="A24640" s="56"/>
    </row>
    <row r="24641" spans="1:1">
      <c r="A24641" s="56"/>
    </row>
    <row r="24642" spans="1:1">
      <c r="A24642" s="56"/>
    </row>
    <row r="24643" spans="1:1">
      <c r="A24643" s="56"/>
    </row>
    <row r="24644" spans="1:1">
      <c r="A24644" s="56"/>
    </row>
    <row r="24645" spans="1:1">
      <c r="A24645" s="56"/>
    </row>
    <row r="24646" spans="1:1">
      <c r="A24646" s="56"/>
    </row>
    <row r="24647" spans="1:1">
      <c r="A24647" s="56"/>
    </row>
    <row r="24648" spans="1:1">
      <c r="A24648" s="56"/>
    </row>
    <row r="24649" spans="1:1">
      <c r="A24649" s="56"/>
    </row>
    <row r="24650" spans="1:1">
      <c r="A24650" s="56"/>
    </row>
    <row r="24651" spans="1:1">
      <c r="A24651" s="56"/>
    </row>
    <row r="24652" spans="1:1">
      <c r="A24652" s="56"/>
    </row>
    <row r="24653" spans="1:1">
      <c r="A24653" s="56"/>
    </row>
    <row r="24654" spans="1:1">
      <c r="A24654" s="56"/>
    </row>
    <row r="24655" spans="1:1">
      <c r="A24655" s="56"/>
    </row>
    <row r="24656" spans="1:1">
      <c r="A24656" s="56"/>
    </row>
    <row r="24657" spans="1:1">
      <c r="A24657" s="56"/>
    </row>
    <row r="24658" spans="1:1">
      <c r="A24658" s="56"/>
    </row>
    <row r="24659" spans="1:1">
      <c r="A24659" s="56"/>
    </row>
    <row r="24660" spans="1:1">
      <c r="A24660" s="56"/>
    </row>
    <row r="24661" spans="1:1">
      <c r="A24661" s="56"/>
    </row>
    <row r="24662" spans="1:1">
      <c r="A24662" s="56"/>
    </row>
    <row r="24663" spans="1:1">
      <c r="A24663" s="56"/>
    </row>
    <row r="24664" spans="1:1">
      <c r="A24664" s="56"/>
    </row>
    <row r="24665" spans="1:1">
      <c r="A24665" s="56"/>
    </row>
    <row r="24666" spans="1:1">
      <c r="A24666" s="56"/>
    </row>
    <row r="24667" spans="1:1">
      <c r="A24667" s="56"/>
    </row>
    <row r="24668" spans="1:1">
      <c r="A24668" s="56"/>
    </row>
    <row r="24669" spans="1:1">
      <c r="A24669" s="56"/>
    </row>
    <row r="24670" spans="1:1">
      <c r="A24670" s="56"/>
    </row>
    <row r="24671" spans="1:1">
      <c r="A24671" s="56"/>
    </row>
    <row r="24672" spans="1:1">
      <c r="A24672" s="56"/>
    </row>
    <row r="24673" spans="1:1">
      <c r="A24673" s="56"/>
    </row>
    <row r="24674" spans="1:1">
      <c r="A24674" s="56"/>
    </row>
    <row r="24675" spans="1:1">
      <c r="A24675" s="56"/>
    </row>
    <row r="24676" spans="1:1">
      <c r="A24676" s="56"/>
    </row>
    <row r="24677" spans="1:1">
      <c r="A24677" s="56"/>
    </row>
    <row r="24678" spans="1:1">
      <c r="A24678" s="56"/>
    </row>
    <row r="24679" spans="1:1">
      <c r="A24679" s="56"/>
    </row>
    <row r="24680" spans="1:1">
      <c r="A24680" s="56"/>
    </row>
    <row r="24681" spans="1:1">
      <c r="A24681" s="56"/>
    </row>
    <row r="24682" spans="1:1">
      <c r="A24682" s="56"/>
    </row>
    <row r="24683" spans="1:1">
      <c r="A24683" s="56"/>
    </row>
    <row r="24684" spans="1:1">
      <c r="A24684" s="56"/>
    </row>
    <row r="24685" spans="1:1">
      <c r="A24685" s="56"/>
    </row>
    <row r="24686" spans="1:1">
      <c r="A24686" s="56"/>
    </row>
    <row r="24687" spans="1:1">
      <c r="A24687" s="56"/>
    </row>
    <row r="24688" spans="1:1">
      <c r="A24688" s="56"/>
    </row>
    <row r="24689" spans="1:1">
      <c r="A24689" s="56"/>
    </row>
    <row r="24690" spans="1:1">
      <c r="A24690" s="56"/>
    </row>
    <row r="24691" spans="1:1">
      <c r="A24691" s="56"/>
    </row>
    <row r="24692" spans="1:1">
      <c r="A24692" s="56"/>
    </row>
    <row r="24693" spans="1:1">
      <c r="A24693" s="56"/>
    </row>
    <row r="24694" spans="1:1">
      <c r="A24694" s="56"/>
    </row>
    <row r="24695" spans="1:1">
      <c r="A24695" s="56"/>
    </row>
    <row r="24696" spans="1:1">
      <c r="A24696" s="56"/>
    </row>
    <row r="24697" spans="1:1">
      <c r="A24697" s="56"/>
    </row>
    <row r="24698" spans="1:1">
      <c r="A24698" s="56"/>
    </row>
    <row r="24699" spans="1:1">
      <c r="A24699" s="56"/>
    </row>
    <row r="24700" spans="1:1">
      <c r="A24700" s="56"/>
    </row>
    <row r="24701" spans="1:1">
      <c r="A24701" s="56"/>
    </row>
    <row r="24702" spans="1:1">
      <c r="A24702" s="56"/>
    </row>
    <row r="24703" spans="1:1">
      <c r="A24703" s="56"/>
    </row>
    <row r="24704" spans="1:1">
      <c r="A24704" s="56"/>
    </row>
    <row r="24705" spans="1:1">
      <c r="A24705" s="56"/>
    </row>
    <row r="24706" spans="1:1">
      <c r="A24706" s="56"/>
    </row>
    <row r="24707" spans="1:1">
      <c r="A24707" s="56"/>
    </row>
    <row r="24708" spans="1:1">
      <c r="A24708" s="56"/>
    </row>
    <row r="24709" spans="1:1">
      <c r="A24709" s="56"/>
    </row>
    <row r="24710" spans="1:1">
      <c r="A24710" s="56"/>
    </row>
    <row r="24711" spans="1:1">
      <c r="A24711" s="56"/>
    </row>
    <row r="24712" spans="1:1">
      <c r="A24712" s="56"/>
    </row>
    <row r="24713" spans="1:1">
      <c r="A24713" s="56"/>
    </row>
    <row r="24714" spans="1:1">
      <c r="A24714" s="56"/>
    </row>
    <row r="24715" spans="1:1">
      <c r="A24715" s="56"/>
    </row>
    <row r="24716" spans="1:1">
      <c r="A24716" s="56"/>
    </row>
    <row r="24717" spans="1:1">
      <c r="A24717" s="56"/>
    </row>
    <row r="24718" spans="1:1">
      <c r="A24718" s="56"/>
    </row>
    <row r="24719" spans="1:1">
      <c r="A24719" s="56"/>
    </row>
    <row r="24720" spans="1:1">
      <c r="A24720" s="56"/>
    </row>
    <row r="24721" spans="1:1">
      <c r="A24721" s="56"/>
    </row>
    <row r="24722" spans="1:1">
      <c r="A24722" s="56"/>
    </row>
    <row r="24723" spans="1:1">
      <c r="A24723" s="56"/>
    </row>
    <row r="24724" spans="1:1">
      <c r="A24724" s="56"/>
    </row>
    <row r="24725" spans="1:1">
      <c r="A24725" s="56"/>
    </row>
    <row r="24726" spans="1:1">
      <c r="A24726" s="56"/>
    </row>
    <row r="24727" spans="1:1">
      <c r="A24727" s="56"/>
    </row>
    <row r="24728" spans="1:1">
      <c r="A24728" s="56"/>
    </row>
    <row r="24729" spans="1:1">
      <c r="A24729" s="56"/>
    </row>
    <row r="24730" spans="1:1">
      <c r="A24730" s="56"/>
    </row>
    <row r="24731" spans="1:1">
      <c r="A24731" s="56"/>
    </row>
    <row r="24732" spans="1:1">
      <c r="A24732" s="56"/>
    </row>
    <row r="24733" spans="1:1">
      <c r="A24733" s="56"/>
    </row>
    <row r="24734" spans="1:1">
      <c r="A24734" s="56"/>
    </row>
    <row r="24735" spans="1:1">
      <c r="A24735" s="56"/>
    </row>
    <row r="24736" spans="1:1">
      <c r="A24736" s="56"/>
    </row>
    <row r="24737" spans="1:1">
      <c r="A24737" s="56"/>
    </row>
    <row r="24738" spans="1:1">
      <c r="A24738" s="56"/>
    </row>
    <row r="24739" spans="1:1">
      <c r="A24739" s="56"/>
    </row>
    <row r="24740" spans="1:1">
      <c r="A24740" s="56"/>
    </row>
    <row r="24741" spans="1:1">
      <c r="A24741" s="56"/>
    </row>
    <row r="24742" spans="1:1">
      <c r="A24742" s="56"/>
    </row>
    <row r="24743" spans="1:1">
      <c r="A24743" s="56"/>
    </row>
    <row r="24744" spans="1:1">
      <c r="A24744" s="56"/>
    </row>
    <row r="24745" spans="1:1">
      <c r="A24745" s="56"/>
    </row>
    <row r="24746" spans="1:1">
      <c r="A24746" s="56"/>
    </row>
    <row r="24747" spans="1:1">
      <c r="A24747" s="56"/>
    </row>
    <row r="24748" spans="1:1">
      <c r="A24748" s="56"/>
    </row>
    <row r="24749" spans="1:1">
      <c r="A24749" s="56"/>
    </row>
    <row r="24750" spans="1:1">
      <c r="A24750" s="56"/>
    </row>
    <row r="24751" spans="1:1">
      <c r="A24751" s="56"/>
    </row>
    <row r="24752" spans="1:1">
      <c r="A24752" s="56"/>
    </row>
    <row r="24753" spans="1:1">
      <c r="A24753" s="56"/>
    </row>
    <row r="24754" spans="1:1">
      <c r="A24754" s="56"/>
    </row>
    <row r="24755" spans="1:1">
      <c r="A24755" s="56"/>
    </row>
    <row r="24756" spans="1:1">
      <c r="A24756" s="56"/>
    </row>
    <row r="24757" spans="1:1">
      <c r="A24757" s="56"/>
    </row>
    <row r="24758" spans="1:1">
      <c r="A24758" s="56"/>
    </row>
    <row r="24759" spans="1:1">
      <c r="A24759" s="56"/>
    </row>
    <row r="24760" spans="1:1">
      <c r="A24760" s="56"/>
    </row>
    <row r="24761" spans="1:1">
      <c r="A24761" s="56"/>
    </row>
    <row r="24762" spans="1:1">
      <c r="A24762" s="56"/>
    </row>
    <row r="24763" spans="1:1">
      <c r="A24763" s="56"/>
    </row>
    <row r="24764" spans="1:1">
      <c r="A24764" s="56"/>
    </row>
    <row r="24765" spans="1:1">
      <c r="A24765" s="56"/>
    </row>
    <row r="24766" spans="1:1">
      <c r="A24766" s="56"/>
    </row>
    <row r="24767" spans="1:1">
      <c r="A24767" s="56"/>
    </row>
    <row r="24768" spans="1:1">
      <c r="A24768" s="56"/>
    </row>
    <row r="24769" spans="1:1">
      <c r="A24769" s="56"/>
    </row>
    <row r="24770" spans="1:1">
      <c r="A24770" s="56"/>
    </row>
    <row r="24771" spans="1:1">
      <c r="A24771" s="56"/>
    </row>
    <row r="24772" spans="1:1">
      <c r="A24772" s="56"/>
    </row>
    <row r="24773" spans="1:1">
      <c r="A24773" s="56"/>
    </row>
    <row r="24774" spans="1:1">
      <c r="A24774" s="56"/>
    </row>
    <row r="24775" spans="1:1">
      <c r="A24775" s="56"/>
    </row>
    <row r="24776" spans="1:1">
      <c r="A24776" s="56"/>
    </row>
    <row r="24777" spans="1:1">
      <c r="A24777" s="56"/>
    </row>
    <row r="24778" spans="1:1">
      <c r="A24778" s="56"/>
    </row>
    <row r="24779" spans="1:1">
      <c r="A24779" s="56"/>
    </row>
    <row r="24780" spans="1:1">
      <c r="A24780" s="56"/>
    </row>
    <row r="24781" spans="1:1">
      <c r="A24781" s="56"/>
    </row>
    <row r="24782" spans="1:1">
      <c r="A24782" s="56"/>
    </row>
    <row r="24783" spans="1:1">
      <c r="A24783" s="56"/>
    </row>
    <row r="24784" spans="1:1">
      <c r="A24784" s="56"/>
    </row>
    <row r="24785" spans="1:1">
      <c r="A24785" s="56"/>
    </row>
    <row r="24786" spans="1:1">
      <c r="A24786" s="56"/>
    </row>
    <row r="24787" spans="1:1">
      <c r="A24787" s="56"/>
    </row>
    <row r="24788" spans="1:1">
      <c r="A24788" s="56"/>
    </row>
    <row r="24789" spans="1:1">
      <c r="A24789" s="56"/>
    </row>
    <row r="24790" spans="1:1">
      <c r="A24790" s="56"/>
    </row>
    <row r="24791" spans="1:1">
      <c r="A24791" s="56"/>
    </row>
    <row r="24792" spans="1:1">
      <c r="A24792" s="56"/>
    </row>
    <row r="24793" spans="1:1">
      <c r="A24793" s="56"/>
    </row>
    <row r="24794" spans="1:1">
      <c r="A24794" s="56"/>
    </row>
    <row r="24795" spans="1:1">
      <c r="A24795" s="56"/>
    </row>
    <row r="24796" spans="1:1">
      <c r="A24796" s="56"/>
    </row>
    <row r="24797" spans="1:1">
      <c r="A24797" s="56"/>
    </row>
    <row r="24798" spans="1:1">
      <c r="A24798" s="56"/>
    </row>
    <row r="24799" spans="1:1">
      <c r="A24799" s="56"/>
    </row>
    <row r="24800" spans="1:1">
      <c r="A24800" s="56"/>
    </row>
    <row r="24801" spans="1:1">
      <c r="A24801" s="56"/>
    </row>
    <row r="24802" spans="1:1">
      <c r="A24802" s="56"/>
    </row>
    <row r="24803" spans="1:1">
      <c r="A24803" s="56"/>
    </row>
    <row r="24804" spans="1:1">
      <c r="A24804" s="56"/>
    </row>
    <row r="24805" spans="1:1">
      <c r="A24805" s="56"/>
    </row>
    <row r="24806" spans="1:1">
      <c r="A24806" s="56"/>
    </row>
    <row r="24807" spans="1:1">
      <c r="A24807" s="56"/>
    </row>
    <row r="24808" spans="1:1">
      <c r="A24808" s="56"/>
    </row>
    <row r="24809" spans="1:1">
      <c r="A24809" s="56"/>
    </row>
    <row r="24810" spans="1:1">
      <c r="A24810" s="56"/>
    </row>
    <row r="24811" spans="1:1">
      <c r="A24811" s="56"/>
    </row>
    <row r="24812" spans="1:1">
      <c r="A24812" s="56"/>
    </row>
    <row r="24813" spans="1:1">
      <c r="A24813" s="56"/>
    </row>
    <row r="24814" spans="1:1">
      <c r="A24814" s="56"/>
    </row>
    <row r="24815" spans="1:1">
      <c r="A24815" s="56"/>
    </row>
    <row r="24816" spans="1:1">
      <c r="A24816" s="56"/>
    </row>
    <row r="24817" spans="1:1">
      <c r="A24817" s="56"/>
    </row>
    <row r="24818" spans="1:1">
      <c r="A24818" s="56"/>
    </row>
    <row r="24819" spans="1:1">
      <c r="A24819" s="56"/>
    </row>
    <row r="24820" spans="1:1">
      <c r="A24820" s="56"/>
    </row>
    <row r="24821" spans="1:1">
      <c r="A24821" s="56"/>
    </row>
    <row r="24822" spans="1:1">
      <c r="A24822" s="56"/>
    </row>
    <row r="24823" spans="1:1">
      <c r="A24823" s="56"/>
    </row>
    <row r="24824" spans="1:1">
      <c r="A24824" s="56"/>
    </row>
    <row r="24825" spans="1:1">
      <c r="A24825" s="56"/>
    </row>
    <row r="24826" spans="1:1">
      <c r="A24826" s="56"/>
    </row>
    <row r="24827" spans="1:1">
      <c r="A24827" s="56"/>
    </row>
    <row r="24828" spans="1:1">
      <c r="A24828" s="56"/>
    </row>
    <row r="24829" spans="1:1">
      <c r="A24829" s="56"/>
    </row>
    <row r="24830" spans="1:1">
      <c r="A24830" s="56"/>
    </row>
    <row r="24831" spans="1:1">
      <c r="A24831" s="56"/>
    </row>
    <row r="24832" spans="1:1">
      <c r="A24832" s="56"/>
    </row>
    <row r="24833" spans="1:1">
      <c r="A24833" s="56"/>
    </row>
    <row r="24834" spans="1:1">
      <c r="A24834" s="56"/>
    </row>
    <row r="24835" spans="1:1">
      <c r="A24835" s="56"/>
    </row>
    <row r="24836" spans="1:1">
      <c r="A24836" s="56"/>
    </row>
    <row r="24837" spans="1:1">
      <c r="A24837" s="56"/>
    </row>
    <row r="24838" spans="1:1">
      <c r="A24838" s="56"/>
    </row>
    <row r="24839" spans="1:1">
      <c r="A24839" s="56"/>
    </row>
    <row r="24840" spans="1:1">
      <c r="A24840" s="56"/>
    </row>
    <row r="24841" spans="1:1">
      <c r="A24841" s="56"/>
    </row>
    <row r="24842" spans="1:1">
      <c r="A24842" s="56"/>
    </row>
    <row r="24843" spans="1:1">
      <c r="A24843" s="56"/>
    </row>
    <row r="24844" spans="1:1">
      <c r="A24844" s="56"/>
    </row>
    <row r="24845" spans="1:1">
      <c r="A24845" s="56"/>
    </row>
    <row r="24846" spans="1:1">
      <c r="A24846" s="56"/>
    </row>
    <row r="24847" spans="1:1">
      <c r="A24847" s="56"/>
    </row>
    <row r="24848" spans="1:1">
      <c r="A24848" s="56"/>
    </row>
    <row r="24849" spans="1:1">
      <c r="A24849" s="56"/>
    </row>
    <row r="24850" spans="1:1">
      <c r="A24850" s="56"/>
    </row>
    <row r="24851" spans="1:1">
      <c r="A24851" s="56"/>
    </row>
    <row r="24852" spans="1:1">
      <c r="A24852" s="56"/>
    </row>
    <row r="24853" spans="1:1">
      <c r="A24853" s="56"/>
    </row>
    <row r="24854" spans="1:1">
      <c r="A24854" s="56"/>
    </row>
    <row r="24855" spans="1:1">
      <c r="A24855" s="56"/>
    </row>
    <row r="24856" spans="1:1">
      <c r="A24856" s="56"/>
    </row>
    <row r="24857" spans="1:1">
      <c r="A24857" s="56"/>
    </row>
    <row r="24858" spans="1:1">
      <c r="A24858" s="56"/>
    </row>
    <row r="24859" spans="1:1">
      <c r="A24859" s="56"/>
    </row>
    <row r="24860" spans="1:1">
      <c r="A24860" s="56"/>
    </row>
    <row r="24861" spans="1:1">
      <c r="A24861" s="56"/>
    </row>
    <row r="24862" spans="1:1">
      <c r="A24862" s="56"/>
    </row>
    <row r="24863" spans="1:1">
      <c r="A24863" s="56"/>
    </row>
    <row r="24864" spans="1:1">
      <c r="A24864" s="56"/>
    </row>
    <row r="24865" spans="1:1">
      <c r="A24865" s="56"/>
    </row>
    <row r="24866" spans="1:1">
      <c r="A24866" s="56"/>
    </row>
    <row r="24867" spans="1:1">
      <c r="A24867" s="56"/>
    </row>
    <row r="24868" spans="1:1">
      <c r="A24868" s="56"/>
    </row>
    <row r="24869" spans="1:1">
      <c r="A24869" s="56"/>
    </row>
    <row r="24870" spans="1:1">
      <c r="A24870" s="56"/>
    </row>
    <row r="24871" spans="1:1">
      <c r="A24871" s="56"/>
    </row>
    <row r="24872" spans="1:1">
      <c r="A24872" s="56"/>
    </row>
    <row r="24873" spans="1:1">
      <c r="A24873" s="56"/>
    </row>
    <row r="24874" spans="1:1">
      <c r="A24874" s="56"/>
    </row>
    <row r="24875" spans="1:1">
      <c r="A24875" s="56"/>
    </row>
    <row r="24876" spans="1:1">
      <c r="A24876" s="56"/>
    </row>
    <row r="24877" spans="1:1">
      <c r="A24877" s="56"/>
    </row>
    <row r="24878" spans="1:1">
      <c r="A24878" s="56"/>
    </row>
    <row r="24879" spans="1:1">
      <c r="A24879" s="56"/>
    </row>
    <row r="24880" spans="1:1">
      <c r="A24880" s="56"/>
    </row>
    <row r="24881" spans="1:1">
      <c r="A24881" s="56"/>
    </row>
    <row r="24882" spans="1:1">
      <c r="A24882" s="56"/>
    </row>
    <row r="24883" spans="1:1">
      <c r="A24883" s="56"/>
    </row>
    <row r="24884" spans="1:1">
      <c r="A24884" s="56"/>
    </row>
    <row r="24885" spans="1:1">
      <c r="A24885" s="56"/>
    </row>
    <row r="24886" spans="1:1">
      <c r="A24886" s="56"/>
    </row>
    <row r="24887" spans="1:1">
      <c r="A24887" s="56"/>
    </row>
    <row r="24888" spans="1:1">
      <c r="A24888" s="56"/>
    </row>
    <row r="24889" spans="1:1">
      <c r="A24889" s="56"/>
    </row>
    <row r="24890" spans="1:1">
      <c r="A24890" s="56"/>
    </row>
    <row r="24891" spans="1:1">
      <c r="A24891" s="56"/>
    </row>
    <row r="24892" spans="1:1">
      <c r="A24892" s="56"/>
    </row>
    <row r="24893" spans="1:1">
      <c r="A24893" s="56"/>
    </row>
    <row r="24894" spans="1:1">
      <c r="A24894" s="56"/>
    </row>
    <row r="24895" spans="1:1">
      <c r="A24895" s="56"/>
    </row>
    <row r="24896" spans="1:1">
      <c r="A24896" s="56"/>
    </row>
    <row r="24897" spans="1:1">
      <c r="A24897" s="56"/>
    </row>
    <row r="24898" spans="1:1">
      <c r="A24898" s="56"/>
    </row>
    <row r="24899" spans="1:1">
      <c r="A24899" s="56"/>
    </row>
    <row r="24900" spans="1:1">
      <c r="A24900" s="56"/>
    </row>
    <row r="24901" spans="1:1">
      <c r="A24901" s="56"/>
    </row>
    <row r="24902" spans="1:1">
      <c r="A24902" s="56"/>
    </row>
    <row r="24903" spans="1:1">
      <c r="A24903" s="56"/>
    </row>
    <row r="24904" spans="1:1">
      <c r="A24904" s="56"/>
    </row>
    <row r="24905" spans="1:1">
      <c r="A24905" s="56"/>
    </row>
    <row r="24906" spans="1:1">
      <c r="A24906" s="56"/>
    </row>
    <row r="24907" spans="1:1">
      <c r="A24907" s="56"/>
    </row>
    <row r="24908" spans="1:1">
      <c r="A24908" s="56"/>
    </row>
    <row r="24909" spans="1:1">
      <c r="A24909" s="56"/>
    </row>
    <row r="24910" spans="1:1">
      <c r="A24910" s="56"/>
    </row>
    <row r="24911" spans="1:1">
      <c r="A24911" s="56"/>
    </row>
    <row r="24912" spans="1:1">
      <c r="A24912" s="56"/>
    </row>
    <row r="24913" spans="1:1">
      <c r="A24913" s="56"/>
    </row>
    <row r="24914" spans="1:1">
      <c r="A24914" s="56"/>
    </row>
    <row r="24915" spans="1:1">
      <c r="A24915" s="56"/>
    </row>
    <row r="24916" spans="1:1">
      <c r="A24916" s="56"/>
    </row>
    <row r="24917" spans="1:1">
      <c r="A24917" s="56"/>
    </row>
    <row r="24918" spans="1:1">
      <c r="A24918" s="56"/>
    </row>
    <row r="24919" spans="1:1">
      <c r="A24919" s="56"/>
    </row>
    <row r="24920" spans="1:1">
      <c r="A24920" s="56"/>
    </row>
    <row r="24921" spans="1:1">
      <c r="A24921" s="56"/>
    </row>
    <row r="24922" spans="1:1">
      <c r="A24922" s="56"/>
    </row>
    <row r="24923" spans="1:1">
      <c r="A24923" s="56"/>
    </row>
    <row r="24924" spans="1:1">
      <c r="A24924" s="56"/>
    </row>
    <row r="24925" spans="1:1">
      <c r="A24925" s="56"/>
    </row>
    <row r="24926" spans="1:1">
      <c r="A24926" s="56"/>
    </row>
    <row r="24927" spans="1:1">
      <c r="A24927" s="56"/>
    </row>
    <row r="24928" spans="1:1">
      <c r="A24928" s="56"/>
    </row>
    <row r="24929" spans="1:1">
      <c r="A24929" s="56"/>
    </row>
    <row r="24930" spans="1:1">
      <c r="A24930" s="56"/>
    </row>
    <row r="24931" spans="1:1">
      <c r="A24931" s="56"/>
    </row>
    <row r="24932" spans="1:1">
      <c r="A24932" s="56"/>
    </row>
    <row r="24933" spans="1:1">
      <c r="A24933" s="56"/>
    </row>
    <row r="24934" spans="1:1">
      <c r="A24934" s="56"/>
    </row>
    <row r="24935" spans="1:1">
      <c r="A24935" s="56"/>
    </row>
    <row r="24936" spans="1:1">
      <c r="A24936" s="56"/>
    </row>
    <row r="24937" spans="1:1">
      <c r="A24937" s="56"/>
    </row>
    <row r="24938" spans="1:1">
      <c r="A24938" s="56"/>
    </row>
    <row r="24939" spans="1:1">
      <c r="A24939" s="56"/>
    </row>
    <row r="24940" spans="1:1">
      <c r="A24940" s="56"/>
    </row>
    <row r="24941" spans="1:1">
      <c r="A24941" s="56"/>
    </row>
    <row r="24942" spans="1:1">
      <c r="A24942" s="56"/>
    </row>
    <row r="24943" spans="1:1">
      <c r="A24943" s="56"/>
    </row>
    <row r="24944" spans="1:1">
      <c r="A24944" s="56"/>
    </row>
    <row r="24945" spans="1:1">
      <c r="A24945" s="56"/>
    </row>
    <row r="24946" spans="1:1">
      <c r="A24946" s="56"/>
    </row>
    <row r="24947" spans="1:1">
      <c r="A24947" s="56"/>
    </row>
    <row r="24948" spans="1:1">
      <c r="A24948" s="56"/>
    </row>
    <row r="24949" spans="1:1">
      <c r="A24949" s="56"/>
    </row>
    <row r="24950" spans="1:1">
      <c r="A24950" s="56"/>
    </row>
    <row r="24951" spans="1:1">
      <c r="A24951" s="56"/>
    </row>
    <row r="24952" spans="1:1">
      <c r="A24952" s="56"/>
    </row>
    <row r="24953" spans="1:1">
      <c r="A24953" s="56"/>
    </row>
    <row r="24954" spans="1:1">
      <c r="A24954" s="56"/>
    </row>
    <row r="24955" spans="1:1">
      <c r="A24955" s="56"/>
    </row>
    <row r="24956" spans="1:1">
      <c r="A24956" s="56"/>
    </row>
    <row r="24957" spans="1:1">
      <c r="A24957" s="56"/>
    </row>
    <row r="24958" spans="1:1">
      <c r="A24958" s="56"/>
    </row>
    <row r="24959" spans="1:1">
      <c r="A24959" s="56"/>
    </row>
    <row r="24960" spans="1:1">
      <c r="A24960" s="56"/>
    </row>
    <row r="24961" spans="1:1">
      <c r="A24961" s="56"/>
    </row>
    <row r="24962" spans="1:1">
      <c r="A24962" s="56"/>
    </row>
    <row r="24963" spans="1:1">
      <c r="A24963" s="56"/>
    </row>
    <row r="24964" spans="1:1">
      <c r="A24964" s="56"/>
    </row>
    <row r="24965" spans="1:1">
      <c r="A24965" s="56"/>
    </row>
    <row r="24966" spans="1:1">
      <c r="A24966" s="56"/>
    </row>
    <row r="24967" spans="1:1">
      <c r="A24967" s="56"/>
    </row>
    <row r="24968" spans="1:1">
      <c r="A24968" s="56"/>
    </row>
    <row r="24969" spans="1:1">
      <c r="A24969" s="56"/>
    </row>
    <row r="24970" spans="1:1">
      <c r="A24970" s="56"/>
    </row>
    <row r="24971" spans="1:1">
      <c r="A24971" s="56"/>
    </row>
    <row r="24972" spans="1:1">
      <c r="A24972" s="56"/>
    </row>
    <row r="24973" spans="1:1">
      <c r="A24973" s="56"/>
    </row>
    <row r="24974" spans="1:1">
      <c r="A24974" s="56"/>
    </row>
    <row r="24975" spans="1:1">
      <c r="A24975" s="56"/>
    </row>
    <row r="24976" spans="1:1">
      <c r="A24976" s="56"/>
    </row>
    <row r="24977" spans="1:1">
      <c r="A24977" s="56"/>
    </row>
    <row r="24978" spans="1:1">
      <c r="A24978" s="56"/>
    </row>
    <row r="24979" spans="1:1">
      <c r="A24979" s="56"/>
    </row>
    <row r="24980" spans="1:1">
      <c r="A24980" s="56"/>
    </row>
    <row r="24981" spans="1:1">
      <c r="A24981" s="56"/>
    </row>
    <row r="24982" spans="1:1">
      <c r="A24982" s="56"/>
    </row>
    <row r="24983" spans="1:1">
      <c r="A24983" s="56"/>
    </row>
    <row r="24984" spans="1:1">
      <c r="A24984" s="56"/>
    </row>
    <row r="24985" spans="1:1">
      <c r="A24985" s="56"/>
    </row>
    <row r="24986" spans="1:1">
      <c r="A24986" s="56"/>
    </row>
    <row r="24987" spans="1:1">
      <c r="A24987" s="56"/>
    </row>
    <row r="24988" spans="1:1">
      <c r="A24988" s="56"/>
    </row>
    <row r="24989" spans="1:1">
      <c r="A24989" s="56"/>
    </row>
    <row r="24990" spans="1:1">
      <c r="A24990" s="56"/>
    </row>
    <row r="24991" spans="1:1">
      <c r="A24991" s="56"/>
    </row>
    <row r="24992" spans="1:1">
      <c r="A24992" s="56"/>
    </row>
    <row r="24993" spans="1:1">
      <c r="A24993" s="56"/>
    </row>
    <row r="24994" spans="1:1">
      <c r="A24994" s="56"/>
    </row>
    <row r="24995" spans="1:1">
      <c r="A24995" s="56"/>
    </row>
    <row r="24996" spans="1:1">
      <c r="A24996" s="56"/>
    </row>
    <row r="24997" spans="1:1">
      <c r="A24997" s="56"/>
    </row>
    <row r="24998" spans="1:1">
      <c r="A24998" s="56"/>
    </row>
    <row r="24999" spans="1:1">
      <c r="A24999" s="56"/>
    </row>
    <row r="25000" spans="1:1">
      <c r="A25000" s="56"/>
    </row>
    <row r="25001" spans="1:1">
      <c r="A25001" s="56"/>
    </row>
    <row r="25002" spans="1:1">
      <c r="A25002" s="56"/>
    </row>
    <row r="25003" spans="1:1">
      <c r="A25003" s="56"/>
    </row>
    <row r="25004" spans="1:1">
      <c r="A25004" s="56"/>
    </row>
    <row r="25005" spans="1:1">
      <c r="A25005" s="56"/>
    </row>
    <row r="25006" spans="1:1">
      <c r="A25006" s="56"/>
    </row>
    <row r="25007" spans="1:1">
      <c r="A25007" s="56"/>
    </row>
    <row r="25008" spans="1:1">
      <c r="A25008" s="56"/>
    </row>
    <row r="25009" spans="1:1">
      <c r="A25009" s="56"/>
    </row>
    <row r="25010" spans="1:1">
      <c r="A25010" s="56"/>
    </row>
    <row r="25011" spans="1:1">
      <c r="A25011" s="56"/>
    </row>
    <row r="25012" spans="1:1">
      <c r="A25012" s="56"/>
    </row>
    <row r="25013" spans="1:1">
      <c r="A25013" s="56"/>
    </row>
    <row r="25014" spans="1:1">
      <c r="A25014" s="56"/>
    </row>
    <row r="25015" spans="1:1">
      <c r="A25015" s="56"/>
    </row>
    <row r="25016" spans="1:1">
      <c r="A25016" s="56"/>
    </row>
    <row r="25017" spans="1:1">
      <c r="A25017" s="56"/>
    </row>
    <row r="25018" spans="1:1">
      <c r="A25018" s="56"/>
    </row>
    <row r="25019" spans="1:1">
      <c r="A25019" s="56"/>
    </row>
    <row r="25020" spans="1:1">
      <c r="A25020" s="56"/>
    </row>
    <row r="25021" spans="1:1">
      <c r="A25021" s="56"/>
    </row>
    <row r="25022" spans="1:1">
      <c r="A25022" s="56"/>
    </row>
    <row r="25023" spans="1:1">
      <c r="A25023" s="56"/>
    </row>
    <row r="25024" spans="1:1">
      <c r="A25024" s="56"/>
    </row>
    <row r="25025" spans="1:1">
      <c r="A25025" s="56"/>
    </row>
    <row r="25026" spans="1:1">
      <c r="A25026" s="56"/>
    </row>
    <row r="25027" spans="1:1">
      <c r="A25027" s="56"/>
    </row>
    <row r="25028" spans="1:1">
      <c r="A25028" s="56"/>
    </row>
    <row r="25029" spans="1:1">
      <c r="A25029" s="56"/>
    </row>
    <row r="25030" spans="1:1">
      <c r="A25030" s="56"/>
    </row>
    <row r="25031" spans="1:1">
      <c r="A25031" s="56"/>
    </row>
    <row r="25032" spans="1:1">
      <c r="A25032" s="56"/>
    </row>
    <row r="25033" spans="1:1">
      <c r="A25033" s="56"/>
    </row>
    <row r="25034" spans="1:1">
      <c r="A25034" s="56"/>
    </row>
    <row r="25035" spans="1:1">
      <c r="A25035" s="56"/>
    </row>
    <row r="25036" spans="1:1">
      <c r="A25036" s="56"/>
    </row>
    <row r="25037" spans="1:1">
      <c r="A25037" s="56"/>
    </row>
    <row r="25038" spans="1:1">
      <c r="A25038" s="56"/>
    </row>
    <row r="25039" spans="1:1">
      <c r="A25039" s="56"/>
    </row>
    <row r="25040" spans="1:1">
      <c r="A25040" s="56"/>
    </row>
    <row r="25041" spans="1:1">
      <c r="A25041" s="56"/>
    </row>
    <row r="25042" spans="1:1">
      <c r="A25042" s="56"/>
    </row>
    <row r="25043" spans="1:1">
      <c r="A25043" s="56"/>
    </row>
    <row r="25044" spans="1:1">
      <c r="A25044" s="56"/>
    </row>
    <row r="25045" spans="1:1">
      <c r="A25045" s="56"/>
    </row>
    <row r="25046" spans="1:1">
      <c r="A25046" s="56"/>
    </row>
    <row r="25047" spans="1:1">
      <c r="A25047" s="56"/>
    </row>
    <row r="25048" spans="1:1">
      <c r="A25048" s="56"/>
    </row>
    <row r="25049" spans="1:1">
      <c r="A25049" s="56"/>
    </row>
    <row r="25050" spans="1:1">
      <c r="A25050" s="56"/>
    </row>
    <row r="25051" spans="1:1">
      <c r="A25051" s="56"/>
    </row>
    <row r="25052" spans="1:1">
      <c r="A25052" s="56"/>
    </row>
    <row r="25053" spans="1:1">
      <c r="A25053" s="56"/>
    </row>
    <row r="25054" spans="1:1">
      <c r="A25054" s="56"/>
    </row>
    <row r="25055" spans="1:1">
      <c r="A25055" s="56"/>
    </row>
    <row r="25056" spans="1:1">
      <c r="A25056" s="56"/>
    </row>
    <row r="25057" spans="1:1">
      <c r="A25057" s="56"/>
    </row>
    <row r="25058" spans="1:1">
      <c r="A25058" s="56"/>
    </row>
    <row r="25059" spans="1:1">
      <c r="A25059" s="56"/>
    </row>
    <row r="25060" spans="1:1">
      <c r="A25060" s="56"/>
    </row>
    <row r="25061" spans="1:1">
      <c r="A25061" s="56"/>
    </row>
    <row r="25062" spans="1:1">
      <c r="A25062" s="56"/>
    </row>
    <row r="25063" spans="1:1">
      <c r="A25063" s="56"/>
    </row>
    <row r="25064" spans="1:1">
      <c r="A25064" s="56"/>
    </row>
    <row r="25065" spans="1:1">
      <c r="A25065" s="56"/>
    </row>
    <row r="25066" spans="1:1">
      <c r="A25066" s="56"/>
    </row>
    <row r="25067" spans="1:1">
      <c r="A25067" s="56"/>
    </row>
    <row r="25068" spans="1:1">
      <c r="A25068" s="56"/>
    </row>
    <row r="25069" spans="1:1">
      <c r="A25069" s="56"/>
    </row>
    <row r="25070" spans="1:1">
      <c r="A25070" s="56"/>
    </row>
    <row r="25071" spans="1:1">
      <c r="A25071" s="56"/>
    </row>
    <row r="25072" spans="1:1">
      <c r="A25072" s="56"/>
    </row>
    <row r="25073" spans="1:1">
      <c r="A25073" s="56"/>
    </row>
    <row r="25074" spans="1:1">
      <c r="A25074" s="56"/>
    </row>
    <row r="25075" spans="1:1">
      <c r="A25075" s="56"/>
    </row>
    <row r="25076" spans="1:1">
      <c r="A25076" s="56"/>
    </row>
    <row r="25077" spans="1:1">
      <c r="A25077" s="56"/>
    </row>
    <row r="25078" spans="1:1">
      <c r="A25078" s="56"/>
    </row>
    <row r="25079" spans="1:1">
      <c r="A25079" s="56"/>
    </row>
    <row r="25080" spans="1:1">
      <c r="A25080" s="56"/>
    </row>
    <row r="25081" spans="1:1">
      <c r="A25081" s="56"/>
    </row>
    <row r="25082" spans="1:1">
      <c r="A25082" s="56"/>
    </row>
    <row r="25083" spans="1:1">
      <c r="A25083" s="56"/>
    </row>
    <row r="25084" spans="1:1">
      <c r="A25084" s="56"/>
    </row>
    <row r="25085" spans="1:1">
      <c r="A25085" s="56"/>
    </row>
    <row r="25086" spans="1:1">
      <c r="A25086" s="56"/>
    </row>
    <row r="25087" spans="1:1">
      <c r="A25087" s="56"/>
    </row>
    <row r="25088" spans="1:1">
      <c r="A25088" s="56"/>
    </row>
    <row r="25089" spans="1:1">
      <c r="A25089" s="56"/>
    </row>
    <row r="25090" spans="1:1">
      <c r="A25090" s="56"/>
    </row>
    <row r="25091" spans="1:1">
      <c r="A25091" s="56"/>
    </row>
    <row r="25092" spans="1:1">
      <c r="A25092" s="56"/>
    </row>
    <row r="25093" spans="1:1">
      <c r="A25093" s="56"/>
    </row>
    <row r="25094" spans="1:1">
      <c r="A25094" s="56"/>
    </row>
    <row r="25095" spans="1:1">
      <c r="A25095" s="56"/>
    </row>
    <row r="25096" spans="1:1">
      <c r="A25096" s="56"/>
    </row>
    <row r="25097" spans="1:1">
      <c r="A25097" s="56"/>
    </row>
    <row r="25098" spans="1:1">
      <c r="A25098" s="56"/>
    </row>
    <row r="25099" spans="1:1">
      <c r="A25099" s="56"/>
    </row>
    <row r="25100" spans="1:1">
      <c r="A25100" s="56"/>
    </row>
    <row r="25101" spans="1:1">
      <c r="A25101" s="56"/>
    </row>
    <row r="25102" spans="1:1">
      <c r="A25102" s="56"/>
    </row>
    <row r="25103" spans="1:1">
      <c r="A25103" s="56"/>
    </row>
    <row r="25104" spans="1:1">
      <c r="A25104" s="56"/>
    </row>
    <row r="25105" spans="1:1">
      <c r="A25105" s="56"/>
    </row>
    <row r="25106" spans="1:1">
      <c r="A25106" s="56"/>
    </row>
    <row r="25107" spans="1:1">
      <c r="A25107" s="56"/>
    </row>
    <row r="25108" spans="1:1">
      <c r="A25108" s="56"/>
    </row>
    <row r="25109" spans="1:1">
      <c r="A25109" s="56"/>
    </row>
    <row r="25110" spans="1:1">
      <c r="A25110" s="56"/>
    </row>
    <row r="25111" spans="1:1">
      <c r="A25111" s="56"/>
    </row>
    <row r="25112" spans="1:1">
      <c r="A25112" s="56"/>
    </row>
    <row r="25113" spans="1:1">
      <c r="A25113" s="56"/>
    </row>
    <row r="25114" spans="1:1">
      <c r="A25114" s="56"/>
    </row>
    <row r="25115" spans="1:1">
      <c r="A25115" s="56"/>
    </row>
    <row r="25116" spans="1:1">
      <c r="A25116" s="56"/>
    </row>
    <row r="25117" spans="1:1">
      <c r="A25117" s="56"/>
    </row>
    <row r="25118" spans="1:1">
      <c r="A25118" s="56"/>
    </row>
    <row r="25119" spans="1:1">
      <c r="A25119" s="56"/>
    </row>
    <row r="25120" spans="1:1">
      <c r="A25120" s="56"/>
    </row>
    <row r="25121" spans="1:1">
      <c r="A25121" s="56"/>
    </row>
    <row r="25122" spans="1:1">
      <c r="A25122" s="56"/>
    </row>
    <row r="25123" spans="1:1">
      <c r="A25123" s="56"/>
    </row>
    <row r="25124" spans="1:1">
      <c r="A25124" s="56"/>
    </row>
    <row r="25125" spans="1:1">
      <c r="A25125" s="56"/>
    </row>
    <row r="25126" spans="1:1">
      <c r="A25126" s="56"/>
    </row>
    <row r="25127" spans="1:1">
      <c r="A25127" s="56"/>
    </row>
    <row r="25128" spans="1:1">
      <c r="A25128" s="56"/>
    </row>
    <row r="25129" spans="1:1">
      <c r="A25129" s="56"/>
    </row>
    <row r="25130" spans="1:1">
      <c r="A25130" s="56"/>
    </row>
    <row r="25131" spans="1:1">
      <c r="A25131" s="56"/>
    </row>
    <row r="25132" spans="1:1">
      <c r="A25132" s="56"/>
    </row>
    <row r="25133" spans="1:1">
      <c r="A25133" s="56"/>
    </row>
    <row r="25134" spans="1:1">
      <c r="A25134" s="56"/>
    </row>
    <row r="25135" spans="1:1">
      <c r="A25135" s="56"/>
    </row>
    <row r="25136" spans="1:1">
      <c r="A25136" s="56"/>
    </row>
    <row r="25137" spans="1:1">
      <c r="A25137" s="56"/>
    </row>
    <row r="25138" spans="1:1">
      <c r="A25138" s="56"/>
    </row>
    <row r="25139" spans="1:1">
      <c r="A25139" s="56"/>
    </row>
    <row r="25140" spans="1:1">
      <c r="A25140" s="56"/>
    </row>
    <row r="25141" spans="1:1">
      <c r="A25141" s="56"/>
    </row>
    <row r="25142" spans="1:1">
      <c r="A25142" s="56"/>
    </row>
    <row r="25143" spans="1:1">
      <c r="A25143" s="56"/>
    </row>
    <row r="25144" spans="1:1">
      <c r="A25144" s="56"/>
    </row>
    <row r="25145" spans="1:1">
      <c r="A25145" s="56"/>
    </row>
    <row r="25146" spans="1:1">
      <c r="A25146" s="56"/>
    </row>
    <row r="25147" spans="1:1">
      <c r="A25147" s="56"/>
    </row>
    <row r="25148" spans="1:1">
      <c r="A25148" s="56"/>
    </row>
    <row r="25149" spans="1:1">
      <c r="A25149" s="56"/>
    </row>
    <row r="25150" spans="1:1">
      <c r="A25150" s="56"/>
    </row>
    <row r="25151" spans="1:1">
      <c r="A25151" s="56"/>
    </row>
    <row r="25152" spans="1:1">
      <c r="A25152" s="56"/>
    </row>
    <row r="25153" spans="1:1">
      <c r="A25153" s="56"/>
    </row>
    <row r="25154" spans="1:1">
      <c r="A25154" s="56"/>
    </row>
    <row r="25155" spans="1:1">
      <c r="A25155" s="56"/>
    </row>
    <row r="25156" spans="1:1">
      <c r="A25156" s="56"/>
    </row>
    <row r="25157" spans="1:1">
      <c r="A25157" s="56"/>
    </row>
    <row r="25158" spans="1:1">
      <c r="A25158" s="56"/>
    </row>
    <row r="25159" spans="1:1">
      <c r="A25159" s="56"/>
    </row>
    <row r="25160" spans="1:1">
      <c r="A25160" s="56"/>
    </row>
    <row r="25161" spans="1:1">
      <c r="A25161" s="56"/>
    </row>
    <row r="25162" spans="1:1">
      <c r="A25162" s="56"/>
    </row>
    <row r="25163" spans="1:1">
      <c r="A25163" s="56"/>
    </row>
    <row r="25164" spans="1:1">
      <c r="A25164" s="56"/>
    </row>
    <row r="25165" spans="1:1">
      <c r="A25165" s="56"/>
    </row>
    <row r="25166" spans="1:1">
      <c r="A25166" s="56"/>
    </row>
    <row r="25167" spans="1:1">
      <c r="A25167" s="56"/>
    </row>
    <row r="25168" spans="1:1">
      <c r="A25168" s="56"/>
    </row>
    <row r="25169" spans="1:1">
      <c r="A25169" s="56"/>
    </row>
    <row r="25170" spans="1:1">
      <c r="A25170" s="56"/>
    </row>
    <row r="25171" spans="1:1">
      <c r="A25171" s="56"/>
    </row>
    <row r="25172" spans="1:1">
      <c r="A25172" s="56"/>
    </row>
    <row r="25173" spans="1:1">
      <c r="A25173" s="56"/>
    </row>
    <row r="25174" spans="1:1">
      <c r="A25174" s="56"/>
    </row>
    <row r="25175" spans="1:1">
      <c r="A25175" s="56"/>
    </row>
    <row r="25176" spans="1:1">
      <c r="A25176" s="56"/>
    </row>
    <row r="25177" spans="1:1">
      <c r="A25177" s="56"/>
    </row>
    <row r="25178" spans="1:1">
      <c r="A25178" s="56"/>
    </row>
    <row r="25179" spans="1:1">
      <c r="A25179" s="56"/>
    </row>
    <row r="25180" spans="1:1">
      <c r="A25180" s="56"/>
    </row>
    <row r="25181" spans="1:1">
      <c r="A25181" s="56"/>
    </row>
    <row r="25182" spans="1:1">
      <c r="A25182" s="56"/>
    </row>
    <row r="25183" spans="1:1">
      <c r="A25183" s="56"/>
    </row>
    <row r="25184" spans="1:1">
      <c r="A25184" s="56"/>
    </row>
    <row r="25185" spans="1:1">
      <c r="A25185" s="56"/>
    </row>
    <row r="25186" spans="1:1">
      <c r="A25186" s="56"/>
    </row>
    <row r="25187" spans="1:1">
      <c r="A25187" s="56"/>
    </row>
    <row r="25188" spans="1:1">
      <c r="A25188" s="56"/>
    </row>
    <row r="25189" spans="1:1">
      <c r="A25189" s="56"/>
    </row>
    <row r="25190" spans="1:1">
      <c r="A25190" s="56"/>
    </row>
    <row r="25191" spans="1:1">
      <c r="A25191" s="56"/>
    </row>
    <row r="25192" spans="1:1">
      <c r="A25192" s="56"/>
    </row>
    <row r="25193" spans="1:1">
      <c r="A25193" s="56"/>
    </row>
    <row r="25194" spans="1:1">
      <c r="A25194" s="56"/>
    </row>
    <row r="25195" spans="1:1">
      <c r="A25195" s="56"/>
    </row>
    <row r="25196" spans="1:1">
      <c r="A25196" s="56"/>
    </row>
    <row r="25197" spans="1:1">
      <c r="A25197" s="56"/>
    </row>
    <row r="25198" spans="1:1">
      <c r="A25198" s="56"/>
    </row>
    <row r="25199" spans="1:1">
      <c r="A25199" s="56"/>
    </row>
    <row r="25200" spans="1:1">
      <c r="A25200" s="56"/>
    </row>
    <row r="25201" spans="1:1">
      <c r="A25201" s="56"/>
    </row>
    <row r="25202" spans="1:1">
      <c r="A25202" s="56"/>
    </row>
    <row r="25203" spans="1:1">
      <c r="A25203" s="56"/>
    </row>
    <row r="25204" spans="1:1">
      <c r="A25204" s="56"/>
    </row>
    <row r="25205" spans="1:1">
      <c r="A25205" s="56"/>
    </row>
    <row r="25206" spans="1:1">
      <c r="A25206" s="56"/>
    </row>
    <row r="25207" spans="1:1">
      <c r="A25207" s="56"/>
    </row>
    <row r="25208" spans="1:1">
      <c r="A25208" s="56"/>
    </row>
    <row r="25209" spans="1:1">
      <c r="A25209" s="56"/>
    </row>
    <row r="25210" spans="1:1">
      <c r="A25210" s="56"/>
    </row>
    <row r="25211" spans="1:1">
      <c r="A25211" s="56"/>
    </row>
    <row r="25212" spans="1:1">
      <c r="A25212" s="56"/>
    </row>
    <row r="25213" spans="1:1">
      <c r="A25213" s="56"/>
    </row>
    <row r="25214" spans="1:1">
      <c r="A25214" s="56"/>
    </row>
    <row r="25215" spans="1:1">
      <c r="A25215" s="56"/>
    </row>
    <row r="25216" spans="1:1">
      <c r="A25216" s="56"/>
    </row>
    <row r="25217" spans="1:1">
      <c r="A25217" s="56"/>
    </row>
    <row r="25218" spans="1:1">
      <c r="A25218" s="56"/>
    </row>
    <row r="25219" spans="1:1">
      <c r="A25219" s="56"/>
    </row>
    <row r="25220" spans="1:1">
      <c r="A25220" s="56"/>
    </row>
    <row r="25221" spans="1:1">
      <c r="A25221" s="56"/>
    </row>
    <row r="25222" spans="1:1">
      <c r="A25222" s="56"/>
    </row>
    <row r="25223" spans="1:1">
      <c r="A25223" s="56"/>
    </row>
    <row r="25224" spans="1:1">
      <c r="A25224" s="56"/>
    </row>
    <row r="25225" spans="1:1">
      <c r="A25225" s="56"/>
    </row>
    <row r="25226" spans="1:1">
      <c r="A25226" s="56"/>
    </row>
    <row r="25227" spans="1:1">
      <c r="A25227" s="56"/>
    </row>
    <row r="25228" spans="1:1">
      <c r="A25228" s="56"/>
    </row>
    <row r="25229" spans="1:1">
      <c r="A25229" s="56"/>
    </row>
    <row r="25230" spans="1:1">
      <c r="A25230" s="56"/>
    </row>
    <row r="25231" spans="1:1">
      <c r="A25231" s="56"/>
    </row>
    <row r="25232" spans="1:1">
      <c r="A25232" s="56"/>
    </row>
    <row r="25233" spans="1:1">
      <c r="A25233" s="56"/>
    </row>
    <row r="25234" spans="1:1">
      <c r="A25234" s="56"/>
    </row>
    <row r="25235" spans="1:1">
      <c r="A25235" s="56"/>
    </row>
    <row r="25236" spans="1:1">
      <c r="A25236" s="56"/>
    </row>
    <row r="25237" spans="1:1">
      <c r="A25237" s="56"/>
    </row>
    <row r="25238" spans="1:1">
      <c r="A25238" s="56"/>
    </row>
    <row r="25239" spans="1:1">
      <c r="A25239" s="56"/>
    </row>
    <row r="25240" spans="1:1">
      <c r="A25240" s="56"/>
    </row>
    <row r="25241" spans="1:1">
      <c r="A25241" s="56"/>
    </row>
    <row r="25242" spans="1:1">
      <c r="A25242" s="56"/>
    </row>
    <row r="25243" spans="1:1">
      <c r="A25243" s="56"/>
    </row>
    <row r="25244" spans="1:1">
      <c r="A25244" s="56"/>
    </row>
    <row r="25245" spans="1:1">
      <c r="A25245" s="56"/>
    </row>
    <row r="25246" spans="1:1">
      <c r="A25246" s="56"/>
    </row>
    <row r="25247" spans="1:1">
      <c r="A25247" s="56"/>
    </row>
    <row r="25248" spans="1:1">
      <c r="A25248" s="56"/>
    </row>
    <row r="25249" spans="1:1">
      <c r="A25249" s="56"/>
    </row>
    <row r="25250" spans="1:1">
      <c r="A25250" s="56"/>
    </row>
    <row r="25251" spans="1:1">
      <c r="A25251" s="56"/>
    </row>
    <row r="25252" spans="1:1">
      <c r="A25252" s="56"/>
    </row>
    <row r="25253" spans="1:1">
      <c r="A25253" s="56"/>
    </row>
    <row r="25254" spans="1:1">
      <c r="A25254" s="56"/>
    </row>
    <row r="25255" spans="1:1">
      <c r="A25255" s="56"/>
    </row>
    <row r="25256" spans="1:1">
      <c r="A25256" s="56"/>
    </row>
    <row r="25257" spans="1:1">
      <c r="A25257" s="56"/>
    </row>
    <row r="25258" spans="1:1">
      <c r="A25258" s="56"/>
    </row>
    <row r="25259" spans="1:1">
      <c r="A25259" s="56"/>
    </row>
    <row r="25260" spans="1:1">
      <c r="A25260" s="56"/>
    </row>
    <row r="25261" spans="1:1">
      <c r="A25261" s="56"/>
    </row>
    <row r="25262" spans="1:1">
      <c r="A25262" s="56"/>
    </row>
    <row r="25263" spans="1:1">
      <c r="A25263" s="56"/>
    </row>
    <row r="25264" spans="1:1">
      <c r="A25264" s="56"/>
    </row>
    <row r="25265" spans="1:1">
      <c r="A25265" s="56"/>
    </row>
    <row r="25266" spans="1:1">
      <c r="A25266" s="56"/>
    </row>
    <row r="25267" spans="1:1">
      <c r="A25267" s="56"/>
    </row>
    <row r="25268" spans="1:1">
      <c r="A25268" s="56"/>
    </row>
    <row r="25269" spans="1:1">
      <c r="A25269" s="56"/>
    </row>
    <row r="25270" spans="1:1">
      <c r="A25270" s="56"/>
    </row>
    <row r="25271" spans="1:1">
      <c r="A25271" s="56"/>
    </row>
    <row r="25272" spans="1:1">
      <c r="A25272" s="56"/>
    </row>
    <row r="25273" spans="1:1">
      <c r="A25273" s="56"/>
    </row>
    <row r="25274" spans="1:1">
      <c r="A25274" s="56"/>
    </row>
    <row r="25275" spans="1:1">
      <c r="A25275" s="56"/>
    </row>
    <row r="25276" spans="1:1">
      <c r="A25276" s="56"/>
    </row>
    <row r="25277" spans="1:1">
      <c r="A25277" s="56"/>
    </row>
    <row r="25278" spans="1:1">
      <c r="A25278" s="56"/>
    </row>
    <row r="25279" spans="1:1">
      <c r="A25279" s="56"/>
    </row>
    <row r="25280" spans="1:1">
      <c r="A25280" s="56"/>
    </row>
    <row r="25281" spans="1:1">
      <c r="A25281" s="56"/>
    </row>
    <row r="25282" spans="1:1">
      <c r="A25282" s="56"/>
    </row>
    <row r="25283" spans="1:1">
      <c r="A25283" s="56"/>
    </row>
    <row r="25284" spans="1:1">
      <c r="A25284" s="56"/>
    </row>
    <row r="25285" spans="1:1">
      <c r="A25285" s="56"/>
    </row>
    <row r="25286" spans="1:1">
      <c r="A25286" s="56"/>
    </row>
    <row r="25287" spans="1:1">
      <c r="A25287" s="56"/>
    </row>
    <row r="25288" spans="1:1">
      <c r="A25288" s="56"/>
    </row>
    <row r="25289" spans="1:1">
      <c r="A25289" s="56"/>
    </row>
    <row r="25290" spans="1:1">
      <c r="A25290" s="56"/>
    </row>
    <row r="25291" spans="1:1">
      <c r="A25291" s="56"/>
    </row>
    <row r="25292" spans="1:1">
      <c r="A25292" s="56"/>
    </row>
    <row r="25293" spans="1:1">
      <c r="A25293" s="56"/>
    </row>
    <row r="25294" spans="1:1">
      <c r="A25294" s="56"/>
    </row>
    <row r="25295" spans="1:1">
      <c r="A25295" s="56"/>
    </row>
    <row r="25296" spans="1:1">
      <c r="A25296" s="56"/>
    </row>
    <row r="25297" spans="1:1">
      <c r="A25297" s="56"/>
    </row>
    <row r="25298" spans="1:1">
      <c r="A25298" s="56"/>
    </row>
    <row r="25299" spans="1:1">
      <c r="A25299" s="56"/>
    </row>
    <row r="25300" spans="1:1">
      <c r="A25300" s="56"/>
    </row>
    <row r="25301" spans="1:1">
      <c r="A25301" s="56"/>
    </row>
    <row r="25302" spans="1:1">
      <c r="A25302" s="56"/>
    </row>
    <row r="25303" spans="1:1">
      <c r="A25303" s="56"/>
    </row>
    <row r="25304" spans="1:1">
      <c r="A25304" s="56"/>
    </row>
    <row r="25305" spans="1:1">
      <c r="A25305" s="56"/>
    </row>
    <row r="25306" spans="1:1">
      <c r="A25306" s="56"/>
    </row>
    <row r="25307" spans="1:1">
      <c r="A25307" s="56"/>
    </row>
    <row r="25308" spans="1:1">
      <c r="A25308" s="56"/>
    </row>
    <row r="25309" spans="1:1">
      <c r="A25309" s="56"/>
    </row>
    <row r="25310" spans="1:1">
      <c r="A25310" s="56"/>
    </row>
    <row r="25311" spans="1:1">
      <c r="A25311" s="56"/>
    </row>
    <row r="25312" spans="1:1">
      <c r="A25312" s="56"/>
    </row>
    <row r="25313" spans="1:1">
      <c r="A25313" s="56"/>
    </row>
    <row r="25314" spans="1:1">
      <c r="A25314" s="56"/>
    </row>
    <row r="25315" spans="1:1">
      <c r="A25315" s="56"/>
    </row>
    <row r="25316" spans="1:1">
      <c r="A25316" s="56"/>
    </row>
    <row r="25317" spans="1:1">
      <c r="A25317" s="56"/>
    </row>
    <row r="25318" spans="1:1">
      <c r="A25318" s="56"/>
    </row>
    <row r="25319" spans="1:1">
      <c r="A25319" s="56"/>
    </row>
    <row r="25320" spans="1:1">
      <c r="A25320" s="56"/>
    </row>
    <row r="25321" spans="1:1">
      <c r="A25321" s="56"/>
    </row>
    <row r="25322" spans="1:1">
      <c r="A25322" s="56"/>
    </row>
    <row r="25323" spans="1:1">
      <c r="A25323" s="56"/>
    </row>
    <row r="25324" spans="1:1">
      <c r="A25324" s="56"/>
    </row>
    <row r="25325" spans="1:1">
      <c r="A25325" s="56"/>
    </row>
    <row r="25326" spans="1:1">
      <c r="A25326" s="56"/>
    </row>
    <row r="25327" spans="1:1">
      <c r="A25327" s="56"/>
    </row>
    <row r="25328" spans="1:1">
      <c r="A25328" s="56"/>
    </row>
    <row r="25329" spans="1:1">
      <c r="A25329" s="56"/>
    </row>
    <row r="25330" spans="1:1">
      <c r="A25330" s="56"/>
    </row>
    <row r="25331" spans="1:1">
      <c r="A25331" s="56"/>
    </row>
    <row r="25332" spans="1:1">
      <c r="A25332" s="56"/>
    </row>
    <row r="25333" spans="1:1">
      <c r="A25333" s="56"/>
    </row>
    <row r="25334" spans="1:1">
      <c r="A25334" s="56"/>
    </row>
    <row r="25335" spans="1:1">
      <c r="A25335" s="56"/>
    </row>
    <row r="25336" spans="1:1">
      <c r="A25336" s="56"/>
    </row>
    <row r="25337" spans="1:1">
      <c r="A25337" s="56"/>
    </row>
    <row r="25338" spans="1:1">
      <c r="A25338" s="56"/>
    </row>
    <row r="25339" spans="1:1">
      <c r="A25339" s="56"/>
    </row>
    <row r="25340" spans="1:1">
      <c r="A25340" s="56"/>
    </row>
    <row r="25341" spans="1:1">
      <c r="A25341" s="56"/>
    </row>
    <row r="25342" spans="1:1">
      <c r="A25342" s="56"/>
    </row>
    <row r="25343" spans="1:1">
      <c r="A25343" s="56"/>
    </row>
    <row r="25344" spans="1:1">
      <c r="A25344" s="56"/>
    </row>
    <row r="25345" spans="1:1">
      <c r="A25345" s="56"/>
    </row>
    <row r="25346" spans="1:1">
      <c r="A25346" s="56"/>
    </row>
    <row r="25347" spans="1:1">
      <c r="A25347" s="56"/>
    </row>
    <row r="25348" spans="1:1">
      <c r="A25348" s="56"/>
    </row>
    <row r="25349" spans="1:1">
      <c r="A25349" s="56"/>
    </row>
    <row r="25350" spans="1:1">
      <c r="A25350" s="56"/>
    </row>
    <row r="25351" spans="1:1">
      <c r="A25351" s="56"/>
    </row>
    <row r="25352" spans="1:1">
      <c r="A25352" s="56"/>
    </row>
    <row r="25353" spans="1:1">
      <c r="A25353" s="56"/>
    </row>
    <row r="25354" spans="1:1">
      <c r="A25354" s="56"/>
    </row>
    <row r="25355" spans="1:1">
      <c r="A25355" s="56"/>
    </row>
    <row r="25356" spans="1:1">
      <c r="A25356" s="56"/>
    </row>
    <row r="25357" spans="1:1">
      <c r="A25357" s="56"/>
    </row>
    <row r="25358" spans="1:1">
      <c r="A25358" s="56"/>
    </row>
    <row r="25359" spans="1:1">
      <c r="A25359" s="56"/>
    </row>
    <row r="25360" spans="1:1">
      <c r="A25360" s="56"/>
    </row>
    <row r="25361" spans="1:1">
      <c r="A25361" s="56"/>
    </row>
    <row r="25362" spans="1:1">
      <c r="A25362" s="56"/>
    </row>
    <row r="25363" spans="1:1">
      <c r="A25363" s="56"/>
    </row>
    <row r="25364" spans="1:1">
      <c r="A25364" s="56"/>
    </row>
    <row r="25365" spans="1:1">
      <c r="A25365" s="56"/>
    </row>
    <row r="25366" spans="1:1">
      <c r="A25366" s="56"/>
    </row>
    <row r="25367" spans="1:1">
      <c r="A25367" s="56"/>
    </row>
    <row r="25368" spans="1:1">
      <c r="A25368" s="56"/>
    </row>
    <row r="25369" spans="1:1">
      <c r="A25369" s="56"/>
    </row>
    <row r="25370" spans="1:1">
      <c r="A25370" s="56"/>
    </row>
    <row r="25371" spans="1:1">
      <c r="A25371" s="56"/>
    </row>
    <row r="25372" spans="1:1">
      <c r="A25372" s="56"/>
    </row>
    <row r="25373" spans="1:1">
      <c r="A25373" s="56"/>
    </row>
    <row r="25374" spans="1:1">
      <c r="A25374" s="56"/>
    </row>
    <row r="25375" spans="1:1">
      <c r="A25375" s="56"/>
    </row>
    <row r="25376" spans="1:1">
      <c r="A25376" s="56"/>
    </row>
    <row r="25377" spans="1:1">
      <c r="A25377" s="56"/>
    </row>
    <row r="25378" spans="1:1">
      <c r="A25378" s="56"/>
    </row>
    <row r="25379" spans="1:1">
      <c r="A25379" s="56"/>
    </row>
    <row r="25380" spans="1:1">
      <c r="A25380" s="56"/>
    </row>
    <row r="25381" spans="1:1">
      <c r="A25381" s="56"/>
    </row>
    <row r="25382" spans="1:1">
      <c r="A25382" s="56"/>
    </row>
    <row r="25383" spans="1:1">
      <c r="A25383" s="56"/>
    </row>
    <row r="25384" spans="1:1">
      <c r="A25384" s="56"/>
    </row>
    <row r="25385" spans="1:1">
      <c r="A25385" s="56"/>
    </row>
    <row r="25386" spans="1:1">
      <c r="A25386" s="56"/>
    </row>
    <row r="25387" spans="1:1">
      <c r="A25387" s="56"/>
    </row>
    <row r="25388" spans="1:1">
      <c r="A25388" s="56"/>
    </row>
    <row r="25389" spans="1:1">
      <c r="A25389" s="56"/>
    </row>
    <row r="25390" spans="1:1">
      <c r="A25390" s="56"/>
    </row>
    <row r="25391" spans="1:1">
      <c r="A25391" s="56"/>
    </row>
    <row r="25392" spans="1:1">
      <c r="A25392" s="56"/>
    </row>
    <row r="25393" spans="1:1">
      <c r="A25393" s="56"/>
    </row>
    <row r="25394" spans="1:1">
      <c r="A25394" s="56"/>
    </row>
    <row r="25395" spans="1:1">
      <c r="A25395" s="56"/>
    </row>
    <row r="25396" spans="1:1">
      <c r="A25396" s="56"/>
    </row>
    <row r="25397" spans="1:1">
      <c r="A25397" s="56"/>
    </row>
    <row r="25398" spans="1:1">
      <c r="A25398" s="56"/>
    </row>
    <row r="25399" spans="1:1">
      <c r="A25399" s="56"/>
    </row>
    <row r="25400" spans="1:1">
      <c r="A25400" s="56"/>
    </row>
    <row r="25401" spans="1:1">
      <c r="A25401" s="56"/>
    </row>
    <row r="25402" spans="1:1">
      <c r="A25402" s="56"/>
    </row>
    <row r="25403" spans="1:1">
      <c r="A25403" s="56"/>
    </row>
    <row r="25404" spans="1:1">
      <c r="A25404" s="56"/>
    </row>
    <row r="25405" spans="1:1">
      <c r="A25405" s="56"/>
    </row>
    <row r="25406" spans="1:1">
      <c r="A25406" s="56"/>
    </row>
    <row r="25407" spans="1:1">
      <c r="A25407" s="56"/>
    </row>
    <row r="25408" spans="1:1">
      <c r="A25408" s="56"/>
    </row>
    <row r="25409" spans="1:1">
      <c r="A25409" s="56"/>
    </row>
    <row r="25410" spans="1:1">
      <c r="A25410" s="56"/>
    </row>
    <row r="25411" spans="1:1">
      <c r="A25411" s="56"/>
    </row>
    <row r="25412" spans="1:1">
      <c r="A25412" s="56"/>
    </row>
    <row r="25413" spans="1:1">
      <c r="A25413" s="56"/>
    </row>
    <row r="25414" spans="1:1">
      <c r="A25414" s="56"/>
    </row>
    <row r="25415" spans="1:1">
      <c r="A25415" s="56"/>
    </row>
    <row r="25416" spans="1:1">
      <c r="A25416" s="56"/>
    </row>
    <row r="25417" spans="1:1">
      <c r="A25417" s="56"/>
    </row>
    <row r="25418" spans="1:1">
      <c r="A25418" s="56"/>
    </row>
    <row r="25419" spans="1:1">
      <c r="A25419" s="56"/>
    </row>
    <row r="25420" spans="1:1">
      <c r="A25420" s="56"/>
    </row>
    <row r="25421" spans="1:1">
      <c r="A25421" s="56"/>
    </row>
    <row r="25422" spans="1:1">
      <c r="A25422" s="56"/>
    </row>
    <row r="25423" spans="1:1">
      <c r="A25423" s="56"/>
    </row>
    <row r="25424" spans="1:1">
      <c r="A25424" s="56"/>
    </row>
    <row r="25425" spans="1:1">
      <c r="A25425" s="56"/>
    </row>
    <row r="25426" spans="1:1">
      <c r="A25426" s="56"/>
    </row>
    <row r="25427" spans="1:1">
      <c r="A25427" s="56"/>
    </row>
    <row r="25428" spans="1:1">
      <c r="A25428" s="56"/>
    </row>
    <row r="25429" spans="1:1">
      <c r="A25429" s="56"/>
    </row>
    <row r="25430" spans="1:1">
      <c r="A25430" s="56"/>
    </row>
    <row r="25431" spans="1:1">
      <c r="A25431" s="56"/>
    </row>
    <row r="25432" spans="1:1">
      <c r="A25432" s="56"/>
    </row>
    <row r="25433" spans="1:1">
      <c r="A25433" s="56"/>
    </row>
    <row r="25434" spans="1:1">
      <c r="A25434" s="56"/>
    </row>
    <row r="25435" spans="1:1">
      <c r="A25435" s="56"/>
    </row>
    <row r="25436" spans="1:1">
      <c r="A25436" s="56"/>
    </row>
    <row r="25437" spans="1:1">
      <c r="A25437" s="56"/>
    </row>
    <row r="25438" spans="1:1">
      <c r="A25438" s="56"/>
    </row>
    <row r="25439" spans="1:1">
      <c r="A25439" s="56"/>
    </row>
    <row r="25440" spans="1:1">
      <c r="A25440" s="56"/>
    </row>
    <row r="25441" spans="1:1">
      <c r="A25441" s="56"/>
    </row>
    <row r="25442" spans="1:1">
      <c r="A25442" s="56"/>
    </row>
    <row r="25443" spans="1:1">
      <c r="A25443" s="56"/>
    </row>
    <row r="25444" spans="1:1">
      <c r="A25444" s="56"/>
    </row>
    <row r="25445" spans="1:1">
      <c r="A25445" s="56"/>
    </row>
    <row r="25446" spans="1:1">
      <c r="A25446" s="56"/>
    </row>
    <row r="25447" spans="1:1">
      <c r="A25447" s="56"/>
    </row>
    <row r="25448" spans="1:1">
      <c r="A25448" s="56"/>
    </row>
    <row r="25449" spans="1:1">
      <c r="A25449" s="56"/>
    </row>
    <row r="25450" spans="1:1">
      <c r="A25450" s="56"/>
    </row>
    <row r="25451" spans="1:1">
      <c r="A25451" s="56"/>
    </row>
    <row r="25452" spans="1:1">
      <c r="A25452" s="56"/>
    </row>
    <row r="25453" spans="1:1">
      <c r="A25453" s="56"/>
    </row>
    <row r="25454" spans="1:1">
      <c r="A25454" s="56"/>
    </row>
    <row r="25455" spans="1:1">
      <c r="A25455" s="56"/>
    </row>
    <row r="25456" spans="1:1">
      <c r="A25456" s="56"/>
    </row>
    <row r="25457" spans="1:1">
      <c r="A25457" s="56"/>
    </row>
    <row r="25458" spans="1:1">
      <c r="A25458" s="56"/>
    </row>
    <row r="25459" spans="1:1">
      <c r="A25459" s="56"/>
    </row>
    <row r="25460" spans="1:1">
      <c r="A25460" s="56"/>
    </row>
    <row r="25461" spans="1:1">
      <c r="A25461" s="56"/>
    </row>
    <row r="25462" spans="1:1">
      <c r="A25462" s="56"/>
    </row>
    <row r="25463" spans="1:1">
      <c r="A25463" s="56"/>
    </row>
    <row r="25464" spans="1:1">
      <c r="A25464" s="56"/>
    </row>
    <row r="25465" spans="1:1">
      <c r="A25465" s="56"/>
    </row>
    <row r="25466" spans="1:1">
      <c r="A25466" s="56"/>
    </row>
    <row r="25467" spans="1:1">
      <c r="A25467" s="56"/>
    </row>
    <row r="25468" spans="1:1">
      <c r="A25468" s="56"/>
    </row>
    <row r="25469" spans="1:1">
      <c r="A25469" s="56"/>
    </row>
    <row r="25470" spans="1:1">
      <c r="A25470" s="56"/>
    </row>
    <row r="25471" spans="1:1">
      <c r="A25471" s="56"/>
    </row>
    <row r="25472" spans="1:1">
      <c r="A25472" s="56"/>
    </row>
    <row r="25473" spans="1:1">
      <c r="A25473" s="56"/>
    </row>
    <row r="25474" spans="1:1">
      <c r="A25474" s="56"/>
    </row>
    <row r="25475" spans="1:1">
      <c r="A25475" s="56"/>
    </row>
    <row r="25476" spans="1:1">
      <c r="A25476" s="56"/>
    </row>
    <row r="25477" spans="1:1">
      <c r="A25477" s="56"/>
    </row>
    <row r="25478" spans="1:1">
      <c r="A25478" s="56"/>
    </row>
    <row r="25479" spans="1:1">
      <c r="A25479" s="56"/>
    </row>
    <row r="25480" spans="1:1">
      <c r="A25480" s="56"/>
    </row>
    <row r="25481" spans="1:1">
      <c r="A25481" s="56"/>
    </row>
    <row r="25482" spans="1:1">
      <c r="A25482" s="56"/>
    </row>
    <row r="25483" spans="1:1">
      <c r="A25483" s="56"/>
    </row>
    <row r="25484" spans="1:1">
      <c r="A25484" s="56"/>
    </row>
    <row r="25485" spans="1:1">
      <c r="A25485" s="56"/>
    </row>
    <row r="25486" spans="1:1">
      <c r="A25486" s="56"/>
    </row>
    <row r="25487" spans="1:1">
      <c r="A25487" s="56"/>
    </row>
    <row r="25488" spans="1:1">
      <c r="A25488" s="56"/>
    </row>
    <row r="25489" spans="1:1">
      <c r="A25489" s="56"/>
    </row>
    <row r="25490" spans="1:1">
      <c r="A25490" s="56"/>
    </row>
    <row r="25491" spans="1:1">
      <c r="A25491" s="56"/>
    </row>
    <row r="25492" spans="1:1">
      <c r="A25492" s="56"/>
    </row>
    <row r="25493" spans="1:1">
      <c r="A25493" s="56"/>
    </row>
    <row r="25494" spans="1:1">
      <c r="A25494" s="56"/>
    </row>
    <row r="25495" spans="1:1">
      <c r="A25495" s="56"/>
    </row>
    <row r="25496" spans="1:1">
      <c r="A25496" s="56"/>
    </row>
    <row r="25497" spans="1:1">
      <c r="A25497" s="56"/>
    </row>
    <row r="25498" spans="1:1">
      <c r="A25498" s="56"/>
    </row>
    <row r="25499" spans="1:1">
      <c r="A25499" s="56"/>
    </row>
    <row r="25500" spans="1:1">
      <c r="A25500" s="56"/>
    </row>
    <row r="25501" spans="1:1">
      <c r="A25501" s="56"/>
    </row>
    <row r="25502" spans="1:1">
      <c r="A25502" s="56"/>
    </row>
    <row r="25503" spans="1:1">
      <c r="A25503" s="56"/>
    </row>
    <row r="25504" spans="1:1">
      <c r="A25504" s="56"/>
    </row>
    <row r="25505" spans="1:1">
      <c r="A25505" s="56"/>
    </row>
    <row r="25506" spans="1:1">
      <c r="A25506" s="56"/>
    </row>
    <row r="25507" spans="1:1">
      <c r="A25507" s="56"/>
    </row>
    <row r="25508" spans="1:1">
      <c r="A25508" s="56"/>
    </row>
    <row r="25509" spans="1:1">
      <c r="A25509" s="56"/>
    </row>
    <row r="25510" spans="1:1">
      <c r="A25510" s="56"/>
    </row>
    <row r="25511" spans="1:1">
      <c r="A25511" s="56"/>
    </row>
    <row r="25512" spans="1:1">
      <c r="A25512" s="56"/>
    </row>
    <row r="25513" spans="1:1">
      <c r="A25513" s="56"/>
    </row>
    <row r="25514" spans="1:1">
      <c r="A25514" s="56"/>
    </row>
    <row r="25515" spans="1:1">
      <c r="A25515" s="56"/>
    </row>
    <row r="25516" spans="1:1">
      <c r="A25516" s="56"/>
    </row>
    <row r="25517" spans="1:1">
      <c r="A25517" s="56"/>
    </row>
    <row r="25518" spans="1:1">
      <c r="A25518" s="56"/>
    </row>
    <row r="25519" spans="1:1">
      <c r="A25519" s="56"/>
    </row>
    <row r="25520" spans="1:1">
      <c r="A25520" s="56"/>
    </row>
    <row r="25521" spans="1:1">
      <c r="A25521" s="56"/>
    </row>
    <row r="25522" spans="1:1">
      <c r="A25522" s="56"/>
    </row>
    <row r="25523" spans="1:1">
      <c r="A25523" s="56"/>
    </row>
    <row r="25524" spans="1:1">
      <c r="A25524" s="56"/>
    </row>
    <row r="25525" spans="1:1">
      <c r="A25525" s="56"/>
    </row>
    <row r="25526" spans="1:1">
      <c r="A25526" s="56"/>
    </row>
    <row r="25527" spans="1:1">
      <c r="A25527" s="56"/>
    </row>
    <row r="25528" spans="1:1">
      <c r="A25528" s="56"/>
    </row>
    <row r="25529" spans="1:1">
      <c r="A25529" s="56"/>
    </row>
    <row r="25530" spans="1:1">
      <c r="A25530" s="56"/>
    </row>
    <row r="25531" spans="1:1">
      <c r="A25531" s="56"/>
    </row>
    <row r="25532" spans="1:1">
      <c r="A25532" s="56"/>
    </row>
    <row r="25533" spans="1:1">
      <c r="A25533" s="56"/>
    </row>
    <row r="25534" spans="1:1">
      <c r="A25534" s="56"/>
    </row>
    <row r="25535" spans="1:1">
      <c r="A25535" s="56"/>
    </row>
    <row r="25536" spans="1:1">
      <c r="A25536" s="56"/>
    </row>
    <row r="25537" spans="1:1">
      <c r="A25537" s="56"/>
    </row>
    <row r="25538" spans="1:1">
      <c r="A25538" s="56"/>
    </row>
    <row r="25539" spans="1:1">
      <c r="A25539" s="56"/>
    </row>
    <row r="25540" spans="1:1">
      <c r="A25540" s="56"/>
    </row>
    <row r="25541" spans="1:1">
      <c r="A25541" s="56"/>
    </row>
    <row r="25542" spans="1:1">
      <c r="A25542" s="56"/>
    </row>
    <row r="25543" spans="1:1">
      <c r="A25543" s="56"/>
    </row>
    <row r="25544" spans="1:1">
      <c r="A25544" s="56"/>
    </row>
    <row r="25545" spans="1:1">
      <c r="A25545" s="56"/>
    </row>
    <row r="25546" spans="1:1">
      <c r="A25546" s="56"/>
    </row>
    <row r="25547" spans="1:1">
      <c r="A25547" s="56"/>
    </row>
    <row r="25548" spans="1:1">
      <c r="A25548" s="56"/>
    </row>
    <row r="25549" spans="1:1">
      <c r="A25549" s="56"/>
    </row>
    <row r="25550" spans="1:1">
      <c r="A25550" s="56"/>
    </row>
    <row r="25551" spans="1:1">
      <c r="A25551" s="56"/>
    </row>
    <row r="25552" spans="1:1">
      <c r="A25552" s="56"/>
    </row>
    <row r="25553" spans="1:1">
      <c r="A25553" s="56"/>
    </row>
    <row r="25554" spans="1:1">
      <c r="A25554" s="56"/>
    </row>
    <row r="25555" spans="1:1">
      <c r="A25555" s="56"/>
    </row>
    <row r="25556" spans="1:1">
      <c r="A25556" s="56"/>
    </row>
    <row r="25557" spans="1:1">
      <c r="A25557" s="56"/>
    </row>
    <row r="25558" spans="1:1">
      <c r="A25558" s="56"/>
    </row>
    <row r="25559" spans="1:1">
      <c r="A25559" s="56"/>
    </row>
    <row r="25560" spans="1:1">
      <c r="A25560" s="56"/>
    </row>
    <row r="25561" spans="1:1">
      <c r="A25561" s="56"/>
    </row>
    <row r="25562" spans="1:1">
      <c r="A25562" s="56"/>
    </row>
    <row r="25563" spans="1:1">
      <c r="A25563" s="56"/>
    </row>
    <row r="25564" spans="1:1">
      <c r="A25564" s="56"/>
    </row>
    <row r="25565" spans="1:1">
      <c r="A25565" s="56"/>
    </row>
    <row r="25566" spans="1:1">
      <c r="A25566" s="56"/>
    </row>
    <row r="25567" spans="1:1">
      <c r="A25567" s="56"/>
    </row>
    <row r="25568" spans="1:1">
      <c r="A25568" s="56"/>
    </row>
    <row r="25569" spans="1:1">
      <c r="A25569" s="56"/>
    </row>
    <row r="25570" spans="1:1">
      <c r="A25570" s="56"/>
    </row>
    <row r="25571" spans="1:1">
      <c r="A25571" s="56"/>
    </row>
    <row r="25572" spans="1:1">
      <c r="A25572" s="56"/>
    </row>
    <row r="25573" spans="1:1">
      <c r="A25573" s="56"/>
    </row>
    <row r="25574" spans="1:1">
      <c r="A25574" s="56"/>
    </row>
    <row r="25575" spans="1:1">
      <c r="A25575" s="56"/>
    </row>
    <row r="25576" spans="1:1">
      <c r="A25576" s="56"/>
    </row>
    <row r="25577" spans="1:1">
      <c r="A25577" s="56"/>
    </row>
    <row r="25578" spans="1:1">
      <c r="A25578" s="56"/>
    </row>
    <row r="25579" spans="1:1">
      <c r="A25579" s="56"/>
    </row>
    <row r="25580" spans="1:1">
      <c r="A25580" s="56"/>
    </row>
    <row r="25581" spans="1:1">
      <c r="A25581" s="56"/>
    </row>
    <row r="25582" spans="1:1">
      <c r="A25582" s="56"/>
    </row>
    <row r="25583" spans="1:1">
      <c r="A25583" s="56"/>
    </row>
    <row r="25584" spans="1:1">
      <c r="A25584" s="56"/>
    </row>
    <row r="25585" spans="1:1">
      <c r="A25585" s="56"/>
    </row>
    <row r="25586" spans="1:1">
      <c r="A25586" s="56"/>
    </row>
    <row r="25587" spans="1:1">
      <c r="A25587" s="56"/>
    </row>
    <row r="25588" spans="1:1">
      <c r="A25588" s="56"/>
    </row>
    <row r="25589" spans="1:1">
      <c r="A25589" s="56"/>
    </row>
    <row r="25590" spans="1:1">
      <c r="A25590" s="56"/>
    </row>
    <row r="25591" spans="1:1">
      <c r="A25591" s="56"/>
    </row>
    <row r="25592" spans="1:1">
      <c r="A25592" s="56"/>
    </row>
    <row r="25593" spans="1:1">
      <c r="A25593" s="56"/>
    </row>
    <row r="25594" spans="1:1">
      <c r="A25594" s="56"/>
    </row>
    <row r="25595" spans="1:1">
      <c r="A25595" s="56"/>
    </row>
    <row r="25596" spans="1:1">
      <c r="A25596" s="56"/>
    </row>
    <row r="25597" spans="1:1">
      <c r="A25597" s="56"/>
    </row>
    <row r="25598" spans="1:1">
      <c r="A25598" s="56"/>
    </row>
    <row r="25599" spans="1:1">
      <c r="A25599" s="56"/>
    </row>
    <row r="25600" spans="1:1">
      <c r="A25600" s="56"/>
    </row>
    <row r="25601" spans="1:1">
      <c r="A25601" s="56"/>
    </row>
    <row r="25602" spans="1:1">
      <c r="A25602" s="56"/>
    </row>
    <row r="25603" spans="1:1">
      <c r="A25603" s="56"/>
    </row>
    <row r="25604" spans="1:1">
      <c r="A25604" s="56"/>
    </row>
    <row r="25605" spans="1:1">
      <c r="A25605" s="56"/>
    </row>
    <row r="25606" spans="1:1">
      <c r="A25606" s="56"/>
    </row>
    <row r="25607" spans="1:1">
      <c r="A25607" s="56"/>
    </row>
    <row r="25608" spans="1:1">
      <c r="A25608" s="56"/>
    </row>
    <row r="25609" spans="1:1">
      <c r="A25609" s="56"/>
    </row>
    <row r="25610" spans="1:1">
      <c r="A25610" s="56"/>
    </row>
    <row r="25611" spans="1:1">
      <c r="A25611" s="56"/>
    </row>
    <row r="25612" spans="1:1">
      <c r="A25612" s="56"/>
    </row>
    <row r="25613" spans="1:1">
      <c r="A25613" s="56"/>
    </row>
    <row r="25614" spans="1:1">
      <c r="A25614" s="56"/>
    </row>
    <row r="25615" spans="1:1">
      <c r="A25615" s="56"/>
    </row>
    <row r="25616" spans="1:1">
      <c r="A25616" s="56"/>
    </row>
    <row r="25617" spans="1:1">
      <c r="A25617" s="56"/>
    </row>
    <row r="25618" spans="1:1">
      <c r="A25618" s="56"/>
    </row>
    <row r="25619" spans="1:1">
      <c r="A25619" s="56"/>
    </row>
    <row r="25620" spans="1:1">
      <c r="A25620" s="56"/>
    </row>
    <row r="25621" spans="1:1">
      <c r="A25621" s="56"/>
    </row>
    <row r="25622" spans="1:1">
      <c r="A25622" s="56"/>
    </row>
    <row r="25623" spans="1:1">
      <c r="A25623" s="56"/>
    </row>
    <row r="25624" spans="1:1">
      <c r="A25624" s="56"/>
    </row>
    <row r="25625" spans="1:1">
      <c r="A25625" s="56"/>
    </row>
    <row r="25626" spans="1:1">
      <c r="A25626" s="56"/>
    </row>
    <row r="25627" spans="1:1">
      <c r="A25627" s="56"/>
    </row>
    <row r="25628" spans="1:1">
      <c r="A25628" s="56"/>
    </row>
    <row r="25629" spans="1:1">
      <c r="A25629" s="56"/>
    </row>
    <row r="25630" spans="1:1">
      <c r="A25630" s="56"/>
    </row>
    <row r="25631" spans="1:1">
      <c r="A25631" s="56"/>
    </row>
    <row r="25632" spans="1:1">
      <c r="A25632" s="56"/>
    </row>
    <row r="25633" spans="1:1">
      <c r="A25633" s="56"/>
    </row>
    <row r="25634" spans="1:1">
      <c r="A25634" s="56"/>
    </row>
    <row r="25635" spans="1:1">
      <c r="A25635" s="56"/>
    </row>
    <row r="25636" spans="1:1">
      <c r="A25636" s="56"/>
    </row>
    <row r="25637" spans="1:1">
      <c r="A25637" s="56"/>
    </row>
    <row r="25638" spans="1:1">
      <c r="A25638" s="56"/>
    </row>
    <row r="25639" spans="1:1">
      <c r="A25639" s="56"/>
    </row>
    <row r="25640" spans="1:1">
      <c r="A25640" s="56"/>
    </row>
    <row r="25641" spans="1:1">
      <c r="A25641" s="56"/>
    </row>
    <row r="25642" spans="1:1">
      <c r="A25642" s="56"/>
    </row>
    <row r="25643" spans="1:1">
      <c r="A25643" s="56"/>
    </row>
    <row r="25644" spans="1:1">
      <c r="A25644" s="56"/>
    </row>
    <row r="25645" spans="1:1">
      <c r="A25645" s="56"/>
    </row>
    <row r="25646" spans="1:1">
      <c r="A25646" s="56"/>
    </row>
    <row r="25647" spans="1:1">
      <c r="A25647" s="56"/>
    </row>
    <row r="25648" spans="1:1">
      <c r="A25648" s="56"/>
    </row>
    <row r="25649" spans="1:1">
      <c r="A25649" s="56"/>
    </row>
    <row r="25650" spans="1:1">
      <c r="A25650" s="56"/>
    </row>
    <row r="25651" spans="1:1">
      <c r="A25651" s="56"/>
    </row>
    <row r="25652" spans="1:1">
      <c r="A25652" s="56"/>
    </row>
    <row r="25653" spans="1:1">
      <c r="A25653" s="56"/>
    </row>
    <row r="25654" spans="1:1">
      <c r="A25654" s="56"/>
    </row>
    <row r="25655" spans="1:1">
      <c r="A25655" s="56"/>
    </row>
    <row r="25656" spans="1:1">
      <c r="A25656" s="56"/>
    </row>
    <row r="25657" spans="1:1">
      <c r="A25657" s="56"/>
    </row>
    <row r="25658" spans="1:1">
      <c r="A25658" s="56"/>
    </row>
    <row r="25659" spans="1:1">
      <c r="A25659" s="56"/>
    </row>
    <row r="25660" spans="1:1">
      <c r="A25660" s="56"/>
    </row>
    <row r="25661" spans="1:1">
      <c r="A25661" s="56"/>
    </row>
    <row r="25662" spans="1:1">
      <c r="A25662" s="56"/>
    </row>
    <row r="25663" spans="1:1">
      <c r="A25663" s="56"/>
    </row>
    <row r="25664" spans="1:1">
      <c r="A25664" s="56"/>
    </row>
    <row r="25665" spans="1:1">
      <c r="A25665" s="56"/>
    </row>
    <row r="25666" spans="1:1">
      <c r="A25666" s="56"/>
    </row>
    <row r="25667" spans="1:1">
      <c r="A25667" s="56"/>
    </row>
    <row r="25668" spans="1:1">
      <c r="A25668" s="56"/>
    </row>
    <row r="25669" spans="1:1">
      <c r="A25669" s="56"/>
    </row>
    <row r="25670" spans="1:1">
      <c r="A25670" s="56"/>
    </row>
    <row r="25671" spans="1:1">
      <c r="A25671" s="56"/>
    </row>
    <row r="25672" spans="1:1">
      <c r="A25672" s="56"/>
    </row>
    <row r="25673" spans="1:1">
      <c r="A25673" s="56"/>
    </row>
    <row r="25674" spans="1:1">
      <c r="A25674" s="56"/>
    </row>
    <row r="25675" spans="1:1">
      <c r="A25675" s="56"/>
    </row>
    <row r="25676" spans="1:1">
      <c r="A25676" s="56"/>
    </row>
    <row r="25677" spans="1:1">
      <c r="A25677" s="56"/>
    </row>
    <row r="25678" spans="1:1">
      <c r="A25678" s="56"/>
    </row>
    <row r="25679" spans="1:1">
      <c r="A25679" s="56"/>
    </row>
    <row r="25680" spans="1:1">
      <c r="A25680" s="56"/>
    </row>
    <row r="25681" spans="1:1">
      <c r="A25681" s="56"/>
    </row>
    <row r="25682" spans="1:1">
      <c r="A25682" s="56"/>
    </row>
    <row r="25683" spans="1:1">
      <c r="A25683" s="56"/>
    </row>
    <row r="25684" spans="1:1">
      <c r="A25684" s="56"/>
    </row>
    <row r="25685" spans="1:1">
      <c r="A25685" s="56"/>
    </row>
    <row r="25686" spans="1:1">
      <c r="A25686" s="56"/>
    </row>
    <row r="25687" spans="1:1">
      <c r="A25687" s="56"/>
    </row>
    <row r="25688" spans="1:1">
      <c r="A25688" s="56"/>
    </row>
    <row r="25689" spans="1:1">
      <c r="A25689" s="56"/>
    </row>
    <row r="25690" spans="1:1">
      <c r="A25690" s="56"/>
    </row>
    <row r="25691" spans="1:1">
      <c r="A25691" s="56"/>
    </row>
    <row r="25692" spans="1:1">
      <c r="A25692" s="56"/>
    </row>
    <row r="25693" spans="1:1">
      <c r="A25693" s="56"/>
    </row>
    <row r="25694" spans="1:1">
      <c r="A25694" s="56"/>
    </row>
    <row r="25695" spans="1:1">
      <c r="A25695" s="56"/>
    </row>
    <row r="25696" spans="1:1">
      <c r="A25696" s="56"/>
    </row>
    <row r="25697" spans="1:1">
      <c r="A25697" s="56"/>
    </row>
    <row r="25698" spans="1:1">
      <c r="A25698" s="56"/>
    </row>
    <row r="25699" spans="1:1">
      <c r="A25699" s="56"/>
    </row>
    <row r="25700" spans="1:1">
      <c r="A25700" s="56"/>
    </row>
    <row r="25701" spans="1:1">
      <c r="A25701" s="56"/>
    </row>
    <row r="25702" spans="1:1">
      <c r="A25702" s="56"/>
    </row>
    <row r="25703" spans="1:1">
      <c r="A25703" s="56"/>
    </row>
    <row r="25704" spans="1:1">
      <c r="A25704" s="56"/>
    </row>
    <row r="25705" spans="1:1">
      <c r="A25705" s="56"/>
    </row>
    <row r="25706" spans="1:1">
      <c r="A25706" s="56"/>
    </row>
    <row r="25707" spans="1:1">
      <c r="A25707" s="56"/>
    </row>
    <row r="25708" spans="1:1">
      <c r="A25708" s="56"/>
    </row>
    <row r="25709" spans="1:1">
      <c r="A25709" s="56"/>
    </row>
    <row r="25710" spans="1:1">
      <c r="A25710" s="56"/>
    </row>
    <row r="25711" spans="1:1">
      <c r="A25711" s="56"/>
    </row>
    <row r="25712" spans="1:1">
      <c r="A25712" s="56"/>
    </row>
    <row r="25713" spans="1:1">
      <c r="A25713" s="56"/>
    </row>
    <row r="25714" spans="1:1">
      <c r="A25714" s="56"/>
    </row>
    <row r="25715" spans="1:1">
      <c r="A25715" s="56"/>
    </row>
    <row r="25716" spans="1:1">
      <c r="A25716" s="56"/>
    </row>
    <row r="25717" spans="1:1">
      <c r="A25717" s="56"/>
    </row>
    <row r="25718" spans="1:1">
      <c r="A25718" s="56"/>
    </row>
    <row r="25719" spans="1:1">
      <c r="A25719" s="56"/>
    </row>
    <row r="25720" spans="1:1">
      <c r="A25720" s="56"/>
    </row>
    <row r="25721" spans="1:1">
      <c r="A25721" s="56"/>
    </row>
    <row r="25722" spans="1:1">
      <c r="A25722" s="56"/>
    </row>
    <row r="25723" spans="1:1">
      <c r="A25723" s="56"/>
    </row>
    <row r="25724" spans="1:1">
      <c r="A25724" s="56"/>
    </row>
    <row r="25725" spans="1:1">
      <c r="A25725" s="56"/>
    </row>
    <row r="25726" spans="1:1">
      <c r="A25726" s="56"/>
    </row>
    <row r="25727" spans="1:1">
      <c r="A25727" s="56"/>
    </row>
    <row r="25728" spans="1:1">
      <c r="A25728" s="56"/>
    </row>
    <row r="25729" spans="1:1">
      <c r="A25729" s="56"/>
    </row>
    <row r="25730" spans="1:1">
      <c r="A25730" s="56"/>
    </row>
    <row r="25731" spans="1:1">
      <c r="A25731" s="56"/>
    </row>
    <row r="25732" spans="1:1">
      <c r="A25732" s="56"/>
    </row>
    <row r="25733" spans="1:1">
      <c r="A25733" s="56"/>
    </row>
    <row r="25734" spans="1:1">
      <c r="A25734" s="56"/>
    </row>
    <row r="25735" spans="1:1">
      <c r="A25735" s="56"/>
    </row>
    <row r="25736" spans="1:1">
      <c r="A25736" s="56"/>
    </row>
    <row r="25737" spans="1:1">
      <c r="A25737" s="56"/>
    </row>
    <row r="25738" spans="1:1">
      <c r="A25738" s="56"/>
    </row>
    <row r="25739" spans="1:1">
      <c r="A25739" s="56"/>
    </row>
    <row r="25740" spans="1:1">
      <c r="A25740" s="56"/>
    </row>
    <row r="25741" spans="1:1">
      <c r="A25741" s="56"/>
    </row>
    <row r="25742" spans="1:1">
      <c r="A25742" s="56"/>
    </row>
    <row r="25743" spans="1:1">
      <c r="A25743" s="56"/>
    </row>
    <row r="25744" spans="1:1">
      <c r="A25744" s="56"/>
    </row>
    <row r="25745" spans="1:1">
      <c r="A25745" s="56"/>
    </row>
    <row r="25746" spans="1:1">
      <c r="A25746" s="56"/>
    </row>
    <row r="25747" spans="1:1">
      <c r="A25747" s="56"/>
    </row>
    <row r="25748" spans="1:1">
      <c r="A25748" s="56"/>
    </row>
    <row r="25749" spans="1:1">
      <c r="A25749" s="56"/>
    </row>
    <row r="25750" spans="1:1">
      <c r="A25750" s="56"/>
    </row>
    <row r="25751" spans="1:1">
      <c r="A25751" s="56"/>
    </row>
    <row r="25752" spans="1:1">
      <c r="A25752" s="56"/>
    </row>
    <row r="25753" spans="1:1">
      <c r="A25753" s="56"/>
    </row>
    <row r="25754" spans="1:1">
      <c r="A25754" s="56"/>
    </row>
    <row r="25755" spans="1:1">
      <c r="A25755" s="56"/>
    </row>
    <row r="25756" spans="1:1">
      <c r="A25756" s="56"/>
    </row>
    <row r="25757" spans="1:1">
      <c r="A25757" s="56"/>
    </row>
    <row r="25758" spans="1:1">
      <c r="A25758" s="56"/>
    </row>
    <row r="25759" spans="1:1">
      <c r="A25759" s="56"/>
    </row>
    <row r="25760" spans="1:1">
      <c r="A25760" s="56"/>
    </row>
    <row r="25761" spans="1:1">
      <c r="A25761" s="56"/>
    </row>
    <row r="25762" spans="1:1">
      <c r="A25762" s="56"/>
    </row>
    <row r="25763" spans="1:1">
      <c r="A25763" s="56"/>
    </row>
    <row r="25764" spans="1:1">
      <c r="A25764" s="56"/>
    </row>
    <row r="25765" spans="1:1">
      <c r="A25765" s="56"/>
    </row>
    <row r="25766" spans="1:1">
      <c r="A25766" s="56"/>
    </row>
    <row r="25767" spans="1:1">
      <c r="A25767" s="56"/>
    </row>
    <row r="25768" spans="1:1">
      <c r="A25768" s="56"/>
    </row>
    <row r="25769" spans="1:1">
      <c r="A25769" s="56"/>
    </row>
    <row r="25770" spans="1:1">
      <c r="A25770" s="56"/>
    </row>
    <row r="25771" spans="1:1">
      <c r="A25771" s="56"/>
    </row>
    <row r="25772" spans="1:1">
      <c r="A25772" s="56"/>
    </row>
    <row r="25773" spans="1:1">
      <c r="A25773" s="56"/>
    </row>
    <row r="25774" spans="1:1">
      <c r="A25774" s="56"/>
    </row>
    <row r="25775" spans="1:1">
      <c r="A25775" s="56"/>
    </row>
    <row r="25776" spans="1:1">
      <c r="A25776" s="56"/>
    </row>
    <row r="25777" spans="1:1">
      <c r="A25777" s="56"/>
    </row>
    <row r="25778" spans="1:1">
      <c r="A25778" s="56"/>
    </row>
    <row r="25779" spans="1:1">
      <c r="A25779" s="56"/>
    </row>
    <row r="25780" spans="1:1">
      <c r="A25780" s="56"/>
    </row>
    <row r="25781" spans="1:1">
      <c r="A25781" s="56"/>
    </row>
    <row r="25782" spans="1:1">
      <c r="A25782" s="56"/>
    </row>
    <row r="25783" spans="1:1">
      <c r="A25783" s="56"/>
    </row>
    <row r="25784" spans="1:1">
      <c r="A25784" s="56"/>
    </row>
    <row r="25785" spans="1:1">
      <c r="A25785" s="56"/>
    </row>
    <row r="25786" spans="1:1">
      <c r="A25786" s="56"/>
    </row>
    <row r="25787" spans="1:1">
      <c r="A25787" s="56"/>
    </row>
    <row r="25788" spans="1:1">
      <c r="A25788" s="56"/>
    </row>
    <row r="25789" spans="1:1">
      <c r="A25789" s="56"/>
    </row>
    <row r="25790" spans="1:1">
      <c r="A25790" s="56"/>
    </row>
    <row r="25791" spans="1:1">
      <c r="A25791" s="56"/>
    </row>
    <row r="25792" spans="1:1">
      <c r="A25792" s="56"/>
    </row>
    <row r="25793" spans="1:1">
      <c r="A25793" s="56"/>
    </row>
    <row r="25794" spans="1:1">
      <c r="A25794" s="56"/>
    </row>
    <row r="25795" spans="1:1">
      <c r="A25795" s="56"/>
    </row>
    <row r="25796" spans="1:1">
      <c r="A25796" s="56"/>
    </row>
    <row r="25797" spans="1:1">
      <c r="A25797" s="56"/>
    </row>
    <row r="25798" spans="1:1">
      <c r="A25798" s="56"/>
    </row>
    <row r="25799" spans="1:1">
      <c r="A25799" s="56"/>
    </row>
    <row r="25800" spans="1:1">
      <c r="A25800" s="56"/>
    </row>
    <row r="25801" spans="1:1">
      <c r="A25801" s="56"/>
    </row>
    <row r="25802" spans="1:1">
      <c r="A25802" s="56"/>
    </row>
    <row r="25803" spans="1:1">
      <c r="A25803" s="56"/>
    </row>
    <row r="25804" spans="1:1">
      <c r="A25804" s="56"/>
    </row>
    <row r="25805" spans="1:1">
      <c r="A25805" s="56"/>
    </row>
    <row r="25806" spans="1:1">
      <c r="A25806" s="56"/>
    </row>
    <row r="25807" spans="1:1">
      <c r="A25807" s="56"/>
    </row>
    <row r="25808" spans="1:1">
      <c r="A25808" s="56"/>
    </row>
    <row r="25809" spans="1:1">
      <c r="A25809" s="56"/>
    </row>
    <row r="25810" spans="1:1">
      <c r="A25810" s="56"/>
    </row>
    <row r="25811" spans="1:1">
      <c r="A25811" s="56"/>
    </row>
    <row r="25812" spans="1:1">
      <c r="A25812" s="56"/>
    </row>
    <row r="25813" spans="1:1">
      <c r="A25813" s="56"/>
    </row>
    <row r="25814" spans="1:1">
      <c r="A25814" s="56"/>
    </row>
    <row r="25815" spans="1:1">
      <c r="A25815" s="56"/>
    </row>
    <row r="25816" spans="1:1">
      <c r="A25816" s="56"/>
    </row>
    <row r="25817" spans="1:1">
      <c r="A25817" s="56"/>
    </row>
    <row r="25818" spans="1:1">
      <c r="A25818" s="56"/>
    </row>
    <row r="25819" spans="1:1">
      <c r="A25819" s="56"/>
    </row>
    <row r="25820" spans="1:1">
      <c r="A25820" s="56"/>
    </row>
    <row r="25821" spans="1:1">
      <c r="A25821" s="56"/>
    </row>
    <row r="25822" spans="1:1">
      <c r="A25822" s="56"/>
    </row>
    <row r="25823" spans="1:1">
      <c r="A25823" s="56"/>
    </row>
    <row r="25824" spans="1:1">
      <c r="A25824" s="56"/>
    </row>
    <row r="25825" spans="1:1">
      <c r="A25825" s="56"/>
    </row>
    <row r="25826" spans="1:1">
      <c r="A25826" s="56"/>
    </row>
    <row r="25827" spans="1:1">
      <c r="A25827" s="56"/>
    </row>
    <row r="25828" spans="1:1">
      <c r="A25828" s="56"/>
    </row>
    <row r="25829" spans="1:1">
      <c r="A25829" s="56"/>
    </row>
    <row r="25830" spans="1:1">
      <c r="A25830" s="56"/>
    </row>
    <row r="25831" spans="1:1">
      <c r="A25831" s="56"/>
    </row>
    <row r="25832" spans="1:1">
      <c r="A25832" s="56"/>
    </row>
    <row r="25833" spans="1:1">
      <c r="A25833" s="56"/>
    </row>
    <row r="25834" spans="1:1">
      <c r="A25834" s="56"/>
    </row>
    <row r="25835" spans="1:1">
      <c r="A25835" s="56"/>
    </row>
    <row r="25836" spans="1:1">
      <c r="A25836" s="56"/>
    </row>
    <row r="25837" spans="1:1">
      <c r="A25837" s="56"/>
    </row>
    <row r="25838" spans="1:1">
      <c r="A25838" s="56"/>
    </row>
    <row r="25839" spans="1:1">
      <c r="A25839" s="56"/>
    </row>
    <row r="25840" spans="1:1">
      <c r="A25840" s="56"/>
    </row>
    <row r="25841" spans="1:1">
      <c r="A25841" s="56"/>
    </row>
    <row r="25842" spans="1:1">
      <c r="A25842" s="56"/>
    </row>
    <row r="25843" spans="1:1">
      <c r="A25843" s="56"/>
    </row>
    <row r="25844" spans="1:1">
      <c r="A25844" s="56"/>
    </row>
    <row r="25845" spans="1:1">
      <c r="A25845" s="56"/>
    </row>
    <row r="25846" spans="1:1">
      <c r="A25846" s="56"/>
    </row>
    <row r="25847" spans="1:1">
      <c r="A25847" s="56"/>
    </row>
    <row r="25848" spans="1:1">
      <c r="A25848" s="56"/>
    </row>
    <row r="25849" spans="1:1">
      <c r="A25849" s="56"/>
    </row>
    <row r="25850" spans="1:1">
      <c r="A25850" s="56"/>
    </row>
    <row r="25851" spans="1:1">
      <c r="A25851" s="56"/>
    </row>
    <row r="25852" spans="1:1">
      <c r="A25852" s="56"/>
    </row>
    <row r="25853" spans="1:1">
      <c r="A25853" s="56"/>
    </row>
    <row r="25854" spans="1:1">
      <c r="A25854" s="56"/>
    </row>
    <row r="25855" spans="1:1">
      <c r="A25855" s="56"/>
    </row>
    <row r="25856" spans="1:1">
      <c r="A25856" s="56"/>
    </row>
    <row r="25857" spans="1:1">
      <c r="A25857" s="56"/>
    </row>
    <row r="25858" spans="1:1">
      <c r="A25858" s="56"/>
    </row>
    <row r="25859" spans="1:1">
      <c r="A25859" s="56"/>
    </row>
    <row r="25860" spans="1:1">
      <c r="A25860" s="56"/>
    </row>
    <row r="25861" spans="1:1">
      <c r="A25861" s="56"/>
    </row>
    <row r="25862" spans="1:1">
      <c r="A25862" s="56"/>
    </row>
    <row r="25863" spans="1:1">
      <c r="A25863" s="56"/>
    </row>
    <row r="25864" spans="1:1">
      <c r="A25864" s="56"/>
    </row>
    <row r="25865" spans="1:1">
      <c r="A25865" s="56"/>
    </row>
    <row r="25866" spans="1:1">
      <c r="A25866" s="56"/>
    </row>
    <row r="25867" spans="1:1">
      <c r="A25867" s="56"/>
    </row>
    <row r="25868" spans="1:1">
      <c r="A25868" s="56"/>
    </row>
    <row r="25869" spans="1:1">
      <c r="A25869" s="56"/>
    </row>
    <row r="25870" spans="1:1">
      <c r="A25870" s="56"/>
    </row>
    <row r="25871" spans="1:1">
      <c r="A25871" s="56"/>
    </row>
    <row r="25872" spans="1:1">
      <c r="A25872" s="56"/>
    </row>
    <row r="25873" spans="1:1">
      <c r="A25873" s="56"/>
    </row>
    <row r="25874" spans="1:1">
      <c r="A25874" s="56"/>
    </row>
    <row r="25875" spans="1:1">
      <c r="A25875" s="56"/>
    </row>
    <row r="25876" spans="1:1">
      <c r="A25876" s="56"/>
    </row>
    <row r="25877" spans="1:1">
      <c r="A25877" s="56"/>
    </row>
    <row r="25878" spans="1:1">
      <c r="A25878" s="56"/>
    </row>
    <row r="25879" spans="1:1">
      <c r="A25879" s="56"/>
    </row>
    <row r="25880" spans="1:1">
      <c r="A25880" s="56"/>
    </row>
    <row r="25881" spans="1:1">
      <c r="A25881" s="56"/>
    </row>
    <row r="25882" spans="1:1">
      <c r="A25882" s="56"/>
    </row>
    <row r="25883" spans="1:1">
      <c r="A25883" s="56"/>
    </row>
    <row r="25884" spans="1:1">
      <c r="A25884" s="56"/>
    </row>
    <row r="25885" spans="1:1">
      <c r="A25885" s="56"/>
    </row>
    <row r="25886" spans="1:1">
      <c r="A25886" s="56"/>
    </row>
    <row r="25887" spans="1:1">
      <c r="A25887" s="56"/>
    </row>
    <row r="25888" spans="1:1">
      <c r="A25888" s="56"/>
    </row>
    <row r="25889" spans="1:1">
      <c r="A25889" s="56"/>
    </row>
    <row r="25890" spans="1:1">
      <c r="A25890" s="56"/>
    </row>
    <row r="25891" spans="1:1">
      <c r="A25891" s="56"/>
    </row>
    <row r="25892" spans="1:1">
      <c r="A25892" s="56"/>
    </row>
    <row r="25893" spans="1:1">
      <c r="A25893" s="56"/>
    </row>
    <row r="25894" spans="1:1">
      <c r="A25894" s="56"/>
    </row>
    <row r="25895" spans="1:1">
      <c r="A25895" s="56"/>
    </row>
    <row r="25896" spans="1:1">
      <c r="A25896" s="56"/>
    </row>
    <row r="25897" spans="1:1">
      <c r="A25897" s="56"/>
    </row>
    <row r="25898" spans="1:1">
      <c r="A25898" s="56"/>
    </row>
    <row r="25899" spans="1:1">
      <c r="A25899" s="56"/>
    </row>
    <row r="25900" spans="1:1">
      <c r="A25900" s="56"/>
    </row>
    <row r="25901" spans="1:1">
      <c r="A25901" s="56"/>
    </row>
    <row r="25902" spans="1:1">
      <c r="A25902" s="56"/>
    </row>
    <row r="25903" spans="1:1">
      <c r="A25903" s="56"/>
    </row>
    <row r="25904" spans="1:1">
      <c r="A25904" s="56"/>
    </row>
    <row r="25905" spans="1:1">
      <c r="A25905" s="56"/>
    </row>
    <row r="25906" spans="1:1">
      <c r="A25906" s="56"/>
    </row>
    <row r="25907" spans="1:1">
      <c r="A25907" s="56"/>
    </row>
    <row r="25908" spans="1:1">
      <c r="A25908" s="56"/>
    </row>
    <row r="25909" spans="1:1">
      <c r="A25909" s="56"/>
    </row>
    <row r="25910" spans="1:1">
      <c r="A25910" s="56"/>
    </row>
    <row r="25911" spans="1:1">
      <c r="A25911" s="56"/>
    </row>
    <row r="25912" spans="1:1">
      <c r="A25912" s="56"/>
    </row>
    <row r="25913" spans="1:1">
      <c r="A25913" s="56"/>
    </row>
    <row r="25914" spans="1:1">
      <c r="A25914" s="56"/>
    </row>
    <row r="25915" spans="1:1">
      <c r="A25915" s="56"/>
    </row>
    <row r="25916" spans="1:1">
      <c r="A25916" s="56"/>
    </row>
    <row r="25917" spans="1:1">
      <c r="A25917" s="56"/>
    </row>
    <row r="25918" spans="1:1">
      <c r="A25918" s="56"/>
    </row>
    <row r="25919" spans="1:1">
      <c r="A25919" s="56"/>
    </row>
    <row r="25920" spans="1:1">
      <c r="A25920" s="56"/>
    </row>
    <row r="25921" spans="1:1">
      <c r="A25921" s="56"/>
    </row>
    <row r="25922" spans="1:1">
      <c r="A25922" s="56"/>
    </row>
    <row r="25923" spans="1:1">
      <c r="A25923" s="56"/>
    </row>
    <row r="25924" spans="1:1">
      <c r="A25924" s="56"/>
    </row>
    <row r="25925" spans="1:1">
      <c r="A25925" s="56"/>
    </row>
    <row r="25926" spans="1:1">
      <c r="A25926" s="56"/>
    </row>
    <row r="25927" spans="1:1">
      <c r="A25927" s="56"/>
    </row>
    <row r="25928" spans="1:1">
      <c r="A25928" s="56"/>
    </row>
    <row r="25929" spans="1:1">
      <c r="A25929" s="56"/>
    </row>
    <row r="25930" spans="1:1">
      <c r="A25930" s="56"/>
    </row>
    <row r="25931" spans="1:1">
      <c r="A25931" s="56"/>
    </row>
    <row r="25932" spans="1:1">
      <c r="A25932" s="56"/>
    </row>
    <row r="25933" spans="1:1">
      <c r="A25933" s="56"/>
    </row>
    <row r="25934" spans="1:1">
      <c r="A25934" s="56"/>
    </row>
    <row r="25935" spans="1:1">
      <c r="A25935" s="56"/>
    </row>
    <row r="25936" spans="1:1">
      <c r="A25936" s="56"/>
    </row>
    <row r="25937" spans="1:1">
      <c r="A25937" s="56"/>
    </row>
    <row r="25938" spans="1:1">
      <c r="A25938" s="56"/>
    </row>
    <row r="25939" spans="1:1">
      <c r="A25939" s="56"/>
    </row>
    <row r="25940" spans="1:1">
      <c r="A25940" s="56"/>
    </row>
    <row r="25941" spans="1:1">
      <c r="A25941" s="56"/>
    </row>
    <row r="25942" spans="1:1">
      <c r="A25942" s="56"/>
    </row>
    <row r="25943" spans="1:1">
      <c r="A25943" s="56"/>
    </row>
    <row r="25944" spans="1:1">
      <c r="A25944" s="56"/>
    </row>
    <row r="25945" spans="1:1">
      <c r="A25945" s="56"/>
    </row>
    <row r="25946" spans="1:1">
      <c r="A25946" s="56"/>
    </row>
    <row r="25947" spans="1:1">
      <c r="A25947" s="56"/>
    </row>
    <row r="25948" spans="1:1">
      <c r="A25948" s="56"/>
    </row>
    <row r="25949" spans="1:1">
      <c r="A25949" s="56"/>
    </row>
    <row r="25950" spans="1:1">
      <c r="A25950" s="56"/>
    </row>
    <row r="25951" spans="1:1">
      <c r="A25951" s="56"/>
    </row>
    <row r="25952" spans="1:1">
      <c r="A25952" s="56"/>
    </row>
    <row r="25953" spans="1:1">
      <c r="A25953" s="56"/>
    </row>
    <row r="25954" spans="1:1">
      <c r="A25954" s="56"/>
    </row>
    <row r="25955" spans="1:1">
      <c r="A25955" s="56"/>
    </row>
    <row r="25956" spans="1:1">
      <c r="A25956" s="56"/>
    </row>
    <row r="25957" spans="1:1">
      <c r="A25957" s="56"/>
    </row>
    <row r="25958" spans="1:1">
      <c r="A25958" s="56"/>
    </row>
    <row r="25959" spans="1:1">
      <c r="A25959" s="56"/>
    </row>
    <row r="25960" spans="1:1">
      <c r="A25960" s="56"/>
    </row>
    <row r="25961" spans="1:1">
      <c r="A25961" s="56"/>
    </row>
    <row r="25962" spans="1:1">
      <c r="A25962" s="56"/>
    </row>
    <row r="25963" spans="1:1">
      <c r="A25963" s="56"/>
    </row>
    <row r="25964" spans="1:1">
      <c r="A25964" s="56"/>
    </row>
    <row r="25965" spans="1:1">
      <c r="A25965" s="56"/>
    </row>
    <row r="25966" spans="1:1">
      <c r="A25966" s="56"/>
    </row>
    <row r="25967" spans="1:1">
      <c r="A25967" s="56"/>
    </row>
    <row r="25968" spans="1:1">
      <c r="A25968" s="56"/>
    </row>
    <row r="25969" spans="1:1">
      <c r="A25969" s="56"/>
    </row>
    <row r="25970" spans="1:1">
      <c r="A25970" s="56"/>
    </row>
    <row r="25971" spans="1:1">
      <c r="A25971" s="56"/>
    </row>
    <row r="25972" spans="1:1">
      <c r="A25972" s="56"/>
    </row>
    <row r="25973" spans="1:1">
      <c r="A25973" s="56"/>
    </row>
    <row r="25974" spans="1:1">
      <c r="A25974" s="56"/>
    </row>
    <row r="25975" spans="1:1">
      <c r="A25975" s="56"/>
    </row>
    <row r="25976" spans="1:1">
      <c r="A25976" s="56"/>
    </row>
    <row r="25977" spans="1:1">
      <c r="A25977" s="56"/>
    </row>
    <row r="25978" spans="1:1">
      <c r="A25978" s="56"/>
    </row>
    <row r="25979" spans="1:1">
      <c r="A25979" s="56"/>
    </row>
    <row r="25980" spans="1:1">
      <c r="A25980" s="56"/>
    </row>
    <row r="25981" spans="1:1">
      <c r="A25981" s="56"/>
    </row>
    <row r="25982" spans="1:1">
      <c r="A25982" s="56"/>
    </row>
    <row r="25983" spans="1:1">
      <c r="A25983" s="56"/>
    </row>
    <row r="25984" spans="1:1">
      <c r="A25984" s="56"/>
    </row>
    <row r="25985" spans="1:1">
      <c r="A25985" s="56"/>
    </row>
    <row r="25986" spans="1:1">
      <c r="A25986" s="56"/>
    </row>
    <row r="25987" spans="1:1">
      <c r="A25987" s="56"/>
    </row>
    <row r="25988" spans="1:1">
      <c r="A25988" s="56"/>
    </row>
    <row r="25989" spans="1:1">
      <c r="A25989" s="56"/>
    </row>
    <row r="25990" spans="1:1">
      <c r="A25990" s="56"/>
    </row>
    <row r="25991" spans="1:1">
      <c r="A25991" s="56"/>
    </row>
    <row r="25992" spans="1:1">
      <c r="A25992" s="56"/>
    </row>
    <row r="25993" spans="1:1">
      <c r="A25993" s="56"/>
    </row>
    <row r="25994" spans="1:1">
      <c r="A25994" s="56"/>
    </row>
    <row r="25995" spans="1:1">
      <c r="A25995" s="56"/>
    </row>
    <row r="25996" spans="1:1">
      <c r="A25996" s="56"/>
    </row>
    <row r="25997" spans="1:1">
      <c r="A25997" s="56"/>
    </row>
    <row r="25998" spans="1:1">
      <c r="A25998" s="56"/>
    </row>
    <row r="25999" spans="1:1">
      <c r="A25999" s="56"/>
    </row>
    <row r="26000" spans="1:1">
      <c r="A26000" s="56"/>
    </row>
    <row r="26001" spans="1:1">
      <c r="A26001" s="56"/>
    </row>
    <row r="26002" spans="1:1">
      <c r="A26002" s="56"/>
    </row>
    <row r="26003" spans="1:1">
      <c r="A26003" s="56"/>
    </row>
    <row r="26004" spans="1:1">
      <c r="A26004" s="56"/>
    </row>
    <row r="26005" spans="1:1">
      <c r="A26005" s="56"/>
    </row>
    <row r="26006" spans="1:1">
      <c r="A26006" s="56"/>
    </row>
    <row r="26007" spans="1:1">
      <c r="A26007" s="56"/>
    </row>
    <row r="26008" spans="1:1">
      <c r="A26008" s="56"/>
    </row>
    <row r="26009" spans="1:1">
      <c r="A26009" s="56"/>
    </row>
    <row r="26010" spans="1:1">
      <c r="A26010" s="56"/>
    </row>
    <row r="26011" spans="1:1">
      <c r="A26011" s="56"/>
    </row>
    <row r="26012" spans="1:1">
      <c r="A26012" s="56"/>
    </row>
    <row r="26013" spans="1:1">
      <c r="A26013" s="56"/>
    </row>
    <row r="26014" spans="1:1">
      <c r="A26014" s="56"/>
    </row>
    <row r="26015" spans="1:1">
      <c r="A26015" s="56"/>
    </row>
    <row r="26016" spans="1:1">
      <c r="A26016" s="56"/>
    </row>
    <row r="26017" spans="1:1">
      <c r="A26017" s="56"/>
    </row>
    <row r="26018" spans="1:1">
      <c r="A26018" s="56"/>
    </row>
    <row r="26019" spans="1:1">
      <c r="A26019" s="56"/>
    </row>
    <row r="26020" spans="1:1">
      <c r="A26020" s="56"/>
    </row>
    <row r="26021" spans="1:1">
      <c r="A26021" s="56"/>
    </row>
    <row r="26022" spans="1:1">
      <c r="A26022" s="56"/>
    </row>
    <row r="26023" spans="1:1">
      <c r="A26023" s="56"/>
    </row>
    <row r="26024" spans="1:1">
      <c r="A26024" s="56"/>
    </row>
    <row r="26025" spans="1:1">
      <c r="A26025" s="56"/>
    </row>
    <row r="26026" spans="1:1">
      <c r="A26026" s="56"/>
    </row>
    <row r="26027" spans="1:1">
      <c r="A26027" s="56"/>
    </row>
    <row r="26028" spans="1:1">
      <c r="A26028" s="56"/>
    </row>
    <row r="26029" spans="1:1">
      <c r="A26029" s="56"/>
    </row>
    <row r="26030" spans="1:1">
      <c r="A26030" s="56"/>
    </row>
    <row r="26031" spans="1:1">
      <c r="A26031" s="56"/>
    </row>
    <row r="26032" spans="1:1">
      <c r="A26032" s="56"/>
    </row>
    <row r="26033" spans="1:1">
      <c r="A26033" s="56"/>
    </row>
    <row r="26034" spans="1:1">
      <c r="A26034" s="56"/>
    </row>
    <row r="26035" spans="1:1">
      <c r="A26035" s="56"/>
    </row>
    <row r="26036" spans="1:1">
      <c r="A26036" s="56"/>
    </row>
    <row r="26037" spans="1:1">
      <c r="A26037" s="56"/>
    </row>
    <row r="26038" spans="1:1">
      <c r="A26038" s="56"/>
    </row>
    <row r="26039" spans="1:1">
      <c r="A26039" s="56"/>
    </row>
    <row r="26040" spans="1:1">
      <c r="A26040" s="56"/>
    </row>
    <row r="26041" spans="1:1">
      <c r="A26041" s="56"/>
    </row>
    <row r="26042" spans="1:1">
      <c r="A26042" s="56"/>
    </row>
    <row r="26043" spans="1:1">
      <c r="A26043" s="56"/>
    </row>
    <row r="26044" spans="1:1">
      <c r="A26044" s="56"/>
    </row>
    <row r="26045" spans="1:1">
      <c r="A26045" s="56"/>
    </row>
    <row r="26046" spans="1:1">
      <c r="A26046" s="56"/>
    </row>
    <row r="26047" spans="1:1">
      <c r="A26047" s="56"/>
    </row>
    <row r="26048" spans="1:1">
      <c r="A26048" s="56"/>
    </row>
    <row r="26049" spans="1:1">
      <c r="A26049" s="56"/>
    </row>
    <row r="26050" spans="1:1">
      <c r="A26050" s="56"/>
    </row>
    <row r="26051" spans="1:1">
      <c r="A26051" s="56"/>
    </row>
    <row r="26052" spans="1:1">
      <c r="A26052" s="56"/>
    </row>
    <row r="26053" spans="1:1">
      <c r="A26053" s="56"/>
    </row>
    <row r="26054" spans="1:1">
      <c r="A26054" s="56"/>
    </row>
    <row r="26055" spans="1:1">
      <c r="A26055" s="56"/>
    </row>
    <row r="26056" spans="1:1">
      <c r="A26056" s="56"/>
    </row>
    <row r="26057" spans="1:1">
      <c r="A26057" s="56"/>
    </row>
    <row r="26058" spans="1:1">
      <c r="A26058" s="56"/>
    </row>
    <row r="26059" spans="1:1">
      <c r="A26059" s="56"/>
    </row>
    <row r="26060" spans="1:1">
      <c r="A26060" s="56"/>
    </row>
    <row r="26061" spans="1:1">
      <c r="A26061" s="56"/>
    </row>
    <row r="26062" spans="1:1">
      <c r="A26062" s="56"/>
    </row>
    <row r="26063" spans="1:1">
      <c r="A26063" s="56"/>
    </row>
    <row r="26064" spans="1:1">
      <c r="A26064" s="56"/>
    </row>
    <row r="26065" spans="1:1">
      <c r="A26065" s="56"/>
    </row>
    <row r="26066" spans="1:1">
      <c r="A26066" s="56"/>
    </row>
    <row r="26067" spans="1:1">
      <c r="A26067" s="56"/>
    </row>
    <row r="26068" spans="1:1">
      <c r="A26068" s="56"/>
    </row>
    <row r="26069" spans="1:1">
      <c r="A26069" s="56"/>
    </row>
    <row r="26070" spans="1:1">
      <c r="A26070" s="56"/>
    </row>
    <row r="26071" spans="1:1">
      <c r="A26071" s="56"/>
    </row>
    <row r="26072" spans="1:1">
      <c r="A26072" s="56"/>
    </row>
    <row r="26073" spans="1:1">
      <c r="A26073" s="56"/>
    </row>
    <row r="26074" spans="1:1">
      <c r="A26074" s="56"/>
    </row>
    <row r="26075" spans="1:1">
      <c r="A26075" s="56"/>
    </row>
    <row r="26076" spans="1:1">
      <c r="A26076" s="56"/>
    </row>
    <row r="26077" spans="1:1">
      <c r="A26077" s="56"/>
    </row>
    <row r="26078" spans="1:1">
      <c r="A26078" s="56"/>
    </row>
    <row r="26079" spans="1:1">
      <c r="A26079" s="56"/>
    </row>
    <row r="26080" spans="1:1">
      <c r="A26080" s="56"/>
    </row>
    <row r="26081" spans="1:1">
      <c r="A26081" s="56"/>
    </row>
    <row r="26082" spans="1:1">
      <c r="A26082" s="56"/>
    </row>
    <row r="26083" spans="1:1">
      <c r="A26083" s="56"/>
    </row>
    <row r="26084" spans="1:1">
      <c r="A26084" s="56"/>
    </row>
    <row r="26085" spans="1:1">
      <c r="A26085" s="56"/>
    </row>
    <row r="26086" spans="1:1">
      <c r="A26086" s="56"/>
    </row>
    <row r="26087" spans="1:1">
      <c r="A26087" s="56"/>
    </row>
    <row r="26088" spans="1:1">
      <c r="A26088" s="56"/>
    </row>
    <row r="26089" spans="1:1">
      <c r="A26089" s="56"/>
    </row>
    <row r="26090" spans="1:1">
      <c r="A26090" s="56"/>
    </row>
    <row r="26091" spans="1:1">
      <c r="A26091" s="56"/>
    </row>
    <row r="26092" spans="1:1">
      <c r="A26092" s="56"/>
    </row>
    <row r="26093" spans="1:1">
      <c r="A26093" s="56"/>
    </row>
    <row r="26094" spans="1:1">
      <c r="A26094" s="56"/>
    </row>
    <row r="26095" spans="1:1">
      <c r="A26095" s="56"/>
    </row>
    <row r="26096" spans="1:1">
      <c r="A26096" s="56"/>
    </row>
    <row r="26097" spans="1:1">
      <c r="A26097" s="56"/>
    </row>
    <row r="26098" spans="1:1">
      <c r="A26098" s="56"/>
    </row>
    <row r="26099" spans="1:1">
      <c r="A26099" s="56"/>
    </row>
    <row r="26100" spans="1:1">
      <c r="A26100" s="56"/>
    </row>
    <row r="26101" spans="1:1">
      <c r="A26101" s="56"/>
    </row>
    <row r="26102" spans="1:1">
      <c r="A26102" s="56"/>
    </row>
    <row r="26103" spans="1:1">
      <c r="A26103" s="56"/>
    </row>
    <row r="26104" spans="1:1">
      <c r="A26104" s="56"/>
    </row>
    <row r="26105" spans="1:1">
      <c r="A26105" s="56"/>
    </row>
    <row r="26106" spans="1:1">
      <c r="A26106" s="56"/>
    </row>
    <row r="26107" spans="1:1">
      <c r="A26107" s="56"/>
    </row>
    <row r="26108" spans="1:1">
      <c r="A26108" s="56"/>
    </row>
    <row r="26109" spans="1:1">
      <c r="A26109" s="56"/>
    </row>
    <row r="26110" spans="1:1">
      <c r="A26110" s="56"/>
    </row>
    <row r="26111" spans="1:1">
      <c r="A26111" s="56"/>
    </row>
    <row r="26112" spans="1:1">
      <c r="A26112" s="56"/>
    </row>
    <row r="26113" spans="1:1">
      <c r="A26113" s="56"/>
    </row>
    <row r="26114" spans="1:1">
      <c r="A26114" s="56"/>
    </row>
    <row r="26115" spans="1:1">
      <c r="A26115" s="56"/>
    </row>
    <row r="26116" spans="1:1">
      <c r="A26116" s="56"/>
    </row>
    <row r="26117" spans="1:1">
      <c r="A26117" s="56"/>
    </row>
    <row r="26118" spans="1:1">
      <c r="A26118" s="56"/>
    </row>
    <row r="26119" spans="1:1">
      <c r="A26119" s="56"/>
    </row>
    <row r="26120" spans="1:1">
      <c r="A26120" s="56"/>
    </row>
    <row r="26121" spans="1:1">
      <c r="A26121" s="56"/>
    </row>
    <row r="26122" spans="1:1">
      <c r="A26122" s="56"/>
    </row>
    <row r="26123" spans="1:1">
      <c r="A26123" s="56"/>
    </row>
    <row r="26124" spans="1:1">
      <c r="A26124" s="56"/>
    </row>
    <row r="26125" spans="1:1">
      <c r="A26125" s="56"/>
    </row>
    <row r="26126" spans="1:1">
      <c r="A26126" s="56"/>
    </row>
    <row r="26127" spans="1:1">
      <c r="A26127" s="56"/>
    </row>
    <row r="26128" spans="1:1">
      <c r="A26128" s="56"/>
    </row>
    <row r="26129" spans="1:1">
      <c r="A26129" s="56"/>
    </row>
    <row r="26130" spans="1:1">
      <c r="A26130" s="56"/>
    </row>
    <row r="26131" spans="1:1">
      <c r="A26131" s="56"/>
    </row>
    <row r="26132" spans="1:1">
      <c r="A26132" s="56"/>
    </row>
    <row r="26133" spans="1:1">
      <c r="A26133" s="56"/>
    </row>
    <row r="26134" spans="1:1">
      <c r="A26134" s="56"/>
    </row>
    <row r="26135" spans="1:1">
      <c r="A26135" s="56"/>
    </row>
    <row r="26136" spans="1:1">
      <c r="A26136" s="56"/>
    </row>
    <row r="26137" spans="1:1">
      <c r="A26137" s="56"/>
    </row>
    <row r="26138" spans="1:1">
      <c r="A26138" s="56"/>
    </row>
    <row r="26139" spans="1:1">
      <c r="A26139" s="56"/>
    </row>
    <row r="26140" spans="1:1">
      <c r="A26140" s="56"/>
    </row>
    <row r="26141" spans="1:1">
      <c r="A26141" s="56"/>
    </row>
    <row r="26142" spans="1:1">
      <c r="A26142" s="56"/>
    </row>
    <row r="26143" spans="1:1">
      <c r="A26143" s="56"/>
    </row>
    <row r="26144" spans="1:1">
      <c r="A26144" s="56"/>
    </row>
    <row r="26145" spans="1:1">
      <c r="A26145" s="56"/>
    </row>
    <row r="26146" spans="1:1">
      <c r="A26146" s="56"/>
    </row>
    <row r="26147" spans="1:1">
      <c r="A26147" s="56"/>
    </row>
    <row r="26148" spans="1:1">
      <c r="A26148" s="56"/>
    </row>
    <row r="26149" spans="1:1">
      <c r="A26149" s="56"/>
    </row>
    <row r="26150" spans="1:1">
      <c r="A26150" s="56"/>
    </row>
    <row r="26151" spans="1:1">
      <c r="A26151" s="56"/>
    </row>
    <row r="26152" spans="1:1">
      <c r="A26152" s="56"/>
    </row>
    <row r="26153" spans="1:1">
      <c r="A26153" s="56"/>
    </row>
    <row r="26154" spans="1:1">
      <c r="A26154" s="56"/>
    </row>
    <row r="26155" spans="1:1">
      <c r="A26155" s="56"/>
    </row>
    <row r="26156" spans="1:1">
      <c r="A26156" s="56"/>
    </row>
    <row r="26157" spans="1:1">
      <c r="A26157" s="56"/>
    </row>
    <row r="26158" spans="1:1">
      <c r="A26158" s="56"/>
    </row>
    <row r="26159" spans="1:1">
      <c r="A26159" s="56"/>
    </row>
    <row r="26160" spans="1:1">
      <c r="A26160" s="56"/>
    </row>
    <row r="26161" spans="1:1">
      <c r="A26161" s="56"/>
    </row>
    <row r="26162" spans="1:1">
      <c r="A26162" s="56"/>
    </row>
    <row r="26163" spans="1:1">
      <c r="A26163" s="56"/>
    </row>
    <row r="26164" spans="1:1">
      <c r="A26164" s="56"/>
    </row>
    <row r="26165" spans="1:1">
      <c r="A26165" s="56"/>
    </row>
    <row r="26166" spans="1:1">
      <c r="A26166" s="56"/>
    </row>
    <row r="26167" spans="1:1">
      <c r="A26167" s="56"/>
    </row>
    <row r="26168" spans="1:1">
      <c r="A26168" s="56"/>
    </row>
    <row r="26169" spans="1:1">
      <c r="A26169" s="56"/>
    </row>
    <row r="26170" spans="1:1">
      <c r="A26170" s="56"/>
    </row>
    <row r="26171" spans="1:1">
      <c r="A26171" s="56"/>
    </row>
    <row r="26172" spans="1:1">
      <c r="A26172" s="56"/>
    </row>
    <row r="26173" spans="1:1">
      <c r="A26173" s="56"/>
    </row>
    <row r="26174" spans="1:1">
      <c r="A26174" s="56"/>
    </row>
    <row r="26175" spans="1:1">
      <c r="A26175" s="56"/>
    </row>
    <row r="26176" spans="1:1">
      <c r="A26176" s="56"/>
    </row>
    <row r="26177" spans="1:1">
      <c r="A26177" s="56"/>
    </row>
    <row r="26178" spans="1:1">
      <c r="A26178" s="56"/>
    </row>
    <row r="26179" spans="1:1">
      <c r="A26179" s="56"/>
    </row>
    <row r="26180" spans="1:1">
      <c r="A26180" s="56"/>
    </row>
    <row r="26181" spans="1:1">
      <c r="A26181" s="56"/>
    </row>
    <row r="26182" spans="1:1">
      <c r="A26182" s="56"/>
    </row>
    <row r="26183" spans="1:1">
      <c r="A26183" s="56"/>
    </row>
    <row r="26184" spans="1:1">
      <c r="A26184" s="56"/>
    </row>
    <row r="26185" spans="1:1">
      <c r="A26185" s="56"/>
    </row>
    <row r="26186" spans="1:1">
      <c r="A26186" s="56"/>
    </row>
    <row r="26187" spans="1:1">
      <c r="A26187" s="56"/>
    </row>
    <row r="26188" spans="1:1">
      <c r="A26188" s="56"/>
    </row>
    <row r="26189" spans="1:1">
      <c r="A26189" s="56"/>
    </row>
    <row r="26190" spans="1:1">
      <c r="A26190" s="56"/>
    </row>
    <row r="26191" spans="1:1">
      <c r="A26191" s="56"/>
    </row>
    <row r="26192" spans="1:1">
      <c r="A26192" s="56"/>
    </row>
    <row r="26193" spans="1:1">
      <c r="A26193" s="56"/>
    </row>
    <row r="26194" spans="1:1">
      <c r="A26194" s="56"/>
    </row>
    <row r="26195" spans="1:1">
      <c r="A26195" s="56"/>
    </row>
    <row r="26196" spans="1:1">
      <c r="A26196" s="56"/>
    </row>
    <row r="26197" spans="1:1">
      <c r="A26197" s="56"/>
    </row>
    <row r="26198" spans="1:1">
      <c r="A26198" s="56"/>
    </row>
    <row r="26199" spans="1:1">
      <c r="A26199" s="56"/>
    </row>
    <row r="26200" spans="1:1">
      <c r="A26200" s="56"/>
    </row>
    <row r="26201" spans="1:1">
      <c r="A26201" s="56"/>
    </row>
    <row r="26202" spans="1:1">
      <c r="A26202" s="56"/>
    </row>
    <row r="26203" spans="1:1">
      <c r="A26203" s="56"/>
    </row>
    <row r="26204" spans="1:1">
      <c r="A26204" s="56"/>
    </row>
    <row r="26205" spans="1:1">
      <c r="A26205" s="56"/>
    </row>
    <row r="26206" spans="1:1">
      <c r="A26206" s="56"/>
    </row>
    <row r="26207" spans="1:1">
      <c r="A26207" s="56"/>
    </row>
    <row r="26208" spans="1:1">
      <c r="A26208" s="56"/>
    </row>
    <row r="26209" spans="1:1">
      <c r="A26209" s="56"/>
    </row>
    <row r="26210" spans="1:1">
      <c r="A26210" s="56"/>
    </row>
    <row r="26211" spans="1:1">
      <c r="A26211" s="56"/>
    </row>
    <row r="26212" spans="1:1">
      <c r="A26212" s="56"/>
    </row>
    <row r="26213" spans="1:1">
      <c r="A26213" s="56"/>
    </row>
    <row r="26214" spans="1:1">
      <c r="A26214" s="56"/>
    </row>
    <row r="26215" spans="1:1">
      <c r="A26215" s="56"/>
    </row>
    <row r="26216" spans="1:1">
      <c r="A26216" s="56"/>
    </row>
    <row r="26217" spans="1:1">
      <c r="A26217" s="56"/>
    </row>
    <row r="26218" spans="1:1">
      <c r="A26218" s="56"/>
    </row>
    <row r="26219" spans="1:1">
      <c r="A26219" s="56"/>
    </row>
    <row r="26220" spans="1:1">
      <c r="A26220" s="56"/>
    </row>
    <row r="26221" spans="1:1">
      <c r="A26221" s="56"/>
    </row>
    <row r="26222" spans="1:1">
      <c r="A26222" s="56"/>
    </row>
    <row r="26223" spans="1:1">
      <c r="A26223" s="56"/>
    </row>
    <row r="26224" spans="1:1">
      <c r="A26224" s="56"/>
    </row>
    <row r="26225" spans="1:1">
      <c r="A26225" s="56"/>
    </row>
    <row r="26226" spans="1:1">
      <c r="A26226" s="56"/>
    </row>
    <row r="26227" spans="1:1">
      <c r="A26227" s="56"/>
    </row>
    <row r="26228" spans="1:1">
      <c r="A26228" s="56"/>
    </row>
    <row r="26229" spans="1:1">
      <c r="A26229" s="56"/>
    </row>
    <row r="26230" spans="1:1">
      <c r="A26230" s="56"/>
    </row>
    <row r="26231" spans="1:1">
      <c r="A26231" s="56"/>
    </row>
    <row r="26232" spans="1:1">
      <c r="A26232" s="56"/>
    </row>
    <row r="26233" spans="1:1">
      <c r="A26233" s="56"/>
    </row>
    <row r="26234" spans="1:1">
      <c r="A26234" s="56"/>
    </row>
    <row r="26235" spans="1:1">
      <c r="A26235" s="56"/>
    </row>
    <row r="26236" spans="1:1">
      <c r="A26236" s="56"/>
    </row>
    <row r="26237" spans="1:1">
      <c r="A26237" s="56"/>
    </row>
    <row r="26238" spans="1:1">
      <c r="A26238" s="56"/>
    </row>
    <row r="26239" spans="1:1">
      <c r="A26239" s="56"/>
    </row>
    <row r="26240" spans="1:1">
      <c r="A26240" s="56"/>
    </row>
    <row r="26241" spans="1:1">
      <c r="A26241" s="56"/>
    </row>
    <row r="26242" spans="1:1">
      <c r="A26242" s="56"/>
    </row>
    <row r="26243" spans="1:1">
      <c r="A26243" s="56"/>
    </row>
    <row r="26244" spans="1:1">
      <c r="A26244" s="56"/>
    </row>
    <row r="26245" spans="1:1">
      <c r="A26245" s="56"/>
    </row>
    <row r="26246" spans="1:1">
      <c r="A26246" s="56"/>
    </row>
    <row r="26247" spans="1:1">
      <c r="A26247" s="56"/>
    </row>
    <row r="26248" spans="1:1">
      <c r="A26248" s="56"/>
    </row>
    <row r="26249" spans="1:1">
      <c r="A26249" s="56"/>
    </row>
    <row r="26250" spans="1:1">
      <c r="A26250" s="56"/>
    </row>
    <row r="26251" spans="1:1">
      <c r="A26251" s="56"/>
    </row>
    <row r="26252" spans="1:1">
      <c r="A26252" s="56"/>
    </row>
    <row r="26253" spans="1:1">
      <c r="A26253" s="56"/>
    </row>
    <row r="26254" spans="1:1">
      <c r="A26254" s="56"/>
    </row>
    <row r="26255" spans="1:1">
      <c r="A26255" s="56"/>
    </row>
    <row r="26256" spans="1:1">
      <c r="A26256" s="56"/>
    </row>
    <row r="26257" spans="1:1">
      <c r="A26257" s="56"/>
    </row>
    <row r="26258" spans="1:1">
      <c r="A26258" s="56"/>
    </row>
    <row r="26259" spans="1:1">
      <c r="A26259" s="56"/>
    </row>
    <row r="26260" spans="1:1">
      <c r="A26260" s="56"/>
    </row>
    <row r="26261" spans="1:1">
      <c r="A26261" s="56"/>
    </row>
    <row r="26262" spans="1:1">
      <c r="A26262" s="56"/>
    </row>
    <row r="26263" spans="1:1">
      <c r="A26263" s="56"/>
    </row>
    <row r="26264" spans="1:1">
      <c r="A26264" s="56"/>
    </row>
    <row r="26265" spans="1:1">
      <c r="A26265" s="56"/>
    </row>
    <row r="26266" spans="1:1">
      <c r="A26266" s="56"/>
    </row>
    <row r="26267" spans="1:1">
      <c r="A26267" s="56"/>
    </row>
    <row r="26268" spans="1:1">
      <c r="A26268" s="56"/>
    </row>
    <row r="26269" spans="1:1">
      <c r="A26269" s="56"/>
    </row>
    <row r="26270" spans="1:1">
      <c r="A26270" s="56"/>
    </row>
    <row r="26271" spans="1:1">
      <c r="A26271" s="56"/>
    </row>
    <row r="26272" spans="1:1">
      <c r="A26272" s="56"/>
    </row>
    <row r="26273" spans="1:1">
      <c r="A26273" s="56"/>
    </row>
    <row r="26274" spans="1:1">
      <c r="A26274" s="56"/>
    </row>
    <row r="26275" spans="1:1">
      <c r="A26275" s="56"/>
    </row>
    <row r="26276" spans="1:1">
      <c r="A26276" s="56"/>
    </row>
    <row r="26277" spans="1:1">
      <c r="A26277" s="56"/>
    </row>
    <row r="26278" spans="1:1">
      <c r="A26278" s="56"/>
    </row>
    <row r="26279" spans="1:1">
      <c r="A26279" s="56"/>
    </row>
    <row r="26280" spans="1:1">
      <c r="A26280" s="56"/>
    </row>
    <row r="26281" spans="1:1">
      <c r="A26281" s="56"/>
    </row>
    <row r="26282" spans="1:1">
      <c r="A26282" s="56"/>
    </row>
    <row r="26283" spans="1:1">
      <c r="A26283" s="56"/>
    </row>
    <row r="26284" spans="1:1">
      <c r="A26284" s="56"/>
    </row>
    <row r="26285" spans="1:1">
      <c r="A26285" s="56"/>
    </row>
    <row r="26286" spans="1:1">
      <c r="A26286" s="56"/>
    </row>
    <row r="26287" spans="1:1">
      <c r="A26287" s="56"/>
    </row>
    <row r="26288" spans="1:1">
      <c r="A26288" s="56"/>
    </row>
    <row r="26289" spans="1:1">
      <c r="A26289" s="56"/>
    </row>
    <row r="26290" spans="1:1">
      <c r="A26290" s="56"/>
    </row>
    <row r="26291" spans="1:1">
      <c r="A26291" s="56"/>
    </row>
    <row r="26292" spans="1:1">
      <c r="A26292" s="56"/>
    </row>
    <row r="26293" spans="1:1">
      <c r="A26293" s="56"/>
    </row>
    <row r="26294" spans="1:1">
      <c r="A26294" s="56"/>
    </row>
    <row r="26295" spans="1:1">
      <c r="A26295" s="56"/>
    </row>
    <row r="26296" spans="1:1">
      <c r="A26296" s="56"/>
    </row>
    <row r="26297" spans="1:1">
      <c r="A26297" s="56"/>
    </row>
    <row r="26298" spans="1:1">
      <c r="A26298" s="56"/>
    </row>
    <row r="26299" spans="1:1">
      <c r="A26299" s="56"/>
    </row>
    <row r="26300" spans="1:1">
      <c r="A26300" s="56"/>
    </row>
    <row r="26301" spans="1:1">
      <c r="A26301" s="56"/>
    </row>
    <row r="26302" spans="1:1">
      <c r="A26302" s="56"/>
    </row>
    <row r="26303" spans="1:1">
      <c r="A26303" s="56"/>
    </row>
    <row r="26304" spans="1:1">
      <c r="A26304" s="56"/>
    </row>
    <row r="26305" spans="1:1">
      <c r="A26305" s="56"/>
    </row>
    <row r="26306" spans="1:1">
      <c r="A26306" s="56"/>
    </row>
    <row r="26307" spans="1:1">
      <c r="A26307" s="56"/>
    </row>
    <row r="26308" spans="1:1">
      <c r="A26308" s="56"/>
    </row>
    <row r="26309" spans="1:1">
      <c r="A26309" s="56"/>
    </row>
    <row r="26310" spans="1:1">
      <c r="A26310" s="56"/>
    </row>
    <row r="26311" spans="1:1">
      <c r="A26311" s="56"/>
    </row>
    <row r="26312" spans="1:1">
      <c r="A26312" s="56"/>
    </row>
    <row r="26313" spans="1:1">
      <c r="A26313" s="56"/>
    </row>
    <row r="26314" spans="1:1">
      <c r="A26314" s="56"/>
    </row>
    <row r="26315" spans="1:1">
      <c r="A26315" s="56"/>
    </row>
    <row r="26316" spans="1:1">
      <c r="A26316" s="56"/>
    </row>
    <row r="26317" spans="1:1">
      <c r="A26317" s="56"/>
    </row>
    <row r="26318" spans="1:1">
      <c r="A26318" s="56"/>
    </row>
    <row r="26319" spans="1:1">
      <c r="A26319" s="56"/>
    </row>
    <row r="26320" spans="1:1">
      <c r="A26320" s="56"/>
    </row>
    <row r="26321" spans="1:1">
      <c r="A26321" s="56"/>
    </row>
    <row r="26322" spans="1:1">
      <c r="A26322" s="56"/>
    </row>
    <row r="26323" spans="1:1">
      <c r="A26323" s="56"/>
    </row>
    <row r="26324" spans="1:1">
      <c r="A26324" s="56"/>
    </row>
    <row r="26325" spans="1:1">
      <c r="A26325" s="56"/>
    </row>
    <row r="26326" spans="1:1">
      <c r="A26326" s="56"/>
    </row>
    <row r="26327" spans="1:1">
      <c r="A26327" s="56"/>
    </row>
    <row r="26328" spans="1:1">
      <c r="A26328" s="56"/>
    </row>
    <row r="26329" spans="1:1">
      <c r="A26329" s="56"/>
    </row>
    <row r="26330" spans="1:1">
      <c r="A26330" s="56"/>
    </row>
    <row r="26331" spans="1:1">
      <c r="A26331" s="56"/>
    </row>
    <row r="26332" spans="1:1">
      <c r="A26332" s="56"/>
    </row>
    <row r="26333" spans="1:1">
      <c r="A26333" s="56"/>
    </row>
    <row r="26334" spans="1:1">
      <c r="A26334" s="56"/>
    </row>
    <row r="26335" spans="1:1">
      <c r="A26335" s="56"/>
    </row>
    <row r="26336" spans="1:1">
      <c r="A26336" s="56"/>
    </row>
    <row r="26337" spans="1:1">
      <c r="A26337" s="56"/>
    </row>
    <row r="26338" spans="1:1">
      <c r="A26338" s="56"/>
    </row>
    <row r="26339" spans="1:1">
      <c r="A26339" s="56"/>
    </row>
    <row r="26340" spans="1:1">
      <c r="A26340" s="56"/>
    </row>
    <row r="26341" spans="1:1">
      <c r="A26341" s="56"/>
    </row>
    <row r="26342" spans="1:1">
      <c r="A26342" s="56"/>
    </row>
    <row r="26343" spans="1:1">
      <c r="A26343" s="56"/>
    </row>
    <row r="26344" spans="1:1">
      <c r="A26344" s="56"/>
    </row>
    <row r="26345" spans="1:1">
      <c r="A26345" s="56"/>
    </row>
    <row r="26346" spans="1:1">
      <c r="A26346" s="56"/>
    </row>
    <row r="26347" spans="1:1">
      <c r="A26347" s="56"/>
    </row>
    <row r="26348" spans="1:1">
      <c r="A26348" s="56"/>
    </row>
    <row r="26349" spans="1:1">
      <c r="A26349" s="56"/>
    </row>
    <row r="26350" spans="1:1">
      <c r="A26350" s="56"/>
    </row>
    <row r="26351" spans="1:1">
      <c r="A26351" s="56"/>
    </row>
    <row r="26352" spans="1:1">
      <c r="A26352" s="56"/>
    </row>
    <row r="26353" spans="1:1">
      <c r="A26353" s="56"/>
    </row>
    <row r="26354" spans="1:1">
      <c r="A26354" s="56"/>
    </row>
    <row r="26355" spans="1:1">
      <c r="A26355" s="56"/>
    </row>
    <row r="26356" spans="1:1">
      <c r="A26356" s="56"/>
    </row>
    <row r="26357" spans="1:1">
      <c r="A26357" s="56"/>
    </row>
    <row r="26358" spans="1:1">
      <c r="A26358" s="56"/>
    </row>
    <row r="26359" spans="1:1">
      <c r="A26359" s="56"/>
    </row>
    <row r="26360" spans="1:1">
      <c r="A26360" s="56"/>
    </row>
    <row r="26361" spans="1:1">
      <c r="A26361" s="56"/>
    </row>
    <row r="26362" spans="1:1">
      <c r="A26362" s="56"/>
    </row>
    <row r="26363" spans="1:1">
      <c r="A26363" s="56"/>
    </row>
    <row r="26364" spans="1:1">
      <c r="A26364" s="56"/>
    </row>
    <row r="26365" spans="1:1">
      <c r="A26365" s="56"/>
    </row>
    <row r="26366" spans="1:1">
      <c r="A26366" s="56"/>
    </row>
    <row r="26367" spans="1:1">
      <c r="A26367" s="56"/>
    </row>
    <row r="26368" spans="1:1">
      <c r="A26368" s="56"/>
    </row>
    <row r="26369" spans="1:1">
      <c r="A26369" s="56"/>
    </row>
    <row r="26370" spans="1:1">
      <c r="A26370" s="56"/>
    </row>
    <row r="26371" spans="1:1">
      <c r="A26371" s="56"/>
    </row>
    <row r="26372" spans="1:1">
      <c r="A26372" s="56"/>
    </row>
    <row r="26373" spans="1:1">
      <c r="A26373" s="56"/>
    </row>
    <row r="26374" spans="1:1">
      <c r="A26374" s="56"/>
    </row>
    <row r="26375" spans="1:1">
      <c r="A26375" s="56"/>
    </row>
    <row r="26376" spans="1:1">
      <c r="A26376" s="56"/>
    </row>
    <row r="26377" spans="1:1">
      <c r="A26377" s="56"/>
    </row>
    <row r="26378" spans="1:1">
      <c r="A26378" s="56"/>
    </row>
    <row r="26379" spans="1:1">
      <c r="A26379" s="56"/>
    </row>
    <row r="26380" spans="1:1">
      <c r="A26380" s="56"/>
    </row>
    <row r="26381" spans="1:1">
      <c r="A26381" s="56"/>
    </row>
    <row r="26382" spans="1:1">
      <c r="A26382" s="56"/>
    </row>
    <row r="26383" spans="1:1">
      <c r="A26383" s="56"/>
    </row>
    <row r="26384" spans="1:1">
      <c r="A26384" s="56"/>
    </row>
    <row r="26385" spans="1:1">
      <c r="A26385" s="56"/>
    </row>
    <row r="26386" spans="1:1">
      <c r="A26386" s="56"/>
    </row>
    <row r="26387" spans="1:1">
      <c r="A26387" s="56"/>
    </row>
    <row r="26388" spans="1:1">
      <c r="A26388" s="56"/>
    </row>
    <row r="26389" spans="1:1">
      <c r="A26389" s="56"/>
    </row>
    <row r="26390" spans="1:1">
      <c r="A26390" s="56"/>
    </row>
    <row r="26391" spans="1:1">
      <c r="A26391" s="56"/>
    </row>
    <row r="26392" spans="1:1">
      <c r="A26392" s="56"/>
    </row>
    <row r="26393" spans="1:1">
      <c r="A26393" s="56"/>
    </row>
    <row r="26394" spans="1:1">
      <c r="A26394" s="56"/>
    </row>
    <row r="26395" spans="1:1">
      <c r="A26395" s="56"/>
    </row>
    <row r="26396" spans="1:1">
      <c r="A26396" s="56"/>
    </row>
    <row r="26397" spans="1:1">
      <c r="A26397" s="56"/>
    </row>
    <row r="26398" spans="1:1">
      <c r="A26398" s="56"/>
    </row>
    <row r="26399" spans="1:1">
      <c r="A26399" s="56"/>
    </row>
    <row r="26400" spans="1:1">
      <c r="A26400" s="56"/>
    </row>
    <row r="26401" spans="1:1">
      <c r="A26401" s="56"/>
    </row>
    <row r="26402" spans="1:1">
      <c r="A26402" s="56"/>
    </row>
    <row r="26403" spans="1:1">
      <c r="A26403" s="56"/>
    </row>
    <row r="26404" spans="1:1">
      <c r="A26404" s="56"/>
    </row>
    <row r="26405" spans="1:1">
      <c r="A26405" s="56"/>
    </row>
    <row r="26406" spans="1:1">
      <c r="A26406" s="56"/>
    </row>
    <row r="26407" spans="1:1">
      <c r="A26407" s="56"/>
    </row>
    <row r="26408" spans="1:1">
      <c r="A26408" s="56"/>
    </row>
    <row r="26409" spans="1:1">
      <c r="A26409" s="56"/>
    </row>
    <row r="26410" spans="1:1">
      <c r="A26410" s="56"/>
    </row>
    <row r="26411" spans="1:1">
      <c r="A26411" s="56"/>
    </row>
    <row r="26412" spans="1:1">
      <c r="A26412" s="56"/>
    </row>
    <row r="26413" spans="1:1">
      <c r="A26413" s="56"/>
    </row>
    <row r="26414" spans="1:1">
      <c r="A26414" s="56"/>
    </row>
    <row r="26415" spans="1:1">
      <c r="A26415" s="56"/>
    </row>
    <row r="26416" spans="1:1">
      <c r="A26416" s="56"/>
    </row>
    <row r="26417" spans="1:1">
      <c r="A26417" s="56"/>
    </row>
    <row r="26418" spans="1:1">
      <c r="A26418" s="56"/>
    </row>
    <row r="26419" spans="1:1">
      <c r="A26419" s="56"/>
    </row>
    <row r="26420" spans="1:1">
      <c r="A26420" s="56"/>
    </row>
    <row r="26421" spans="1:1">
      <c r="A26421" s="56"/>
    </row>
    <row r="26422" spans="1:1">
      <c r="A26422" s="56"/>
    </row>
    <row r="26423" spans="1:1">
      <c r="A26423" s="56"/>
    </row>
    <row r="26424" spans="1:1">
      <c r="A26424" s="56"/>
    </row>
    <row r="26425" spans="1:1">
      <c r="A26425" s="56"/>
    </row>
    <row r="26426" spans="1:1">
      <c r="A26426" s="56"/>
    </row>
    <row r="26427" spans="1:1">
      <c r="A26427" s="56"/>
    </row>
    <row r="26428" spans="1:1">
      <c r="A26428" s="56"/>
    </row>
    <row r="26429" spans="1:1">
      <c r="A26429" s="56"/>
    </row>
    <row r="26430" spans="1:1">
      <c r="A26430" s="56"/>
    </row>
    <row r="26431" spans="1:1">
      <c r="A26431" s="56"/>
    </row>
    <row r="26432" spans="1:1">
      <c r="A26432" s="56"/>
    </row>
    <row r="26433" spans="1:1">
      <c r="A26433" s="56"/>
    </row>
    <row r="26434" spans="1:1">
      <c r="A26434" s="56"/>
    </row>
    <row r="26435" spans="1:1">
      <c r="A26435" s="56"/>
    </row>
    <row r="26436" spans="1:1">
      <c r="A26436" s="56"/>
    </row>
    <row r="26437" spans="1:1">
      <c r="A26437" s="56"/>
    </row>
    <row r="26438" spans="1:1">
      <c r="A26438" s="56"/>
    </row>
    <row r="26439" spans="1:1">
      <c r="A26439" s="56"/>
    </row>
    <row r="26440" spans="1:1">
      <c r="A26440" s="56"/>
    </row>
    <row r="26441" spans="1:1">
      <c r="A26441" s="56"/>
    </row>
    <row r="26442" spans="1:1">
      <c r="A26442" s="56"/>
    </row>
    <row r="26443" spans="1:1">
      <c r="A26443" s="56"/>
    </row>
    <row r="26444" spans="1:1">
      <c r="A26444" s="56"/>
    </row>
    <row r="26445" spans="1:1">
      <c r="A26445" s="56"/>
    </row>
    <row r="26446" spans="1:1">
      <c r="A26446" s="56"/>
    </row>
    <row r="26447" spans="1:1">
      <c r="A26447" s="56"/>
    </row>
    <row r="26448" spans="1:1">
      <c r="A26448" s="56"/>
    </row>
    <row r="26449" spans="1:1">
      <c r="A26449" s="56"/>
    </row>
    <row r="26450" spans="1:1">
      <c r="A26450" s="56"/>
    </row>
    <row r="26451" spans="1:1">
      <c r="A26451" s="56"/>
    </row>
    <row r="26452" spans="1:1">
      <c r="A26452" s="56"/>
    </row>
    <row r="26453" spans="1:1">
      <c r="A26453" s="56"/>
    </row>
    <row r="26454" spans="1:1">
      <c r="A26454" s="56"/>
    </row>
    <row r="26455" spans="1:1">
      <c r="A26455" s="56"/>
    </row>
    <row r="26456" spans="1:1">
      <c r="A26456" s="56"/>
    </row>
    <row r="26457" spans="1:1">
      <c r="A26457" s="56"/>
    </row>
    <row r="26458" spans="1:1">
      <c r="A26458" s="56"/>
    </row>
    <row r="26459" spans="1:1">
      <c r="A26459" s="56"/>
    </row>
    <row r="26460" spans="1:1">
      <c r="A26460" s="56"/>
    </row>
    <row r="26461" spans="1:1">
      <c r="A26461" s="56"/>
    </row>
    <row r="26462" spans="1:1">
      <c r="A26462" s="56"/>
    </row>
    <row r="26463" spans="1:1">
      <c r="A26463" s="56"/>
    </row>
    <row r="26464" spans="1:1">
      <c r="A26464" s="56"/>
    </row>
    <row r="26465" spans="1:1">
      <c r="A26465" s="56"/>
    </row>
    <row r="26466" spans="1:1">
      <c r="A26466" s="56"/>
    </row>
    <row r="26467" spans="1:1">
      <c r="A26467" s="56"/>
    </row>
    <row r="26468" spans="1:1">
      <c r="A26468" s="56"/>
    </row>
    <row r="26469" spans="1:1">
      <c r="A26469" s="56"/>
    </row>
    <row r="26470" spans="1:1">
      <c r="A26470" s="56"/>
    </row>
    <row r="26471" spans="1:1">
      <c r="A26471" s="56"/>
    </row>
    <row r="26472" spans="1:1">
      <c r="A26472" s="56"/>
    </row>
    <row r="26473" spans="1:1">
      <c r="A26473" s="56"/>
    </row>
    <row r="26474" spans="1:1">
      <c r="A26474" s="56"/>
    </row>
    <row r="26475" spans="1:1">
      <c r="A26475" s="56"/>
    </row>
    <row r="26476" spans="1:1">
      <c r="A26476" s="56"/>
    </row>
    <row r="26477" spans="1:1">
      <c r="A26477" s="56"/>
    </row>
    <row r="26478" spans="1:1">
      <c r="A26478" s="56"/>
    </row>
    <row r="26479" spans="1:1">
      <c r="A26479" s="56"/>
    </row>
    <row r="26480" spans="1:1">
      <c r="A26480" s="56"/>
    </row>
    <row r="26481" spans="1:1">
      <c r="A26481" s="56"/>
    </row>
    <row r="26482" spans="1:1">
      <c r="A26482" s="56"/>
    </row>
    <row r="26483" spans="1:1">
      <c r="A26483" s="56"/>
    </row>
    <row r="26484" spans="1:1">
      <c r="A26484" s="56"/>
    </row>
    <row r="26485" spans="1:1">
      <c r="A26485" s="56"/>
    </row>
    <row r="26486" spans="1:1">
      <c r="A26486" s="56"/>
    </row>
    <row r="26487" spans="1:1">
      <c r="A26487" s="56"/>
    </row>
    <row r="26488" spans="1:1">
      <c r="A26488" s="56"/>
    </row>
    <row r="26489" spans="1:1">
      <c r="A26489" s="56"/>
    </row>
    <row r="26490" spans="1:1">
      <c r="A26490" s="56"/>
    </row>
    <row r="26491" spans="1:1">
      <c r="A26491" s="56"/>
    </row>
    <row r="26492" spans="1:1">
      <c r="A26492" s="56"/>
    </row>
    <row r="26493" spans="1:1">
      <c r="A26493" s="56"/>
    </row>
    <row r="26494" spans="1:1">
      <c r="A26494" s="56"/>
    </row>
    <row r="26495" spans="1:1">
      <c r="A26495" s="56"/>
    </row>
    <row r="26496" spans="1:1">
      <c r="A26496" s="56"/>
    </row>
    <row r="26497" spans="1:1">
      <c r="A26497" s="56"/>
    </row>
    <row r="26498" spans="1:1">
      <c r="A26498" s="56"/>
    </row>
    <row r="26499" spans="1:1">
      <c r="A26499" s="56"/>
    </row>
    <row r="26500" spans="1:1">
      <c r="A26500" s="56"/>
    </row>
    <row r="26501" spans="1:1">
      <c r="A26501" s="56"/>
    </row>
    <row r="26502" spans="1:1">
      <c r="A26502" s="56"/>
    </row>
    <row r="26503" spans="1:1">
      <c r="A26503" s="56"/>
    </row>
    <row r="26504" spans="1:1">
      <c r="A26504" s="56"/>
    </row>
    <row r="26505" spans="1:1">
      <c r="A26505" s="56"/>
    </row>
    <row r="26506" spans="1:1">
      <c r="A26506" s="56"/>
    </row>
    <row r="26507" spans="1:1">
      <c r="A26507" s="56"/>
    </row>
    <row r="26508" spans="1:1">
      <c r="A26508" s="56"/>
    </row>
    <row r="26509" spans="1:1">
      <c r="A26509" s="56"/>
    </row>
    <row r="26510" spans="1:1">
      <c r="A26510" s="56"/>
    </row>
    <row r="26511" spans="1:1">
      <c r="A26511" s="56"/>
    </row>
    <row r="26512" spans="1:1">
      <c r="A26512" s="56"/>
    </row>
    <row r="26513" spans="1:1">
      <c r="A26513" s="56"/>
    </row>
    <row r="26514" spans="1:1">
      <c r="A26514" s="56"/>
    </row>
    <row r="26515" spans="1:1">
      <c r="A26515" s="56"/>
    </row>
    <row r="26516" spans="1:1">
      <c r="A26516" s="56"/>
    </row>
    <row r="26517" spans="1:1">
      <c r="A26517" s="56"/>
    </row>
    <row r="26518" spans="1:1">
      <c r="A26518" s="56"/>
    </row>
    <row r="26519" spans="1:1">
      <c r="A26519" s="56"/>
    </row>
    <row r="26520" spans="1:1">
      <c r="A26520" s="56"/>
    </row>
    <row r="26521" spans="1:1">
      <c r="A26521" s="56"/>
    </row>
    <row r="26522" spans="1:1">
      <c r="A26522" s="56"/>
    </row>
    <row r="26523" spans="1:1">
      <c r="A26523" s="56"/>
    </row>
    <row r="26524" spans="1:1">
      <c r="A26524" s="56"/>
    </row>
    <row r="26525" spans="1:1">
      <c r="A26525" s="56"/>
    </row>
    <row r="26526" spans="1:1">
      <c r="A26526" s="56"/>
    </row>
    <row r="26527" spans="1:1">
      <c r="A26527" s="56"/>
    </row>
    <row r="26528" spans="1:1">
      <c r="A26528" s="56"/>
    </row>
    <row r="26529" spans="1:1">
      <c r="A26529" s="56"/>
    </row>
    <row r="26530" spans="1:1">
      <c r="A26530" s="56"/>
    </row>
    <row r="26531" spans="1:1">
      <c r="A26531" s="56"/>
    </row>
    <row r="26532" spans="1:1">
      <c r="A26532" s="56"/>
    </row>
    <row r="26533" spans="1:1">
      <c r="A26533" s="56"/>
    </row>
    <row r="26534" spans="1:1">
      <c r="A26534" s="56"/>
    </row>
    <row r="26535" spans="1:1">
      <c r="A26535" s="56"/>
    </row>
    <row r="26536" spans="1:1">
      <c r="A26536" s="56"/>
    </row>
    <row r="26537" spans="1:1">
      <c r="A26537" s="56"/>
    </row>
    <row r="26538" spans="1:1">
      <c r="A26538" s="56"/>
    </row>
    <row r="26539" spans="1:1">
      <c r="A26539" s="56"/>
    </row>
    <row r="26540" spans="1:1">
      <c r="A26540" s="56"/>
    </row>
    <row r="26541" spans="1:1">
      <c r="A26541" s="56"/>
    </row>
    <row r="26542" spans="1:1">
      <c r="A26542" s="56"/>
    </row>
    <row r="26543" spans="1:1">
      <c r="A26543" s="56"/>
    </row>
    <row r="26544" spans="1:1">
      <c r="A26544" s="56"/>
    </row>
    <row r="26545" spans="1:1">
      <c r="A26545" s="56"/>
    </row>
    <row r="26546" spans="1:1">
      <c r="A26546" s="56"/>
    </row>
    <row r="26547" spans="1:1">
      <c r="A26547" s="56"/>
    </row>
    <row r="26548" spans="1:1">
      <c r="A26548" s="56"/>
    </row>
    <row r="26549" spans="1:1">
      <c r="A26549" s="56"/>
    </row>
    <row r="26550" spans="1:1">
      <c r="A26550" s="56"/>
    </row>
    <row r="26551" spans="1:1">
      <c r="A26551" s="56"/>
    </row>
    <row r="26552" spans="1:1">
      <c r="A26552" s="56"/>
    </row>
    <row r="26553" spans="1:1">
      <c r="A26553" s="56"/>
    </row>
    <row r="26554" spans="1:1">
      <c r="A26554" s="56"/>
    </row>
    <row r="26555" spans="1:1">
      <c r="A26555" s="56"/>
    </row>
    <row r="26556" spans="1:1">
      <c r="A26556" s="56"/>
    </row>
    <row r="26557" spans="1:1">
      <c r="A26557" s="56"/>
    </row>
    <row r="26558" spans="1:1">
      <c r="A26558" s="56"/>
    </row>
    <row r="26559" spans="1:1">
      <c r="A26559" s="56"/>
    </row>
    <row r="26560" spans="1:1">
      <c r="A26560" s="56"/>
    </row>
    <row r="26561" spans="1:1">
      <c r="A26561" s="56"/>
    </row>
    <row r="26562" spans="1:1">
      <c r="A26562" s="56"/>
    </row>
    <row r="26563" spans="1:1">
      <c r="A26563" s="56"/>
    </row>
    <row r="26564" spans="1:1">
      <c r="A26564" s="56"/>
    </row>
    <row r="26565" spans="1:1">
      <c r="A26565" s="56"/>
    </row>
    <row r="26566" spans="1:1">
      <c r="A26566" s="56"/>
    </row>
    <row r="26567" spans="1:1">
      <c r="A26567" s="56"/>
    </row>
    <row r="26568" spans="1:1">
      <c r="A26568" s="56"/>
    </row>
    <row r="26569" spans="1:1">
      <c r="A26569" s="56"/>
    </row>
    <row r="26570" spans="1:1">
      <c r="A26570" s="56"/>
    </row>
    <row r="26571" spans="1:1">
      <c r="A26571" s="56"/>
    </row>
    <row r="26572" spans="1:1">
      <c r="A26572" s="56"/>
    </row>
    <row r="26573" spans="1:1">
      <c r="A26573" s="56"/>
    </row>
    <row r="26574" spans="1:1">
      <c r="A26574" s="56"/>
    </row>
    <row r="26575" spans="1:1">
      <c r="A26575" s="56"/>
    </row>
    <row r="26576" spans="1:1">
      <c r="A26576" s="56"/>
    </row>
    <row r="26577" spans="1:1">
      <c r="A26577" s="56"/>
    </row>
    <row r="26578" spans="1:1">
      <c r="A26578" s="56"/>
    </row>
    <row r="26579" spans="1:1">
      <c r="A26579" s="56"/>
    </row>
    <row r="26580" spans="1:1">
      <c r="A26580" s="56"/>
    </row>
    <row r="26581" spans="1:1">
      <c r="A26581" s="56"/>
    </row>
    <row r="26582" spans="1:1">
      <c r="A26582" s="56"/>
    </row>
    <row r="26583" spans="1:1">
      <c r="A26583" s="56"/>
    </row>
    <row r="26584" spans="1:1">
      <c r="A26584" s="56"/>
    </row>
    <row r="26585" spans="1:1">
      <c r="A26585" s="56"/>
    </row>
    <row r="26586" spans="1:1">
      <c r="A26586" s="56"/>
    </row>
    <row r="26587" spans="1:1">
      <c r="A26587" s="56"/>
    </row>
    <row r="26588" spans="1:1">
      <c r="A26588" s="56"/>
    </row>
    <row r="26589" spans="1:1">
      <c r="A26589" s="56"/>
    </row>
    <row r="26590" spans="1:1">
      <c r="A26590" s="56"/>
    </row>
    <row r="26591" spans="1:1">
      <c r="A26591" s="56"/>
    </row>
    <row r="26592" spans="1:1">
      <c r="A26592" s="56"/>
    </row>
    <row r="26593" spans="1:1">
      <c r="A26593" s="56"/>
    </row>
    <row r="26594" spans="1:1">
      <c r="A26594" s="56"/>
    </row>
    <row r="26595" spans="1:1">
      <c r="A26595" s="56"/>
    </row>
    <row r="26596" spans="1:1">
      <c r="A26596" s="56"/>
    </row>
    <row r="26597" spans="1:1">
      <c r="A26597" s="56"/>
    </row>
    <row r="26598" spans="1:1">
      <c r="A26598" s="56"/>
    </row>
    <row r="26599" spans="1:1">
      <c r="A26599" s="56"/>
    </row>
    <row r="26600" spans="1:1">
      <c r="A26600" s="56"/>
    </row>
    <row r="26601" spans="1:1">
      <c r="A26601" s="56"/>
    </row>
    <row r="26602" spans="1:1">
      <c r="A26602" s="56"/>
    </row>
    <row r="26603" spans="1:1">
      <c r="A26603" s="56"/>
    </row>
    <row r="26604" spans="1:1">
      <c r="A26604" s="56"/>
    </row>
    <row r="26605" spans="1:1">
      <c r="A26605" s="56"/>
    </row>
    <row r="26606" spans="1:1">
      <c r="A26606" s="56"/>
    </row>
    <row r="26607" spans="1:1">
      <c r="A26607" s="56"/>
    </row>
    <row r="26608" spans="1:1">
      <c r="A26608" s="56"/>
    </row>
    <row r="26609" spans="1:1">
      <c r="A26609" s="56"/>
    </row>
    <row r="26610" spans="1:1">
      <c r="A26610" s="56"/>
    </row>
    <row r="26611" spans="1:1">
      <c r="A26611" s="56"/>
    </row>
    <row r="26612" spans="1:1">
      <c r="A26612" s="56"/>
    </row>
    <row r="26613" spans="1:1">
      <c r="A26613" s="56"/>
    </row>
    <row r="26614" spans="1:1">
      <c r="A26614" s="56"/>
    </row>
    <row r="26615" spans="1:1">
      <c r="A26615" s="56"/>
    </row>
    <row r="26616" spans="1:1">
      <c r="A26616" s="56"/>
    </row>
    <row r="26617" spans="1:1">
      <c r="A26617" s="56"/>
    </row>
    <row r="26618" spans="1:1">
      <c r="A26618" s="56"/>
    </row>
    <row r="26619" spans="1:1">
      <c r="A26619" s="56"/>
    </row>
    <row r="26620" spans="1:1">
      <c r="A26620" s="56"/>
    </row>
    <row r="26621" spans="1:1">
      <c r="A26621" s="56"/>
    </row>
    <row r="26622" spans="1:1">
      <c r="A26622" s="56"/>
    </row>
    <row r="26623" spans="1:1">
      <c r="A26623" s="56"/>
    </row>
    <row r="26624" spans="1:1">
      <c r="A26624" s="56"/>
    </row>
    <row r="26625" spans="1:1">
      <c r="A26625" s="56"/>
    </row>
    <row r="26626" spans="1:1">
      <c r="A26626" s="56"/>
    </row>
    <row r="26627" spans="1:1">
      <c r="A26627" s="56"/>
    </row>
    <row r="26628" spans="1:1">
      <c r="A26628" s="56"/>
    </row>
    <row r="26629" spans="1:1">
      <c r="A26629" s="56"/>
    </row>
    <row r="26630" spans="1:1">
      <c r="A26630" s="56"/>
    </row>
    <row r="26631" spans="1:1">
      <c r="A26631" s="56"/>
    </row>
    <row r="26632" spans="1:1">
      <c r="A26632" s="56"/>
    </row>
    <row r="26633" spans="1:1">
      <c r="A26633" s="56"/>
    </row>
    <row r="26634" spans="1:1">
      <c r="A26634" s="56"/>
    </row>
    <row r="26635" spans="1:1">
      <c r="A26635" s="56"/>
    </row>
    <row r="26636" spans="1:1">
      <c r="A26636" s="56"/>
    </row>
    <row r="26637" spans="1:1">
      <c r="A26637" s="56"/>
    </row>
    <row r="26638" spans="1:1">
      <c r="A26638" s="56"/>
    </row>
    <row r="26639" spans="1:1">
      <c r="A26639" s="56"/>
    </row>
    <row r="26640" spans="1:1">
      <c r="A26640" s="56"/>
    </row>
    <row r="26641" spans="1:1">
      <c r="A26641" s="56"/>
    </row>
    <row r="26642" spans="1:1">
      <c r="A26642" s="56"/>
    </row>
    <row r="26643" spans="1:1">
      <c r="A26643" s="56"/>
    </row>
    <row r="26644" spans="1:1">
      <c r="A26644" s="56"/>
    </row>
    <row r="26645" spans="1:1">
      <c r="A26645" s="56"/>
    </row>
    <row r="26646" spans="1:1">
      <c r="A26646" s="56"/>
    </row>
    <row r="26647" spans="1:1">
      <c r="A26647" s="56"/>
    </row>
    <row r="26648" spans="1:1">
      <c r="A26648" s="56"/>
    </row>
    <row r="26649" spans="1:1">
      <c r="A26649" s="56"/>
    </row>
    <row r="26650" spans="1:1">
      <c r="A26650" s="56"/>
    </row>
    <row r="26651" spans="1:1">
      <c r="A26651" s="56"/>
    </row>
    <row r="26652" spans="1:1">
      <c r="A26652" s="56"/>
    </row>
    <row r="26653" spans="1:1">
      <c r="A26653" s="56"/>
    </row>
    <row r="26654" spans="1:1">
      <c r="A26654" s="56"/>
    </row>
    <row r="26655" spans="1:1">
      <c r="A26655" s="56"/>
    </row>
    <row r="26656" spans="1:1">
      <c r="A26656" s="56"/>
    </row>
    <row r="26657" spans="1:1">
      <c r="A26657" s="56"/>
    </row>
    <row r="26658" spans="1:1">
      <c r="A26658" s="56"/>
    </row>
    <row r="26659" spans="1:1">
      <c r="A26659" s="56"/>
    </row>
    <row r="26660" spans="1:1">
      <c r="A26660" s="56"/>
    </row>
    <row r="26661" spans="1:1">
      <c r="A26661" s="56"/>
    </row>
    <row r="26662" spans="1:1">
      <c r="A26662" s="56"/>
    </row>
    <row r="26663" spans="1:1">
      <c r="A26663" s="56"/>
    </row>
    <row r="26664" spans="1:1">
      <c r="A26664" s="56"/>
    </row>
    <row r="26665" spans="1:1">
      <c r="A26665" s="56"/>
    </row>
    <row r="26666" spans="1:1">
      <c r="A26666" s="56"/>
    </row>
    <row r="26667" spans="1:1">
      <c r="A26667" s="56"/>
    </row>
    <row r="26668" spans="1:1">
      <c r="A26668" s="56"/>
    </row>
    <row r="26669" spans="1:1">
      <c r="A26669" s="56"/>
    </row>
    <row r="26670" spans="1:1">
      <c r="A26670" s="56"/>
    </row>
    <row r="26671" spans="1:1">
      <c r="A26671" s="56"/>
    </row>
    <row r="26672" spans="1:1">
      <c r="A26672" s="56"/>
    </row>
    <row r="26673" spans="1:1">
      <c r="A26673" s="56"/>
    </row>
    <row r="26674" spans="1:1">
      <c r="A26674" s="56"/>
    </row>
    <row r="26675" spans="1:1">
      <c r="A26675" s="56"/>
    </row>
    <row r="26676" spans="1:1">
      <c r="A26676" s="56"/>
    </row>
    <row r="26677" spans="1:1">
      <c r="A26677" s="56"/>
    </row>
    <row r="26678" spans="1:1">
      <c r="A26678" s="56"/>
    </row>
    <row r="26679" spans="1:1">
      <c r="A26679" s="56"/>
    </row>
    <row r="26680" spans="1:1">
      <c r="A26680" s="56"/>
    </row>
    <row r="26681" spans="1:1">
      <c r="A26681" s="56"/>
    </row>
    <row r="26682" spans="1:1">
      <c r="A26682" s="56"/>
    </row>
    <row r="26683" spans="1:1">
      <c r="A26683" s="56"/>
    </row>
    <row r="26684" spans="1:1">
      <c r="A26684" s="56"/>
    </row>
    <row r="26685" spans="1:1">
      <c r="A26685" s="56"/>
    </row>
    <row r="26686" spans="1:1">
      <c r="A26686" s="56"/>
    </row>
    <row r="26687" spans="1:1">
      <c r="A26687" s="56"/>
    </row>
    <row r="26688" spans="1:1">
      <c r="A26688" s="56"/>
    </row>
    <row r="26689" spans="1:1">
      <c r="A26689" s="56"/>
    </row>
    <row r="26690" spans="1:1">
      <c r="A26690" s="56"/>
    </row>
    <row r="26691" spans="1:1">
      <c r="A26691" s="56"/>
    </row>
    <row r="26692" spans="1:1">
      <c r="A26692" s="56"/>
    </row>
    <row r="26693" spans="1:1">
      <c r="A26693" s="56"/>
    </row>
    <row r="26694" spans="1:1">
      <c r="A26694" s="56"/>
    </row>
    <row r="26695" spans="1:1">
      <c r="A26695" s="56"/>
    </row>
    <row r="26696" spans="1:1">
      <c r="A26696" s="56"/>
    </row>
    <row r="26697" spans="1:1">
      <c r="A26697" s="56"/>
    </row>
    <row r="26698" spans="1:1">
      <c r="A26698" s="56"/>
    </row>
    <row r="26699" spans="1:1">
      <c r="A26699" s="56"/>
    </row>
    <row r="26700" spans="1:1">
      <c r="A26700" s="56"/>
    </row>
    <row r="26701" spans="1:1">
      <c r="A26701" s="56"/>
    </row>
    <row r="26702" spans="1:1">
      <c r="A26702" s="56"/>
    </row>
    <row r="26703" spans="1:1">
      <c r="A26703" s="56"/>
    </row>
    <row r="26704" spans="1:1">
      <c r="A26704" s="56"/>
    </row>
    <row r="26705" spans="1:1">
      <c r="A26705" s="56"/>
    </row>
    <row r="26706" spans="1:1">
      <c r="A26706" s="56"/>
    </row>
    <row r="26707" spans="1:1">
      <c r="A26707" s="56"/>
    </row>
    <row r="26708" spans="1:1">
      <c r="A26708" s="56"/>
    </row>
    <row r="26709" spans="1:1">
      <c r="A26709" s="56"/>
    </row>
    <row r="26710" spans="1:1">
      <c r="A26710" s="56"/>
    </row>
    <row r="26711" spans="1:1">
      <c r="A26711" s="56"/>
    </row>
    <row r="26712" spans="1:1">
      <c r="A26712" s="56"/>
    </row>
    <row r="26713" spans="1:1">
      <c r="A26713" s="56"/>
    </row>
    <row r="26714" spans="1:1">
      <c r="A26714" s="56"/>
    </row>
    <row r="26715" spans="1:1">
      <c r="A26715" s="56"/>
    </row>
    <row r="26716" spans="1:1">
      <c r="A26716" s="56"/>
    </row>
    <row r="26717" spans="1:1">
      <c r="A26717" s="56"/>
    </row>
    <row r="26718" spans="1:1">
      <c r="A26718" s="56"/>
    </row>
    <row r="26719" spans="1:1">
      <c r="A26719" s="56"/>
    </row>
    <row r="26720" spans="1:1">
      <c r="A26720" s="56"/>
    </row>
    <row r="26721" spans="1:1">
      <c r="A26721" s="56"/>
    </row>
    <row r="26722" spans="1:1">
      <c r="A26722" s="56"/>
    </row>
    <row r="26723" spans="1:1">
      <c r="A26723" s="56"/>
    </row>
    <row r="26724" spans="1:1">
      <c r="A26724" s="56"/>
    </row>
    <row r="26725" spans="1:1">
      <c r="A26725" s="56"/>
    </row>
    <row r="26726" spans="1:1">
      <c r="A26726" s="56"/>
    </row>
    <row r="26727" spans="1:1">
      <c r="A26727" s="56"/>
    </row>
    <row r="26728" spans="1:1">
      <c r="A26728" s="56"/>
    </row>
    <row r="26729" spans="1:1">
      <c r="A26729" s="56"/>
    </row>
    <row r="26730" spans="1:1">
      <c r="A26730" s="56"/>
    </row>
    <row r="26731" spans="1:1">
      <c r="A26731" s="56"/>
    </row>
    <row r="26732" spans="1:1">
      <c r="A26732" s="56"/>
    </row>
    <row r="26733" spans="1:1">
      <c r="A26733" s="56"/>
    </row>
    <row r="26734" spans="1:1">
      <c r="A26734" s="56"/>
    </row>
    <row r="26735" spans="1:1">
      <c r="A26735" s="56"/>
    </row>
    <row r="26736" spans="1:1">
      <c r="A26736" s="56"/>
    </row>
    <row r="26737" spans="1:1">
      <c r="A26737" s="56"/>
    </row>
    <row r="26738" spans="1:1">
      <c r="A26738" s="56"/>
    </row>
    <row r="26739" spans="1:1">
      <c r="A26739" s="56"/>
    </row>
    <row r="26740" spans="1:1">
      <c r="A26740" s="56"/>
    </row>
    <row r="26741" spans="1:1">
      <c r="A26741" s="56"/>
    </row>
    <row r="26742" spans="1:1">
      <c r="A26742" s="56"/>
    </row>
    <row r="26743" spans="1:1">
      <c r="A26743" s="56"/>
    </row>
    <row r="26744" spans="1:1">
      <c r="A26744" s="56"/>
    </row>
    <row r="26745" spans="1:1">
      <c r="A26745" s="56"/>
    </row>
    <row r="26746" spans="1:1">
      <c r="A26746" s="56"/>
    </row>
    <row r="26747" spans="1:1">
      <c r="A26747" s="56"/>
    </row>
    <row r="26748" spans="1:1">
      <c r="A26748" s="56"/>
    </row>
    <row r="26749" spans="1:1">
      <c r="A26749" s="56"/>
    </row>
    <row r="26750" spans="1:1">
      <c r="A26750" s="56"/>
    </row>
    <row r="26751" spans="1:1">
      <c r="A26751" s="56"/>
    </row>
    <row r="26752" spans="1:1">
      <c r="A26752" s="56"/>
    </row>
    <row r="26753" spans="1:1">
      <c r="A26753" s="56"/>
    </row>
    <row r="26754" spans="1:1">
      <c r="A26754" s="56"/>
    </row>
    <row r="26755" spans="1:1">
      <c r="A26755" s="56"/>
    </row>
    <row r="26756" spans="1:1">
      <c r="A26756" s="56"/>
    </row>
    <row r="26757" spans="1:1">
      <c r="A26757" s="56"/>
    </row>
    <row r="26758" spans="1:1">
      <c r="A26758" s="56"/>
    </row>
    <row r="26759" spans="1:1">
      <c r="A26759" s="56"/>
    </row>
    <row r="26760" spans="1:1">
      <c r="A26760" s="56"/>
    </row>
    <row r="26761" spans="1:1">
      <c r="A26761" s="56"/>
    </row>
    <row r="26762" spans="1:1">
      <c r="A26762" s="56"/>
    </row>
    <row r="26763" spans="1:1">
      <c r="A26763" s="56"/>
    </row>
    <row r="26764" spans="1:1">
      <c r="A26764" s="56"/>
    </row>
    <row r="26765" spans="1:1">
      <c r="A26765" s="56"/>
    </row>
    <row r="26766" spans="1:1">
      <c r="A26766" s="56"/>
    </row>
    <row r="26767" spans="1:1">
      <c r="A26767" s="56"/>
    </row>
    <row r="26768" spans="1:1">
      <c r="A26768" s="56"/>
    </row>
    <row r="26769" spans="1:1">
      <c r="A26769" s="56"/>
    </row>
    <row r="26770" spans="1:1">
      <c r="A26770" s="56"/>
    </row>
    <row r="26771" spans="1:1">
      <c r="A26771" s="56"/>
    </row>
    <row r="26772" spans="1:1">
      <c r="A26772" s="56"/>
    </row>
    <row r="26773" spans="1:1">
      <c r="A26773" s="56"/>
    </row>
    <row r="26774" spans="1:1">
      <c r="A26774" s="56"/>
    </row>
    <row r="26775" spans="1:1">
      <c r="A26775" s="56"/>
    </row>
    <row r="26776" spans="1:1">
      <c r="A26776" s="56"/>
    </row>
    <row r="26777" spans="1:1">
      <c r="A26777" s="56"/>
    </row>
    <row r="26778" spans="1:1">
      <c r="A26778" s="56"/>
    </row>
    <row r="26779" spans="1:1">
      <c r="A26779" s="56"/>
    </row>
    <row r="26780" spans="1:1">
      <c r="A26780" s="56"/>
    </row>
    <row r="26781" spans="1:1">
      <c r="A26781" s="56"/>
    </row>
    <row r="26782" spans="1:1">
      <c r="A26782" s="56"/>
    </row>
    <row r="26783" spans="1:1">
      <c r="A26783" s="56"/>
    </row>
    <row r="26784" spans="1:1">
      <c r="A26784" s="56"/>
    </row>
    <row r="26785" spans="1:1">
      <c r="A26785" s="56"/>
    </row>
    <row r="26786" spans="1:1">
      <c r="A26786" s="56"/>
    </row>
    <row r="26787" spans="1:1">
      <c r="A26787" s="56"/>
    </row>
    <row r="26788" spans="1:1">
      <c r="A26788" s="56"/>
    </row>
    <row r="26789" spans="1:1">
      <c r="A26789" s="56"/>
    </row>
    <row r="26790" spans="1:1">
      <c r="A26790" s="56"/>
    </row>
    <row r="26791" spans="1:1">
      <c r="A26791" s="56"/>
    </row>
    <row r="26792" spans="1:1">
      <c r="A26792" s="56"/>
    </row>
    <row r="26793" spans="1:1">
      <c r="A26793" s="56"/>
    </row>
    <row r="26794" spans="1:1">
      <c r="A26794" s="56"/>
    </row>
    <row r="26795" spans="1:1">
      <c r="A26795" s="56"/>
    </row>
    <row r="26796" spans="1:1">
      <c r="A26796" s="56"/>
    </row>
    <row r="26797" spans="1:1">
      <c r="A26797" s="56"/>
    </row>
    <row r="26798" spans="1:1">
      <c r="A26798" s="56"/>
    </row>
    <row r="26799" spans="1:1">
      <c r="A26799" s="56"/>
    </row>
    <row r="26800" spans="1:1">
      <c r="A26800" s="56"/>
    </row>
    <row r="26801" spans="1:1">
      <c r="A26801" s="56"/>
    </row>
    <row r="26802" spans="1:1">
      <c r="A26802" s="56"/>
    </row>
    <row r="26803" spans="1:1">
      <c r="A26803" s="56"/>
    </row>
    <row r="26804" spans="1:1">
      <c r="A26804" s="56"/>
    </row>
    <row r="26805" spans="1:1">
      <c r="A26805" s="56"/>
    </row>
    <row r="26806" spans="1:1">
      <c r="A26806" s="56"/>
    </row>
    <row r="26807" spans="1:1">
      <c r="A26807" s="56"/>
    </row>
    <row r="26808" spans="1:1">
      <c r="A26808" s="56"/>
    </row>
    <row r="26809" spans="1:1">
      <c r="A26809" s="56"/>
    </row>
    <row r="26810" spans="1:1">
      <c r="A26810" s="56"/>
    </row>
    <row r="26811" spans="1:1">
      <c r="A26811" s="56"/>
    </row>
    <row r="26812" spans="1:1">
      <c r="A26812" s="56"/>
    </row>
    <row r="26813" spans="1:1">
      <c r="A26813" s="56"/>
    </row>
    <row r="26814" spans="1:1">
      <c r="A26814" s="56"/>
    </row>
    <row r="26815" spans="1:1">
      <c r="A26815" s="56"/>
    </row>
    <row r="26816" spans="1:1">
      <c r="A26816" s="56"/>
    </row>
    <row r="26817" spans="1:1">
      <c r="A26817" s="56"/>
    </row>
    <row r="26818" spans="1:1">
      <c r="A26818" s="56"/>
    </row>
    <row r="26819" spans="1:1">
      <c r="A26819" s="56"/>
    </row>
    <row r="26820" spans="1:1">
      <c r="A26820" s="56"/>
    </row>
    <row r="26821" spans="1:1">
      <c r="A26821" s="56"/>
    </row>
    <row r="26822" spans="1:1">
      <c r="A26822" s="56"/>
    </row>
    <row r="26823" spans="1:1">
      <c r="A26823" s="56"/>
    </row>
    <row r="26824" spans="1:1">
      <c r="A26824" s="56"/>
    </row>
    <row r="26825" spans="1:1">
      <c r="A26825" s="56"/>
    </row>
    <row r="26826" spans="1:1">
      <c r="A26826" s="56"/>
    </row>
    <row r="26827" spans="1:1">
      <c r="A26827" s="56"/>
    </row>
    <row r="26828" spans="1:1">
      <c r="A26828" s="56"/>
    </row>
    <row r="26829" spans="1:1">
      <c r="A26829" s="56"/>
    </row>
    <row r="26830" spans="1:1">
      <c r="A26830" s="56"/>
    </row>
    <row r="26831" spans="1:1">
      <c r="A26831" s="56"/>
    </row>
    <row r="26832" spans="1:1">
      <c r="A26832" s="56"/>
    </row>
    <row r="26833" spans="1:1">
      <c r="A26833" s="56"/>
    </row>
    <row r="26834" spans="1:1">
      <c r="A26834" s="56"/>
    </row>
    <row r="26835" spans="1:1">
      <c r="A26835" s="56"/>
    </row>
    <row r="26836" spans="1:1">
      <c r="A26836" s="56"/>
    </row>
    <row r="26837" spans="1:1">
      <c r="A26837" s="56"/>
    </row>
    <row r="26838" spans="1:1">
      <c r="A26838" s="56"/>
    </row>
    <row r="26839" spans="1:1">
      <c r="A26839" s="56"/>
    </row>
    <row r="26840" spans="1:1">
      <c r="A26840" s="56"/>
    </row>
    <row r="26841" spans="1:1">
      <c r="A26841" s="56"/>
    </row>
    <row r="26842" spans="1:1">
      <c r="A26842" s="56"/>
    </row>
    <row r="26843" spans="1:1">
      <c r="A26843" s="56"/>
    </row>
    <row r="26844" spans="1:1">
      <c r="A26844" s="56"/>
    </row>
    <row r="26845" spans="1:1">
      <c r="A26845" s="56"/>
    </row>
    <row r="26846" spans="1:1">
      <c r="A26846" s="56"/>
    </row>
    <row r="26847" spans="1:1">
      <c r="A26847" s="56"/>
    </row>
    <row r="26848" spans="1:1">
      <c r="A26848" s="56"/>
    </row>
    <row r="26849" spans="1:1">
      <c r="A26849" s="56"/>
    </row>
    <row r="26850" spans="1:1">
      <c r="A26850" s="56"/>
    </row>
    <row r="26851" spans="1:1">
      <c r="A26851" s="56"/>
    </row>
    <row r="26852" spans="1:1">
      <c r="A26852" s="56"/>
    </row>
    <row r="26853" spans="1:1">
      <c r="A26853" s="56"/>
    </row>
    <row r="26854" spans="1:1">
      <c r="A26854" s="56"/>
    </row>
    <row r="26855" spans="1:1">
      <c r="A26855" s="56"/>
    </row>
    <row r="26856" spans="1:1">
      <c r="A26856" s="56"/>
    </row>
    <row r="26857" spans="1:1">
      <c r="A26857" s="56"/>
    </row>
    <row r="26858" spans="1:1">
      <c r="A26858" s="56"/>
    </row>
    <row r="26859" spans="1:1">
      <c r="A26859" s="56"/>
    </row>
    <row r="26860" spans="1:1">
      <c r="A26860" s="56"/>
    </row>
    <row r="26861" spans="1:1">
      <c r="A26861" s="56"/>
    </row>
    <row r="26862" spans="1:1">
      <c r="A26862" s="56"/>
    </row>
    <row r="26863" spans="1:1">
      <c r="A26863" s="56"/>
    </row>
    <row r="26864" spans="1:1">
      <c r="A26864" s="56"/>
    </row>
    <row r="26865" spans="1:1">
      <c r="A26865" s="56"/>
    </row>
    <row r="26866" spans="1:1">
      <c r="A26866" s="56"/>
    </row>
    <row r="26867" spans="1:1">
      <c r="A26867" s="56"/>
    </row>
    <row r="26868" spans="1:1">
      <c r="A26868" s="56"/>
    </row>
    <row r="26869" spans="1:1">
      <c r="A26869" s="56"/>
    </row>
    <row r="26870" spans="1:1">
      <c r="A26870" s="56"/>
    </row>
    <row r="26871" spans="1:1">
      <c r="A26871" s="56"/>
    </row>
    <row r="26872" spans="1:1">
      <c r="A26872" s="56"/>
    </row>
    <row r="26873" spans="1:1">
      <c r="A26873" s="56"/>
    </row>
    <row r="26874" spans="1:1">
      <c r="A26874" s="56"/>
    </row>
    <row r="26875" spans="1:1">
      <c r="A26875" s="56"/>
    </row>
    <row r="26876" spans="1:1">
      <c r="A26876" s="56"/>
    </row>
    <row r="26877" spans="1:1">
      <c r="A26877" s="56"/>
    </row>
    <row r="26878" spans="1:1">
      <c r="A26878" s="56"/>
    </row>
    <row r="26879" spans="1:1">
      <c r="A26879" s="56"/>
    </row>
    <row r="26880" spans="1:1">
      <c r="A26880" s="56"/>
    </row>
    <row r="26881" spans="1:1">
      <c r="A26881" s="56"/>
    </row>
    <row r="26882" spans="1:1">
      <c r="A26882" s="56"/>
    </row>
    <row r="26883" spans="1:1">
      <c r="A26883" s="56"/>
    </row>
    <row r="26884" spans="1:1">
      <c r="A26884" s="56"/>
    </row>
    <row r="26885" spans="1:1">
      <c r="A26885" s="56"/>
    </row>
    <row r="26886" spans="1:1">
      <c r="A26886" s="56"/>
    </row>
    <row r="26887" spans="1:1">
      <c r="A26887" s="56"/>
    </row>
    <row r="26888" spans="1:1">
      <c r="A26888" s="56"/>
    </row>
    <row r="26889" spans="1:1">
      <c r="A26889" s="56"/>
    </row>
    <row r="26890" spans="1:1">
      <c r="A26890" s="56"/>
    </row>
    <row r="26891" spans="1:1">
      <c r="A26891" s="56"/>
    </row>
    <row r="26892" spans="1:1">
      <c r="A26892" s="56"/>
    </row>
    <row r="26893" spans="1:1">
      <c r="A26893" s="56"/>
    </row>
    <row r="26894" spans="1:1">
      <c r="A26894" s="56"/>
    </row>
    <row r="26895" spans="1:1">
      <c r="A26895" s="56"/>
    </row>
    <row r="26896" spans="1:1">
      <c r="A26896" s="56"/>
    </row>
    <row r="26897" spans="1:1">
      <c r="A26897" s="56"/>
    </row>
    <row r="26898" spans="1:1">
      <c r="A26898" s="56"/>
    </row>
    <row r="26899" spans="1:1">
      <c r="A26899" s="56"/>
    </row>
    <row r="26900" spans="1:1">
      <c r="A26900" s="56"/>
    </row>
    <row r="26901" spans="1:1">
      <c r="A26901" s="56"/>
    </row>
    <row r="26902" spans="1:1">
      <c r="A26902" s="56"/>
    </row>
    <row r="26903" spans="1:1">
      <c r="A26903" s="56"/>
    </row>
    <row r="26904" spans="1:1">
      <c r="A26904" s="56"/>
    </row>
    <row r="26905" spans="1:1">
      <c r="A26905" s="56"/>
    </row>
    <row r="26906" spans="1:1">
      <c r="A26906" s="56"/>
    </row>
    <row r="26907" spans="1:1">
      <c r="A26907" s="56"/>
    </row>
    <row r="26908" spans="1:1">
      <c r="A26908" s="56"/>
    </row>
    <row r="26909" spans="1:1">
      <c r="A26909" s="56"/>
    </row>
    <row r="26910" spans="1:1">
      <c r="A26910" s="56"/>
    </row>
    <row r="26911" spans="1:1">
      <c r="A26911" s="56"/>
    </row>
    <row r="26912" spans="1:1">
      <c r="A26912" s="56"/>
    </row>
    <row r="26913" spans="1:1">
      <c r="A26913" s="56"/>
    </row>
    <row r="26914" spans="1:1">
      <c r="A26914" s="56"/>
    </row>
    <row r="26915" spans="1:1">
      <c r="A26915" s="56"/>
    </row>
    <row r="26916" spans="1:1">
      <c r="A26916" s="56"/>
    </row>
    <row r="26917" spans="1:1">
      <c r="A26917" s="56"/>
    </row>
    <row r="26918" spans="1:1">
      <c r="A26918" s="56"/>
    </row>
    <row r="26919" spans="1:1">
      <c r="A26919" s="56"/>
    </row>
    <row r="26920" spans="1:1">
      <c r="A26920" s="56"/>
    </row>
    <row r="26921" spans="1:1">
      <c r="A26921" s="56"/>
    </row>
    <row r="26922" spans="1:1">
      <c r="A26922" s="56"/>
    </row>
    <row r="26923" spans="1:1">
      <c r="A26923" s="56"/>
    </row>
    <row r="26924" spans="1:1">
      <c r="A26924" s="56"/>
    </row>
    <row r="26925" spans="1:1">
      <c r="A26925" s="56"/>
    </row>
    <row r="26926" spans="1:1">
      <c r="A26926" s="56"/>
    </row>
    <row r="26927" spans="1:1">
      <c r="A26927" s="56"/>
    </row>
    <row r="26928" spans="1:1">
      <c r="A26928" s="56"/>
    </row>
    <row r="26929" spans="1:1">
      <c r="A26929" s="56"/>
    </row>
    <row r="26930" spans="1:1">
      <c r="A26930" s="56"/>
    </row>
    <row r="26931" spans="1:1">
      <c r="A26931" s="56"/>
    </row>
    <row r="26932" spans="1:1">
      <c r="A26932" s="56"/>
    </row>
    <row r="26933" spans="1:1">
      <c r="A26933" s="56"/>
    </row>
    <row r="26934" spans="1:1">
      <c r="A26934" s="56"/>
    </row>
    <row r="26935" spans="1:1">
      <c r="A26935" s="56"/>
    </row>
    <row r="26936" spans="1:1">
      <c r="A26936" s="56"/>
    </row>
    <row r="26937" spans="1:1">
      <c r="A26937" s="56"/>
    </row>
    <row r="26938" spans="1:1">
      <c r="A26938" s="56"/>
    </row>
    <row r="26939" spans="1:1">
      <c r="A26939" s="56"/>
    </row>
    <row r="26940" spans="1:1">
      <c r="A26940" s="56"/>
    </row>
    <row r="26941" spans="1:1">
      <c r="A26941" s="56"/>
    </row>
    <row r="26942" spans="1:1">
      <c r="A26942" s="56"/>
    </row>
    <row r="26943" spans="1:1">
      <c r="A26943" s="56"/>
    </row>
    <row r="26944" spans="1:1">
      <c r="A26944" s="56"/>
    </row>
    <row r="26945" spans="1:1">
      <c r="A26945" s="56"/>
    </row>
    <row r="26946" spans="1:1">
      <c r="A26946" s="56"/>
    </row>
    <row r="26947" spans="1:1">
      <c r="A26947" s="56"/>
    </row>
    <row r="26948" spans="1:1">
      <c r="A26948" s="56"/>
    </row>
    <row r="26949" spans="1:1">
      <c r="A26949" s="56"/>
    </row>
    <row r="26950" spans="1:1">
      <c r="A26950" s="56"/>
    </row>
    <row r="26951" spans="1:1">
      <c r="A26951" s="56"/>
    </row>
    <row r="26952" spans="1:1">
      <c r="A26952" s="56"/>
    </row>
    <row r="26953" spans="1:1">
      <c r="A26953" s="56"/>
    </row>
    <row r="26954" spans="1:1">
      <c r="A26954" s="56"/>
    </row>
    <row r="26955" spans="1:1">
      <c r="A26955" s="56"/>
    </row>
    <row r="26956" spans="1:1">
      <c r="A26956" s="56"/>
    </row>
    <row r="26957" spans="1:1">
      <c r="A26957" s="56"/>
    </row>
    <row r="26958" spans="1:1">
      <c r="A26958" s="56"/>
    </row>
    <row r="26959" spans="1:1">
      <c r="A26959" s="56"/>
    </row>
    <row r="26960" spans="1:1">
      <c r="A26960" s="56"/>
    </row>
    <row r="26961" spans="1:1">
      <c r="A26961" s="56"/>
    </row>
    <row r="26962" spans="1:1">
      <c r="A26962" s="56"/>
    </row>
    <row r="26963" spans="1:1">
      <c r="A26963" s="56"/>
    </row>
    <row r="26964" spans="1:1">
      <c r="A26964" s="56"/>
    </row>
    <row r="26965" spans="1:1">
      <c r="A26965" s="56"/>
    </row>
    <row r="26966" spans="1:1">
      <c r="A26966" s="56"/>
    </row>
    <row r="26967" spans="1:1">
      <c r="A26967" s="56"/>
    </row>
    <row r="26968" spans="1:1">
      <c r="A26968" s="56"/>
    </row>
    <row r="26969" spans="1:1">
      <c r="A26969" s="56"/>
    </row>
    <row r="26970" spans="1:1">
      <c r="A26970" s="56"/>
    </row>
    <row r="26971" spans="1:1">
      <c r="A26971" s="56"/>
    </row>
    <row r="26972" spans="1:1">
      <c r="A26972" s="56"/>
    </row>
    <row r="26973" spans="1:1">
      <c r="A26973" s="56"/>
    </row>
    <row r="26974" spans="1:1">
      <c r="A26974" s="56"/>
    </row>
    <row r="26975" spans="1:1">
      <c r="A26975" s="56"/>
    </row>
    <row r="26976" spans="1:1">
      <c r="A26976" s="56"/>
    </row>
    <row r="26977" spans="1:1">
      <c r="A26977" s="56"/>
    </row>
    <row r="26978" spans="1:1">
      <c r="A26978" s="56"/>
    </row>
    <row r="26979" spans="1:1">
      <c r="A26979" s="56"/>
    </row>
    <row r="26980" spans="1:1">
      <c r="A26980" s="56"/>
    </row>
    <row r="26981" spans="1:1">
      <c r="A26981" s="56"/>
    </row>
    <row r="26982" spans="1:1">
      <c r="A26982" s="56"/>
    </row>
    <row r="26983" spans="1:1">
      <c r="A26983" s="56"/>
    </row>
    <row r="26984" spans="1:1">
      <c r="A26984" s="56"/>
    </row>
    <row r="26985" spans="1:1">
      <c r="A26985" s="56"/>
    </row>
    <row r="26986" spans="1:1">
      <c r="A26986" s="56"/>
    </row>
    <row r="26987" spans="1:1">
      <c r="A26987" s="56"/>
    </row>
    <row r="26988" spans="1:1">
      <c r="A26988" s="56"/>
    </row>
    <row r="26989" spans="1:1">
      <c r="A26989" s="56"/>
    </row>
    <row r="26990" spans="1:1">
      <c r="A26990" s="56"/>
    </row>
    <row r="26991" spans="1:1">
      <c r="A26991" s="56"/>
    </row>
    <row r="26992" spans="1:1">
      <c r="A26992" s="56"/>
    </row>
    <row r="26993" spans="1:1">
      <c r="A26993" s="56"/>
    </row>
    <row r="26994" spans="1:1">
      <c r="A26994" s="56"/>
    </row>
    <row r="26995" spans="1:1">
      <c r="A26995" s="56"/>
    </row>
    <row r="26996" spans="1:1">
      <c r="A26996" s="56"/>
    </row>
    <row r="26997" spans="1:1">
      <c r="A26997" s="56"/>
    </row>
    <row r="26998" spans="1:1">
      <c r="A26998" s="56"/>
    </row>
    <row r="26999" spans="1:1">
      <c r="A26999" s="56"/>
    </row>
    <row r="27000" spans="1:1">
      <c r="A27000" s="56"/>
    </row>
    <row r="27001" spans="1:1">
      <c r="A27001" s="56"/>
    </row>
    <row r="27002" spans="1:1">
      <c r="A27002" s="56"/>
    </row>
    <row r="27003" spans="1:1">
      <c r="A27003" s="56"/>
    </row>
    <row r="27004" spans="1:1">
      <c r="A27004" s="56"/>
    </row>
    <row r="27005" spans="1:1">
      <c r="A27005" s="56"/>
    </row>
    <row r="27006" spans="1:1">
      <c r="A27006" s="56"/>
    </row>
    <row r="27007" spans="1:1">
      <c r="A27007" s="56"/>
    </row>
    <row r="27008" spans="1:1">
      <c r="A27008" s="56"/>
    </row>
    <row r="27009" spans="1:1">
      <c r="A27009" s="56"/>
    </row>
    <row r="27010" spans="1:1">
      <c r="A27010" s="56"/>
    </row>
    <row r="27011" spans="1:1">
      <c r="A27011" s="56"/>
    </row>
    <row r="27012" spans="1:1">
      <c r="A27012" s="56"/>
    </row>
    <row r="27013" spans="1:1">
      <c r="A27013" s="56"/>
    </row>
    <row r="27014" spans="1:1">
      <c r="A27014" s="56"/>
    </row>
    <row r="27015" spans="1:1">
      <c r="A27015" s="56"/>
    </row>
    <row r="27016" spans="1:1">
      <c r="A27016" s="56"/>
    </row>
    <row r="27017" spans="1:1">
      <c r="A27017" s="56"/>
    </row>
    <row r="27018" spans="1:1">
      <c r="A27018" s="56"/>
    </row>
    <row r="27019" spans="1:1">
      <c r="A27019" s="56"/>
    </row>
    <row r="27020" spans="1:1">
      <c r="A27020" s="56"/>
    </row>
    <row r="27021" spans="1:1">
      <c r="A27021" s="56"/>
    </row>
    <row r="27022" spans="1:1">
      <c r="A27022" s="56"/>
    </row>
    <row r="27023" spans="1:1">
      <c r="A27023" s="56"/>
    </row>
    <row r="27024" spans="1:1">
      <c r="A27024" s="56"/>
    </row>
    <row r="27025" spans="1:1">
      <c r="A27025" s="56"/>
    </row>
    <row r="27026" spans="1:1">
      <c r="A27026" s="56"/>
    </row>
    <row r="27027" spans="1:1">
      <c r="A27027" s="56"/>
    </row>
    <row r="27028" spans="1:1">
      <c r="A27028" s="56"/>
    </row>
    <row r="27029" spans="1:1">
      <c r="A27029" s="56"/>
    </row>
    <row r="27030" spans="1:1">
      <c r="A27030" s="56"/>
    </row>
    <row r="27031" spans="1:1">
      <c r="A27031" s="56"/>
    </row>
    <row r="27032" spans="1:1">
      <c r="A27032" s="56"/>
    </row>
    <row r="27033" spans="1:1">
      <c r="A27033" s="56"/>
    </row>
    <row r="27034" spans="1:1">
      <c r="A27034" s="56"/>
    </row>
    <row r="27035" spans="1:1">
      <c r="A27035" s="56"/>
    </row>
    <row r="27036" spans="1:1">
      <c r="A27036" s="56"/>
    </row>
    <row r="27037" spans="1:1">
      <c r="A27037" s="56"/>
    </row>
    <row r="27038" spans="1:1">
      <c r="A27038" s="56"/>
    </row>
    <row r="27039" spans="1:1">
      <c r="A27039" s="56"/>
    </row>
    <row r="27040" spans="1:1">
      <c r="A27040" s="56"/>
    </row>
    <row r="27041" spans="1:1">
      <c r="A27041" s="56"/>
    </row>
    <row r="27042" spans="1:1">
      <c r="A27042" s="56"/>
    </row>
    <row r="27043" spans="1:1">
      <c r="A27043" s="56"/>
    </row>
    <row r="27044" spans="1:1">
      <c r="A27044" s="56"/>
    </row>
    <row r="27045" spans="1:1">
      <c r="A27045" s="56"/>
    </row>
    <row r="27046" spans="1:1">
      <c r="A27046" s="56"/>
    </row>
    <row r="27047" spans="1:1">
      <c r="A27047" s="56"/>
    </row>
    <row r="27048" spans="1:1">
      <c r="A27048" s="56"/>
    </row>
    <row r="27049" spans="1:1">
      <c r="A27049" s="56"/>
    </row>
    <row r="27050" spans="1:1">
      <c r="A27050" s="56"/>
    </row>
    <row r="27051" spans="1:1">
      <c r="A27051" s="56"/>
    </row>
    <row r="27052" spans="1:1">
      <c r="A27052" s="56"/>
    </row>
    <row r="27053" spans="1:1">
      <c r="A27053" s="56"/>
    </row>
    <row r="27054" spans="1:1">
      <c r="A27054" s="56"/>
    </row>
    <row r="27055" spans="1:1">
      <c r="A27055" s="56"/>
    </row>
    <row r="27056" spans="1:1">
      <c r="A27056" s="56"/>
    </row>
    <row r="27057" spans="1:1">
      <c r="A27057" s="56"/>
    </row>
    <row r="27058" spans="1:1">
      <c r="A27058" s="56"/>
    </row>
    <row r="27059" spans="1:1">
      <c r="A27059" s="56"/>
    </row>
    <row r="27060" spans="1:1">
      <c r="A27060" s="56"/>
    </row>
    <row r="27061" spans="1:1">
      <c r="A27061" s="56"/>
    </row>
    <row r="27062" spans="1:1">
      <c r="A27062" s="56"/>
    </row>
    <row r="27063" spans="1:1">
      <c r="A27063" s="56"/>
    </row>
    <row r="27064" spans="1:1">
      <c r="A27064" s="56"/>
    </row>
    <row r="27065" spans="1:1">
      <c r="A27065" s="56"/>
    </row>
    <row r="27066" spans="1:1">
      <c r="A27066" s="56"/>
    </row>
    <row r="27067" spans="1:1">
      <c r="A27067" s="56"/>
    </row>
    <row r="27068" spans="1:1">
      <c r="A27068" s="56"/>
    </row>
    <row r="27069" spans="1:1">
      <c r="A27069" s="56"/>
    </row>
    <row r="27070" spans="1:1">
      <c r="A27070" s="56"/>
    </row>
    <row r="27071" spans="1:1">
      <c r="A27071" s="56"/>
    </row>
    <row r="27072" spans="1:1">
      <c r="A27072" s="56"/>
    </row>
    <row r="27073" spans="1:1">
      <c r="A27073" s="56"/>
    </row>
    <row r="27074" spans="1:1">
      <c r="A27074" s="56"/>
    </row>
    <row r="27075" spans="1:1">
      <c r="A27075" s="56"/>
    </row>
    <row r="27076" spans="1:1">
      <c r="A27076" s="56"/>
    </row>
    <row r="27077" spans="1:1">
      <c r="A27077" s="56"/>
    </row>
    <row r="27078" spans="1:1">
      <c r="A27078" s="56"/>
    </row>
    <row r="27079" spans="1:1">
      <c r="A27079" s="56"/>
    </row>
    <row r="27080" spans="1:1">
      <c r="A27080" s="56"/>
    </row>
    <row r="27081" spans="1:1">
      <c r="A27081" s="56"/>
    </row>
    <row r="27082" spans="1:1">
      <c r="A27082" s="56"/>
    </row>
    <row r="27083" spans="1:1">
      <c r="A27083" s="56"/>
    </row>
    <row r="27084" spans="1:1">
      <c r="A27084" s="56"/>
    </row>
    <row r="27085" spans="1:1">
      <c r="A27085" s="56"/>
    </row>
    <row r="27086" spans="1:1">
      <c r="A27086" s="56"/>
    </row>
    <row r="27087" spans="1:1">
      <c r="A27087" s="56"/>
    </row>
    <row r="27088" spans="1:1">
      <c r="A27088" s="56"/>
    </row>
    <row r="27089" spans="1:1">
      <c r="A27089" s="56"/>
    </row>
    <row r="27090" spans="1:1">
      <c r="A27090" s="56"/>
    </row>
    <row r="27091" spans="1:1">
      <c r="A27091" s="56"/>
    </row>
    <row r="27092" spans="1:1">
      <c r="A27092" s="56"/>
    </row>
    <row r="27093" spans="1:1">
      <c r="A27093" s="56"/>
    </row>
    <row r="27094" spans="1:1">
      <c r="A27094" s="56"/>
    </row>
    <row r="27095" spans="1:1">
      <c r="A27095" s="56"/>
    </row>
    <row r="27096" spans="1:1">
      <c r="A27096" s="56"/>
    </row>
    <row r="27097" spans="1:1">
      <c r="A27097" s="56"/>
    </row>
    <row r="27098" spans="1:1">
      <c r="A27098" s="56"/>
    </row>
    <row r="27099" spans="1:1">
      <c r="A27099" s="56"/>
    </row>
    <row r="27100" spans="1:1">
      <c r="A27100" s="56"/>
    </row>
    <row r="27101" spans="1:1">
      <c r="A27101" s="56"/>
    </row>
    <row r="27102" spans="1:1">
      <c r="A27102" s="56"/>
    </row>
    <row r="27103" spans="1:1">
      <c r="A27103" s="56"/>
    </row>
    <row r="27104" spans="1:1">
      <c r="A27104" s="56"/>
    </row>
    <row r="27105" spans="1:1">
      <c r="A27105" s="56"/>
    </row>
    <row r="27106" spans="1:1">
      <c r="A27106" s="56"/>
    </row>
    <row r="27107" spans="1:1">
      <c r="A27107" s="56"/>
    </row>
    <row r="27108" spans="1:1">
      <c r="A27108" s="56"/>
    </row>
    <row r="27109" spans="1:1">
      <c r="A27109" s="56"/>
    </row>
    <row r="27110" spans="1:1">
      <c r="A27110" s="56"/>
    </row>
    <row r="27111" spans="1:1">
      <c r="A27111" s="56"/>
    </row>
    <row r="27112" spans="1:1">
      <c r="A27112" s="56"/>
    </row>
    <row r="27113" spans="1:1">
      <c r="A27113" s="56"/>
    </row>
    <row r="27114" spans="1:1">
      <c r="A27114" s="56"/>
    </row>
    <row r="27115" spans="1:1">
      <c r="A27115" s="56"/>
    </row>
    <row r="27116" spans="1:1">
      <c r="A27116" s="56"/>
    </row>
    <row r="27117" spans="1:1">
      <c r="A27117" s="56"/>
    </row>
    <row r="27118" spans="1:1">
      <c r="A27118" s="56"/>
    </row>
    <row r="27119" spans="1:1">
      <c r="A27119" s="56"/>
    </row>
    <row r="27120" spans="1:1">
      <c r="A27120" s="56"/>
    </row>
    <row r="27121" spans="1:1">
      <c r="A27121" s="56"/>
    </row>
    <row r="27122" spans="1:1">
      <c r="A27122" s="56"/>
    </row>
    <row r="27123" spans="1:1">
      <c r="A27123" s="56"/>
    </row>
    <row r="27124" spans="1:1">
      <c r="A27124" s="56"/>
    </row>
    <row r="27125" spans="1:1">
      <c r="A27125" s="56"/>
    </row>
    <row r="27126" spans="1:1">
      <c r="A27126" s="56"/>
    </row>
    <row r="27127" spans="1:1">
      <c r="A27127" s="56"/>
    </row>
    <row r="27128" spans="1:1">
      <c r="A27128" s="56"/>
    </row>
    <row r="27129" spans="1:1">
      <c r="A27129" s="56"/>
    </row>
    <row r="27130" spans="1:1">
      <c r="A27130" s="56"/>
    </row>
    <row r="27131" spans="1:1">
      <c r="A27131" s="56"/>
    </row>
    <row r="27132" spans="1:1">
      <c r="A27132" s="56"/>
    </row>
    <row r="27133" spans="1:1">
      <c r="A27133" s="56"/>
    </row>
    <row r="27134" spans="1:1">
      <c r="A27134" s="56"/>
    </row>
    <row r="27135" spans="1:1">
      <c r="A27135" s="56"/>
    </row>
    <row r="27136" spans="1:1">
      <c r="A27136" s="56"/>
    </row>
    <row r="27137" spans="1:1">
      <c r="A27137" s="56"/>
    </row>
    <row r="27138" spans="1:1">
      <c r="A27138" s="56"/>
    </row>
    <row r="27139" spans="1:1">
      <c r="A27139" s="56"/>
    </row>
    <row r="27140" spans="1:1">
      <c r="A27140" s="56"/>
    </row>
    <row r="27141" spans="1:1">
      <c r="A27141" s="56"/>
    </row>
    <row r="27142" spans="1:1">
      <c r="A27142" s="56"/>
    </row>
    <row r="27143" spans="1:1">
      <c r="A27143" s="56"/>
    </row>
    <row r="27144" spans="1:1">
      <c r="A27144" s="56"/>
    </row>
    <row r="27145" spans="1:1">
      <c r="A27145" s="56"/>
    </row>
    <row r="27146" spans="1:1">
      <c r="A27146" s="56"/>
    </row>
    <row r="27147" spans="1:1">
      <c r="A27147" s="56"/>
    </row>
    <row r="27148" spans="1:1">
      <c r="A27148" s="56"/>
    </row>
    <row r="27149" spans="1:1">
      <c r="A27149" s="56"/>
    </row>
    <row r="27150" spans="1:1">
      <c r="A27150" s="56"/>
    </row>
    <row r="27151" spans="1:1">
      <c r="A27151" s="56"/>
    </row>
    <row r="27152" spans="1:1">
      <c r="A27152" s="56"/>
    </row>
    <row r="27153" spans="1:1">
      <c r="A27153" s="56"/>
    </row>
    <row r="27154" spans="1:1">
      <c r="A27154" s="56"/>
    </row>
    <row r="27155" spans="1:1">
      <c r="A27155" s="56"/>
    </row>
    <row r="27156" spans="1:1">
      <c r="A27156" s="56"/>
    </row>
    <row r="27157" spans="1:1">
      <c r="A27157" s="56"/>
    </row>
    <row r="27158" spans="1:1">
      <c r="A27158" s="56"/>
    </row>
    <row r="27159" spans="1:1">
      <c r="A27159" s="56"/>
    </row>
    <row r="27160" spans="1:1">
      <c r="A27160" s="56"/>
    </row>
    <row r="27161" spans="1:1">
      <c r="A27161" s="56"/>
    </row>
    <row r="27162" spans="1:1">
      <c r="A27162" s="56"/>
    </row>
    <row r="27163" spans="1:1">
      <c r="A27163" s="56"/>
    </row>
    <row r="27164" spans="1:1">
      <c r="A27164" s="56"/>
    </row>
    <row r="27165" spans="1:1">
      <c r="A27165" s="56"/>
    </row>
    <row r="27166" spans="1:1">
      <c r="A27166" s="56"/>
    </row>
    <row r="27167" spans="1:1">
      <c r="A27167" s="56"/>
    </row>
    <row r="27168" spans="1:1">
      <c r="A27168" s="56"/>
    </row>
    <row r="27169" spans="1:1">
      <c r="A27169" s="56"/>
    </row>
    <row r="27170" spans="1:1">
      <c r="A27170" s="56"/>
    </row>
    <row r="27171" spans="1:1">
      <c r="A27171" s="56"/>
    </row>
    <row r="27172" spans="1:1">
      <c r="A27172" s="56"/>
    </row>
    <row r="27173" spans="1:1">
      <c r="A27173" s="56"/>
    </row>
    <row r="27174" spans="1:1">
      <c r="A27174" s="56"/>
    </row>
    <row r="27175" spans="1:1">
      <c r="A27175" s="56"/>
    </row>
    <row r="27176" spans="1:1">
      <c r="A27176" s="56"/>
    </row>
    <row r="27177" spans="1:1">
      <c r="A27177" s="56"/>
    </row>
    <row r="27178" spans="1:1">
      <c r="A27178" s="56"/>
    </row>
    <row r="27179" spans="1:1">
      <c r="A27179" s="56"/>
    </row>
    <row r="27180" spans="1:1">
      <c r="A27180" s="56"/>
    </row>
    <row r="27181" spans="1:1">
      <c r="A27181" s="56"/>
    </row>
    <row r="27182" spans="1:1">
      <c r="A27182" s="56"/>
    </row>
    <row r="27183" spans="1:1">
      <c r="A27183" s="56"/>
    </row>
    <row r="27184" spans="1:1">
      <c r="A27184" s="56"/>
    </row>
    <row r="27185" spans="1:1">
      <c r="A27185" s="56"/>
    </row>
    <row r="27186" spans="1:1">
      <c r="A27186" s="56"/>
    </row>
    <row r="27187" spans="1:1">
      <c r="A27187" s="56"/>
    </row>
    <row r="27188" spans="1:1">
      <c r="A27188" s="56"/>
    </row>
    <row r="27189" spans="1:1">
      <c r="A27189" s="56"/>
    </row>
    <row r="27190" spans="1:1">
      <c r="A27190" s="56"/>
    </row>
    <row r="27191" spans="1:1">
      <c r="A27191" s="56"/>
    </row>
    <row r="27192" spans="1:1">
      <c r="A27192" s="56"/>
    </row>
    <row r="27193" spans="1:1">
      <c r="A27193" s="56"/>
    </row>
    <row r="27194" spans="1:1">
      <c r="A27194" s="56"/>
    </row>
    <row r="27195" spans="1:1">
      <c r="A27195" s="56"/>
    </row>
    <row r="27196" spans="1:1">
      <c r="A27196" s="56"/>
    </row>
    <row r="27197" spans="1:1">
      <c r="A27197" s="56"/>
    </row>
    <row r="27198" spans="1:1">
      <c r="A27198" s="56"/>
    </row>
    <row r="27199" spans="1:1">
      <c r="A27199" s="56"/>
    </row>
    <row r="27200" spans="1:1">
      <c r="A27200" s="56"/>
    </row>
    <row r="27201" spans="1:1">
      <c r="A27201" s="56"/>
    </row>
    <row r="27202" spans="1:1">
      <c r="A27202" s="56"/>
    </row>
    <row r="27203" spans="1:1">
      <c r="A27203" s="56"/>
    </row>
    <row r="27204" spans="1:1">
      <c r="A27204" s="56"/>
    </row>
    <row r="27205" spans="1:1">
      <c r="A27205" s="56"/>
    </row>
    <row r="27206" spans="1:1">
      <c r="A27206" s="56"/>
    </row>
    <row r="27207" spans="1:1">
      <c r="A27207" s="56"/>
    </row>
    <row r="27208" spans="1:1">
      <c r="A27208" s="56"/>
    </row>
    <row r="27209" spans="1:1">
      <c r="A27209" s="56"/>
    </row>
    <row r="27210" spans="1:1">
      <c r="A27210" s="56"/>
    </row>
    <row r="27211" spans="1:1">
      <c r="A27211" s="56"/>
    </row>
    <row r="27212" spans="1:1">
      <c r="A27212" s="56"/>
    </row>
    <row r="27213" spans="1:1">
      <c r="A27213" s="56"/>
    </row>
    <row r="27214" spans="1:1">
      <c r="A27214" s="56"/>
    </row>
    <row r="27215" spans="1:1">
      <c r="A27215" s="56"/>
    </row>
    <row r="27216" spans="1:1">
      <c r="A27216" s="56"/>
    </row>
    <row r="27217" spans="1:1">
      <c r="A27217" s="56"/>
    </row>
    <row r="27218" spans="1:1">
      <c r="A27218" s="56"/>
    </row>
    <row r="27219" spans="1:1">
      <c r="A27219" s="56"/>
    </row>
    <row r="27220" spans="1:1">
      <c r="A27220" s="56"/>
    </row>
    <row r="27221" spans="1:1">
      <c r="A27221" s="56"/>
    </row>
    <row r="27222" spans="1:1">
      <c r="A27222" s="56"/>
    </row>
    <row r="27223" spans="1:1">
      <c r="A27223" s="56"/>
    </row>
    <row r="27224" spans="1:1">
      <c r="A27224" s="56"/>
    </row>
    <row r="27225" spans="1:1">
      <c r="A27225" s="56"/>
    </row>
    <row r="27226" spans="1:1">
      <c r="A27226" s="56"/>
    </row>
    <row r="27227" spans="1:1">
      <c r="A27227" s="56"/>
    </row>
    <row r="27228" spans="1:1">
      <c r="A27228" s="56"/>
    </row>
    <row r="27229" spans="1:1">
      <c r="A27229" s="56"/>
    </row>
    <row r="27230" spans="1:1">
      <c r="A27230" s="56"/>
    </row>
    <row r="27231" spans="1:1">
      <c r="A27231" s="56"/>
    </row>
    <row r="27232" spans="1:1">
      <c r="A27232" s="56"/>
    </row>
    <row r="27233" spans="1:1">
      <c r="A27233" s="56"/>
    </row>
    <row r="27234" spans="1:1">
      <c r="A27234" s="56"/>
    </row>
    <row r="27235" spans="1:1">
      <c r="A27235" s="56"/>
    </row>
    <row r="27236" spans="1:1">
      <c r="A27236" s="56"/>
    </row>
    <row r="27237" spans="1:1">
      <c r="A27237" s="56"/>
    </row>
    <row r="27238" spans="1:1">
      <c r="A27238" s="56"/>
    </row>
    <row r="27239" spans="1:1">
      <c r="A27239" s="56"/>
    </row>
    <row r="27240" spans="1:1">
      <c r="A27240" s="56"/>
    </row>
    <row r="27241" spans="1:1">
      <c r="A27241" s="56"/>
    </row>
    <row r="27242" spans="1:1">
      <c r="A27242" s="56"/>
    </row>
    <row r="27243" spans="1:1">
      <c r="A27243" s="56"/>
    </row>
    <row r="27244" spans="1:1">
      <c r="A27244" s="56"/>
    </row>
    <row r="27245" spans="1:1">
      <c r="A27245" s="56"/>
    </row>
    <row r="27246" spans="1:1">
      <c r="A27246" s="56"/>
    </row>
    <row r="27247" spans="1:1">
      <c r="A27247" s="56"/>
    </row>
    <row r="27248" spans="1:1">
      <c r="A27248" s="56"/>
    </row>
    <row r="27249" spans="1:1">
      <c r="A27249" s="56"/>
    </row>
    <row r="27250" spans="1:1">
      <c r="A27250" s="56"/>
    </row>
    <row r="27251" spans="1:1">
      <c r="A27251" s="56"/>
    </row>
    <row r="27252" spans="1:1">
      <c r="A27252" s="56"/>
    </row>
    <row r="27253" spans="1:1">
      <c r="A27253" s="56"/>
    </row>
    <row r="27254" spans="1:1">
      <c r="A27254" s="56"/>
    </row>
    <row r="27255" spans="1:1">
      <c r="A27255" s="56"/>
    </row>
    <row r="27256" spans="1:1">
      <c r="A27256" s="56"/>
    </row>
    <row r="27257" spans="1:1">
      <c r="A27257" s="56"/>
    </row>
    <row r="27258" spans="1:1">
      <c r="A27258" s="56"/>
    </row>
    <row r="27259" spans="1:1">
      <c r="A27259" s="56"/>
    </row>
    <row r="27260" spans="1:1">
      <c r="A27260" s="56"/>
    </row>
    <row r="27261" spans="1:1">
      <c r="A27261" s="56"/>
    </row>
    <row r="27262" spans="1:1">
      <c r="A27262" s="56"/>
    </row>
    <row r="27263" spans="1:1">
      <c r="A27263" s="56"/>
    </row>
    <row r="27264" spans="1:1">
      <c r="A27264" s="56"/>
    </row>
    <row r="27265" spans="1:1">
      <c r="A27265" s="56"/>
    </row>
    <row r="27266" spans="1:1">
      <c r="A27266" s="56"/>
    </row>
    <row r="27267" spans="1:1">
      <c r="A27267" s="56"/>
    </row>
    <row r="27268" spans="1:1">
      <c r="A27268" s="56"/>
    </row>
    <row r="27269" spans="1:1">
      <c r="A27269" s="56"/>
    </row>
    <row r="27270" spans="1:1">
      <c r="A27270" s="56"/>
    </row>
    <row r="27271" spans="1:1">
      <c r="A27271" s="56"/>
    </row>
    <row r="27272" spans="1:1">
      <c r="A27272" s="56"/>
    </row>
    <row r="27273" spans="1:1">
      <c r="A27273" s="56"/>
    </row>
    <row r="27274" spans="1:1">
      <c r="A27274" s="56"/>
    </row>
    <row r="27275" spans="1:1">
      <c r="A27275" s="56"/>
    </row>
    <row r="27276" spans="1:1">
      <c r="A27276" s="56"/>
    </row>
    <row r="27277" spans="1:1">
      <c r="A27277" s="56"/>
    </row>
    <row r="27278" spans="1:1">
      <c r="A27278" s="56"/>
    </row>
    <row r="27279" spans="1:1">
      <c r="A27279" s="56"/>
    </row>
    <row r="27280" spans="1:1">
      <c r="A27280" s="56"/>
    </row>
    <row r="27281" spans="1:1">
      <c r="A27281" s="56"/>
    </row>
    <row r="27282" spans="1:1">
      <c r="A27282" s="56"/>
    </row>
    <row r="27283" spans="1:1">
      <c r="A27283" s="56"/>
    </row>
    <row r="27284" spans="1:1">
      <c r="A27284" s="56"/>
    </row>
    <row r="27285" spans="1:1">
      <c r="A27285" s="56"/>
    </row>
    <row r="27286" spans="1:1">
      <c r="A27286" s="56"/>
    </row>
    <row r="27287" spans="1:1">
      <c r="A27287" s="56"/>
    </row>
    <row r="27288" spans="1:1">
      <c r="A27288" s="56"/>
    </row>
    <row r="27289" spans="1:1">
      <c r="A27289" s="56"/>
    </row>
    <row r="27290" spans="1:1">
      <c r="A27290" s="56"/>
    </row>
    <row r="27291" spans="1:1">
      <c r="A27291" s="56"/>
    </row>
    <row r="27292" spans="1:1">
      <c r="A27292" s="56"/>
    </row>
    <row r="27293" spans="1:1">
      <c r="A27293" s="56"/>
    </row>
    <row r="27294" spans="1:1">
      <c r="A27294" s="56"/>
    </row>
    <row r="27295" spans="1:1">
      <c r="A27295" s="56"/>
    </row>
    <row r="27296" spans="1:1">
      <c r="A27296" s="56"/>
    </row>
    <row r="27297" spans="1:1">
      <c r="A27297" s="56"/>
    </row>
    <row r="27298" spans="1:1">
      <c r="A27298" s="56"/>
    </row>
    <row r="27299" spans="1:1">
      <c r="A27299" s="56"/>
    </row>
    <row r="27300" spans="1:1">
      <c r="A27300" s="56"/>
    </row>
    <row r="27301" spans="1:1">
      <c r="A27301" s="56"/>
    </row>
    <row r="27302" spans="1:1">
      <c r="A27302" s="56"/>
    </row>
    <row r="27303" spans="1:1">
      <c r="A27303" s="56"/>
    </row>
    <row r="27304" spans="1:1">
      <c r="A27304" s="56"/>
    </row>
    <row r="27305" spans="1:1">
      <c r="A27305" s="56"/>
    </row>
    <row r="27306" spans="1:1">
      <c r="A27306" s="56"/>
    </row>
    <row r="27307" spans="1:1">
      <c r="A27307" s="56"/>
    </row>
    <row r="27308" spans="1:1">
      <c r="A27308" s="56"/>
    </row>
    <row r="27309" spans="1:1">
      <c r="A27309" s="56"/>
    </row>
    <row r="27310" spans="1:1">
      <c r="A27310" s="56"/>
    </row>
    <row r="27311" spans="1:1">
      <c r="A27311" s="56"/>
    </row>
    <row r="27312" spans="1:1">
      <c r="A27312" s="56"/>
    </row>
    <row r="27313" spans="1:1">
      <c r="A27313" s="56"/>
    </row>
    <row r="27314" spans="1:1">
      <c r="A27314" s="56"/>
    </row>
    <row r="27315" spans="1:1">
      <c r="A27315" s="56"/>
    </row>
    <row r="27316" spans="1:1">
      <c r="A27316" s="56"/>
    </row>
    <row r="27317" spans="1:1">
      <c r="A27317" s="56"/>
    </row>
    <row r="27318" spans="1:1">
      <c r="A27318" s="56"/>
    </row>
    <row r="27319" spans="1:1">
      <c r="A27319" s="56"/>
    </row>
    <row r="27320" spans="1:1">
      <c r="A27320" s="56"/>
    </row>
    <row r="27321" spans="1:1">
      <c r="A27321" s="56"/>
    </row>
    <row r="27322" spans="1:1">
      <c r="A27322" s="56"/>
    </row>
    <row r="27323" spans="1:1">
      <c r="A27323" s="56"/>
    </row>
    <row r="27324" spans="1:1">
      <c r="A27324" s="56"/>
    </row>
    <row r="27325" spans="1:1">
      <c r="A27325" s="56"/>
    </row>
    <row r="27326" spans="1:1">
      <c r="A27326" s="56"/>
    </row>
    <row r="27327" spans="1:1">
      <c r="A27327" s="56"/>
    </row>
    <row r="27328" spans="1:1">
      <c r="A27328" s="56"/>
    </row>
    <row r="27329" spans="1:1">
      <c r="A27329" s="56"/>
    </row>
    <row r="27330" spans="1:1">
      <c r="A27330" s="56"/>
    </row>
    <row r="27331" spans="1:1">
      <c r="A27331" s="56"/>
    </row>
    <row r="27332" spans="1:1">
      <c r="A27332" s="56"/>
    </row>
    <row r="27333" spans="1:1">
      <c r="A27333" s="56"/>
    </row>
    <row r="27334" spans="1:1">
      <c r="A27334" s="56"/>
    </row>
    <row r="27335" spans="1:1">
      <c r="A27335" s="56"/>
    </row>
    <row r="27336" spans="1:1">
      <c r="A27336" s="56"/>
    </row>
    <row r="27337" spans="1:1">
      <c r="A27337" s="56"/>
    </row>
    <row r="27338" spans="1:1">
      <c r="A27338" s="56"/>
    </row>
    <row r="27339" spans="1:1">
      <c r="A27339" s="56"/>
    </row>
    <row r="27340" spans="1:1">
      <c r="A27340" s="56"/>
    </row>
    <row r="27341" spans="1:1">
      <c r="A27341" s="56"/>
    </row>
    <row r="27342" spans="1:1">
      <c r="A27342" s="56"/>
    </row>
    <row r="27343" spans="1:1">
      <c r="A27343" s="56"/>
    </row>
    <row r="27344" spans="1:1">
      <c r="A27344" s="56"/>
    </row>
    <row r="27345" spans="1:1">
      <c r="A27345" s="56"/>
    </row>
    <row r="27346" spans="1:1">
      <c r="A27346" s="56"/>
    </row>
    <row r="27347" spans="1:1">
      <c r="A27347" s="56"/>
    </row>
    <row r="27348" spans="1:1">
      <c r="A27348" s="56"/>
    </row>
    <row r="27349" spans="1:1">
      <c r="A27349" s="56"/>
    </row>
    <row r="27350" spans="1:1">
      <c r="A27350" s="56"/>
    </row>
    <row r="27351" spans="1:1">
      <c r="A27351" s="56"/>
    </row>
    <row r="27352" spans="1:1">
      <c r="A27352" s="56"/>
    </row>
    <row r="27353" spans="1:1">
      <c r="A27353" s="56"/>
    </row>
    <row r="27354" spans="1:1">
      <c r="A27354" s="56"/>
    </row>
    <row r="27355" spans="1:1">
      <c r="A27355" s="56"/>
    </row>
    <row r="27356" spans="1:1">
      <c r="A27356" s="56"/>
    </row>
    <row r="27357" spans="1:1">
      <c r="A27357" s="56"/>
    </row>
    <row r="27358" spans="1:1">
      <c r="A27358" s="56"/>
    </row>
    <row r="27359" spans="1:1">
      <c r="A27359" s="56"/>
    </row>
    <row r="27360" spans="1:1">
      <c r="A27360" s="56"/>
    </row>
    <row r="27361" spans="1:1">
      <c r="A27361" s="56"/>
    </row>
    <row r="27362" spans="1:1">
      <c r="A27362" s="56"/>
    </row>
    <row r="27363" spans="1:1">
      <c r="A27363" s="56"/>
    </row>
    <row r="27364" spans="1:1">
      <c r="A27364" s="56"/>
    </row>
    <row r="27365" spans="1:1">
      <c r="A27365" s="56"/>
    </row>
    <row r="27366" spans="1:1">
      <c r="A27366" s="56"/>
    </row>
    <row r="27367" spans="1:1">
      <c r="A27367" s="56"/>
    </row>
    <row r="27368" spans="1:1">
      <c r="A27368" s="56"/>
    </row>
    <row r="27369" spans="1:1">
      <c r="A27369" s="56"/>
    </row>
    <row r="27370" spans="1:1">
      <c r="A27370" s="56"/>
    </row>
    <row r="27371" spans="1:1">
      <c r="A27371" s="56"/>
    </row>
    <row r="27372" spans="1:1">
      <c r="A27372" s="56"/>
    </row>
    <row r="27373" spans="1:1">
      <c r="A27373" s="56"/>
    </row>
    <row r="27374" spans="1:1">
      <c r="A27374" s="56"/>
    </row>
    <row r="27375" spans="1:1">
      <c r="A27375" s="56"/>
    </row>
    <row r="27376" spans="1:1">
      <c r="A27376" s="56"/>
    </row>
    <row r="27377" spans="1:1">
      <c r="A27377" s="56"/>
    </row>
    <row r="27378" spans="1:1">
      <c r="A27378" s="56"/>
    </row>
    <row r="27379" spans="1:1">
      <c r="A27379" s="56"/>
    </row>
    <row r="27380" spans="1:1">
      <c r="A27380" s="56"/>
    </row>
    <row r="27381" spans="1:1">
      <c r="A27381" s="56"/>
    </row>
    <row r="27382" spans="1:1">
      <c r="A27382" s="56"/>
    </row>
    <row r="27383" spans="1:1">
      <c r="A27383" s="56"/>
    </row>
    <row r="27384" spans="1:1">
      <c r="A27384" s="56"/>
    </row>
    <row r="27385" spans="1:1">
      <c r="A27385" s="56"/>
    </row>
    <row r="27386" spans="1:1">
      <c r="A27386" s="56"/>
    </row>
    <row r="27387" spans="1:1">
      <c r="A27387" s="56"/>
    </row>
    <row r="27388" spans="1:1">
      <c r="A27388" s="56"/>
    </row>
    <row r="27389" spans="1:1">
      <c r="A27389" s="56"/>
    </row>
    <row r="27390" spans="1:1">
      <c r="A27390" s="56"/>
    </row>
    <row r="27391" spans="1:1">
      <c r="A27391" s="56"/>
    </row>
    <row r="27392" spans="1:1">
      <c r="A27392" s="56"/>
    </row>
    <row r="27393" spans="1:1">
      <c r="A27393" s="56"/>
    </row>
    <row r="27394" spans="1:1">
      <c r="A27394" s="56"/>
    </row>
    <row r="27395" spans="1:1">
      <c r="A27395" s="56"/>
    </row>
    <row r="27396" spans="1:1">
      <c r="A27396" s="56"/>
    </row>
    <row r="27397" spans="1:1">
      <c r="A27397" s="56"/>
    </row>
    <row r="27398" spans="1:1">
      <c r="A27398" s="56"/>
    </row>
    <row r="27399" spans="1:1">
      <c r="A27399" s="56"/>
    </row>
    <row r="27400" spans="1:1">
      <c r="A27400" s="56"/>
    </row>
    <row r="27401" spans="1:1">
      <c r="A27401" s="56"/>
    </row>
    <row r="27402" spans="1:1">
      <c r="A27402" s="56"/>
    </row>
    <row r="27403" spans="1:1">
      <c r="A27403" s="56"/>
    </row>
    <row r="27404" spans="1:1">
      <c r="A27404" s="56"/>
    </row>
    <row r="27405" spans="1:1">
      <c r="A27405" s="56"/>
    </row>
    <row r="27406" spans="1:1">
      <c r="A27406" s="56"/>
    </row>
    <row r="27407" spans="1:1">
      <c r="A27407" s="56"/>
    </row>
    <row r="27408" spans="1:1">
      <c r="A27408" s="56"/>
    </row>
    <row r="27409" spans="1:1">
      <c r="A27409" s="56"/>
    </row>
    <row r="27410" spans="1:1">
      <c r="A27410" s="56"/>
    </row>
    <row r="27411" spans="1:1">
      <c r="A27411" s="56"/>
    </row>
    <row r="27412" spans="1:1">
      <c r="A27412" s="56"/>
    </row>
    <row r="27413" spans="1:1">
      <c r="A27413" s="56"/>
    </row>
    <row r="27414" spans="1:1">
      <c r="A27414" s="56"/>
    </row>
    <row r="27415" spans="1:1">
      <c r="A27415" s="56"/>
    </row>
    <row r="27416" spans="1:1">
      <c r="A27416" s="56"/>
    </row>
    <row r="27417" spans="1:1">
      <c r="A27417" s="56"/>
    </row>
    <row r="27418" spans="1:1">
      <c r="A27418" s="56"/>
    </row>
    <row r="27419" spans="1:1">
      <c r="A27419" s="56"/>
    </row>
    <row r="27420" spans="1:1">
      <c r="A27420" s="56"/>
    </row>
    <row r="27421" spans="1:1">
      <c r="A27421" s="56"/>
    </row>
    <row r="27422" spans="1:1">
      <c r="A27422" s="56"/>
    </row>
    <row r="27423" spans="1:1">
      <c r="A27423" s="56"/>
    </row>
    <row r="27424" spans="1:1">
      <c r="A27424" s="56"/>
    </row>
    <row r="27425" spans="1:1">
      <c r="A27425" s="56"/>
    </row>
    <row r="27426" spans="1:1">
      <c r="A27426" s="56"/>
    </row>
    <row r="27427" spans="1:1">
      <c r="A27427" s="56"/>
    </row>
    <row r="27428" spans="1:1">
      <c r="A27428" s="56"/>
    </row>
    <row r="27429" spans="1:1">
      <c r="A27429" s="56"/>
    </row>
    <row r="27430" spans="1:1">
      <c r="A27430" s="56"/>
    </row>
    <row r="27431" spans="1:1">
      <c r="A27431" s="56"/>
    </row>
    <row r="27432" spans="1:1">
      <c r="A27432" s="56"/>
    </row>
    <row r="27433" spans="1:1">
      <c r="A27433" s="56"/>
    </row>
    <row r="27434" spans="1:1">
      <c r="A27434" s="56"/>
    </row>
    <row r="27435" spans="1:1">
      <c r="A27435" s="56"/>
    </row>
    <row r="27436" spans="1:1">
      <c r="A27436" s="56"/>
    </row>
    <row r="27437" spans="1:1">
      <c r="A27437" s="56"/>
    </row>
    <row r="27438" spans="1:1">
      <c r="A27438" s="56"/>
    </row>
    <row r="27439" spans="1:1">
      <c r="A27439" s="56"/>
    </row>
    <row r="27440" spans="1:1">
      <c r="A27440" s="56"/>
    </row>
    <row r="27441" spans="1:1">
      <c r="A27441" s="56"/>
    </row>
    <row r="27442" spans="1:1">
      <c r="A27442" s="56"/>
    </row>
    <row r="27443" spans="1:1">
      <c r="A27443" s="56"/>
    </row>
    <row r="27444" spans="1:1">
      <c r="A27444" s="56"/>
    </row>
    <row r="27445" spans="1:1">
      <c r="A27445" s="56"/>
    </row>
    <row r="27446" spans="1:1">
      <c r="A27446" s="56"/>
    </row>
    <row r="27447" spans="1:1">
      <c r="A27447" s="56"/>
    </row>
    <row r="27448" spans="1:1">
      <c r="A27448" s="56"/>
    </row>
    <row r="27449" spans="1:1">
      <c r="A27449" s="56"/>
    </row>
    <row r="27450" spans="1:1">
      <c r="A27450" s="56"/>
    </row>
    <row r="27451" spans="1:1">
      <c r="A27451" s="56"/>
    </row>
    <row r="27452" spans="1:1">
      <c r="A27452" s="56"/>
    </row>
    <row r="27453" spans="1:1">
      <c r="A27453" s="56"/>
    </row>
    <row r="27454" spans="1:1">
      <c r="A27454" s="56"/>
    </row>
    <row r="27455" spans="1:1">
      <c r="A27455" s="56"/>
    </row>
    <row r="27456" spans="1:1">
      <c r="A27456" s="56"/>
    </row>
    <row r="27457" spans="1:1">
      <c r="A27457" s="56"/>
    </row>
    <row r="27458" spans="1:1">
      <c r="A27458" s="56"/>
    </row>
    <row r="27459" spans="1:1">
      <c r="A27459" s="56"/>
    </row>
    <row r="27460" spans="1:1">
      <c r="A27460" s="56"/>
    </row>
    <row r="27461" spans="1:1">
      <c r="A27461" s="56"/>
    </row>
    <row r="27462" spans="1:1">
      <c r="A27462" s="56"/>
    </row>
    <row r="27463" spans="1:1">
      <c r="A27463" s="56"/>
    </row>
    <row r="27464" spans="1:1">
      <c r="A27464" s="56"/>
    </row>
    <row r="27465" spans="1:1">
      <c r="A27465" s="56"/>
    </row>
    <row r="27466" spans="1:1">
      <c r="A27466" s="56"/>
    </row>
    <row r="27467" spans="1:1">
      <c r="A27467" s="56"/>
    </row>
    <row r="27468" spans="1:1">
      <c r="A27468" s="56"/>
    </row>
    <row r="27469" spans="1:1">
      <c r="A27469" s="56"/>
    </row>
    <row r="27470" spans="1:1">
      <c r="A27470" s="56"/>
    </row>
    <row r="27471" spans="1:1">
      <c r="A27471" s="56"/>
    </row>
    <row r="27472" spans="1:1">
      <c r="A27472" s="56"/>
    </row>
    <row r="27473" spans="1:1">
      <c r="A27473" s="56"/>
    </row>
    <row r="27474" spans="1:1">
      <c r="A27474" s="56"/>
    </row>
    <row r="27475" spans="1:1">
      <c r="A27475" s="56"/>
    </row>
    <row r="27476" spans="1:1">
      <c r="A27476" s="56"/>
    </row>
    <row r="27477" spans="1:1">
      <c r="A27477" s="56"/>
    </row>
    <row r="27478" spans="1:1">
      <c r="A27478" s="56"/>
    </row>
    <row r="27479" spans="1:1">
      <c r="A27479" s="56"/>
    </row>
    <row r="27480" spans="1:1">
      <c r="A27480" s="56"/>
    </row>
    <row r="27481" spans="1:1">
      <c r="A27481" s="56"/>
    </row>
    <row r="27482" spans="1:1">
      <c r="A27482" s="56"/>
    </row>
    <row r="27483" spans="1:1">
      <c r="A27483" s="56"/>
    </row>
    <row r="27484" spans="1:1">
      <c r="A27484" s="56"/>
    </row>
    <row r="27485" spans="1:1">
      <c r="A27485" s="56"/>
    </row>
    <row r="27486" spans="1:1">
      <c r="A27486" s="56"/>
    </row>
    <row r="27487" spans="1:1">
      <c r="A27487" s="56"/>
    </row>
    <row r="27488" spans="1:1">
      <c r="A27488" s="56"/>
    </row>
    <row r="27489" spans="1:1">
      <c r="A27489" s="56"/>
    </row>
    <row r="27490" spans="1:1">
      <c r="A27490" s="56"/>
    </row>
    <row r="27491" spans="1:1">
      <c r="A27491" s="56"/>
    </row>
    <row r="27492" spans="1:1">
      <c r="A27492" s="56"/>
    </row>
    <row r="27493" spans="1:1">
      <c r="A27493" s="56"/>
    </row>
    <row r="27494" spans="1:1">
      <c r="A27494" s="56"/>
    </row>
    <row r="27495" spans="1:1">
      <c r="A27495" s="56"/>
    </row>
    <row r="27496" spans="1:1">
      <c r="A27496" s="56"/>
    </row>
    <row r="27497" spans="1:1">
      <c r="A27497" s="56"/>
    </row>
    <row r="27498" spans="1:1">
      <c r="A27498" s="56"/>
    </row>
    <row r="27499" spans="1:1">
      <c r="A27499" s="56"/>
    </row>
    <row r="27500" spans="1:1">
      <c r="A27500" s="56"/>
    </row>
    <row r="27501" spans="1:1">
      <c r="A27501" s="56"/>
    </row>
    <row r="27502" spans="1:1">
      <c r="A27502" s="56"/>
    </row>
    <row r="27503" spans="1:1">
      <c r="A27503" s="56"/>
    </row>
    <row r="27504" spans="1:1">
      <c r="A27504" s="56"/>
    </row>
    <row r="27505" spans="1:1">
      <c r="A27505" s="56"/>
    </row>
    <row r="27506" spans="1:1">
      <c r="A27506" s="56"/>
    </row>
    <row r="27507" spans="1:1">
      <c r="A27507" s="56"/>
    </row>
    <row r="27508" spans="1:1">
      <c r="A27508" s="56"/>
    </row>
    <row r="27509" spans="1:1">
      <c r="A27509" s="56"/>
    </row>
    <row r="27510" spans="1:1">
      <c r="A27510" s="56"/>
    </row>
    <row r="27511" spans="1:1">
      <c r="A27511" s="56"/>
    </row>
    <row r="27512" spans="1:1">
      <c r="A27512" s="56"/>
    </row>
    <row r="27513" spans="1:1">
      <c r="A27513" s="56"/>
    </row>
    <row r="27514" spans="1:1">
      <c r="A27514" s="56"/>
    </row>
    <row r="27515" spans="1:1">
      <c r="A27515" s="56"/>
    </row>
    <row r="27516" spans="1:1">
      <c r="A27516" s="56"/>
    </row>
    <row r="27517" spans="1:1">
      <c r="A27517" s="56"/>
    </row>
    <row r="27518" spans="1:1">
      <c r="A27518" s="56"/>
    </row>
    <row r="27519" spans="1:1">
      <c r="A27519" s="56"/>
    </row>
    <row r="27520" spans="1:1">
      <c r="A27520" s="56"/>
    </row>
    <row r="27521" spans="1:1">
      <c r="A27521" s="56"/>
    </row>
    <row r="27522" spans="1:1">
      <c r="A27522" s="56"/>
    </row>
    <row r="27523" spans="1:1">
      <c r="A27523" s="56"/>
    </row>
    <row r="27524" spans="1:1">
      <c r="A27524" s="56"/>
    </row>
    <row r="27525" spans="1:1">
      <c r="A27525" s="56"/>
    </row>
    <row r="27526" spans="1:1">
      <c r="A27526" s="56"/>
    </row>
    <row r="27527" spans="1:1">
      <c r="A27527" s="56"/>
    </row>
    <row r="27528" spans="1:1">
      <c r="A27528" s="56"/>
    </row>
    <row r="27529" spans="1:1">
      <c r="A27529" s="56"/>
    </row>
    <row r="27530" spans="1:1">
      <c r="A27530" s="56"/>
    </row>
    <row r="27531" spans="1:1">
      <c r="A27531" s="56"/>
    </row>
    <row r="27532" spans="1:1">
      <c r="A27532" s="56"/>
    </row>
    <row r="27533" spans="1:1">
      <c r="A27533" s="56"/>
    </row>
    <row r="27534" spans="1:1">
      <c r="A27534" s="56"/>
    </row>
    <row r="27535" spans="1:1">
      <c r="A27535" s="56"/>
    </row>
    <row r="27536" spans="1:1">
      <c r="A27536" s="56"/>
    </row>
    <row r="27537" spans="1:1">
      <c r="A27537" s="56"/>
    </row>
    <row r="27538" spans="1:1">
      <c r="A27538" s="56"/>
    </row>
    <row r="27539" spans="1:1">
      <c r="A27539" s="56"/>
    </row>
    <row r="27540" spans="1:1">
      <c r="A27540" s="56"/>
    </row>
    <row r="27541" spans="1:1">
      <c r="A27541" s="56"/>
    </row>
    <row r="27542" spans="1:1">
      <c r="A27542" s="56"/>
    </row>
    <row r="27543" spans="1:1">
      <c r="A27543" s="56"/>
    </row>
    <row r="27544" spans="1:1">
      <c r="A27544" s="56"/>
    </row>
    <row r="27545" spans="1:1">
      <c r="A27545" s="56"/>
    </row>
    <row r="27546" spans="1:1">
      <c r="A27546" s="56"/>
    </row>
    <row r="27547" spans="1:1">
      <c r="A27547" s="56"/>
    </row>
    <row r="27548" spans="1:1">
      <c r="A27548" s="56"/>
    </row>
    <row r="27549" spans="1:1">
      <c r="A27549" s="56"/>
    </row>
    <row r="27550" spans="1:1">
      <c r="A27550" s="56"/>
    </row>
    <row r="27551" spans="1:1">
      <c r="A27551" s="56"/>
    </row>
    <row r="27552" spans="1:1">
      <c r="A27552" s="56"/>
    </row>
    <row r="27553" spans="1:1">
      <c r="A27553" s="56"/>
    </row>
    <row r="27554" spans="1:1">
      <c r="A27554" s="56"/>
    </row>
    <row r="27555" spans="1:1">
      <c r="A27555" s="56"/>
    </row>
    <row r="27556" spans="1:1">
      <c r="A27556" s="56"/>
    </row>
    <row r="27557" spans="1:1">
      <c r="A27557" s="56"/>
    </row>
    <row r="27558" spans="1:1">
      <c r="A27558" s="56"/>
    </row>
    <row r="27559" spans="1:1">
      <c r="A27559" s="56"/>
    </row>
    <row r="27560" spans="1:1">
      <c r="A27560" s="56"/>
    </row>
    <row r="27561" spans="1:1">
      <c r="A27561" s="56"/>
    </row>
    <row r="27562" spans="1:1">
      <c r="A27562" s="56"/>
    </row>
    <row r="27563" spans="1:1">
      <c r="A27563" s="56"/>
    </row>
    <row r="27564" spans="1:1">
      <c r="A27564" s="56"/>
    </row>
    <row r="27565" spans="1:1">
      <c r="A27565" s="56"/>
    </row>
    <row r="27566" spans="1:1">
      <c r="A27566" s="56"/>
    </row>
    <row r="27567" spans="1:1">
      <c r="A27567" s="56"/>
    </row>
    <row r="27568" spans="1:1">
      <c r="A27568" s="56"/>
    </row>
    <row r="27569" spans="1:1">
      <c r="A27569" s="56"/>
    </row>
    <row r="27570" spans="1:1">
      <c r="A27570" s="56"/>
    </row>
    <row r="27571" spans="1:1">
      <c r="A27571" s="56"/>
    </row>
    <row r="27572" spans="1:1">
      <c r="A27572" s="56"/>
    </row>
    <row r="27573" spans="1:1">
      <c r="A27573" s="56"/>
    </row>
    <row r="27574" spans="1:1">
      <c r="A27574" s="56"/>
    </row>
    <row r="27575" spans="1:1">
      <c r="A27575" s="56"/>
    </row>
    <row r="27576" spans="1:1">
      <c r="A27576" s="56"/>
    </row>
    <row r="27577" spans="1:1">
      <c r="A27577" s="56"/>
    </row>
    <row r="27578" spans="1:1">
      <c r="A27578" s="56"/>
    </row>
    <row r="27579" spans="1:1">
      <c r="A27579" s="56"/>
    </row>
    <row r="27580" spans="1:1">
      <c r="A27580" s="56"/>
    </row>
    <row r="27581" spans="1:1">
      <c r="A27581" s="56"/>
    </row>
    <row r="27582" spans="1:1">
      <c r="A27582" s="56"/>
    </row>
    <row r="27583" spans="1:1">
      <c r="A27583" s="56"/>
    </row>
    <row r="27584" spans="1:1">
      <c r="A27584" s="56"/>
    </row>
    <row r="27585" spans="1:1">
      <c r="A27585" s="56"/>
    </row>
    <row r="27586" spans="1:1">
      <c r="A27586" s="56"/>
    </row>
    <row r="27587" spans="1:1">
      <c r="A27587" s="56"/>
    </row>
    <row r="27588" spans="1:1">
      <c r="A27588" s="56"/>
    </row>
    <row r="27589" spans="1:1">
      <c r="A27589" s="56"/>
    </row>
    <row r="27590" spans="1:1">
      <c r="A27590" s="56"/>
    </row>
    <row r="27591" spans="1:1">
      <c r="A27591" s="56"/>
    </row>
    <row r="27592" spans="1:1">
      <c r="A27592" s="56"/>
    </row>
    <row r="27593" spans="1:1">
      <c r="A27593" s="56"/>
    </row>
    <row r="27594" spans="1:1">
      <c r="A27594" s="56"/>
    </row>
    <row r="27595" spans="1:1">
      <c r="A27595" s="56"/>
    </row>
    <row r="27596" spans="1:1">
      <c r="A27596" s="56"/>
    </row>
    <row r="27597" spans="1:1">
      <c r="A27597" s="56"/>
    </row>
    <row r="27598" spans="1:1">
      <c r="A27598" s="56"/>
    </row>
    <row r="27599" spans="1:1">
      <c r="A27599" s="56"/>
    </row>
    <row r="27600" spans="1:1">
      <c r="A27600" s="56"/>
    </row>
    <row r="27601" spans="1:1">
      <c r="A27601" s="56"/>
    </row>
    <row r="27602" spans="1:1">
      <c r="A27602" s="56"/>
    </row>
    <row r="27603" spans="1:1">
      <c r="A27603" s="56"/>
    </row>
    <row r="27604" spans="1:1">
      <c r="A27604" s="56"/>
    </row>
    <row r="27605" spans="1:1">
      <c r="A27605" s="56"/>
    </row>
    <row r="27606" spans="1:1">
      <c r="A27606" s="56"/>
    </row>
    <row r="27607" spans="1:1">
      <c r="A27607" s="56"/>
    </row>
    <row r="27608" spans="1:1">
      <c r="A27608" s="56"/>
    </row>
    <row r="27609" spans="1:1">
      <c r="A27609" s="56"/>
    </row>
    <row r="27610" spans="1:1">
      <c r="A27610" s="56"/>
    </row>
    <row r="27611" spans="1:1">
      <c r="A27611" s="56"/>
    </row>
    <row r="27612" spans="1:1">
      <c r="A27612" s="56"/>
    </row>
    <row r="27613" spans="1:1">
      <c r="A27613" s="56"/>
    </row>
    <row r="27614" spans="1:1">
      <c r="A27614" s="56"/>
    </row>
    <row r="27615" spans="1:1">
      <c r="A27615" s="56"/>
    </row>
    <row r="27616" spans="1:1">
      <c r="A27616" s="56"/>
    </row>
    <row r="27617" spans="1:1">
      <c r="A27617" s="56"/>
    </row>
    <row r="27618" spans="1:1">
      <c r="A27618" s="56"/>
    </row>
    <row r="27619" spans="1:1">
      <c r="A27619" s="56"/>
    </row>
    <row r="27620" spans="1:1">
      <c r="A27620" s="56"/>
    </row>
    <row r="27621" spans="1:1">
      <c r="A27621" s="56"/>
    </row>
    <row r="27622" spans="1:1">
      <c r="A27622" s="56"/>
    </row>
    <row r="27623" spans="1:1">
      <c r="A27623" s="56"/>
    </row>
    <row r="27624" spans="1:1">
      <c r="A27624" s="56"/>
    </row>
    <row r="27625" spans="1:1">
      <c r="A27625" s="56"/>
    </row>
    <row r="27626" spans="1:1">
      <c r="A27626" s="56"/>
    </row>
    <row r="27627" spans="1:1">
      <c r="A27627" s="56"/>
    </row>
    <row r="27628" spans="1:1">
      <c r="A27628" s="56"/>
    </row>
    <row r="27629" spans="1:1">
      <c r="A27629" s="56"/>
    </row>
    <row r="27630" spans="1:1">
      <c r="A27630" s="56"/>
    </row>
    <row r="27631" spans="1:1">
      <c r="A27631" s="56"/>
    </row>
    <row r="27632" spans="1:1">
      <c r="A27632" s="56"/>
    </row>
    <row r="27633" spans="1:1">
      <c r="A27633" s="56"/>
    </row>
    <row r="27634" spans="1:1">
      <c r="A27634" s="56"/>
    </row>
    <row r="27635" spans="1:1">
      <c r="A27635" s="56"/>
    </row>
    <row r="27636" spans="1:1">
      <c r="A27636" s="56"/>
    </row>
    <row r="27637" spans="1:1">
      <c r="A27637" s="56"/>
    </row>
    <row r="27638" spans="1:1">
      <c r="A27638" s="56"/>
    </row>
    <row r="27639" spans="1:1">
      <c r="A27639" s="56"/>
    </row>
    <row r="27640" spans="1:1">
      <c r="A27640" s="56"/>
    </row>
    <row r="27641" spans="1:1">
      <c r="A27641" s="56"/>
    </row>
    <row r="27642" spans="1:1">
      <c r="A27642" s="56"/>
    </row>
    <row r="27643" spans="1:1">
      <c r="A27643" s="56"/>
    </row>
    <row r="27644" spans="1:1">
      <c r="A27644" s="56"/>
    </row>
    <row r="27645" spans="1:1">
      <c r="A27645" s="56"/>
    </row>
    <row r="27646" spans="1:1">
      <c r="A27646" s="56"/>
    </row>
    <row r="27647" spans="1:1">
      <c r="A27647" s="56"/>
    </row>
    <row r="27648" spans="1:1">
      <c r="A27648" s="56"/>
    </row>
    <row r="27649" spans="1:1">
      <c r="A27649" s="56"/>
    </row>
    <row r="27650" spans="1:1">
      <c r="A27650" s="56"/>
    </row>
    <row r="27651" spans="1:1">
      <c r="A27651" s="56"/>
    </row>
    <row r="27652" spans="1:1">
      <c r="A27652" s="56"/>
    </row>
    <row r="27653" spans="1:1">
      <c r="A27653" s="56"/>
    </row>
    <row r="27654" spans="1:1">
      <c r="A27654" s="56"/>
    </row>
    <row r="27655" spans="1:1">
      <c r="A27655" s="56"/>
    </row>
    <row r="27656" spans="1:1">
      <c r="A27656" s="56"/>
    </row>
    <row r="27657" spans="1:1">
      <c r="A27657" s="56"/>
    </row>
    <row r="27658" spans="1:1">
      <c r="A27658" s="56"/>
    </row>
    <row r="27659" spans="1:1">
      <c r="A27659" s="56"/>
    </row>
    <row r="27660" spans="1:1">
      <c r="A27660" s="56"/>
    </row>
    <row r="27661" spans="1:1">
      <c r="A27661" s="56"/>
    </row>
    <row r="27662" spans="1:1">
      <c r="A27662" s="56"/>
    </row>
    <row r="27663" spans="1:1">
      <c r="A27663" s="56"/>
    </row>
    <row r="27664" spans="1:1">
      <c r="A27664" s="56"/>
    </row>
    <row r="27665" spans="1:1">
      <c r="A27665" s="56"/>
    </row>
    <row r="27666" spans="1:1">
      <c r="A27666" s="56"/>
    </row>
    <row r="27667" spans="1:1">
      <c r="A27667" s="56"/>
    </row>
    <row r="27668" spans="1:1">
      <c r="A27668" s="56"/>
    </row>
    <row r="27669" spans="1:1">
      <c r="A27669" s="56"/>
    </row>
    <row r="27670" spans="1:1">
      <c r="A27670" s="56"/>
    </row>
    <row r="27671" spans="1:1">
      <c r="A27671" s="56"/>
    </row>
    <row r="27672" spans="1:1">
      <c r="A27672" s="56"/>
    </row>
    <row r="27673" spans="1:1">
      <c r="A27673" s="56"/>
    </row>
    <row r="27674" spans="1:1">
      <c r="A27674" s="56"/>
    </row>
    <row r="27675" spans="1:1">
      <c r="A27675" s="56"/>
    </row>
    <row r="27676" spans="1:1">
      <c r="A27676" s="56"/>
    </row>
    <row r="27677" spans="1:1">
      <c r="A27677" s="56"/>
    </row>
    <row r="27678" spans="1:1">
      <c r="A27678" s="56"/>
    </row>
    <row r="27679" spans="1:1">
      <c r="A27679" s="56"/>
    </row>
    <row r="27680" spans="1:1">
      <c r="A27680" s="56"/>
    </row>
    <row r="27681" spans="1:1">
      <c r="A27681" s="56"/>
    </row>
    <row r="27682" spans="1:1">
      <c r="A27682" s="56"/>
    </row>
    <row r="27683" spans="1:1">
      <c r="A27683" s="56"/>
    </row>
    <row r="27684" spans="1:1">
      <c r="A27684" s="56"/>
    </row>
    <row r="27685" spans="1:1">
      <c r="A27685" s="56"/>
    </row>
    <row r="27686" spans="1:1">
      <c r="A27686" s="56"/>
    </row>
    <row r="27687" spans="1:1">
      <c r="A27687" s="56"/>
    </row>
    <row r="27688" spans="1:1">
      <c r="A27688" s="56"/>
    </row>
    <row r="27689" spans="1:1">
      <c r="A27689" s="56"/>
    </row>
    <row r="27690" spans="1:1">
      <c r="A27690" s="56"/>
    </row>
    <row r="27691" spans="1:1">
      <c r="A27691" s="56"/>
    </row>
    <row r="27692" spans="1:1">
      <c r="A27692" s="56"/>
    </row>
    <row r="27693" spans="1:1">
      <c r="A27693" s="56"/>
    </row>
    <row r="27694" spans="1:1">
      <c r="A27694" s="56"/>
    </row>
    <row r="27695" spans="1:1">
      <c r="A27695" s="56"/>
    </row>
    <row r="27696" spans="1:1">
      <c r="A27696" s="56"/>
    </row>
    <row r="27697" spans="1:1">
      <c r="A27697" s="56"/>
    </row>
    <row r="27698" spans="1:1">
      <c r="A27698" s="56"/>
    </row>
    <row r="27699" spans="1:1">
      <c r="A27699" s="56"/>
    </row>
    <row r="27700" spans="1:1">
      <c r="A27700" s="56"/>
    </row>
    <row r="27701" spans="1:1">
      <c r="A27701" s="56"/>
    </row>
    <row r="27702" spans="1:1">
      <c r="A27702" s="56"/>
    </row>
    <row r="27703" spans="1:1">
      <c r="A27703" s="56"/>
    </row>
    <row r="27704" spans="1:1">
      <c r="A27704" s="56"/>
    </row>
    <row r="27705" spans="1:1">
      <c r="A27705" s="56"/>
    </row>
    <row r="27706" spans="1:1">
      <c r="A27706" s="56"/>
    </row>
    <row r="27707" spans="1:1">
      <c r="A27707" s="56"/>
    </row>
    <row r="27708" spans="1:1">
      <c r="A27708" s="56"/>
    </row>
    <row r="27709" spans="1:1">
      <c r="A27709" s="56"/>
    </row>
    <row r="27710" spans="1:1">
      <c r="A27710" s="56"/>
    </row>
    <row r="27711" spans="1:1">
      <c r="A27711" s="56"/>
    </row>
    <row r="27712" spans="1:1">
      <c r="A27712" s="56"/>
    </row>
    <row r="27713" spans="1:1">
      <c r="A27713" s="56"/>
    </row>
    <row r="27714" spans="1:1">
      <c r="A27714" s="56"/>
    </row>
    <row r="27715" spans="1:1">
      <c r="A27715" s="56"/>
    </row>
    <row r="27716" spans="1:1">
      <c r="A27716" s="56"/>
    </row>
    <row r="27717" spans="1:1">
      <c r="A27717" s="56"/>
    </row>
    <row r="27718" spans="1:1">
      <c r="A27718" s="56"/>
    </row>
    <row r="27719" spans="1:1">
      <c r="A27719" s="56"/>
    </row>
    <row r="27720" spans="1:1">
      <c r="A27720" s="56"/>
    </row>
    <row r="27721" spans="1:1">
      <c r="A27721" s="56"/>
    </row>
    <row r="27722" spans="1:1">
      <c r="A27722" s="56"/>
    </row>
    <row r="27723" spans="1:1">
      <c r="A27723" s="56"/>
    </row>
    <row r="27724" spans="1:1">
      <c r="A27724" s="56"/>
    </row>
    <row r="27725" spans="1:1">
      <c r="A27725" s="56"/>
    </row>
    <row r="27726" spans="1:1">
      <c r="A27726" s="56"/>
    </row>
    <row r="27727" spans="1:1">
      <c r="A27727" s="56"/>
    </row>
    <row r="27728" spans="1:1">
      <c r="A27728" s="56"/>
    </row>
    <row r="27729" spans="1:1">
      <c r="A27729" s="56"/>
    </row>
    <row r="27730" spans="1:1">
      <c r="A27730" s="56"/>
    </row>
    <row r="27731" spans="1:1">
      <c r="A27731" s="56"/>
    </row>
    <row r="27732" spans="1:1">
      <c r="A27732" s="56"/>
    </row>
    <row r="27733" spans="1:1">
      <c r="A27733" s="56"/>
    </row>
    <row r="27734" spans="1:1">
      <c r="A27734" s="56"/>
    </row>
    <row r="27735" spans="1:1">
      <c r="A27735" s="56"/>
    </row>
    <row r="27736" spans="1:1">
      <c r="A27736" s="56"/>
    </row>
    <row r="27737" spans="1:1">
      <c r="A27737" s="56"/>
    </row>
    <row r="27738" spans="1:1">
      <c r="A27738" s="56"/>
    </row>
    <row r="27739" spans="1:1">
      <c r="A27739" s="56"/>
    </row>
    <row r="27740" spans="1:1">
      <c r="A27740" s="56"/>
    </row>
    <row r="27741" spans="1:1">
      <c r="A27741" s="56"/>
    </row>
    <row r="27742" spans="1:1">
      <c r="A27742" s="56"/>
    </row>
    <row r="27743" spans="1:1">
      <c r="A27743" s="56"/>
    </row>
    <row r="27744" spans="1:1">
      <c r="A27744" s="56"/>
    </row>
    <row r="27745" spans="1:1">
      <c r="A27745" s="56"/>
    </row>
    <row r="27746" spans="1:1">
      <c r="A27746" s="56"/>
    </row>
    <row r="27747" spans="1:1">
      <c r="A27747" s="56"/>
    </row>
    <row r="27748" spans="1:1">
      <c r="A27748" s="56"/>
    </row>
    <row r="27749" spans="1:1">
      <c r="A27749" s="56"/>
    </row>
    <row r="27750" spans="1:1">
      <c r="A27750" s="56"/>
    </row>
    <row r="27751" spans="1:1">
      <c r="A27751" s="56"/>
    </row>
    <row r="27752" spans="1:1">
      <c r="A27752" s="56"/>
    </row>
    <row r="27753" spans="1:1">
      <c r="A27753" s="56"/>
    </row>
    <row r="27754" spans="1:1">
      <c r="A27754" s="56"/>
    </row>
    <row r="27755" spans="1:1">
      <c r="A27755" s="56"/>
    </row>
    <row r="27756" spans="1:1">
      <c r="A27756" s="56"/>
    </row>
    <row r="27757" spans="1:1">
      <c r="A27757" s="56"/>
    </row>
    <row r="27758" spans="1:1">
      <c r="A27758" s="56"/>
    </row>
    <row r="27759" spans="1:1">
      <c r="A27759" s="56"/>
    </row>
    <row r="27760" spans="1:1">
      <c r="A27760" s="56"/>
    </row>
    <row r="27761" spans="1:1">
      <c r="A27761" s="56"/>
    </row>
    <row r="27762" spans="1:1">
      <c r="A27762" s="56"/>
    </row>
    <row r="27763" spans="1:1">
      <c r="A27763" s="56"/>
    </row>
    <row r="27764" spans="1:1">
      <c r="A27764" s="56"/>
    </row>
    <row r="27765" spans="1:1">
      <c r="A27765" s="56"/>
    </row>
    <row r="27766" spans="1:1">
      <c r="A27766" s="56"/>
    </row>
    <row r="27767" spans="1:1">
      <c r="A27767" s="56"/>
    </row>
    <row r="27768" spans="1:1">
      <c r="A27768" s="56"/>
    </row>
    <row r="27769" spans="1:1">
      <c r="A27769" s="56"/>
    </row>
    <row r="27770" spans="1:1">
      <c r="A27770" s="56"/>
    </row>
    <row r="27771" spans="1:1">
      <c r="A27771" s="56"/>
    </row>
    <row r="27772" spans="1:1">
      <c r="A27772" s="56"/>
    </row>
    <row r="27773" spans="1:1">
      <c r="A27773" s="56"/>
    </row>
    <row r="27774" spans="1:1">
      <c r="A27774" s="56"/>
    </row>
    <row r="27775" spans="1:1">
      <c r="A27775" s="56"/>
    </row>
    <row r="27776" spans="1:1">
      <c r="A27776" s="56"/>
    </row>
    <row r="27777" spans="1:1">
      <c r="A27777" s="56"/>
    </row>
    <row r="27778" spans="1:1">
      <c r="A27778" s="56"/>
    </row>
    <row r="27779" spans="1:1">
      <c r="A27779" s="56"/>
    </row>
    <row r="27780" spans="1:1">
      <c r="A27780" s="56"/>
    </row>
    <row r="27781" spans="1:1">
      <c r="A27781" s="56"/>
    </row>
    <row r="27782" spans="1:1">
      <c r="A27782" s="56"/>
    </row>
    <row r="27783" spans="1:1">
      <c r="A27783" s="56"/>
    </row>
    <row r="27784" spans="1:1">
      <c r="A27784" s="56"/>
    </row>
    <row r="27785" spans="1:1">
      <c r="A27785" s="56"/>
    </row>
    <row r="27786" spans="1:1">
      <c r="A27786" s="56"/>
    </row>
    <row r="27787" spans="1:1">
      <c r="A27787" s="56"/>
    </row>
    <row r="27788" spans="1:1">
      <c r="A27788" s="56"/>
    </row>
    <row r="27789" spans="1:1">
      <c r="A27789" s="56"/>
    </row>
    <row r="27790" spans="1:1">
      <c r="A27790" s="56"/>
    </row>
    <row r="27791" spans="1:1">
      <c r="A27791" s="56"/>
    </row>
    <row r="27792" spans="1:1">
      <c r="A27792" s="56"/>
    </row>
    <row r="27793" spans="1:1">
      <c r="A27793" s="56"/>
    </row>
    <row r="27794" spans="1:1">
      <c r="A27794" s="56"/>
    </row>
    <row r="27795" spans="1:1">
      <c r="A27795" s="56"/>
    </row>
    <row r="27796" spans="1:1">
      <c r="A27796" s="56"/>
    </row>
    <row r="27797" spans="1:1">
      <c r="A27797" s="56"/>
    </row>
    <row r="27798" spans="1:1">
      <c r="A27798" s="56"/>
    </row>
    <row r="27799" spans="1:1">
      <c r="A27799" s="56"/>
    </row>
    <row r="27800" spans="1:1">
      <c r="A27800" s="56"/>
    </row>
    <row r="27801" spans="1:1">
      <c r="A27801" s="56"/>
    </row>
    <row r="27802" spans="1:1">
      <c r="A27802" s="56"/>
    </row>
    <row r="27803" spans="1:1">
      <c r="A27803" s="56"/>
    </row>
    <row r="27804" spans="1:1">
      <c r="A27804" s="56"/>
    </row>
    <row r="27805" spans="1:1">
      <c r="A27805" s="56"/>
    </row>
    <row r="27806" spans="1:1">
      <c r="A27806" s="56"/>
    </row>
    <row r="27807" spans="1:1">
      <c r="A27807" s="56"/>
    </row>
    <row r="27808" spans="1:1">
      <c r="A27808" s="56"/>
    </row>
    <row r="27809" spans="1:1">
      <c r="A27809" s="56"/>
    </row>
    <row r="27810" spans="1:1">
      <c r="A27810" s="56"/>
    </row>
    <row r="27811" spans="1:1">
      <c r="A27811" s="56"/>
    </row>
    <row r="27812" spans="1:1">
      <c r="A27812" s="56"/>
    </row>
    <row r="27813" spans="1:1">
      <c r="A27813" s="56"/>
    </row>
    <row r="27814" spans="1:1">
      <c r="A27814" s="56"/>
    </row>
    <row r="27815" spans="1:1">
      <c r="A27815" s="56"/>
    </row>
    <row r="27816" spans="1:1">
      <c r="A27816" s="56"/>
    </row>
    <row r="27817" spans="1:1">
      <c r="A27817" s="56"/>
    </row>
    <row r="27818" spans="1:1">
      <c r="A27818" s="56"/>
    </row>
    <row r="27819" spans="1:1">
      <c r="A27819" s="56"/>
    </row>
    <row r="27820" spans="1:1">
      <c r="A27820" s="56"/>
    </row>
    <row r="27821" spans="1:1">
      <c r="A27821" s="56"/>
    </row>
    <row r="27822" spans="1:1">
      <c r="A27822" s="56"/>
    </row>
    <row r="27823" spans="1:1">
      <c r="A27823" s="56"/>
    </row>
    <row r="27824" spans="1:1">
      <c r="A27824" s="56"/>
    </row>
    <row r="27825" spans="1:1">
      <c r="A27825" s="56"/>
    </row>
    <row r="27826" spans="1:1">
      <c r="A27826" s="56"/>
    </row>
    <row r="27827" spans="1:1">
      <c r="A27827" s="56"/>
    </row>
    <row r="27828" spans="1:1">
      <c r="A27828" s="56"/>
    </row>
    <row r="27829" spans="1:1">
      <c r="A27829" s="56"/>
    </row>
    <row r="27830" spans="1:1">
      <c r="A27830" s="56"/>
    </row>
    <row r="27831" spans="1:1">
      <c r="A27831" s="56"/>
    </row>
    <row r="27832" spans="1:1">
      <c r="A27832" s="56"/>
    </row>
    <row r="27833" spans="1:1">
      <c r="A27833" s="56"/>
    </row>
    <row r="27834" spans="1:1">
      <c r="A27834" s="56"/>
    </row>
    <row r="27835" spans="1:1">
      <c r="A27835" s="56"/>
    </row>
    <row r="27836" spans="1:1">
      <c r="A27836" s="56"/>
    </row>
    <row r="27837" spans="1:1">
      <c r="A27837" s="56"/>
    </row>
    <row r="27838" spans="1:1">
      <c r="A27838" s="56"/>
    </row>
    <row r="27839" spans="1:1">
      <c r="A27839" s="56"/>
    </row>
    <row r="27840" spans="1:1">
      <c r="A27840" s="56"/>
    </row>
    <row r="27841" spans="1:1">
      <c r="A27841" s="56"/>
    </row>
    <row r="27842" spans="1:1">
      <c r="A27842" s="56"/>
    </row>
    <row r="27843" spans="1:1">
      <c r="A27843" s="56"/>
    </row>
    <row r="27844" spans="1:1">
      <c r="A27844" s="56"/>
    </row>
    <row r="27845" spans="1:1">
      <c r="A27845" s="56"/>
    </row>
    <row r="27846" spans="1:1">
      <c r="A27846" s="56"/>
    </row>
    <row r="27847" spans="1:1">
      <c r="A27847" s="56"/>
    </row>
    <row r="27848" spans="1:1">
      <c r="A27848" s="56"/>
    </row>
    <row r="27849" spans="1:1">
      <c r="A27849" s="56"/>
    </row>
    <row r="27850" spans="1:1">
      <c r="A27850" s="56"/>
    </row>
    <row r="27851" spans="1:1">
      <c r="A27851" s="56"/>
    </row>
    <row r="27852" spans="1:1">
      <c r="A27852" s="56"/>
    </row>
    <row r="27853" spans="1:1">
      <c r="A27853" s="56"/>
    </row>
    <row r="27854" spans="1:1">
      <c r="A27854" s="56"/>
    </row>
    <row r="27855" spans="1:1">
      <c r="A27855" s="56"/>
    </row>
    <row r="27856" spans="1:1">
      <c r="A27856" s="56"/>
    </row>
    <row r="27857" spans="1:1">
      <c r="A27857" s="56"/>
    </row>
    <row r="27858" spans="1:1">
      <c r="A27858" s="56"/>
    </row>
    <row r="27859" spans="1:1">
      <c r="A27859" s="56"/>
    </row>
    <row r="27860" spans="1:1">
      <c r="A27860" s="56"/>
    </row>
    <row r="27861" spans="1:1">
      <c r="A27861" s="56"/>
    </row>
    <row r="27862" spans="1:1">
      <c r="A27862" s="56"/>
    </row>
    <row r="27863" spans="1:1">
      <c r="A27863" s="56"/>
    </row>
    <row r="27864" spans="1:1">
      <c r="A27864" s="56"/>
    </row>
    <row r="27865" spans="1:1">
      <c r="A27865" s="56"/>
    </row>
    <row r="27866" spans="1:1">
      <c r="A27866" s="56"/>
    </row>
    <row r="27867" spans="1:1">
      <c r="A27867" s="56"/>
    </row>
    <row r="27868" spans="1:1">
      <c r="A27868" s="56"/>
    </row>
    <row r="27869" spans="1:1">
      <c r="A27869" s="56"/>
    </row>
    <row r="27870" spans="1:1">
      <c r="A27870" s="56"/>
    </row>
    <row r="27871" spans="1:1">
      <c r="A27871" s="56"/>
    </row>
    <row r="27872" spans="1:1">
      <c r="A27872" s="56"/>
    </row>
    <row r="27873" spans="1:1">
      <c r="A27873" s="56"/>
    </row>
    <row r="27874" spans="1:1">
      <c r="A27874" s="56"/>
    </row>
    <row r="27875" spans="1:1">
      <c r="A27875" s="56"/>
    </row>
    <row r="27876" spans="1:1">
      <c r="A27876" s="56"/>
    </row>
    <row r="27877" spans="1:1">
      <c r="A27877" s="56"/>
    </row>
    <row r="27878" spans="1:1">
      <c r="A27878" s="56"/>
    </row>
    <row r="27879" spans="1:1">
      <c r="A27879" s="56"/>
    </row>
    <row r="27880" spans="1:1">
      <c r="A27880" s="56"/>
    </row>
    <row r="27881" spans="1:1">
      <c r="A27881" s="56"/>
    </row>
    <row r="27882" spans="1:1">
      <c r="A27882" s="56"/>
    </row>
    <row r="27883" spans="1:1">
      <c r="A27883" s="56"/>
    </row>
    <row r="27884" spans="1:1">
      <c r="A27884" s="56"/>
    </row>
    <row r="27885" spans="1:1">
      <c r="A27885" s="56"/>
    </row>
    <row r="27886" spans="1:1">
      <c r="A27886" s="56"/>
    </row>
    <row r="27887" spans="1:1">
      <c r="A27887" s="56"/>
    </row>
    <row r="27888" spans="1:1">
      <c r="A27888" s="56"/>
    </row>
    <row r="27889" spans="1:1">
      <c r="A27889" s="56"/>
    </row>
    <row r="27890" spans="1:1">
      <c r="A27890" s="56"/>
    </row>
    <row r="27891" spans="1:1">
      <c r="A27891" s="56"/>
    </row>
    <row r="27892" spans="1:1">
      <c r="A27892" s="56"/>
    </row>
    <row r="27893" spans="1:1">
      <c r="A27893" s="56"/>
    </row>
    <row r="27894" spans="1:1">
      <c r="A27894" s="56"/>
    </row>
    <row r="27895" spans="1:1">
      <c r="A27895" s="56"/>
    </row>
    <row r="27896" spans="1:1">
      <c r="A27896" s="56"/>
    </row>
    <row r="27897" spans="1:1">
      <c r="A27897" s="56"/>
    </row>
    <row r="27898" spans="1:1">
      <c r="A27898" s="56"/>
    </row>
    <row r="27899" spans="1:1">
      <c r="A27899" s="56"/>
    </row>
    <row r="27900" spans="1:1">
      <c r="A27900" s="56"/>
    </row>
    <row r="27901" spans="1:1">
      <c r="A27901" s="56"/>
    </row>
    <row r="27902" spans="1:1">
      <c r="A27902" s="56"/>
    </row>
    <row r="27903" spans="1:1">
      <c r="A27903" s="56"/>
    </row>
    <row r="27904" spans="1:1">
      <c r="A27904" s="56"/>
    </row>
    <row r="27905" spans="1:1">
      <c r="A27905" s="56"/>
    </row>
    <row r="27906" spans="1:1">
      <c r="A27906" s="56"/>
    </row>
    <row r="27907" spans="1:1">
      <c r="A27907" s="56"/>
    </row>
    <row r="27908" spans="1:1">
      <c r="A27908" s="56"/>
    </row>
    <row r="27909" spans="1:1">
      <c r="A27909" s="56"/>
    </row>
    <row r="27910" spans="1:1">
      <c r="A27910" s="56"/>
    </row>
    <row r="27911" spans="1:1">
      <c r="A27911" s="56"/>
    </row>
    <row r="27912" spans="1:1">
      <c r="A27912" s="56"/>
    </row>
    <row r="27913" spans="1:1">
      <c r="A27913" s="56"/>
    </row>
    <row r="27914" spans="1:1">
      <c r="A27914" s="56"/>
    </row>
    <row r="27915" spans="1:1">
      <c r="A27915" s="56"/>
    </row>
    <row r="27916" spans="1:1">
      <c r="A27916" s="56"/>
    </row>
    <row r="27917" spans="1:1">
      <c r="A27917" s="56"/>
    </row>
    <row r="27918" spans="1:1">
      <c r="A27918" s="56"/>
    </row>
    <row r="27919" spans="1:1">
      <c r="A27919" s="56"/>
    </row>
    <row r="27920" spans="1:1">
      <c r="A27920" s="56"/>
    </row>
    <row r="27921" spans="1:1">
      <c r="A27921" s="56"/>
    </row>
    <row r="27922" spans="1:1">
      <c r="A27922" s="56"/>
    </row>
    <row r="27923" spans="1:1">
      <c r="A27923" s="56"/>
    </row>
    <row r="27924" spans="1:1">
      <c r="A27924" s="56"/>
    </row>
    <row r="27925" spans="1:1">
      <c r="A27925" s="56"/>
    </row>
    <row r="27926" spans="1:1">
      <c r="A27926" s="56"/>
    </row>
    <row r="27927" spans="1:1">
      <c r="A27927" s="56"/>
    </row>
    <row r="27928" spans="1:1">
      <c r="A27928" s="56"/>
    </row>
    <row r="27929" spans="1:1">
      <c r="A27929" s="56"/>
    </row>
    <row r="27930" spans="1:1">
      <c r="A27930" s="56"/>
    </row>
    <row r="27931" spans="1:1">
      <c r="A27931" s="56"/>
    </row>
    <row r="27932" spans="1:1">
      <c r="A27932" s="56"/>
    </row>
    <row r="27933" spans="1:1">
      <c r="A27933" s="56"/>
    </row>
    <row r="27934" spans="1:1">
      <c r="A27934" s="56"/>
    </row>
    <row r="27935" spans="1:1">
      <c r="A27935" s="56"/>
    </row>
    <row r="27936" spans="1:1">
      <c r="A27936" s="56"/>
    </row>
    <row r="27937" spans="1:1">
      <c r="A27937" s="56"/>
    </row>
    <row r="27938" spans="1:1">
      <c r="A27938" s="56"/>
    </row>
    <row r="27939" spans="1:1">
      <c r="A27939" s="56"/>
    </row>
    <row r="27940" spans="1:1">
      <c r="A27940" s="56"/>
    </row>
    <row r="27941" spans="1:1">
      <c r="A27941" s="56"/>
    </row>
    <row r="27942" spans="1:1">
      <c r="A27942" s="56"/>
    </row>
    <row r="27943" spans="1:1">
      <c r="A27943" s="56"/>
    </row>
    <row r="27944" spans="1:1">
      <c r="A27944" s="56"/>
    </row>
    <row r="27945" spans="1:1">
      <c r="A27945" s="56"/>
    </row>
    <row r="27946" spans="1:1">
      <c r="A27946" s="56"/>
    </row>
    <row r="27947" spans="1:1">
      <c r="A27947" s="56"/>
    </row>
    <row r="27948" spans="1:1">
      <c r="A27948" s="56"/>
    </row>
    <row r="27949" spans="1:1">
      <c r="A27949" s="56"/>
    </row>
    <row r="27950" spans="1:1">
      <c r="A27950" s="56"/>
    </row>
    <row r="27951" spans="1:1">
      <c r="A27951" s="56"/>
    </row>
    <row r="27952" spans="1:1">
      <c r="A27952" s="56"/>
    </row>
    <row r="27953" spans="1:1">
      <c r="A27953" s="56"/>
    </row>
    <row r="27954" spans="1:1">
      <c r="A27954" s="56"/>
    </row>
    <row r="27955" spans="1:1">
      <c r="A27955" s="56"/>
    </row>
    <row r="27956" spans="1:1">
      <c r="A27956" s="56"/>
    </row>
    <row r="27957" spans="1:1">
      <c r="A27957" s="56"/>
    </row>
    <row r="27958" spans="1:1">
      <c r="A27958" s="56"/>
    </row>
    <row r="27959" spans="1:1">
      <c r="A27959" s="56"/>
    </row>
    <row r="27960" spans="1:1">
      <c r="A27960" s="56"/>
    </row>
    <row r="27961" spans="1:1">
      <c r="A27961" s="56"/>
    </row>
    <row r="27962" spans="1:1">
      <c r="A27962" s="56"/>
    </row>
    <row r="27963" spans="1:1">
      <c r="A27963" s="56"/>
    </row>
    <row r="27964" spans="1:1">
      <c r="A27964" s="56"/>
    </row>
    <row r="27965" spans="1:1">
      <c r="A27965" s="56"/>
    </row>
    <row r="27966" spans="1:1">
      <c r="A27966" s="56"/>
    </row>
    <row r="27967" spans="1:1">
      <c r="A27967" s="56"/>
    </row>
    <row r="27968" spans="1:1">
      <c r="A27968" s="56"/>
    </row>
    <row r="27969" spans="1:1">
      <c r="A27969" s="56"/>
    </row>
    <row r="27970" spans="1:1">
      <c r="A27970" s="56"/>
    </row>
    <row r="27971" spans="1:1">
      <c r="A27971" s="56"/>
    </row>
    <row r="27972" spans="1:1">
      <c r="A27972" s="56"/>
    </row>
    <row r="27973" spans="1:1">
      <c r="A27973" s="56"/>
    </row>
    <row r="27974" spans="1:1">
      <c r="A27974" s="56"/>
    </row>
    <row r="27975" spans="1:1">
      <c r="A27975" s="56"/>
    </row>
    <row r="27976" spans="1:1">
      <c r="A27976" s="56"/>
    </row>
    <row r="27977" spans="1:1">
      <c r="A27977" s="56"/>
    </row>
    <row r="27978" spans="1:1">
      <c r="A27978" s="56"/>
    </row>
    <row r="27979" spans="1:1">
      <c r="A27979" s="56"/>
    </row>
    <row r="27980" spans="1:1">
      <c r="A27980" s="56"/>
    </row>
    <row r="27981" spans="1:1">
      <c r="A27981" s="56"/>
    </row>
    <row r="27982" spans="1:1">
      <c r="A27982" s="56"/>
    </row>
    <row r="27983" spans="1:1">
      <c r="A27983" s="56"/>
    </row>
    <row r="27984" spans="1:1">
      <c r="A27984" s="56"/>
    </row>
    <row r="27985" spans="1:1">
      <c r="A27985" s="56"/>
    </row>
    <row r="27986" spans="1:1">
      <c r="A27986" s="56"/>
    </row>
    <row r="27987" spans="1:1">
      <c r="A27987" s="56"/>
    </row>
    <row r="27988" spans="1:1">
      <c r="A27988" s="56"/>
    </row>
    <row r="27989" spans="1:1">
      <c r="A27989" s="56"/>
    </row>
    <row r="27990" spans="1:1">
      <c r="A27990" s="56"/>
    </row>
    <row r="27991" spans="1:1">
      <c r="A27991" s="56"/>
    </row>
    <row r="27992" spans="1:1">
      <c r="A27992" s="56"/>
    </row>
    <row r="27993" spans="1:1">
      <c r="A27993" s="56"/>
    </row>
    <row r="27994" spans="1:1">
      <c r="A27994" s="56"/>
    </row>
    <row r="27995" spans="1:1">
      <c r="A27995" s="56"/>
    </row>
    <row r="27996" spans="1:1">
      <c r="A27996" s="56"/>
    </row>
    <row r="27997" spans="1:1">
      <c r="A27997" s="56"/>
    </row>
    <row r="27998" spans="1:1">
      <c r="A27998" s="56"/>
    </row>
    <row r="27999" spans="1:1">
      <c r="A27999" s="56"/>
    </row>
    <row r="28000" spans="1:1">
      <c r="A28000" s="56"/>
    </row>
    <row r="28001" spans="1:1">
      <c r="A28001" s="56"/>
    </row>
    <row r="28002" spans="1:1">
      <c r="A28002" s="56"/>
    </row>
    <row r="28003" spans="1:1">
      <c r="A28003" s="56"/>
    </row>
    <row r="28004" spans="1:1">
      <c r="A28004" s="56"/>
    </row>
    <row r="28005" spans="1:1">
      <c r="A28005" s="56"/>
    </row>
    <row r="28006" spans="1:1">
      <c r="A28006" s="56"/>
    </row>
    <row r="28007" spans="1:1">
      <c r="A28007" s="56"/>
    </row>
    <row r="28008" spans="1:1">
      <c r="A28008" s="56"/>
    </row>
    <row r="28009" spans="1:1">
      <c r="A28009" s="56"/>
    </row>
    <row r="28010" spans="1:1">
      <c r="A28010" s="56"/>
    </row>
    <row r="28011" spans="1:1">
      <c r="A28011" s="56"/>
    </row>
    <row r="28012" spans="1:1">
      <c r="A28012" s="56"/>
    </row>
    <row r="28013" spans="1:1">
      <c r="A28013" s="56"/>
    </row>
    <row r="28014" spans="1:1">
      <c r="A28014" s="56"/>
    </row>
    <row r="28015" spans="1:1">
      <c r="A28015" s="56"/>
    </row>
    <row r="28016" spans="1:1">
      <c r="A28016" s="56"/>
    </row>
    <row r="28017" spans="1:1">
      <c r="A28017" s="56"/>
    </row>
    <row r="28018" spans="1:1">
      <c r="A28018" s="56"/>
    </row>
    <row r="28019" spans="1:1">
      <c r="A28019" s="56"/>
    </row>
    <row r="28020" spans="1:1">
      <c r="A28020" s="56"/>
    </row>
    <row r="28021" spans="1:1">
      <c r="A28021" s="56"/>
    </row>
    <row r="28022" spans="1:1">
      <c r="A28022" s="56"/>
    </row>
    <row r="28023" spans="1:1">
      <c r="A28023" s="56"/>
    </row>
    <row r="28024" spans="1:1">
      <c r="A28024" s="56"/>
    </row>
    <row r="28025" spans="1:1">
      <c r="A28025" s="56"/>
    </row>
    <row r="28026" spans="1:1">
      <c r="A28026" s="56"/>
    </row>
    <row r="28027" spans="1:1">
      <c r="A28027" s="56"/>
    </row>
    <row r="28028" spans="1:1">
      <c r="A28028" s="56"/>
    </row>
    <row r="28029" spans="1:1">
      <c r="A28029" s="56"/>
    </row>
    <row r="28030" spans="1:1">
      <c r="A28030" s="56"/>
    </row>
    <row r="28031" spans="1:1">
      <c r="A28031" s="56"/>
    </row>
    <row r="28032" spans="1:1">
      <c r="A28032" s="56"/>
    </row>
    <row r="28033" spans="1:1">
      <c r="A28033" s="56"/>
    </row>
    <row r="28034" spans="1:1">
      <c r="A28034" s="56"/>
    </row>
    <row r="28035" spans="1:1">
      <c r="A28035" s="56"/>
    </row>
    <row r="28036" spans="1:1">
      <c r="A28036" s="56"/>
    </row>
    <row r="28037" spans="1:1">
      <c r="A28037" s="56"/>
    </row>
    <row r="28038" spans="1:1">
      <c r="A28038" s="56"/>
    </row>
    <row r="28039" spans="1:1">
      <c r="A28039" s="56"/>
    </row>
    <row r="28040" spans="1:1">
      <c r="A28040" s="56"/>
    </row>
    <row r="28041" spans="1:1">
      <c r="A28041" s="56"/>
    </row>
    <row r="28042" spans="1:1">
      <c r="A28042" s="56"/>
    </row>
    <row r="28043" spans="1:1">
      <c r="A28043" s="56"/>
    </row>
    <row r="28044" spans="1:1">
      <c r="A28044" s="56"/>
    </row>
    <row r="28045" spans="1:1">
      <c r="A28045" s="56"/>
    </row>
    <row r="28046" spans="1:1">
      <c r="A28046" s="56"/>
    </row>
    <row r="28047" spans="1:1">
      <c r="A28047" s="56"/>
    </row>
    <row r="28048" spans="1:1">
      <c r="A28048" s="56"/>
    </row>
    <row r="28049" spans="1:1">
      <c r="A28049" s="56"/>
    </row>
    <row r="28050" spans="1:1">
      <c r="A28050" s="56"/>
    </row>
    <row r="28051" spans="1:1">
      <c r="A28051" s="56"/>
    </row>
    <row r="28052" spans="1:1">
      <c r="A28052" s="56"/>
    </row>
    <row r="28053" spans="1:1">
      <c r="A28053" s="56"/>
    </row>
    <row r="28054" spans="1:1">
      <c r="A28054" s="56"/>
    </row>
    <row r="28055" spans="1:1">
      <c r="A28055" s="56"/>
    </row>
    <row r="28056" spans="1:1">
      <c r="A28056" s="56"/>
    </row>
    <row r="28057" spans="1:1">
      <c r="A28057" s="56"/>
    </row>
    <row r="28058" spans="1:1">
      <c r="A28058" s="56"/>
    </row>
    <row r="28059" spans="1:1">
      <c r="A28059" s="56"/>
    </row>
    <row r="28060" spans="1:1">
      <c r="A28060" s="56"/>
    </row>
    <row r="28061" spans="1:1">
      <c r="A28061" s="56"/>
    </row>
    <row r="28062" spans="1:1">
      <c r="A28062" s="56"/>
    </row>
    <row r="28063" spans="1:1">
      <c r="A28063" s="56"/>
    </row>
    <row r="28064" spans="1:1">
      <c r="A28064" s="56"/>
    </row>
    <row r="28065" spans="1:1">
      <c r="A28065" s="56"/>
    </row>
    <row r="28066" spans="1:1">
      <c r="A28066" s="56"/>
    </row>
    <row r="28067" spans="1:1">
      <c r="A28067" s="56"/>
    </row>
    <row r="28068" spans="1:1">
      <c r="A28068" s="56"/>
    </row>
    <row r="28069" spans="1:1">
      <c r="A28069" s="56"/>
    </row>
    <row r="28070" spans="1:1">
      <c r="A28070" s="56"/>
    </row>
    <row r="28071" spans="1:1">
      <c r="A28071" s="56"/>
    </row>
    <row r="28072" spans="1:1">
      <c r="A28072" s="56"/>
    </row>
    <row r="28073" spans="1:1">
      <c r="A28073" s="56"/>
    </row>
    <row r="28074" spans="1:1">
      <c r="A28074" s="56"/>
    </row>
    <row r="28075" spans="1:1">
      <c r="A28075" s="56"/>
    </row>
    <row r="28076" spans="1:1">
      <c r="A28076" s="56"/>
    </row>
    <row r="28077" spans="1:1">
      <c r="A28077" s="56"/>
    </row>
    <row r="28078" spans="1:1">
      <c r="A28078" s="56"/>
    </row>
    <row r="28079" spans="1:1">
      <c r="A28079" s="56"/>
    </row>
    <row r="28080" spans="1:1">
      <c r="A28080" s="56"/>
    </row>
    <row r="28081" spans="1:1">
      <c r="A28081" s="56"/>
    </row>
    <row r="28082" spans="1:1">
      <c r="A28082" s="56"/>
    </row>
    <row r="28083" spans="1:1">
      <c r="A28083" s="56"/>
    </row>
    <row r="28084" spans="1:1">
      <c r="A28084" s="56"/>
    </row>
    <row r="28085" spans="1:1">
      <c r="A28085" s="56"/>
    </row>
    <row r="28086" spans="1:1">
      <c r="A28086" s="56"/>
    </row>
    <row r="28087" spans="1:1">
      <c r="A28087" s="56"/>
    </row>
    <row r="28088" spans="1:1">
      <c r="A28088" s="56"/>
    </row>
    <row r="28089" spans="1:1">
      <c r="A28089" s="56"/>
    </row>
    <row r="28090" spans="1:1">
      <c r="A28090" s="56"/>
    </row>
    <row r="28091" spans="1:1">
      <c r="A28091" s="56"/>
    </row>
    <row r="28092" spans="1:1">
      <c r="A28092" s="56"/>
    </row>
    <row r="28093" spans="1:1">
      <c r="A28093" s="56"/>
    </row>
    <row r="28094" spans="1:1">
      <c r="A28094" s="56"/>
    </row>
    <row r="28095" spans="1:1">
      <c r="A28095" s="56"/>
    </row>
    <row r="28096" spans="1:1">
      <c r="A28096" s="56"/>
    </row>
    <row r="28097" spans="1:1">
      <c r="A28097" s="56"/>
    </row>
    <row r="28098" spans="1:1">
      <c r="A28098" s="56"/>
    </row>
    <row r="28099" spans="1:1">
      <c r="A28099" s="56"/>
    </row>
    <row r="28100" spans="1:1">
      <c r="A28100" s="56"/>
    </row>
    <row r="28101" spans="1:1">
      <c r="A28101" s="56"/>
    </row>
    <row r="28102" spans="1:1">
      <c r="A28102" s="56"/>
    </row>
    <row r="28103" spans="1:1">
      <c r="A28103" s="56"/>
    </row>
    <row r="28104" spans="1:1">
      <c r="A28104" s="56"/>
    </row>
    <row r="28105" spans="1:1">
      <c r="A28105" s="56"/>
    </row>
    <row r="28106" spans="1:1">
      <c r="A28106" s="56"/>
    </row>
    <row r="28107" spans="1:1">
      <c r="A28107" s="56"/>
    </row>
    <row r="28108" spans="1:1">
      <c r="A28108" s="56"/>
    </row>
    <row r="28109" spans="1:1">
      <c r="A28109" s="56"/>
    </row>
    <row r="28110" spans="1:1">
      <c r="A28110" s="56"/>
    </row>
    <row r="28111" spans="1:1">
      <c r="A28111" s="56"/>
    </row>
    <row r="28112" spans="1:1">
      <c r="A28112" s="56"/>
    </row>
    <row r="28113" spans="1:1">
      <c r="A28113" s="56"/>
    </row>
    <row r="28114" spans="1:1">
      <c r="A28114" s="56"/>
    </row>
    <row r="28115" spans="1:1">
      <c r="A28115" s="56"/>
    </row>
    <row r="28116" spans="1:1">
      <c r="A28116" s="56"/>
    </row>
    <row r="28117" spans="1:1">
      <c r="A28117" s="56"/>
    </row>
    <row r="28118" spans="1:1">
      <c r="A28118" s="56"/>
    </row>
    <row r="28119" spans="1:1">
      <c r="A28119" s="56"/>
    </row>
    <row r="28120" spans="1:1">
      <c r="A28120" s="56"/>
    </row>
    <row r="28121" spans="1:1">
      <c r="A28121" s="56"/>
    </row>
    <row r="28122" spans="1:1">
      <c r="A28122" s="56"/>
    </row>
    <row r="28123" spans="1:1">
      <c r="A28123" s="56"/>
    </row>
    <row r="28124" spans="1:1">
      <c r="A28124" s="56"/>
    </row>
    <row r="28125" spans="1:1">
      <c r="A28125" s="56"/>
    </row>
    <row r="28126" spans="1:1">
      <c r="A28126" s="56"/>
    </row>
    <row r="28127" spans="1:1">
      <c r="A28127" s="56"/>
    </row>
    <row r="28128" spans="1:1">
      <c r="A28128" s="56"/>
    </row>
    <row r="28129" spans="1:1">
      <c r="A28129" s="56"/>
    </row>
    <row r="28130" spans="1:1">
      <c r="A28130" s="56"/>
    </row>
    <row r="28131" spans="1:1">
      <c r="A28131" s="56"/>
    </row>
    <row r="28132" spans="1:1">
      <c r="A28132" s="56"/>
    </row>
    <row r="28133" spans="1:1">
      <c r="A28133" s="56"/>
    </row>
    <row r="28134" spans="1:1">
      <c r="A28134" s="56"/>
    </row>
    <row r="28135" spans="1:1">
      <c r="A28135" s="56"/>
    </row>
    <row r="28136" spans="1:1">
      <c r="A28136" s="56"/>
    </row>
    <row r="28137" spans="1:1">
      <c r="A28137" s="56"/>
    </row>
    <row r="28138" spans="1:1">
      <c r="A28138" s="56"/>
    </row>
    <row r="28139" spans="1:1">
      <c r="A28139" s="56"/>
    </row>
    <row r="28140" spans="1:1">
      <c r="A28140" s="56"/>
    </row>
    <row r="28141" spans="1:1">
      <c r="A28141" s="56"/>
    </row>
    <row r="28142" spans="1:1">
      <c r="A28142" s="56"/>
    </row>
    <row r="28143" spans="1:1">
      <c r="A28143" s="56"/>
    </row>
    <row r="28144" spans="1:1">
      <c r="A28144" s="56"/>
    </row>
    <row r="28145" spans="1:1">
      <c r="A28145" s="56"/>
    </row>
    <row r="28146" spans="1:1">
      <c r="A28146" s="56"/>
    </row>
    <row r="28147" spans="1:1">
      <c r="A28147" s="56"/>
    </row>
    <row r="28148" spans="1:1">
      <c r="A28148" s="56"/>
    </row>
    <row r="28149" spans="1:1">
      <c r="A28149" s="56"/>
    </row>
    <row r="28150" spans="1:1">
      <c r="A28150" s="56"/>
    </row>
    <row r="28151" spans="1:1">
      <c r="A28151" s="56"/>
    </row>
    <row r="28152" spans="1:1">
      <c r="A28152" s="56"/>
    </row>
    <row r="28153" spans="1:1">
      <c r="A28153" s="56"/>
    </row>
    <row r="28154" spans="1:1">
      <c r="A28154" s="56"/>
    </row>
    <row r="28155" spans="1:1">
      <c r="A28155" s="56"/>
    </row>
    <row r="28156" spans="1:1">
      <c r="A28156" s="56"/>
    </row>
    <row r="28157" spans="1:1">
      <c r="A28157" s="56"/>
    </row>
    <row r="28158" spans="1:1">
      <c r="A28158" s="56"/>
    </row>
    <row r="28159" spans="1:1">
      <c r="A28159" s="56"/>
    </row>
    <row r="28160" spans="1:1">
      <c r="A28160" s="56"/>
    </row>
    <row r="28161" spans="1:1">
      <c r="A28161" s="56"/>
    </row>
    <row r="28162" spans="1:1">
      <c r="A28162" s="56"/>
    </row>
    <row r="28163" spans="1:1">
      <c r="A28163" s="56"/>
    </row>
    <row r="28164" spans="1:1">
      <c r="A28164" s="56"/>
    </row>
    <row r="28165" spans="1:1">
      <c r="A28165" s="56"/>
    </row>
    <row r="28166" spans="1:1">
      <c r="A28166" s="56"/>
    </row>
    <row r="28167" spans="1:1">
      <c r="A28167" s="56"/>
    </row>
    <row r="28168" spans="1:1">
      <c r="A28168" s="56"/>
    </row>
    <row r="28169" spans="1:1">
      <c r="A28169" s="56"/>
    </row>
    <row r="28170" spans="1:1">
      <c r="A28170" s="56"/>
    </row>
    <row r="28171" spans="1:1">
      <c r="A28171" s="56"/>
    </row>
    <row r="28172" spans="1:1">
      <c r="A28172" s="56"/>
    </row>
    <row r="28173" spans="1:1">
      <c r="A28173" s="56"/>
    </row>
    <row r="28174" spans="1:1">
      <c r="A28174" s="56"/>
    </row>
    <row r="28175" spans="1:1">
      <c r="A28175" s="56"/>
    </row>
    <row r="28176" spans="1:1">
      <c r="A28176" s="56"/>
    </row>
    <row r="28177" spans="1:1">
      <c r="A28177" s="56"/>
    </row>
    <row r="28178" spans="1:1">
      <c r="A28178" s="56"/>
    </row>
    <row r="28179" spans="1:1">
      <c r="A28179" s="56"/>
    </row>
    <row r="28180" spans="1:1">
      <c r="A28180" s="56"/>
    </row>
    <row r="28181" spans="1:1">
      <c r="A28181" s="56"/>
    </row>
    <row r="28182" spans="1:1">
      <c r="A28182" s="56"/>
    </row>
    <row r="28183" spans="1:1">
      <c r="A28183" s="56"/>
    </row>
    <row r="28184" spans="1:1">
      <c r="A28184" s="56"/>
    </row>
    <row r="28185" spans="1:1">
      <c r="A28185" s="56"/>
    </row>
    <row r="28186" spans="1:1">
      <c r="A28186" s="56"/>
    </row>
    <row r="28187" spans="1:1">
      <c r="A28187" s="56"/>
    </row>
    <row r="28188" spans="1:1">
      <c r="A28188" s="56"/>
    </row>
    <row r="28189" spans="1:1">
      <c r="A28189" s="56"/>
    </row>
    <row r="28190" spans="1:1">
      <c r="A28190" s="56"/>
    </row>
    <row r="28191" spans="1:1">
      <c r="A28191" s="56"/>
    </row>
    <row r="28192" spans="1:1">
      <c r="A28192" s="56"/>
    </row>
    <row r="28193" spans="1:1">
      <c r="A28193" s="56"/>
    </row>
    <row r="28194" spans="1:1">
      <c r="A28194" s="56"/>
    </row>
    <row r="28195" spans="1:1">
      <c r="A28195" s="56"/>
    </row>
    <row r="28196" spans="1:1">
      <c r="A28196" s="56"/>
    </row>
    <row r="28197" spans="1:1">
      <c r="A28197" s="56"/>
    </row>
    <row r="28198" spans="1:1">
      <c r="A28198" s="56"/>
    </row>
    <row r="28199" spans="1:1">
      <c r="A28199" s="56"/>
    </row>
    <row r="28200" spans="1:1">
      <c r="A28200" s="56"/>
    </row>
    <row r="28201" spans="1:1">
      <c r="A28201" s="56"/>
    </row>
    <row r="28202" spans="1:1">
      <c r="A28202" s="56"/>
    </row>
    <row r="28203" spans="1:1">
      <c r="A28203" s="56"/>
    </row>
    <row r="28204" spans="1:1">
      <c r="A28204" s="56"/>
    </row>
    <row r="28205" spans="1:1">
      <c r="A28205" s="56"/>
    </row>
    <row r="28206" spans="1:1">
      <c r="A28206" s="56"/>
    </row>
    <row r="28207" spans="1:1">
      <c r="A28207" s="56"/>
    </row>
    <row r="28208" spans="1:1">
      <c r="A28208" s="56"/>
    </row>
    <row r="28209" spans="1:1">
      <c r="A28209" s="56"/>
    </row>
    <row r="28210" spans="1:1">
      <c r="A28210" s="56"/>
    </row>
    <row r="28211" spans="1:1">
      <c r="A28211" s="56"/>
    </row>
    <row r="28212" spans="1:1">
      <c r="A28212" s="56"/>
    </row>
    <row r="28213" spans="1:1">
      <c r="A28213" s="56"/>
    </row>
    <row r="28214" spans="1:1">
      <c r="A28214" s="56"/>
    </row>
    <row r="28215" spans="1:1">
      <c r="A28215" s="56"/>
    </row>
    <row r="28216" spans="1:1">
      <c r="A28216" s="56"/>
    </row>
    <row r="28217" spans="1:1">
      <c r="A28217" s="56"/>
    </row>
    <row r="28218" spans="1:1">
      <c r="A28218" s="56"/>
    </row>
    <row r="28219" spans="1:1">
      <c r="A28219" s="56"/>
    </row>
    <row r="28220" spans="1:1">
      <c r="A28220" s="56"/>
    </row>
    <row r="28221" spans="1:1">
      <c r="A28221" s="56"/>
    </row>
    <row r="28222" spans="1:1">
      <c r="A28222" s="56"/>
    </row>
    <row r="28223" spans="1:1">
      <c r="A28223" s="56"/>
    </row>
    <row r="28224" spans="1:1">
      <c r="A28224" s="56"/>
    </row>
    <row r="28225" spans="1:1">
      <c r="A28225" s="56"/>
    </row>
    <row r="28226" spans="1:1">
      <c r="A28226" s="56"/>
    </row>
    <row r="28227" spans="1:1">
      <c r="A28227" s="56"/>
    </row>
    <row r="28228" spans="1:1">
      <c r="A28228" s="56"/>
    </row>
    <row r="28229" spans="1:1">
      <c r="A28229" s="56"/>
    </row>
    <row r="28230" spans="1:1">
      <c r="A28230" s="56"/>
    </row>
    <row r="28231" spans="1:1">
      <c r="A28231" s="56"/>
    </row>
    <row r="28232" spans="1:1">
      <c r="A28232" s="56"/>
    </row>
    <row r="28233" spans="1:1">
      <c r="A28233" s="56"/>
    </row>
    <row r="28234" spans="1:1">
      <c r="A28234" s="56"/>
    </row>
    <row r="28235" spans="1:1">
      <c r="A28235" s="56"/>
    </row>
    <row r="28236" spans="1:1">
      <c r="A28236" s="56"/>
    </row>
    <row r="28237" spans="1:1">
      <c r="A28237" s="56"/>
    </row>
    <row r="28238" spans="1:1">
      <c r="A28238" s="56"/>
    </row>
    <row r="28239" spans="1:1">
      <c r="A28239" s="56"/>
    </row>
    <row r="28240" spans="1:1">
      <c r="A28240" s="56"/>
    </row>
    <row r="28241" spans="1:1">
      <c r="A28241" s="56"/>
    </row>
    <row r="28242" spans="1:1">
      <c r="A28242" s="56"/>
    </row>
    <row r="28243" spans="1:1">
      <c r="A28243" s="56"/>
    </row>
    <row r="28244" spans="1:1">
      <c r="A28244" s="56"/>
    </row>
    <row r="28245" spans="1:1">
      <c r="A28245" s="56"/>
    </row>
    <row r="28246" spans="1:1">
      <c r="A28246" s="56"/>
    </row>
    <row r="28247" spans="1:1">
      <c r="A28247" s="56"/>
    </row>
    <row r="28248" spans="1:1">
      <c r="A28248" s="56"/>
    </row>
    <row r="28249" spans="1:1">
      <c r="A28249" s="56"/>
    </row>
    <row r="28250" spans="1:1">
      <c r="A28250" s="56"/>
    </row>
    <row r="28251" spans="1:1">
      <c r="A28251" s="56"/>
    </row>
    <row r="28252" spans="1:1">
      <c r="A28252" s="56"/>
    </row>
    <row r="28253" spans="1:1">
      <c r="A28253" s="56"/>
    </row>
    <row r="28254" spans="1:1">
      <c r="A28254" s="56"/>
    </row>
    <row r="28255" spans="1:1">
      <c r="A28255" s="56"/>
    </row>
    <row r="28256" spans="1:1">
      <c r="A28256" s="56"/>
    </row>
    <row r="28257" spans="1:1">
      <c r="A28257" s="56"/>
    </row>
    <row r="28258" spans="1:1">
      <c r="A28258" s="56"/>
    </row>
    <row r="28259" spans="1:1">
      <c r="A28259" s="56"/>
    </row>
    <row r="28260" spans="1:1">
      <c r="A28260" s="56"/>
    </row>
    <row r="28261" spans="1:1">
      <c r="A28261" s="56"/>
    </row>
    <row r="28262" spans="1:1">
      <c r="A28262" s="56"/>
    </row>
    <row r="28263" spans="1:1">
      <c r="A28263" s="56"/>
    </row>
    <row r="28264" spans="1:1">
      <c r="A28264" s="56"/>
    </row>
    <row r="28265" spans="1:1">
      <c r="A28265" s="56"/>
    </row>
    <row r="28266" spans="1:1">
      <c r="A28266" s="56"/>
    </row>
    <row r="28267" spans="1:1">
      <c r="A28267" s="56"/>
    </row>
    <row r="28268" spans="1:1">
      <c r="A28268" s="56"/>
    </row>
    <row r="28269" spans="1:1">
      <c r="A28269" s="56"/>
    </row>
    <row r="28270" spans="1:1">
      <c r="A28270" s="56"/>
    </row>
    <row r="28271" spans="1:1">
      <c r="A28271" s="56"/>
    </row>
    <row r="28272" spans="1:1">
      <c r="A28272" s="56"/>
    </row>
    <row r="28273" spans="1:1">
      <c r="A28273" s="56"/>
    </row>
    <row r="28274" spans="1:1">
      <c r="A28274" s="56"/>
    </row>
    <row r="28275" spans="1:1">
      <c r="A28275" s="56"/>
    </row>
    <row r="28276" spans="1:1">
      <c r="A28276" s="56"/>
    </row>
    <row r="28277" spans="1:1">
      <c r="A28277" s="56"/>
    </row>
    <row r="28278" spans="1:1">
      <c r="A28278" s="56"/>
    </row>
    <row r="28279" spans="1:1">
      <c r="A28279" s="56"/>
    </row>
    <row r="28280" spans="1:1">
      <c r="A28280" s="56"/>
    </row>
    <row r="28281" spans="1:1">
      <c r="A28281" s="56"/>
    </row>
    <row r="28282" spans="1:1">
      <c r="A28282" s="56"/>
    </row>
    <row r="28283" spans="1:1">
      <c r="A28283" s="56"/>
    </row>
    <row r="28284" spans="1:1">
      <c r="A28284" s="56"/>
    </row>
    <row r="28285" spans="1:1">
      <c r="A28285" s="56"/>
    </row>
    <row r="28286" spans="1:1">
      <c r="A28286" s="56"/>
    </row>
    <row r="28287" spans="1:1">
      <c r="A28287" s="56"/>
    </row>
    <row r="28288" spans="1:1">
      <c r="A28288" s="56"/>
    </row>
    <row r="28289" spans="1:1">
      <c r="A28289" s="56"/>
    </row>
    <row r="28290" spans="1:1">
      <c r="A28290" s="56"/>
    </row>
    <row r="28291" spans="1:1">
      <c r="A28291" s="56"/>
    </row>
    <row r="28292" spans="1:1">
      <c r="A28292" s="56"/>
    </row>
    <row r="28293" spans="1:1">
      <c r="A28293" s="56"/>
    </row>
    <row r="28294" spans="1:1">
      <c r="A28294" s="56"/>
    </row>
    <row r="28295" spans="1:1">
      <c r="A28295" s="56"/>
    </row>
    <row r="28296" spans="1:1">
      <c r="A28296" s="56"/>
    </row>
    <row r="28297" spans="1:1">
      <c r="A28297" s="56"/>
    </row>
    <row r="28298" spans="1:1">
      <c r="A28298" s="56"/>
    </row>
    <row r="28299" spans="1:1">
      <c r="A28299" s="56"/>
    </row>
    <row r="28300" spans="1:1">
      <c r="A28300" s="56"/>
    </row>
    <row r="28301" spans="1:1">
      <c r="A28301" s="56"/>
    </row>
    <row r="28302" spans="1:1">
      <c r="A28302" s="56"/>
    </row>
    <row r="28303" spans="1:1">
      <c r="A28303" s="56"/>
    </row>
    <row r="28304" spans="1:1">
      <c r="A28304" s="56"/>
    </row>
    <row r="28305" spans="1:1">
      <c r="A28305" s="56"/>
    </row>
    <row r="28306" spans="1:1">
      <c r="A28306" s="56"/>
    </row>
    <row r="28307" spans="1:1">
      <c r="A28307" s="56"/>
    </row>
    <row r="28308" spans="1:1">
      <c r="A28308" s="56"/>
    </row>
    <row r="28309" spans="1:1">
      <c r="A28309" s="56"/>
    </row>
    <row r="28310" spans="1:1">
      <c r="A28310" s="56"/>
    </row>
    <row r="28311" spans="1:1">
      <c r="A28311" s="56"/>
    </row>
    <row r="28312" spans="1:1">
      <c r="A28312" s="56"/>
    </row>
    <row r="28313" spans="1:1">
      <c r="A28313" s="56"/>
    </row>
    <row r="28314" spans="1:1">
      <c r="A28314" s="56"/>
    </row>
    <row r="28315" spans="1:1">
      <c r="A28315" s="56"/>
    </row>
    <row r="28316" spans="1:1">
      <c r="A28316" s="56"/>
    </row>
    <row r="28317" spans="1:1">
      <c r="A28317" s="56"/>
    </row>
    <row r="28318" spans="1:1">
      <c r="A28318" s="56"/>
    </row>
    <row r="28319" spans="1:1">
      <c r="A28319" s="56"/>
    </row>
    <row r="28320" spans="1:1">
      <c r="A28320" s="56"/>
    </row>
    <row r="28321" spans="1:1">
      <c r="A28321" s="56"/>
    </row>
    <row r="28322" spans="1:1">
      <c r="A28322" s="56"/>
    </row>
    <row r="28323" spans="1:1">
      <c r="A28323" s="56"/>
    </row>
    <row r="28324" spans="1:1">
      <c r="A28324" s="56"/>
    </row>
    <row r="28325" spans="1:1">
      <c r="A28325" s="56"/>
    </row>
    <row r="28326" spans="1:1">
      <c r="A28326" s="56"/>
    </row>
    <row r="28327" spans="1:1">
      <c r="A28327" s="56"/>
    </row>
    <row r="28328" spans="1:1">
      <c r="A28328" s="56"/>
    </row>
    <row r="28329" spans="1:1">
      <c r="A28329" s="56"/>
    </row>
    <row r="28330" spans="1:1">
      <c r="A28330" s="56"/>
    </row>
    <row r="28331" spans="1:1">
      <c r="A28331" s="56"/>
    </row>
    <row r="28332" spans="1:1">
      <c r="A28332" s="56"/>
    </row>
    <row r="28333" spans="1:1">
      <c r="A28333" s="56"/>
    </row>
    <row r="28334" spans="1:1">
      <c r="A28334" s="56"/>
    </row>
    <row r="28335" spans="1:1">
      <c r="A28335" s="56"/>
    </row>
    <row r="28336" spans="1:1">
      <c r="A28336" s="56"/>
    </row>
    <row r="28337" spans="1:1">
      <c r="A28337" s="56"/>
    </row>
    <row r="28338" spans="1:1">
      <c r="A28338" s="56"/>
    </row>
    <row r="28339" spans="1:1">
      <c r="A28339" s="56"/>
    </row>
    <row r="28340" spans="1:1">
      <c r="A28340" s="56"/>
    </row>
    <row r="28341" spans="1:1">
      <c r="A28341" s="56"/>
    </row>
    <row r="28342" spans="1:1">
      <c r="A28342" s="56"/>
    </row>
    <row r="28343" spans="1:1">
      <c r="A28343" s="56"/>
    </row>
    <row r="28344" spans="1:1">
      <c r="A28344" s="56"/>
    </row>
    <row r="28345" spans="1:1">
      <c r="A28345" s="56"/>
    </row>
    <row r="28346" spans="1:1">
      <c r="A28346" s="56"/>
    </row>
    <row r="28347" spans="1:1">
      <c r="A28347" s="56"/>
    </row>
    <row r="28348" spans="1:1">
      <c r="A28348" s="56"/>
    </row>
    <row r="28349" spans="1:1">
      <c r="A28349" s="56"/>
    </row>
    <row r="28350" spans="1:1">
      <c r="A28350" s="56"/>
    </row>
    <row r="28351" spans="1:1">
      <c r="A28351" s="56"/>
    </row>
    <row r="28352" spans="1:1">
      <c r="A28352" s="56"/>
    </row>
    <row r="28353" spans="1:1">
      <c r="A28353" s="56"/>
    </row>
    <row r="28354" spans="1:1">
      <c r="A28354" s="56"/>
    </row>
    <row r="28355" spans="1:1">
      <c r="A28355" s="56"/>
    </row>
    <row r="28356" spans="1:1">
      <c r="A28356" s="56"/>
    </row>
    <row r="28357" spans="1:1">
      <c r="A28357" s="56"/>
    </row>
    <row r="28358" spans="1:1">
      <c r="A28358" s="56"/>
    </row>
    <row r="28359" spans="1:1">
      <c r="A28359" s="56"/>
    </row>
    <row r="28360" spans="1:1">
      <c r="A28360" s="56"/>
    </row>
    <row r="28361" spans="1:1">
      <c r="A28361" s="56"/>
    </row>
    <row r="28362" spans="1:1">
      <c r="A28362" s="56"/>
    </row>
    <row r="28363" spans="1:1">
      <c r="A28363" s="56"/>
    </row>
    <row r="28364" spans="1:1">
      <c r="A28364" s="56"/>
    </row>
    <row r="28365" spans="1:1">
      <c r="A28365" s="56"/>
    </row>
    <row r="28366" spans="1:1">
      <c r="A28366" s="56"/>
    </row>
    <row r="28367" spans="1:1">
      <c r="A28367" s="56"/>
    </row>
    <row r="28368" spans="1:1">
      <c r="A28368" s="56"/>
    </row>
    <row r="28369" spans="1:1">
      <c r="A28369" s="56"/>
    </row>
    <row r="28370" spans="1:1">
      <c r="A28370" s="56"/>
    </row>
    <row r="28371" spans="1:1">
      <c r="A28371" s="56"/>
    </row>
    <row r="28372" spans="1:1">
      <c r="A28372" s="56"/>
    </row>
    <row r="28373" spans="1:1">
      <c r="A28373" s="56"/>
    </row>
    <row r="28374" spans="1:1">
      <c r="A28374" s="56"/>
    </row>
    <row r="28375" spans="1:1">
      <c r="A28375" s="56"/>
    </row>
    <row r="28376" spans="1:1">
      <c r="A28376" s="56"/>
    </row>
    <row r="28377" spans="1:1">
      <c r="A28377" s="56"/>
    </row>
    <row r="28378" spans="1:1">
      <c r="A28378" s="56"/>
    </row>
    <row r="28379" spans="1:1">
      <c r="A28379" s="56"/>
    </row>
    <row r="28380" spans="1:1">
      <c r="A28380" s="56"/>
    </row>
    <row r="28381" spans="1:1">
      <c r="A28381" s="56"/>
    </row>
    <row r="28382" spans="1:1">
      <c r="A28382" s="56"/>
    </row>
    <row r="28383" spans="1:1">
      <c r="A28383" s="56"/>
    </row>
    <row r="28384" spans="1:1">
      <c r="A28384" s="56"/>
    </row>
    <row r="28385" spans="1:1">
      <c r="A28385" s="56"/>
    </row>
    <row r="28386" spans="1:1">
      <c r="A28386" s="56"/>
    </row>
    <row r="28387" spans="1:1">
      <c r="A28387" s="56"/>
    </row>
    <row r="28388" spans="1:1">
      <c r="A28388" s="56"/>
    </row>
    <row r="28389" spans="1:1">
      <c r="A28389" s="56"/>
    </row>
    <row r="28390" spans="1:1">
      <c r="A28390" s="56"/>
    </row>
    <row r="28391" spans="1:1">
      <c r="A28391" s="56"/>
    </row>
    <row r="28392" spans="1:1">
      <c r="A28392" s="56"/>
    </row>
    <row r="28393" spans="1:1">
      <c r="A28393" s="56"/>
    </row>
    <row r="28394" spans="1:1">
      <c r="A28394" s="56"/>
    </row>
    <row r="28395" spans="1:1">
      <c r="A28395" s="56"/>
    </row>
    <row r="28396" spans="1:1">
      <c r="A28396" s="56"/>
    </row>
    <row r="28397" spans="1:1">
      <c r="A28397" s="56"/>
    </row>
    <row r="28398" spans="1:1">
      <c r="A28398" s="56"/>
    </row>
    <row r="28399" spans="1:1">
      <c r="A28399" s="56"/>
    </row>
    <row r="28400" spans="1:1">
      <c r="A28400" s="56"/>
    </row>
    <row r="28401" spans="1:1">
      <c r="A28401" s="56"/>
    </row>
    <row r="28402" spans="1:1">
      <c r="A28402" s="56"/>
    </row>
    <row r="28403" spans="1:1">
      <c r="A28403" s="56"/>
    </row>
    <row r="28404" spans="1:1">
      <c r="A28404" s="56"/>
    </row>
    <row r="28405" spans="1:1">
      <c r="A28405" s="56"/>
    </row>
    <row r="28406" spans="1:1">
      <c r="A28406" s="56"/>
    </row>
    <row r="28407" spans="1:1">
      <c r="A28407" s="56"/>
    </row>
    <row r="28408" spans="1:1">
      <c r="A28408" s="56"/>
    </row>
    <row r="28409" spans="1:1">
      <c r="A28409" s="56"/>
    </row>
    <row r="28410" spans="1:1">
      <c r="A28410" s="56"/>
    </row>
    <row r="28411" spans="1:1">
      <c r="A28411" s="56"/>
    </row>
    <row r="28412" spans="1:1">
      <c r="A28412" s="56"/>
    </row>
    <row r="28413" spans="1:1">
      <c r="A28413" s="56"/>
    </row>
    <row r="28414" spans="1:1">
      <c r="A28414" s="56"/>
    </row>
    <row r="28415" spans="1:1">
      <c r="A28415" s="56"/>
    </row>
    <row r="28416" spans="1:1">
      <c r="A28416" s="56"/>
    </row>
    <row r="28417" spans="1:1">
      <c r="A28417" s="56"/>
    </row>
    <row r="28418" spans="1:1">
      <c r="A28418" s="56"/>
    </row>
    <row r="28419" spans="1:1">
      <c r="A28419" s="56"/>
    </row>
    <row r="28420" spans="1:1">
      <c r="A28420" s="56"/>
    </row>
    <row r="28421" spans="1:1">
      <c r="A28421" s="56"/>
    </row>
    <row r="28422" spans="1:1">
      <c r="A28422" s="56"/>
    </row>
    <row r="28423" spans="1:1">
      <c r="A28423" s="56"/>
    </row>
    <row r="28424" spans="1:1">
      <c r="A28424" s="56"/>
    </row>
    <row r="28425" spans="1:1">
      <c r="A28425" s="56"/>
    </row>
    <row r="28426" spans="1:1">
      <c r="A28426" s="56"/>
    </row>
    <row r="28427" spans="1:1">
      <c r="A28427" s="56"/>
    </row>
    <row r="28428" spans="1:1">
      <c r="A28428" s="56"/>
    </row>
    <row r="28429" spans="1:1">
      <c r="A28429" s="56"/>
    </row>
    <row r="28430" spans="1:1">
      <c r="A28430" s="56"/>
    </row>
    <row r="28431" spans="1:1">
      <c r="A28431" s="56"/>
    </row>
    <row r="28432" spans="1:1">
      <c r="A28432" s="56"/>
    </row>
    <row r="28433" spans="1:1">
      <c r="A28433" s="56"/>
    </row>
    <row r="28434" spans="1:1">
      <c r="A28434" s="56"/>
    </row>
    <row r="28435" spans="1:1">
      <c r="A28435" s="56"/>
    </row>
    <row r="28436" spans="1:1">
      <c r="A28436" s="56"/>
    </row>
    <row r="28437" spans="1:1">
      <c r="A28437" s="56"/>
    </row>
    <row r="28438" spans="1:1">
      <c r="A28438" s="56"/>
    </row>
    <row r="28439" spans="1:1">
      <c r="A28439" s="56"/>
    </row>
    <row r="28440" spans="1:1">
      <c r="A28440" s="56"/>
    </row>
    <row r="28441" spans="1:1">
      <c r="A28441" s="56"/>
    </row>
    <row r="28442" spans="1:1">
      <c r="A28442" s="56"/>
    </row>
    <row r="28443" spans="1:1">
      <c r="A28443" s="56"/>
    </row>
    <row r="28444" spans="1:1">
      <c r="A28444" s="56"/>
    </row>
    <row r="28445" spans="1:1">
      <c r="A28445" s="56"/>
    </row>
    <row r="28446" spans="1:1">
      <c r="A28446" s="56"/>
    </row>
    <row r="28447" spans="1:1">
      <c r="A28447" s="56"/>
    </row>
    <row r="28448" spans="1:1">
      <c r="A28448" s="56"/>
    </row>
    <row r="28449" spans="1:1">
      <c r="A28449" s="56"/>
    </row>
    <row r="28450" spans="1:1">
      <c r="A28450" s="56"/>
    </row>
    <row r="28451" spans="1:1">
      <c r="A28451" s="56"/>
    </row>
    <row r="28452" spans="1:1">
      <c r="A28452" s="56"/>
    </row>
    <row r="28453" spans="1:1">
      <c r="A28453" s="56"/>
    </row>
    <row r="28454" spans="1:1">
      <c r="A28454" s="56"/>
    </row>
    <row r="28455" spans="1:1">
      <c r="A28455" s="56"/>
    </row>
    <row r="28456" spans="1:1">
      <c r="A28456" s="56"/>
    </row>
    <row r="28457" spans="1:1">
      <c r="A28457" s="56"/>
    </row>
    <row r="28458" spans="1:1">
      <c r="A28458" s="56"/>
    </row>
    <row r="28459" spans="1:1">
      <c r="A28459" s="56"/>
    </row>
    <row r="28460" spans="1:1">
      <c r="A28460" s="56"/>
    </row>
    <row r="28461" spans="1:1">
      <c r="A28461" s="56"/>
    </row>
    <row r="28462" spans="1:1">
      <c r="A28462" s="56"/>
    </row>
    <row r="28463" spans="1:1">
      <c r="A28463" s="56"/>
    </row>
    <row r="28464" spans="1:1">
      <c r="A28464" s="56"/>
    </row>
    <row r="28465" spans="1:1">
      <c r="A28465" s="56"/>
    </row>
    <row r="28466" spans="1:1">
      <c r="A28466" s="56"/>
    </row>
    <row r="28467" spans="1:1">
      <c r="A28467" s="56"/>
    </row>
    <row r="28468" spans="1:1">
      <c r="A28468" s="56"/>
    </row>
    <row r="28469" spans="1:1">
      <c r="A28469" s="56"/>
    </row>
    <row r="28470" spans="1:1">
      <c r="A28470" s="56"/>
    </row>
    <row r="28471" spans="1:1">
      <c r="A28471" s="56"/>
    </row>
    <row r="28472" spans="1:1">
      <c r="A28472" s="56"/>
    </row>
    <row r="28473" spans="1:1">
      <c r="A28473" s="56"/>
    </row>
    <row r="28474" spans="1:1">
      <c r="A28474" s="56"/>
    </row>
    <row r="28475" spans="1:1">
      <c r="A28475" s="56"/>
    </row>
    <row r="28476" spans="1:1">
      <c r="A28476" s="56"/>
    </row>
    <row r="28477" spans="1:1">
      <c r="A28477" s="56"/>
    </row>
    <row r="28478" spans="1:1">
      <c r="A28478" s="56"/>
    </row>
    <row r="28479" spans="1:1">
      <c r="A28479" s="56"/>
    </row>
    <row r="28480" spans="1:1">
      <c r="A28480" s="56"/>
    </row>
    <row r="28481" spans="1:1">
      <c r="A28481" s="56"/>
    </row>
    <row r="28482" spans="1:1">
      <c r="A28482" s="56"/>
    </row>
    <row r="28483" spans="1:1">
      <c r="A28483" s="56"/>
    </row>
    <row r="28484" spans="1:1">
      <c r="A28484" s="56"/>
    </row>
    <row r="28485" spans="1:1">
      <c r="A28485" s="56"/>
    </row>
    <row r="28486" spans="1:1">
      <c r="A28486" s="56"/>
    </row>
    <row r="28487" spans="1:1">
      <c r="A28487" s="56"/>
    </row>
    <row r="28488" spans="1:1">
      <c r="A28488" s="56"/>
    </row>
    <row r="28489" spans="1:1">
      <c r="A28489" s="56"/>
    </row>
    <row r="28490" spans="1:1">
      <c r="A28490" s="56"/>
    </row>
    <row r="28491" spans="1:1">
      <c r="A28491" s="56"/>
    </row>
    <row r="28492" spans="1:1">
      <c r="A28492" s="56"/>
    </row>
    <row r="28493" spans="1:1">
      <c r="A28493" s="56"/>
    </row>
    <row r="28494" spans="1:1">
      <c r="A28494" s="56"/>
    </row>
    <row r="28495" spans="1:1">
      <c r="A28495" s="56"/>
    </row>
    <row r="28496" spans="1:1">
      <c r="A28496" s="56"/>
    </row>
    <row r="28497" spans="1:1">
      <c r="A28497" s="56"/>
    </row>
    <row r="28498" spans="1:1">
      <c r="A28498" s="56"/>
    </row>
    <row r="28499" spans="1:1">
      <c r="A28499" s="56"/>
    </row>
    <row r="28500" spans="1:1">
      <c r="A28500" s="56"/>
    </row>
    <row r="28501" spans="1:1">
      <c r="A28501" s="56"/>
    </row>
    <row r="28502" spans="1:1">
      <c r="A28502" s="56"/>
    </row>
    <row r="28503" spans="1:1">
      <c r="A28503" s="56"/>
    </row>
    <row r="28504" spans="1:1">
      <c r="A28504" s="56"/>
    </row>
    <row r="28505" spans="1:1">
      <c r="A28505" s="56"/>
    </row>
    <row r="28506" spans="1:1">
      <c r="A28506" s="56"/>
    </row>
    <row r="28507" spans="1:1">
      <c r="A28507" s="56"/>
    </row>
    <row r="28508" spans="1:1">
      <c r="A28508" s="56"/>
    </row>
    <row r="28509" spans="1:1">
      <c r="A28509" s="56"/>
    </row>
    <row r="28510" spans="1:1">
      <c r="A28510" s="56"/>
    </row>
    <row r="28511" spans="1:1">
      <c r="A28511" s="56"/>
    </row>
    <row r="28512" spans="1:1">
      <c r="A28512" s="56"/>
    </row>
    <row r="28513" spans="1:1">
      <c r="A28513" s="56"/>
    </row>
    <row r="28514" spans="1:1">
      <c r="A28514" s="56"/>
    </row>
    <row r="28515" spans="1:1">
      <c r="A28515" s="56"/>
    </row>
    <row r="28516" spans="1:1">
      <c r="A28516" s="56"/>
    </row>
    <row r="28517" spans="1:1">
      <c r="A28517" s="56"/>
    </row>
    <row r="28518" spans="1:1">
      <c r="A28518" s="56"/>
    </row>
    <row r="28519" spans="1:1">
      <c r="A28519" s="56"/>
    </row>
    <row r="28520" spans="1:1">
      <c r="A28520" s="56"/>
    </row>
    <row r="28521" spans="1:1">
      <c r="A28521" s="56"/>
    </row>
    <row r="28522" spans="1:1">
      <c r="A28522" s="56"/>
    </row>
    <row r="28523" spans="1:1">
      <c r="A28523" s="56"/>
    </row>
    <row r="28524" spans="1:1">
      <c r="A28524" s="56"/>
    </row>
    <row r="28525" spans="1:1">
      <c r="A28525" s="56"/>
    </row>
    <row r="28526" spans="1:1">
      <c r="A28526" s="56"/>
    </row>
    <row r="28527" spans="1:1">
      <c r="A28527" s="56"/>
    </row>
    <row r="28528" spans="1:1">
      <c r="A28528" s="56"/>
    </row>
    <row r="28529" spans="1:1">
      <c r="A28529" s="56"/>
    </row>
    <row r="28530" spans="1:1">
      <c r="A28530" s="56"/>
    </row>
    <row r="28531" spans="1:1">
      <c r="A28531" s="56"/>
    </row>
    <row r="28532" spans="1:1">
      <c r="A28532" s="56"/>
    </row>
    <row r="28533" spans="1:1">
      <c r="A28533" s="56"/>
    </row>
    <row r="28534" spans="1:1">
      <c r="A28534" s="56"/>
    </row>
    <row r="28535" spans="1:1">
      <c r="A28535" s="56"/>
    </row>
    <row r="28536" spans="1:1">
      <c r="A28536" s="56"/>
    </row>
    <row r="28537" spans="1:1">
      <c r="A28537" s="56"/>
    </row>
    <row r="28538" spans="1:1">
      <c r="A28538" s="56"/>
    </row>
    <row r="28539" spans="1:1">
      <c r="A28539" s="56"/>
    </row>
    <row r="28540" spans="1:1">
      <c r="A28540" s="56"/>
    </row>
    <row r="28541" spans="1:1">
      <c r="A28541" s="56"/>
    </row>
    <row r="28542" spans="1:1">
      <c r="A28542" s="56"/>
    </row>
    <row r="28543" spans="1:1">
      <c r="A28543" s="56"/>
    </row>
    <row r="28544" spans="1:1">
      <c r="A28544" s="56"/>
    </row>
    <row r="28545" spans="1:1">
      <c r="A28545" s="56"/>
    </row>
    <row r="28546" spans="1:1">
      <c r="A28546" s="56"/>
    </row>
    <row r="28547" spans="1:1">
      <c r="A28547" s="56"/>
    </row>
    <row r="28548" spans="1:1">
      <c r="A28548" s="56"/>
    </row>
    <row r="28549" spans="1:1">
      <c r="A28549" s="56"/>
    </row>
    <row r="28550" spans="1:1">
      <c r="A28550" s="56"/>
    </row>
    <row r="28551" spans="1:1">
      <c r="A28551" s="56"/>
    </row>
    <row r="28552" spans="1:1">
      <c r="A28552" s="56"/>
    </row>
    <row r="28553" spans="1:1">
      <c r="A28553" s="56"/>
    </row>
    <row r="28554" spans="1:1">
      <c r="A28554" s="56"/>
    </row>
    <row r="28555" spans="1:1">
      <c r="A28555" s="56"/>
    </row>
    <row r="28556" spans="1:1">
      <c r="A28556" s="56"/>
    </row>
    <row r="28557" spans="1:1">
      <c r="A28557" s="56"/>
    </row>
    <row r="28558" spans="1:1">
      <c r="A28558" s="56"/>
    </row>
    <row r="28559" spans="1:1">
      <c r="A28559" s="56"/>
    </row>
    <row r="28560" spans="1:1">
      <c r="A28560" s="56"/>
    </row>
    <row r="28561" spans="1:1">
      <c r="A28561" s="56"/>
    </row>
    <row r="28562" spans="1:1">
      <c r="A28562" s="56"/>
    </row>
    <row r="28563" spans="1:1">
      <c r="A28563" s="56"/>
    </row>
    <row r="28564" spans="1:1">
      <c r="A28564" s="56"/>
    </row>
    <row r="28565" spans="1:1">
      <c r="A28565" s="56"/>
    </row>
    <row r="28566" spans="1:1">
      <c r="A28566" s="56"/>
    </row>
    <row r="28567" spans="1:1">
      <c r="A28567" s="56"/>
    </row>
    <row r="28568" spans="1:1">
      <c r="A28568" s="56"/>
    </row>
    <row r="28569" spans="1:1">
      <c r="A28569" s="56"/>
    </row>
    <row r="28570" spans="1:1">
      <c r="A28570" s="56"/>
    </row>
    <row r="28571" spans="1:1">
      <c r="A28571" s="56"/>
    </row>
    <row r="28572" spans="1:1">
      <c r="A28572" s="56"/>
    </row>
    <row r="28573" spans="1:1">
      <c r="A28573" s="56"/>
    </row>
    <row r="28574" spans="1:1">
      <c r="A28574" s="56"/>
    </row>
    <row r="28575" spans="1:1">
      <c r="A28575" s="56"/>
    </row>
    <row r="28576" spans="1:1">
      <c r="A28576" s="56"/>
    </row>
    <row r="28577" spans="1:1">
      <c r="A28577" s="56"/>
    </row>
    <row r="28578" spans="1:1">
      <c r="A28578" s="56"/>
    </row>
    <row r="28579" spans="1:1">
      <c r="A28579" s="56"/>
    </row>
    <row r="28580" spans="1:1">
      <c r="A28580" s="56"/>
    </row>
    <row r="28581" spans="1:1">
      <c r="A28581" s="56"/>
    </row>
    <row r="28582" spans="1:1">
      <c r="A28582" s="56"/>
    </row>
    <row r="28583" spans="1:1">
      <c r="A28583" s="56"/>
    </row>
    <row r="28584" spans="1:1">
      <c r="A28584" s="56"/>
    </row>
    <row r="28585" spans="1:1">
      <c r="A28585" s="56"/>
    </row>
    <row r="28586" spans="1:1">
      <c r="A28586" s="56"/>
    </row>
    <row r="28587" spans="1:1">
      <c r="A28587" s="56"/>
    </row>
    <row r="28588" spans="1:1">
      <c r="A28588" s="56"/>
    </row>
    <row r="28589" spans="1:1">
      <c r="A28589" s="56"/>
    </row>
    <row r="28590" spans="1:1">
      <c r="A28590" s="56"/>
    </row>
    <row r="28591" spans="1:1">
      <c r="A28591" s="56"/>
    </row>
    <row r="28592" spans="1:1">
      <c r="A28592" s="56"/>
    </row>
    <row r="28593" spans="1:1">
      <c r="A28593" s="56"/>
    </row>
    <row r="28594" spans="1:1">
      <c r="A28594" s="56"/>
    </row>
    <row r="28595" spans="1:1">
      <c r="A28595" s="56"/>
    </row>
    <row r="28596" spans="1:1">
      <c r="A28596" s="56"/>
    </row>
    <row r="28597" spans="1:1">
      <c r="A28597" s="56"/>
    </row>
    <row r="28598" spans="1:1">
      <c r="A28598" s="56"/>
    </row>
    <row r="28599" spans="1:1">
      <c r="A28599" s="56"/>
    </row>
    <row r="28600" spans="1:1">
      <c r="A28600" s="56"/>
    </row>
    <row r="28601" spans="1:1">
      <c r="A28601" s="56"/>
    </row>
    <row r="28602" spans="1:1">
      <c r="A28602" s="56"/>
    </row>
    <row r="28603" spans="1:1">
      <c r="A28603" s="56"/>
    </row>
    <row r="28604" spans="1:1">
      <c r="A28604" s="56"/>
    </row>
    <row r="28605" spans="1:1">
      <c r="A28605" s="56"/>
    </row>
    <row r="28606" spans="1:1">
      <c r="A28606" s="56"/>
    </row>
    <row r="28607" spans="1:1">
      <c r="A28607" s="56"/>
    </row>
    <row r="28608" spans="1:1">
      <c r="A28608" s="56"/>
    </row>
    <row r="28609" spans="1:1">
      <c r="A28609" s="56"/>
    </row>
    <row r="28610" spans="1:1">
      <c r="A28610" s="56"/>
    </row>
    <row r="28611" spans="1:1">
      <c r="A28611" s="56"/>
    </row>
    <row r="28612" spans="1:1">
      <c r="A28612" s="56"/>
    </row>
    <row r="28613" spans="1:1">
      <c r="A28613" s="56"/>
    </row>
    <row r="28614" spans="1:1">
      <c r="A28614" s="56"/>
    </row>
    <row r="28615" spans="1:1">
      <c r="A28615" s="56"/>
    </row>
    <row r="28616" spans="1:1">
      <c r="A28616" s="56"/>
    </row>
    <row r="28617" spans="1:1">
      <c r="A28617" s="56"/>
    </row>
    <row r="28618" spans="1:1">
      <c r="A28618" s="56"/>
    </row>
    <row r="28619" spans="1:1">
      <c r="A28619" s="56"/>
    </row>
    <row r="28620" spans="1:1">
      <c r="A28620" s="56"/>
    </row>
    <row r="28621" spans="1:1">
      <c r="A28621" s="56"/>
    </row>
    <row r="28622" spans="1:1">
      <c r="A28622" s="56"/>
    </row>
    <row r="28623" spans="1:1">
      <c r="A28623" s="56"/>
    </row>
    <row r="28624" spans="1:1">
      <c r="A28624" s="56"/>
    </row>
    <row r="28625" spans="1:1">
      <c r="A28625" s="56"/>
    </row>
    <row r="28626" spans="1:1">
      <c r="A28626" s="56"/>
    </row>
    <row r="28627" spans="1:1">
      <c r="A28627" s="56"/>
    </row>
    <row r="28628" spans="1:1">
      <c r="A28628" s="56"/>
    </row>
    <row r="28629" spans="1:1">
      <c r="A28629" s="56"/>
    </row>
    <row r="28630" spans="1:1">
      <c r="A28630" s="56"/>
    </row>
    <row r="28631" spans="1:1">
      <c r="A28631" s="56"/>
    </row>
    <row r="28632" spans="1:1">
      <c r="A28632" s="56"/>
    </row>
    <row r="28633" spans="1:1">
      <c r="A28633" s="56"/>
    </row>
    <row r="28634" spans="1:1">
      <c r="A28634" s="56"/>
    </row>
    <row r="28635" spans="1:1">
      <c r="A28635" s="56"/>
    </row>
    <row r="28636" spans="1:1">
      <c r="A28636" s="56"/>
    </row>
    <row r="28637" spans="1:1">
      <c r="A28637" s="56"/>
    </row>
    <row r="28638" spans="1:1">
      <c r="A28638" s="56"/>
    </row>
    <row r="28639" spans="1:1">
      <c r="A28639" s="56"/>
    </row>
    <row r="28640" spans="1:1">
      <c r="A28640" s="56"/>
    </row>
    <row r="28641" spans="1:1">
      <c r="A28641" s="56"/>
    </row>
    <row r="28642" spans="1:1">
      <c r="A28642" s="56"/>
    </row>
    <row r="28643" spans="1:1">
      <c r="A28643" s="56"/>
    </row>
    <row r="28644" spans="1:1">
      <c r="A28644" s="56"/>
    </row>
    <row r="28645" spans="1:1">
      <c r="A28645" s="56"/>
    </row>
    <row r="28646" spans="1:1">
      <c r="A28646" s="56"/>
    </row>
    <row r="28647" spans="1:1">
      <c r="A28647" s="56"/>
    </row>
    <row r="28648" spans="1:1">
      <c r="A28648" s="56"/>
    </row>
    <row r="28649" spans="1:1">
      <c r="A28649" s="56"/>
    </row>
    <row r="28650" spans="1:1">
      <c r="A28650" s="56"/>
    </row>
    <row r="28651" spans="1:1">
      <c r="A28651" s="56"/>
    </row>
    <row r="28652" spans="1:1">
      <c r="A28652" s="56"/>
    </row>
    <row r="28653" spans="1:1">
      <c r="A28653" s="56"/>
    </row>
    <row r="28654" spans="1:1">
      <c r="A28654" s="56"/>
    </row>
    <row r="28655" spans="1:1">
      <c r="A28655" s="56"/>
    </row>
    <row r="28656" spans="1:1">
      <c r="A28656" s="56"/>
    </row>
    <row r="28657" spans="1:1">
      <c r="A28657" s="56"/>
    </row>
    <row r="28658" spans="1:1">
      <c r="A28658" s="56"/>
    </row>
    <row r="28659" spans="1:1">
      <c r="A28659" s="56"/>
    </row>
    <row r="28660" spans="1:1">
      <c r="A28660" s="56"/>
    </row>
    <row r="28661" spans="1:1">
      <c r="A28661" s="56"/>
    </row>
    <row r="28662" spans="1:1">
      <c r="A28662" s="56"/>
    </row>
    <row r="28663" spans="1:1">
      <c r="A28663" s="56"/>
    </row>
    <row r="28664" spans="1:1">
      <c r="A28664" s="56"/>
    </row>
    <row r="28665" spans="1:1">
      <c r="A28665" s="56"/>
    </row>
    <row r="28666" spans="1:1">
      <c r="A28666" s="56"/>
    </row>
    <row r="28667" spans="1:1">
      <c r="A28667" s="56"/>
    </row>
    <row r="28668" spans="1:1">
      <c r="A28668" s="56"/>
    </row>
    <row r="28669" spans="1:1">
      <c r="A28669" s="56"/>
    </row>
    <row r="28670" spans="1:1">
      <c r="A28670" s="56"/>
    </row>
    <row r="28671" spans="1:1">
      <c r="A28671" s="56"/>
    </row>
    <row r="28672" spans="1:1">
      <c r="A28672" s="56"/>
    </row>
    <row r="28673" spans="1:1">
      <c r="A28673" s="56"/>
    </row>
    <row r="28674" spans="1:1">
      <c r="A28674" s="56"/>
    </row>
    <row r="28675" spans="1:1">
      <c r="A28675" s="56"/>
    </row>
    <row r="28676" spans="1:1">
      <c r="A28676" s="56"/>
    </row>
    <row r="28677" spans="1:1">
      <c r="A28677" s="56"/>
    </row>
    <row r="28678" spans="1:1">
      <c r="A28678" s="56"/>
    </row>
    <row r="28679" spans="1:1">
      <c r="A28679" s="56"/>
    </row>
    <row r="28680" spans="1:1">
      <c r="A28680" s="56"/>
    </row>
    <row r="28681" spans="1:1">
      <c r="A28681" s="56"/>
    </row>
    <row r="28682" spans="1:1">
      <c r="A28682" s="56"/>
    </row>
    <row r="28683" spans="1:1">
      <c r="A28683" s="56"/>
    </row>
    <row r="28684" spans="1:1">
      <c r="A28684" s="56"/>
    </row>
    <row r="28685" spans="1:1">
      <c r="A28685" s="56"/>
    </row>
    <row r="28686" spans="1:1">
      <c r="A28686" s="56"/>
    </row>
    <row r="28687" spans="1:1">
      <c r="A28687" s="56"/>
    </row>
    <row r="28688" spans="1:1">
      <c r="A28688" s="56"/>
    </row>
    <row r="28689" spans="1:1">
      <c r="A28689" s="56"/>
    </row>
    <row r="28690" spans="1:1">
      <c r="A28690" s="56"/>
    </row>
    <row r="28691" spans="1:1">
      <c r="A28691" s="56"/>
    </row>
    <row r="28692" spans="1:1">
      <c r="A28692" s="56"/>
    </row>
    <row r="28693" spans="1:1">
      <c r="A28693" s="56"/>
    </row>
    <row r="28694" spans="1:1">
      <c r="A28694" s="56"/>
    </row>
    <row r="28695" spans="1:1">
      <c r="A28695" s="56"/>
    </row>
    <row r="28696" spans="1:1">
      <c r="A28696" s="56"/>
    </row>
    <row r="28697" spans="1:1">
      <c r="A28697" s="56"/>
    </row>
    <row r="28698" spans="1:1">
      <c r="A28698" s="56"/>
    </row>
    <row r="28699" spans="1:1">
      <c r="A28699" s="56"/>
    </row>
    <row r="28700" spans="1:1">
      <c r="A28700" s="56"/>
    </row>
    <row r="28701" spans="1:1">
      <c r="A28701" s="56"/>
    </row>
    <row r="28702" spans="1:1">
      <c r="A28702" s="56"/>
    </row>
    <row r="28703" spans="1:1">
      <c r="A28703" s="56"/>
    </row>
    <row r="28704" spans="1:1">
      <c r="A28704" s="56"/>
    </row>
    <row r="28705" spans="1:1">
      <c r="A28705" s="56"/>
    </row>
    <row r="28706" spans="1:1">
      <c r="A28706" s="56"/>
    </row>
    <row r="28707" spans="1:1">
      <c r="A28707" s="56"/>
    </row>
    <row r="28708" spans="1:1">
      <c r="A28708" s="56"/>
    </row>
    <row r="28709" spans="1:1">
      <c r="A28709" s="56"/>
    </row>
    <row r="28710" spans="1:1">
      <c r="A28710" s="56"/>
    </row>
    <row r="28711" spans="1:1">
      <c r="A28711" s="56"/>
    </row>
    <row r="28712" spans="1:1">
      <c r="A28712" s="56"/>
    </row>
    <row r="28713" spans="1:1">
      <c r="A28713" s="56"/>
    </row>
    <row r="28714" spans="1:1">
      <c r="A28714" s="56"/>
    </row>
    <row r="28715" spans="1:1">
      <c r="A28715" s="56"/>
    </row>
    <row r="28716" spans="1:1">
      <c r="A28716" s="56"/>
    </row>
    <row r="28717" spans="1:1">
      <c r="A28717" s="56"/>
    </row>
    <row r="28718" spans="1:1">
      <c r="A28718" s="56"/>
    </row>
    <row r="28719" spans="1:1">
      <c r="A28719" s="56"/>
    </row>
    <row r="28720" spans="1:1">
      <c r="A28720" s="56"/>
    </row>
    <row r="28721" spans="1:1">
      <c r="A28721" s="56"/>
    </row>
    <row r="28722" spans="1:1">
      <c r="A28722" s="56"/>
    </row>
    <row r="28723" spans="1:1">
      <c r="A28723" s="56"/>
    </row>
    <row r="28724" spans="1:1">
      <c r="A28724" s="56"/>
    </row>
    <row r="28725" spans="1:1">
      <c r="A28725" s="56"/>
    </row>
    <row r="28726" spans="1:1">
      <c r="A28726" s="56"/>
    </row>
    <row r="28727" spans="1:1">
      <c r="A28727" s="56"/>
    </row>
    <row r="28728" spans="1:1">
      <c r="A28728" s="56"/>
    </row>
    <row r="28729" spans="1:1">
      <c r="A28729" s="56"/>
    </row>
    <row r="28730" spans="1:1">
      <c r="A28730" s="56"/>
    </row>
    <row r="28731" spans="1:1">
      <c r="A28731" s="56"/>
    </row>
    <row r="28732" spans="1:1">
      <c r="A28732" s="56"/>
    </row>
    <row r="28733" spans="1:1">
      <c r="A28733" s="56"/>
    </row>
    <row r="28734" spans="1:1">
      <c r="A28734" s="56"/>
    </row>
    <row r="28735" spans="1:1">
      <c r="A28735" s="56"/>
    </row>
    <row r="28736" spans="1:1">
      <c r="A28736" s="56"/>
    </row>
    <row r="28737" spans="1:1">
      <c r="A28737" s="56"/>
    </row>
    <row r="28738" spans="1:1">
      <c r="A28738" s="56"/>
    </row>
    <row r="28739" spans="1:1">
      <c r="A28739" s="56"/>
    </row>
    <row r="28740" spans="1:1">
      <c r="A28740" s="56"/>
    </row>
    <row r="28741" spans="1:1">
      <c r="A28741" s="56"/>
    </row>
    <row r="28742" spans="1:1">
      <c r="A28742" s="56"/>
    </row>
    <row r="28743" spans="1:1">
      <c r="A28743" s="56"/>
    </row>
    <row r="28744" spans="1:1">
      <c r="A28744" s="56"/>
    </row>
    <row r="28745" spans="1:1">
      <c r="A28745" s="56"/>
    </row>
    <row r="28746" spans="1:1">
      <c r="A28746" s="56"/>
    </row>
    <row r="28747" spans="1:1">
      <c r="A28747" s="56"/>
    </row>
    <row r="28748" spans="1:1">
      <c r="A28748" s="56"/>
    </row>
    <row r="28749" spans="1:1">
      <c r="A28749" s="56"/>
    </row>
    <row r="28750" spans="1:1">
      <c r="A28750" s="56"/>
    </row>
    <row r="28751" spans="1:1">
      <c r="A28751" s="56"/>
    </row>
    <row r="28752" spans="1:1">
      <c r="A28752" s="56"/>
    </row>
    <row r="28753" spans="1:1">
      <c r="A28753" s="56"/>
    </row>
    <row r="28754" spans="1:1">
      <c r="A28754" s="56"/>
    </row>
    <row r="28755" spans="1:1">
      <c r="A28755" s="56"/>
    </row>
    <row r="28756" spans="1:1">
      <c r="A28756" s="56"/>
    </row>
    <row r="28757" spans="1:1">
      <c r="A28757" s="56"/>
    </row>
    <row r="28758" spans="1:1">
      <c r="A28758" s="56"/>
    </row>
    <row r="28759" spans="1:1">
      <c r="A28759" s="56"/>
    </row>
    <row r="28760" spans="1:1">
      <c r="A28760" s="56"/>
    </row>
    <row r="28761" spans="1:1">
      <c r="A28761" s="56"/>
    </row>
    <row r="28762" spans="1:1">
      <c r="A28762" s="56"/>
    </row>
    <row r="28763" spans="1:1">
      <c r="A28763" s="56"/>
    </row>
    <row r="28764" spans="1:1">
      <c r="A28764" s="56"/>
    </row>
    <row r="28765" spans="1:1">
      <c r="A28765" s="56"/>
    </row>
    <row r="28766" spans="1:1">
      <c r="A28766" s="56"/>
    </row>
    <row r="28767" spans="1:1">
      <c r="A28767" s="56"/>
    </row>
    <row r="28768" spans="1:1">
      <c r="A28768" s="56"/>
    </row>
    <row r="28769" spans="1:1">
      <c r="A28769" s="56"/>
    </row>
    <row r="28770" spans="1:1">
      <c r="A28770" s="56"/>
    </row>
    <row r="28771" spans="1:1">
      <c r="A28771" s="56"/>
    </row>
    <row r="28772" spans="1:1">
      <c r="A28772" s="56"/>
    </row>
    <row r="28773" spans="1:1">
      <c r="A28773" s="56"/>
    </row>
    <row r="28774" spans="1:1">
      <c r="A28774" s="56"/>
    </row>
    <row r="28775" spans="1:1">
      <c r="A28775" s="56"/>
    </row>
    <row r="28776" spans="1:1">
      <c r="A28776" s="56"/>
    </row>
    <row r="28777" spans="1:1">
      <c r="A28777" s="56"/>
    </row>
    <row r="28778" spans="1:1">
      <c r="A28778" s="56"/>
    </row>
    <row r="28779" spans="1:1">
      <c r="A28779" s="56"/>
    </row>
    <row r="28780" spans="1:1">
      <c r="A28780" s="56"/>
    </row>
    <row r="28781" spans="1:1">
      <c r="A28781" s="56"/>
    </row>
    <row r="28782" spans="1:1">
      <c r="A28782" s="56"/>
    </row>
    <row r="28783" spans="1:1">
      <c r="A28783" s="56"/>
    </row>
    <row r="28784" spans="1:1">
      <c r="A28784" s="56"/>
    </row>
    <row r="28785" spans="1:1">
      <c r="A28785" s="56"/>
    </row>
    <row r="28786" spans="1:1">
      <c r="A28786" s="56"/>
    </row>
    <row r="28787" spans="1:1">
      <c r="A28787" s="56"/>
    </row>
    <row r="28788" spans="1:1">
      <c r="A28788" s="56"/>
    </row>
    <row r="28789" spans="1:1">
      <c r="A28789" s="56"/>
    </row>
    <row r="28790" spans="1:1">
      <c r="A28790" s="56"/>
    </row>
    <row r="28791" spans="1:1">
      <c r="A28791" s="56"/>
    </row>
    <row r="28792" spans="1:1">
      <c r="A28792" s="56"/>
    </row>
    <row r="28793" spans="1:1">
      <c r="A28793" s="56"/>
    </row>
    <row r="28794" spans="1:1">
      <c r="A28794" s="56"/>
    </row>
    <row r="28795" spans="1:1">
      <c r="A28795" s="56"/>
    </row>
    <row r="28796" spans="1:1">
      <c r="A28796" s="56"/>
    </row>
    <row r="28797" spans="1:1">
      <c r="A28797" s="56"/>
    </row>
    <row r="28798" spans="1:1">
      <c r="A28798" s="56"/>
    </row>
    <row r="28799" spans="1:1">
      <c r="A28799" s="56"/>
    </row>
    <row r="28800" spans="1:1">
      <c r="A28800" s="56"/>
    </row>
    <row r="28801" spans="1:1">
      <c r="A28801" s="56"/>
    </row>
    <row r="28802" spans="1:1">
      <c r="A28802" s="56"/>
    </row>
    <row r="28803" spans="1:1">
      <c r="A28803" s="56"/>
    </row>
    <row r="28804" spans="1:1">
      <c r="A28804" s="56"/>
    </row>
    <row r="28805" spans="1:1">
      <c r="A28805" s="56"/>
    </row>
    <row r="28806" spans="1:1">
      <c r="A28806" s="56"/>
    </row>
    <row r="28807" spans="1:1">
      <c r="A28807" s="56"/>
    </row>
    <row r="28808" spans="1:1">
      <c r="A28808" s="56"/>
    </row>
    <row r="28809" spans="1:1">
      <c r="A28809" s="56"/>
    </row>
    <row r="28810" spans="1:1">
      <c r="A28810" s="56"/>
    </row>
    <row r="28811" spans="1:1">
      <c r="A28811" s="56"/>
    </row>
    <row r="28812" spans="1:1">
      <c r="A28812" s="56"/>
    </row>
    <row r="28813" spans="1:1">
      <c r="A28813" s="56"/>
    </row>
    <row r="28814" spans="1:1">
      <c r="A28814" s="56"/>
    </row>
    <row r="28815" spans="1:1">
      <c r="A28815" s="56"/>
    </row>
    <row r="28816" spans="1:1">
      <c r="A28816" s="56"/>
    </row>
    <row r="28817" spans="1:1">
      <c r="A28817" s="56"/>
    </row>
    <row r="28818" spans="1:1">
      <c r="A28818" s="56"/>
    </row>
    <row r="28819" spans="1:1">
      <c r="A28819" s="56"/>
    </row>
    <row r="28820" spans="1:1">
      <c r="A28820" s="56"/>
    </row>
    <row r="28821" spans="1:1">
      <c r="A28821" s="56"/>
    </row>
    <row r="28822" spans="1:1">
      <c r="A28822" s="56"/>
    </row>
    <row r="28823" spans="1:1">
      <c r="A28823" s="56"/>
    </row>
    <row r="28824" spans="1:1">
      <c r="A28824" s="56"/>
    </row>
    <row r="28825" spans="1:1">
      <c r="A28825" s="56"/>
    </row>
    <row r="28826" spans="1:1">
      <c r="A28826" s="56"/>
    </row>
    <row r="28827" spans="1:1">
      <c r="A28827" s="56"/>
    </row>
    <row r="28828" spans="1:1">
      <c r="A28828" s="56"/>
    </row>
    <row r="28829" spans="1:1">
      <c r="A28829" s="56"/>
    </row>
    <row r="28830" spans="1:1">
      <c r="A28830" s="56"/>
    </row>
    <row r="28831" spans="1:1">
      <c r="A28831" s="56"/>
    </row>
    <row r="28832" spans="1:1">
      <c r="A28832" s="56"/>
    </row>
    <row r="28833" spans="1:1">
      <c r="A28833" s="56"/>
    </row>
    <row r="28834" spans="1:1">
      <c r="A28834" s="56"/>
    </row>
    <row r="28835" spans="1:1">
      <c r="A28835" s="56"/>
    </row>
    <row r="28836" spans="1:1">
      <c r="A28836" s="56"/>
    </row>
    <row r="28837" spans="1:1">
      <c r="A28837" s="56"/>
    </row>
    <row r="28838" spans="1:1">
      <c r="A28838" s="56"/>
    </row>
    <row r="28839" spans="1:1">
      <c r="A28839" s="56"/>
    </row>
    <row r="28840" spans="1:1">
      <c r="A28840" s="56"/>
    </row>
    <row r="28841" spans="1:1">
      <c r="A28841" s="56"/>
    </row>
    <row r="28842" spans="1:1">
      <c r="A28842" s="56"/>
    </row>
    <row r="28843" spans="1:1">
      <c r="A28843" s="56"/>
    </row>
    <row r="28844" spans="1:1">
      <c r="A28844" s="56"/>
    </row>
    <row r="28845" spans="1:1">
      <c r="A28845" s="56"/>
    </row>
    <row r="28846" spans="1:1">
      <c r="A28846" s="56"/>
    </row>
    <row r="28847" spans="1:1">
      <c r="A28847" s="56"/>
    </row>
    <row r="28848" spans="1:1">
      <c r="A28848" s="56"/>
    </row>
    <row r="28849" spans="1:1">
      <c r="A28849" s="56"/>
    </row>
    <row r="28850" spans="1:1">
      <c r="A28850" s="56"/>
    </row>
    <row r="28851" spans="1:1">
      <c r="A28851" s="56"/>
    </row>
    <row r="28852" spans="1:1">
      <c r="A28852" s="56"/>
    </row>
    <row r="28853" spans="1:1">
      <c r="A28853" s="56"/>
    </row>
    <row r="28854" spans="1:1">
      <c r="A28854" s="56"/>
    </row>
    <row r="28855" spans="1:1">
      <c r="A28855" s="56"/>
    </row>
    <row r="28856" spans="1:1">
      <c r="A28856" s="56"/>
    </row>
    <row r="28857" spans="1:1">
      <c r="A28857" s="56"/>
    </row>
    <row r="28858" spans="1:1">
      <c r="A28858" s="56"/>
    </row>
    <row r="28859" spans="1:1">
      <c r="A28859" s="56"/>
    </row>
    <row r="28860" spans="1:1">
      <c r="A28860" s="56"/>
    </row>
    <row r="28861" spans="1:1">
      <c r="A28861" s="56"/>
    </row>
    <row r="28862" spans="1:1">
      <c r="A28862" s="56"/>
    </row>
    <row r="28863" spans="1:1">
      <c r="A28863" s="56"/>
    </row>
    <row r="28864" spans="1:1">
      <c r="A28864" s="56"/>
    </row>
    <row r="28865" spans="1:1">
      <c r="A28865" s="56"/>
    </row>
    <row r="28866" spans="1:1">
      <c r="A28866" s="56"/>
    </row>
    <row r="28867" spans="1:1">
      <c r="A28867" s="56"/>
    </row>
    <row r="28868" spans="1:1">
      <c r="A28868" s="56"/>
    </row>
    <row r="28869" spans="1:1">
      <c r="A28869" s="56"/>
    </row>
    <row r="28870" spans="1:1">
      <c r="A28870" s="56"/>
    </row>
    <row r="28871" spans="1:1">
      <c r="A28871" s="56"/>
    </row>
    <row r="28872" spans="1:1">
      <c r="A28872" s="56"/>
    </row>
    <row r="28873" spans="1:1">
      <c r="A28873" s="56"/>
    </row>
    <row r="28874" spans="1:1">
      <c r="A28874" s="56"/>
    </row>
    <row r="28875" spans="1:1">
      <c r="A28875" s="56"/>
    </row>
    <row r="28876" spans="1:1">
      <c r="A28876" s="56"/>
    </row>
    <row r="28877" spans="1:1">
      <c r="A28877" s="56"/>
    </row>
    <row r="28878" spans="1:1">
      <c r="A28878" s="56"/>
    </row>
    <row r="28879" spans="1:1">
      <c r="A28879" s="56"/>
    </row>
    <row r="28880" spans="1:1">
      <c r="A28880" s="56"/>
    </row>
    <row r="28881" spans="1:1">
      <c r="A28881" s="56"/>
    </row>
    <row r="28882" spans="1:1">
      <c r="A28882" s="56"/>
    </row>
    <row r="28883" spans="1:1">
      <c r="A28883" s="56"/>
    </row>
    <row r="28884" spans="1:1">
      <c r="A28884" s="56"/>
    </row>
    <row r="28885" spans="1:1">
      <c r="A28885" s="56"/>
    </row>
    <row r="28886" spans="1:1">
      <c r="A28886" s="56"/>
    </row>
    <row r="28887" spans="1:1">
      <c r="A28887" s="56"/>
    </row>
    <row r="28888" spans="1:1">
      <c r="A28888" s="56"/>
    </row>
    <row r="28889" spans="1:1">
      <c r="A28889" s="56"/>
    </row>
    <row r="28890" spans="1:1">
      <c r="A28890" s="56"/>
    </row>
    <row r="28891" spans="1:1">
      <c r="A28891" s="56"/>
    </row>
    <row r="28892" spans="1:1">
      <c r="A28892" s="56"/>
    </row>
    <row r="28893" spans="1:1">
      <c r="A28893" s="56"/>
    </row>
    <row r="28894" spans="1:1">
      <c r="A28894" s="56"/>
    </row>
    <row r="28895" spans="1:1">
      <c r="A28895" s="56"/>
    </row>
    <row r="28896" spans="1:1">
      <c r="A28896" s="56"/>
    </row>
    <row r="28897" spans="1:1">
      <c r="A28897" s="56"/>
    </row>
    <row r="28898" spans="1:1">
      <c r="A28898" s="56"/>
    </row>
    <row r="28899" spans="1:1">
      <c r="A28899" s="56"/>
    </row>
    <row r="28900" spans="1:1">
      <c r="A28900" s="56"/>
    </row>
    <row r="28901" spans="1:1">
      <c r="A28901" s="56"/>
    </row>
    <row r="28902" spans="1:1">
      <c r="A28902" s="56"/>
    </row>
    <row r="28903" spans="1:1">
      <c r="A28903" s="56"/>
    </row>
    <row r="28904" spans="1:1">
      <c r="A28904" s="56"/>
    </row>
    <row r="28905" spans="1:1">
      <c r="A28905" s="56"/>
    </row>
    <row r="28906" spans="1:1">
      <c r="A28906" s="56"/>
    </row>
    <row r="28907" spans="1:1">
      <c r="A28907" s="56"/>
    </row>
    <row r="28908" spans="1:1">
      <c r="A28908" s="56"/>
    </row>
    <row r="28909" spans="1:1">
      <c r="A28909" s="56"/>
    </row>
    <row r="28910" spans="1:1">
      <c r="A28910" s="56"/>
    </row>
    <row r="28911" spans="1:1">
      <c r="A28911" s="56"/>
    </row>
    <row r="28912" spans="1:1">
      <c r="A28912" s="56"/>
    </row>
    <row r="28913" spans="1:1">
      <c r="A28913" s="56"/>
    </row>
    <row r="28914" spans="1:1">
      <c r="A28914" s="56"/>
    </row>
    <row r="28915" spans="1:1">
      <c r="A28915" s="56"/>
    </row>
    <row r="28916" spans="1:1">
      <c r="A28916" s="56"/>
    </row>
    <row r="28917" spans="1:1">
      <c r="A28917" s="56"/>
    </row>
    <row r="28918" spans="1:1">
      <c r="A28918" s="56"/>
    </row>
    <row r="28919" spans="1:1">
      <c r="A28919" s="56"/>
    </row>
    <row r="28920" spans="1:1">
      <c r="A28920" s="56"/>
    </row>
    <row r="28921" spans="1:1">
      <c r="A28921" s="56"/>
    </row>
    <row r="28922" spans="1:1">
      <c r="A28922" s="56"/>
    </row>
    <row r="28923" spans="1:1">
      <c r="A28923" s="56"/>
    </row>
    <row r="28924" spans="1:1">
      <c r="A28924" s="56"/>
    </row>
    <row r="28925" spans="1:1">
      <c r="A28925" s="56"/>
    </row>
    <row r="28926" spans="1:1">
      <c r="A28926" s="56"/>
    </row>
    <row r="28927" spans="1:1">
      <c r="A28927" s="56"/>
    </row>
    <row r="28928" spans="1:1">
      <c r="A28928" s="56"/>
    </row>
    <row r="28929" spans="1:1">
      <c r="A28929" s="56"/>
    </row>
    <row r="28930" spans="1:1">
      <c r="A28930" s="56"/>
    </row>
    <row r="28931" spans="1:1">
      <c r="A28931" s="56"/>
    </row>
    <row r="28932" spans="1:1">
      <c r="A28932" s="56"/>
    </row>
    <row r="28933" spans="1:1">
      <c r="A28933" s="56"/>
    </row>
    <row r="28934" spans="1:1">
      <c r="A28934" s="56"/>
    </row>
    <row r="28935" spans="1:1">
      <c r="A28935" s="56"/>
    </row>
    <row r="28936" spans="1:1">
      <c r="A28936" s="56"/>
    </row>
    <row r="28937" spans="1:1">
      <c r="A28937" s="56"/>
    </row>
    <row r="28938" spans="1:1">
      <c r="A28938" s="56"/>
    </row>
    <row r="28939" spans="1:1">
      <c r="A28939" s="56"/>
    </row>
    <row r="28940" spans="1:1">
      <c r="A28940" s="56"/>
    </row>
    <row r="28941" spans="1:1">
      <c r="A28941" s="56"/>
    </row>
    <row r="28942" spans="1:1">
      <c r="A28942" s="56"/>
    </row>
    <row r="28943" spans="1:1">
      <c r="A28943" s="56"/>
    </row>
    <row r="28944" spans="1:1">
      <c r="A28944" s="56"/>
    </row>
    <row r="28945" spans="1:1">
      <c r="A28945" s="56"/>
    </row>
    <row r="28946" spans="1:1">
      <c r="A28946" s="56"/>
    </row>
    <row r="28947" spans="1:1">
      <c r="A28947" s="56"/>
    </row>
    <row r="28948" spans="1:1">
      <c r="A28948" s="56"/>
    </row>
    <row r="28949" spans="1:1">
      <c r="A28949" s="56"/>
    </row>
    <row r="28950" spans="1:1">
      <c r="A28950" s="56"/>
    </row>
    <row r="28951" spans="1:1">
      <c r="A28951" s="56"/>
    </row>
    <row r="28952" spans="1:1">
      <c r="A28952" s="56"/>
    </row>
    <row r="28953" spans="1:1">
      <c r="A28953" s="56"/>
    </row>
    <row r="28954" spans="1:1">
      <c r="A28954" s="56"/>
    </row>
    <row r="28955" spans="1:1">
      <c r="A28955" s="56"/>
    </row>
    <row r="28956" spans="1:1">
      <c r="A28956" s="56"/>
    </row>
    <row r="28957" spans="1:1">
      <c r="A28957" s="56"/>
    </row>
    <row r="28958" spans="1:1">
      <c r="A28958" s="56"/>
    </row>
    <row r="28959" spans="1:1">
      <c r="A28959" s="56"/>
    </row>
    <row r="28960" spans="1:1">
      <c r="A28960" s="56"/>
    </row>
    <row r="28961" spans="1:1">
      <c r="A28961" s="56"/>
    </row>
    <row r="28962" spans="1:1">
      <c r="A28962" s="56"/>
    </row>
    <row r="28963" spans="1:1">
      <c r="A28963" s="56"/>
    </row>
    <row r="28964" spans="1:1">
      <c r="A28964" s="56"/>
    </row>
    <row r="28965" spans="1:1">
      <c r="A28965" s="56"/>
    </row>
    <row r="28966" spans="1:1">
      <c r="A28966" s="56"/>
    </row>
    <row r="28967" spans="1:1">
      <c r="A28967" s="56"/>
    </row>
    <row r="28968" spans="1:1">
      <c r="A28968" s="56"/>
    </row>
    <row r="28969" spans="1:1">
      <c r="A28969" s="56"/>
    </row>
    <row r="28970" spans="1:1">
      <c r="A28970" s="56"/>
    </row>
    <row r="28971" spans="1:1">
      <c r="A28971" s="56"/>
    </row>
    <row r="28972" spans="1:1">
      <c r="A28972" s="56"/>
    </row>
    <row r="28973" spans="1:1">
      <c r="A28973" s="56"/>
    </row>
    <row r="28974" spans="1:1">
      <c r="A28974" s="56"/>
    </row>
    <row r="28975" spans="1:1">
      <c r="A28975" s="56"/>
    </row>
    <row r="28976" spans="1:1">
      <c r="A28976" s="56"/>
    </row>
    <row r="28977" spans="1:1">
      <c r="A28977" s="56"/>
    </row>
    <row r="28978" spans="1:1">
      <c r="A28978" s="56"/>
    </row>
    <row r="28979" spans="1:1">
      <c r="A28979" s="56"/>
    </row>
    <row r="28980" spans="1:1">
      <c r="A28980" s="56"/>
    </row>
    <row r="28981" spans="1:1">
      <c r="A28981" s="56"/>
    </row>
    <row r="28982" spans="1:1">
      <c r="A28982" s="56"/>
    </row>
    <row r="28983" spans="1:1">
      <c r="A28983" s="56"/>
    </row>
    <row r="28984" spans="1:1">
      <c r="A28984" s="56"/>
    </row>
    <row r="28985" spans="1:1">
      <c r="A28985" s="56"/>
    </row>
    <row r="28986" spans="1:1">
      <c r="A28986" s="56"/>
    </row>
    <row r="28987" spans="1:1">
      <c r="A28987" s="56"/>
    </row>
    <row r="28988" spans="1:1">
      <c r="A28988" s="56"/>
    </row>
    <row r="28989" spans="1:1">
      <c r="A28989" s="56"/>
    </row>
    <row r="28990" spans="1:1">
      <c r="A28990" s="56"/>
    </row>
    <row r="28991" spans="1:1">
      <c r="A28991" s="56"/>
    </row>
    <row r="28992" spans="1:1">
      <c r="A28992" s="56"/>
    </row>
    <row r="28993" spans="1:1">
      <c r="A28993" s="56"/>
    </row>
    <row r="28994" spans="1:1">
      <c r="A28994" s="56"/>
    </row>
    <row r="28995" spans="1:1">
      <c r="A28995" s="56"/>
    </row>
    <row r="28996" spans="1:1">
      <c r="A28996" s="56"/>
    </row>
    <row r="28997" spans="1:1">
      <c r="A28997" s="56"/>
    </row>
    <row r="28998" spans="1:1">
      <c r="A28998" s="56"/>
    </row>
    <row r="28999" spans="1:1">
      <c r="A28999" s="56"/>
    </row>
    <row r="29000" spans="1:1">
      <c r="A29000" s="56"/>
    </row>
    <row r="29001" spans="1:1">
      <c r="A29001" s="56"/>
    </row>
    <row r="29002" spans="1:1">
      <c r="A29002" s="56"/>
    </row>
    <row r="29003" spans="1:1">
      <c r="A29003" s="56"/>
    </row>
    <row r="29004" spans="1:1">
      <c r="A29004" s="56"/>
    </row>
    <row r="29005" spans="1:1">
      <c r="A29005" s="56"/>
    </row>
    <row r="29006" spans="1:1">
      <c r="A29006" s="56"/>
    </row>
    <row r="29007" spans="1:1">
      <c r="A29007" s="56"/>
    </row>
    <row r="29008" spans="1:1">
      <c r="A29008" s="56"/>
    </row>
    <row r="29009" spans="1:1">
      <c r="A29009" s="56"/>
    </row>
    <row r="29010" spans="1:1">
      <c r="A29010" s="56"/>
    </row>
    <row r="29011" spans="1:1">
      <c r="A29011" s="56"/>
    </row>
    <row r="29012" spans="1:1">
      <c r="A29012" s="56"/>
    </row>
    <row r="29013" spans="1:1">
      <c r="A29013" s="56"/>
    </row>
    <row r="29014" spans="1:1">
      <c r="A29014" s="56"/>
    </row>
    <row r="29015" spans="1:1">
      <c r="A29015" s="56"/>
    </row>
    <row r="29016" spans="1:1">
      <c r="A29016" s="56"/>
    </row>
    <row r="29017" spans="1:1">
      <c r="A29017" s="56"/>
    </row>
    <row r="29018" spans="1:1">
      <c r="A29018" s="56"/>
    </row>
    <row r="29019" spans="1:1">
      <c r="A29019" s="56"/>
    </row>
    <row r="29020" spans="1:1">
      <c r="A29020" s="56"/>
    </row>
    <row r="29021" spans="1:1">
      <c r="A29021" s="56"/>
    </row>
    <row r="29022" spans="1:1">
      <c r="A29022" s="56"/>
    </row>
    <row r="29023" spans="1:1">
      <c r="A29023" s="56"/>
    </row>
    <row r="29024" spans="1:1">
      <c r="A29024" s="56"/>
    </row>
    <row r="29025" spans="1:1">
      <c r="A29025" s="56"/>
    </row>
    <row r="29026" spans="1:1">
      <c r="A29026" s="56"/>
    </row>
    <row r="29027" spans="1:1">
      <c r="A29027" s="56"/>
    </row>
    <row r="29028" spans="1:1">
      <c r="A29028" s="56"/>
    </row>
    <row r="29029" spans="1:1">
      <c r="A29029" s="56"/>
    </row>
    <row r="29030" spans="1:1">
      <c r="A29030" s="56"/>
    </row>
    <row r="29031" spans="1:1">
      <c r="A29031" s="56"/>
    </row>
    <row r="29032" spans="1:1">
      <c r="A29032" s="56"/>
    </row>
    <row r="29033" spans="1:1">
      <c r="A29033" s="56"/>
    </row>
    <row r="29034" spans="1:1">
      <c r="A29034" s="56"/>
    </row>
    <row r="29035" spans="1:1">
      <c r="A29035" s="56"/>
    </row>
    <row r="29036" spans="1:1">
      <c r="A29036" s="56"/>
    </row>
    <row r="29037" spans="1:1">
      <c r="A29037" s="56"/>
    </row>
    <row r="29038" spans="1:1">
      <c r="A29038" s="56"/>
    </row>
    <row r="29039" spans="1:1">
      <c r="A29039" s="56"/>
    </row>
    <row r="29040" spans="1:1">
      <c r="A29040" s="56"/>
    </row>
    <row r="29041" spans="1:1">
      <c r="A29041" s="56"/>
    </row>
    <row r="29042" spans="1:1">
      <c r="A29042" s="56"/>
    </row>
    <row r="29043" spans="1:1">
      <c r="A29043" s="56"/>
    </row>
    <row r="29044" spans="1:1">
      <c r="A29044" s="56"/>
    </row>
    <row r="29045" spans="1:1">
      <c r="A29045" s="56"/>
    </row>
    <row r="29046" spans="1:1">
      <c r="A29046" s="56"/>
    </row>
    <row r="29047" spans="1:1">
      <c r="A29047" s="56"/>
    </row>
    <row r="29048" spans="1:1">
      <c r="A29048" s="56"/>
    </row>
    <row r="29049" spans="1:1">
      <c r="A29049" s="56"/>
    </row>
    <row r="29050" spans="1:1">
      <c r="A29050" s="56"/>
    </row>
    <row r="29051" spans="1:1">
      <c r="A29051" s="56"/>
    </row>
    <row r="29052" spans="1:1">
      <c r="A29052" s="56"/>
    </row>
    <row r="29053" spans="1:1">
      <c r="A29053" s="56"/>
    </row>
    <row r="29054" spans="1:1">
      <c r="A29054" s="56"/>
    </row>
    <row r="29055" spans="1:1">
      <c r="A29055" s="56"/>
    </row>
    <row r="29056" spans="1:1">
      <c r="A29056" s="56"/>
    </row>
    <row r="29057" spans="1:1">
      <c r="A29057" s="56"/>
    </row>
    <row r="29058" spans="1:1">
      <c r="A29058" s="56"/>
    </row>
    <row r="29059" spans="1:1">
      <c r="A29059" s="56"/>
    </row>
    <row r="29060" spans="1:1">
      <c r="A29060" s="56"/>
    </row>
    <row r="29061" spans="1:1">
      <c r="A29061" s="56"/>
    </row>
    <row r="29062" spans="1:1">
      <c r="A29062" s="56"/>
    </row>
    <row r="29063" spans="1:1">
      <c r="A29063" s="56"/>
    </row>
    <row r="29064" spans="1:1">
      <c r="A29064" s="56"/>
    </row>
    <row r="29065" spans="1:1">
      <c r="A29065" s="56"/>
    </row>
    <row r="29066" spans="1:1">
      <c r="A29066" s="56"/>
    </row>
    <row r="29067" spans="1:1">
      <c r="A29067" s="56"/>
    </row>
    <row r="29068" spans="1:1">
      <c r="A29068" s="56"/>
    </row>
    <row r="29069" spans="1:1">
      <c r="A29069" s="56"/>
    </row>
    <row r="29070" spans="1:1">
      <c r="A29070" s="56"/>
    </row>
    <row r="29071" spans="1:1">
      <c r="A29071" s="56"/>
    </row>
    <row r="29072" spans="1:1">
      <c r="A29072" s="56"/>
    </row>
    <row r="29073" spans="1:1">
      <c r="A29073" s="56"/>
    </row>
    <row r="29074" spans="1:1">
      <c r="A29074" s="56"/>
    </row>
    <row r="29075" spans="1:1">
      <c r="A29075" s="56"/>
    </row>
    <row r="29076" spans="1:1">
      <c r="A29076" s="56"/>
    </row>
    <row r="29077" spans="1:1">
      <c r="A29077" s="56"/>
    </row>
    <row r="29078" spans="1:1">
      <c r="A29078" s="56"/>
    </row>
    <row r="29079" spans="1:1">
      <c r="A29079" s="56"/>
    </row>
    <row r="29080" spans="1:1">
      <c r="A29080" s="56"/>
    </row>
    <row r="29081" spans="1:1">
      <c r="A29081" s="56"/>
    </row>
    <row r="29082" spans="1:1">
      <c r="A29082" s="56"/>
    </row>
    <row r="29083" spans="1:1">
      <c r="A29083" s="56"/>
    </row>
    <row r="29084" spans="1:1">
      <c r="A29084" s="56"/>
    </row>
    <row r="29085" spans="1:1">
      <c r="A29085" s="56"/>
    </row>
    <row r="29086" spans="1:1">
      <c r="A29086" s="56"/>
    </row>
    <row r="29087" spans="1:1">
      <c r="A29087" s="56"/>
    </row>
    <row r="29088" spans="1:1">
      <c r="A29088" s="56"/>
    </row>
    <row r="29089" spans="1:1">
      <c r="A29089" s="56"/>
    </row>
    <row r="29090" spans="1:1">
      <c r="A29090" s="56"/>
    </row>
    <row r="29091" spans="1:1">
      <c r="A29091" s="56"/>
    </row>
    <row r="29092" spans="1:1">
      <c r="A29092" s="56"/>
    </row>
    <row r="29093" spans="1:1">
      <c r="A29093" s="56"/>
    </row>
    <row r="29094" spans="1:1">
      <c r="A29094" s="56"/>
    </row>
    <row r="29095" spans="1:1">
      <c r="A29095" s="56"/>
    </row>
    <row r="29096" spans="1:1">
      <c r="A29096" s="56"/>
    </row>
    <row r="29097" spans="1:1">
      <c r="A29097" s="56"/>
    </row>
    <row r="29098" spans="1:1">
      <c r="A29098" s="56"/>
    </row>
    <row r="29099" spans="1:1">
      <c r="A29099" s="56"/>
    </row>
    <row r="29100" spans="1:1">
      <c r="A29100" s="56"/>
    </row>
    <row r="29101" spans="1:1">
      <c r="A29101" s="56"/>
    </row>
    <row r="29102" spans="1:1">
      <c r="A29102" s="56"/>
    </row>
    <row r="29103" spans="1:1">
      <c r="A29103" s="56"/>
    </row>
    <row r="29104" spans="1:1">
      <c r="A29104" s="56"/>
    </row>
    <row r="29105" spans="1:1">
      <c r="A29105" s="56"/>
    </row>
    <row r="29106" spans="1:1">
      <c r="A29106" s="56"/>
    </row>
    <row r="29107" spans="1:1">
      <c r="A29107" s="56"/>
    </row>
    <row r="29108" spans="1:1">
      <c r="A29108" s="56"/>
    </row>
    <row r="29109" spans="1:1">
      <c r="A29109" s="56"/>
    </row>
    <row r="29110" spans="1:1">
      <c r="A29110" s="56"/>
    </row>
    <row r="29111" spans="1:1">
      <c r="A29111" s="56"/>
    </row>
    <row r="29112" spans="1:1">
      <c r="A29112" s="56"/>
    </row>
    <row r="29113" spans="1:1">
      <c r="A29113" s="56"/>
    </row>
    <row r="29114" spans="1:1">
      <c r="A29114" s="56"/>
    </row>
    <row r="29115" spans="1:1">
      <c r="A29115" s="56"/>
    </row>
    <row r="29116" spans="1:1">
      <c r="A29116" s="56"/>
    </row>
    <row r="29117" spans="1:1">
      <c r="A29117" s="56"/>
    </row>
    <row r="29118" spans="1:1">
      <c r="A29118" s="56"/>
    </row>
    <row r="29119" spans="1:1">
      <c r="A29119" s="56"/>
    </row>
    <row r="29120" spans="1:1">
      <c r="A29120" s="56"/>
    </row>
    <row r="29121" spans="1:1">
      <c r="A29121" s="56"/>
    </row>
    <row r="29122" spans="1:1">
      <c r="A29122" s="56"/>
    </row>
    <row r="29123" spans="1:1">
      <c r="A29123" s="56"/>
    </row>
    <row r="29124" spans="1:1">
      <c r="A29124" s="56"/>
    </row>
    <row r="29125" spans="1:1">
      <c r="A29125" s="56"/>
    </row>
    <row r="29126" spans="1:1">
      <c r="A29126" s="56"/>
    </row>
    <row r="29127" spans="1:1">
      <c r="A29127" s="56"/>
    </row>
    <row r="29128" spans="1:1">
      <c r="A29128" s="56"/>
    </row>
    <row r="29129" spans="1:1">
      <c r="A29129" s="56"/>
    </row>
    <row r="29130" spans="1:1">
      <c r="A29130" s="56"/>
    </row>
    <row r="29131" spans="1:1">
      <c r="A29131" s="56"/>
    </row>
    <row r="29132" spans="1:1">
      <c r="A29132" s="56"/>
    </row>
    <row r="29133" spans="1:1">
      <c r="A29133" s="56"/>
    </row>
    <row r="29134" spans="1:1">
      <c r="A29134" s="56"/>
    </row>
    <row r="29135" spans="1:1">
      <c r="A29135" s="56"/>
    </row>
    <row r="29136" spans="1:1">
      <c r="A29136" s="56"/>
    </row>
    <row r="29137" spans="1:1">
      <c r="A29137" s="56"/>
    </row>
    <row r="29138" spans="1:1">
      <c r="A29138" s="56"/>
    </row>
    <row r="29139" spans="1:1">
      <c r="A29139" s="56"/>
    </row>
    <row r="29140" spans="1:1">
      <c r="A29140" s="56"/>
    </row>
    <row r="29141" spans="1:1">
      <c r="A29141" s="56"/>
    </row>
    <row r="29142" spans="1:1">
      <c r="A29142" s="56"/>
    </row>
    <row r="29143" spans="1:1">
      <c r="A29143" s="56"/>
    </row>
    <row r="29144" spans="1:1">
      <c r="A29144" s="56"/>
    </row>
    <row r="29145" spans="1:1">
      <c r="A29145" s="56"/>
    </row>
    <row r="29146" spans="1:1">
      <c r="A29146" s="56"/>
    </row>
    <row r="29147" spans="1:1">
      <c r="A29147" s="56"/>
    </row>
    <row r="29148" spans="1:1">
      <c r="A29148" s="56"/>
    </row>
    <row r="29149" spans="1:1">
      <c r="A29149" s="56"/>
    </row>
    <row r="29150" spans="1:1">
      <c r="A29150" s="56"/>
    </row>
    <row r="29151" spans="1:1">
      <c r="A29151" s="56"/>
    </row>
    <row r="29152" spans="1:1">
      <c r="A29152" s="56"/>
    </row>
    <row r="29153" spans="1:1">
      <c r="A29153" s="56"/>
    </row>
    <row r="29154" spans="1:1">
      <c r="A29154" s="56"/>
    </row>
    <row r="29155" spans="1:1">
      <c r="A29155" s="56"/>
    </row>
    <row r="29156" spans="1:1">
      <c r="A29156" s="56"/>
    </row>
    <row r="29157" spans="1:1">
      <c r="A29157" s="56"/>
    </row>
    <row r="29158" spans="1:1">
      <c r="A29158" s="56"/>
    </row>
    <row r="29159" spans="1:1">
      <c r="A29159" s="56"/>
    </row>
    <row r="29160" spans="1:1">
      <c r="A29160" s="56"/>
    </row>
    <row r="29161" spans="1:1">
      <c r="A29161" s="56"/>
    </row>
    <row r="29162" spans="1:1">
      <c r="A29162" s="56"/>
    </row>
    <row r="29163" spans="1:1">
      <c r="A29163" s="56"/>
    </row>
    <row r="29164" spans="1:1">
      <c r="A29164" s="56"/>
    </row>
    <row r="29165" spans="1:1">
      <c r="A29165" s="56"/>
    </row>
    <row r="29166" spans="1:1">
      <c r="A29166" s="56"/>
    </row>
    <row r="29167" spans="1:1">
      <c r="A29167" s="56"/>
    </row>
    <row r="29168" spans="1:1">
      <c r="A29168" s="56"/>
    </row>
    <row r="29169" spans="1:1">
      <c r="A29169" s="56"/>
    </row>
    <row r="29170" spans="1:1">
      <c r="A29170" s="56"/>
    </row>
    <row r="29171" spans="1:1">
      <c r="A29171" s="56"/>
    </row>
    <row r="29172" spans="1:1">
      <c r="A29172" s="56"/>
    </row>
    <row r="29173" spans="1:1">
      <c r="A29173" s="56"/>
    </row>
    <row r="29174" spans="1:1">
      <c r="A29174" s="56"/>
    </row>
    <row r="29175" spans="1:1">
      <c r="A29175" s="56"/>
    </row>
    <row r="29176" spans="1:1">
      <c r="A29176" s="56"/>
    </row>
    <row r="29177" spans="1:1">
      <c r="A29177" s="56"/>
    </row>
    <row r="29178" spans="1:1">
      <c r="A29178" s="56"/>
    </row>
    <row r="29179" spans="1:1">
      <c r="A29179" s="56"/>
    </row>
    <row r="29180" spans="1:1">
      <c r="A29180" s="56"/>
    </row>
    <row r="29181" spans="1:1">
      <c r="A29181" s="56"/>
    </row>
    <row r="29182" spans="1:1">
      <c r="A29182" s="56"/>
    </row>
    <row r="29183" spans="1:1">
      <c r="A29183" s="56"/>
    </row>
    <row r="29184" spans="1:1">
      <c r="A29184" s="56"/>
    </row>
    <row r="29185" spans="1:1">
      <c r="A29185" s="56"/>
    </row>
    <row r="29186" spans="1:1">
      <c r="A29186" s="56"/>
    </row>
    <row r="29187" spans="1:1">
      <c r="A29187" s="56"/>
    </row>
    <row r="29188" spans="1:1">
      <c r="A29188" s="56"/>
    </row>
    <row r="29189" spans="1:1">
      <c r="A29189" s="56"/>
    </row>
    <row r="29190" spans="1:1">
      <c r="A29190" s="56"/>
    </row>
    <row r="29191" spans="1:1">
      <c r="A29191" s="56"/>
    </row>
    <row r="29192" spans="1:1">
      <c r="A29192" s="56"/>
    </row>
    <row r="29193" spans="1:1">
      <c r="A29193" s="56"/>
    </row>
    <row r="29194" spans="1:1">
      <c r="A29194" s="56"/>
    </row>
    <row r="29195" spans="1:1">
      <c r="A29195" s="56"/>
    </row>
    <row r="29196" spans="1:1">
      <c r="A29196" s="56"/>
    </row>
    <row r="29197" spans="1:1">
      <c r="A29197" s="56"/>
    </row>
    <row r="29198" spans="1:1">
      <c r="A29198" s="56"/>
    </row>
    <row r="29199" spans="1:1">
      <c r="A29199" s="56"/>
    </row>
    <row r="29200" spans="1:1">
      <c r="A29200" s="56"/>
    </row>
    <row r="29201" spans="1:1">
      <c r="A29201" s="56"/>
    </row>
    <row r="29202" spans="1:1">
      <c r="A29202" s="56"/>
    </row>
    <row r="29203" spans="1:1">
      <c r="A29203" s="56"/>
    </row>
    <row r="29204" spans="1:1">
      <c r="A29204" s="56"/>
    </row>
    <row r="29205" spans="1:1">
      <c r="A29205" s="56"/>
    </row>
    <row r="29206" spans="1:1">
      <c r="A29206" s="56"/>
    </row>
    <row r="29207" spans="1:1">
      <c r="A29207" s="56"/>
    </row>
    <row r="29208" spans="1:1">
      <c r="A29208" s="56"/>
    </row>
    <row r="29209" spans="1:1">
      <c r="A29209" s="56"/>
    </row>
    <row r="29210" spans="1:1">
      <c r="A29210" s="56"/>
    </row>
    <row r="29211" spans="1:1">
      <c r="A29211" s="56"/>
    </row>
    <row r="29212" spans="1:1">
      <c r="A29212" s="56"/>
    </row>
    <row r="29213" spans="1:1">
      <c r="A29213" s="56"/>
    </row>
    <row r="29214" spans="1:1">
      <c r="A29214" s="56"/>
    </row>
    <row r="29215" spans="1:1">
      <c r="A29215" s="56"/>
    </row>
    <row r="29216" spans="1:1">
      <c r="A29216" s="56"/>
    </row>
    <row r="29217" spans="1:1">
      <c r="A29217" s="56"/>
    </row>
    <row r="29218" spans="1:1">
      <c r="A29218" s="56"/>
    </row>
    <row r="29219" spans="1:1">
      <c r="A29219" s="56"/>
    </row>
    <row r="29220" spans="1:1">
      <c r="A29220" s="56"/>
    </row>
    <row r="29221" spans="1:1">
      <c r="A29221" s="56"/>
    </row>
    <row r="29222" spans="1:1">
      <c r="A29222" s="56"/>
    </row>
    <row r="29223" spans="1:1">
      <c r="A29223" s="56"/>
    </row>
    <row r="29224" spans="1:1">
      <c r="A29224" s="56"/>
    </row>
    <row r="29225" spans="1:1">
      <c r="A29225" s="56"/>
    </row>
    <row r="29226" spans="1:1">
      <c r="A29226" s="56"/>
    </row>
    <row r="29227" spans="1:1">
      <c r="A29227" s="56"/>
    </row>
    <row r="29228" spans="1:1">
      <c r="A29228" s="56"/>
    </row>
    <row r="29229" spans="1:1">
      <c r="A29229" s="56"/>
    </row>
    <row r="29230" spans="1:1">
      <c r="A29230" s="56"/>
    </row>
    <row r="29231" spans="1:1">
      <c r="A29231" s="56"/>
    </row>
    <row r="29232" spans="1:1">
      <c r="A29232" s="56"/>
    </row>
    <row r="29233" spans="1:1">
      <c r="A29233" s="56"/>
    </row>
    <row r="29234" spans="1:1">
      <c r="A29234" s="56"/>
    </row>
    <row r="29235" spans="1:1">
      <c r="A29235" s="56"/>
    </row>
    <row r="29236" spans="1:1">
      <c r="A29236" s="56"/>
    </row>
    <row r="29237" spans="1:1">
      <c r="A29237" s="56"/>
    </row>
    <row r="29238" spans="1:1">
      <c r="A29238" s="56"/>
    </row>
    <row r="29239" spans="1:1">
      <c r="A29239" s="56"/>
    </row>
    <row r="29240" spans="1:1">
      <c r="A29240" s="56"/>
    </row>
    <row r="29241" spans="1:1">
      <c r="A29241" s="56"/>
    </row>
    <row r="29242" spans="1:1">
      <c r="A29242" s="56"/>
    </row>
    <row r="29243" spans="1:1">
      <c r="A29243" s="56"/>
    </row>
    <row r="29244" spans="1:1">
      <c r="A29244" s="56"/>
    </row>
    <row r="29245" spans="1:1">
      <c r="A29245" s="56"/>
    </row>
    <row r="29246" spans="1:1">
      <c r="A29246" s="56"/>
    </row>
    <row r="29247" spans="1:1">
      <c r="A29247" s="56"/>
    </row>
    <row r="29248" spans="1:1">
      <c r="A29248" s="56"/>
    </row>
    <row r="29249" spans="1:1">
      <c r="A29249" s="56"/>
    </row>
    <row r="29250" spans="1:1">
      <c r="A29250" s="56"/>
    </row>
    <row r="29251" spans="1:1">
      <c r="A29251" s="56"/>
    </row>
    <row r="29252" spans="1:1">
      <c r="A29252" s="56"/>
    </row>
    <row r="29253" spans="1:1">
      <c r="A29253" s="56"/>
    </row>
    <row r="29254" spans="1:1">
      <c r="A29254" s="56"/>
    </row>
    <row r="29255" spans="1:1">
      <c r="A29255" s="56"/>
    </row>
    <row r="29256" spans="1:1">
      <c r="A29256" s="56"/>
    </row>
    <row r="29257" spans="1:1">
      <c r="A29257" s="56"/>
    </row>
    <row r="29258" spans="1:1">
      <c r="A29258" s="56"/>
    </row>
    <row r="29259" spans="1:1">
      <c r="A29259" s="56"/>
    </row>
    <row r="29260" spans="1:1">
      <c r="A29260" s="56"/>
    </row>
    <row r="29261" spans="1:1">
      <c r="A29261" s="56"/>
    </row>
    <row r="29262" spans="1:1">
      <c r="A29262" s="56"/>
    </row>
    <row r="29263" spans="1:1">
      <c r="A29263" s="56"/>
    </row>
    <row r="29264" spans="1:1">
      <c r="A29264" s="56"/>
    </row>
    <row r="29265" spans="1:1">
      <c r="A29265" s="56"/>
    </row>
    <row r="29266" spans="1:1">
      <c r="A29266" s="56"/>
    </row>
    <row r="29267" spans="1:1">
      <c r="A29267" s="56"/>
    </row>
    <row r="29268" spans="1:1">
      <c r="A29268" s="56"/>
    </row>
    <row r="29269" spans="1:1">
      <c r="A29269" s="56"/>
    </row>
    <row r="29270" spans="1:1">
      <c r="A29270" s="56"/>
    </row>
    <row r="29271" spans="1:1">
      <c r="A29271" s="56"/>
    </row>
    <row r="29272" spans="1:1">
      <c r="A29272" s="56"/>
    </row>
    <row r="29273" spans="1:1">
      <c r="A29273" s="56"/>
    </row>
    <row r="29274" spans="1:1">
      <c r="A29274" s="56"/>
    </row>
    <row r="29275" spans="1:1">
      <c r="A29275" s="56"/>
    </row>
    <row r="29276" spans="1:1">
      <c r="A29276" s="56"/>
    </row>
    <row r="29277" spans="1:1">
      <c r="A29277" s="56"/>
    </row>
    <row r="29278" spans="1:1">
      <c r="A29278" s="56"/>
    </row>
    <row r="29279" spans="1:1">
      <c r="A29279" s="56"/>
    </row>
    <row r="29280" spans="1:1">
      <c r="A29280" s="56"/>
    </row>
    <row r="29281" spans="1:1">
      <c r="A29281" s="56"/>
    </row>
    <row r="29282" spans="1:1">
      <c r="A29282" s="56"/>
    </row>
    <row r="29283" spans="1:1">
      <c r="A29283" s="56"/>
    </row>
    <row r="29284" spans="1:1">
      <c r="A29284" s="56"/>
    </row>
    <row r="29285" spans="1:1">
      <c r="A29285" s="56"/>
    </row>
    <row r="29286" spans="1:1">
      <c r="A29286" s="56"/>
    </row>
    <row r="29287" spans="1:1">
      <c r="A29287" s="56"/>
    </row>
    <row r="29288" spans="1:1">
      <c r="A29288" s="56"/>
    </row>
    <row r="29289" spans="1:1">
      <c r="A29289" s="56"/>
    </row>
    <row r="29290" spans="1:1">
      <c r="A29290" s="56"/>
    </row>
    <row r="29291" spans="1:1">
      <c r="A29291" s="56"/>
    </row>
    <row r="29292" spans="1:1">
      <c r="A29292" s="56"/>
    </row>
    <row r="29293" spans="1:1">
      <c r="A29293" s="56"/>
    </row>
    <row r="29294" spans="1:1">
      <c r="A29294" s="56"/>
    </row>
    <row r="29295" spans="1:1">
      <c r="A29295" s="56"/>
    </row>
    <row r="29296" spans="1:1">
      <c r="A29296" s="56"/>
    </row>
    <row r="29297" spans="1:1">
      <c r="A29297" s="56"/>
    </row>
    <row r="29298" spans="1:1">
      <c r="A29298" s="56"/>
    </row>
    <row r="29299" spans="1:1">
      <c r="A29299" s="56"/>
    </row>
    <row r="29300" spans="1:1">
      <c r="A29300" s="56"/>
    </row>
    <row r="29301" spans="1:1">
      <c r="A29301" s="56"/>
    </row>
    <row r="29302" spans="1:1">
      <c r="A29302" s="56"/>
    </row>
    <row r="29303" spans="1:1">
      <c r="A29303" s="56"/>
    </row>
    <row r="29304" spans="1:1">
      <c r="A29304" s="56"/>
    </row>
    <row r="29305" spans="1:1">
      <c r="A29305" s="56"/>
    </row>
    <row r="29306" spans="1:1">
      <c r="A29306" s="56"/>
    </row>
    <row r="29307" spans="1:1">
      <c r="A29307" s="56"/>
    </row>
    <row r="29308" spans="1:1">
      <c r="A29308" s="56"/>
    </row>
    <row r="29309" spans="1:1">
      <c r="A29309" s="56"/>
    </row>
    <row r="29310" spans="1:1">
      <c r="A29310" s="56"/>
    </row>
    <row r="29311" spans="1:1">
      <c r="A29311" s="56"/>
    </row>
    <row r="29312" spans="1:1">
      <c r="A29312" s="56"/>
    </row>
    <row r="29313" spans="1:1">
      <c r="A29313" s="56"/>
    </row>
    <row r="29314" spans="1:1">
      <c r="A29314" s="56"/>
    </row>
    <row r="29315" spans="1:1">
      <c r="A29315" s="56"/>
    </row>
    <row r="29316" spans="1:1">
      <c r="A29316" s="56"/>
    </row>
    <row r="29317" spans="1:1">
      <c r="A29317" s="56"/>
    </row>
    <row r="29318" spans="1:1">
      <c r="A29318" s="56"/>
    </row>
    <row r="29319" spans="1:1">
      <c r="A29319" s="56"/>
    </row>
    <row r="29320" spans="1:1">
      <c r="A29320" s="56"/>
    </row>
    <row r="29321" spans="1:1">
      <c r="A29321" s="56"/>
    </row>
    <row r="29322" spans="1:1">
      <c r="A29322" s="56"/>
    </row>
    <row r="29323" spans="1:1">
      <c r="A29323" s="56"/>
    </row>
    <row r="29324" spans="1:1">
      <c r="A29324" s="56"/>
    </row>
    <row r="29325" spans="1:1">
      <c r="A29325" s="56"/>
    </row>
    <row r="29326" spans="1:1">
      <c r="A29326" s="56"/>
    </row>
    <row r="29327" spans="1:1">
      <c r="A29327" s="56"/>
    </row>
    <row r="29328" spans="1:1">
      <c r="A29328" s="56"/>
    </row>
    <row r="29329" spans="1:1">
      <c r="A29329" s="56"/>
    </row>
    <row r="29330" spans="1:1">
      <c r="A29330" s="56"/>
    </row>
    <row r="29331" spans="1:1">
      <c r="A29331" s="56"/>
    </row>
    <row r="29332" spans="1:1">
      <c r="A29332" s="56"/>
    </row>
    <row r="29333" spans="1:1">
      <c r="A29333" s="56"/>
    </row>
    <row r="29334" spans="1:1">
      <c r="A29334" s="56"/>
    </row>
    <row r="29335" spans="1:1">
      <c r="A29335" s="56"/>
    </row>
    <row r="29336" spans="1:1">
      <c r="A29336" s="56"/>
    </row>
    <row r="29337" spans="1:1">
      <c r="A29337" s="56"/>
    </row>
    <row r="29338" spans="1:1">
      <c r="A29338" s="56"/>
    </row>
    <row r="29339" spans="1:1">
      <c r="A29339" s="56"/>
    </row>
    <row r="29340" spans="1:1">
      <c r="A29340" s="56"/>
    </row>
    <row r="29341" spans="1:1">
      <c r="A29341" s="56"/>
    </row>
    <row r="29342" spans="1:1">
      <c r="A29342" s="56"/>
    </row>
    <row r="29343" spans="1:1">
      <c r="A29343" s="56"/>
    </row>
    <row r="29344" spans="1:1">
      <c r="A29344" s="56"/>
    </row>
    <row r="29345" spans="1:1">
      <c r="A29345" s="56"/>
    </row>
    <row r="29346" spans="1:1">
      <c r="A29346" s="56"/>
    </row>
    <row r="29347" spans="1:1">
      <c r="A29347" s="56"/>
    </row>
    <row r="29348" spans="1:1">
      <c r="A29348" s="56"/>
    </row>
    <row r="29349" spans="1:1">
      <c r="A29349" s="56"/>
    </row>
    <row r="29350" spans="1:1">
      <c r="A29350" s="56"/>
    </row>
    <row r="29351" spans="1:1">
      <c r="A29351" s="56"/>
    </row>
    <row r="29352" spans="1:1">
      <c r="A29352" s="56"/>
    </row>
    <row r="29353" spans="1:1">
      <c r="A29353" s="56"/>
    </row>
    <row r="29354" spans="1:1">
      <c r="A29354" s="56"/>
    </row>
    <row r="29355" spans="1:1">
      <c r="A29355" s="56"/>
    </row>
    <row r="29356" spans="1:1">
      <c r="A29356" s="56"/>
    </row>
    <row r="29357" spans="1:1">
      <c r="A29357" s="56"/>
    </row>
    <row r="29358" spans="1:1">
      <c r="A29358" s="56"/>
    </row>
    <row r="29359" spans="1:1">
      <c r="A29359" s="56"/>
    </row>
    <row r="29360" spans="1:1">
      <c r="A29360" s="56"/>
    </row>
    <row r="29361" spans="1:1">
      <c r="A29361" s="56"/>
    </row>
    <row r="29362" spans="1:1">
      <c r="A29362" s="56"/>
    </row>
    <row r="29363" spans="1:1">
      <c r="A29363" s="56"/>
    </row>
    <row r="29364" spans="1:1">
      <c r="A29364" s="56"/>
    </row>
    <row r="29365" spans="1:1">
      <c r="A29365" s="56"/>
    </row>
    <row r="29366" spans="1:1">
      <c r="A29366" s="56"/>
    </row>
    <row r="29367" spans="1:1">
      <c r="A29367" s="56"/>
    </row>
    <row r="29368" spans="1:1">
      <c r="A29368" s="56"/>
    </row>
    <row r="29369" spans="1:1">
      <c r="A29369" s="56"/>
    </row>
    <row r="29370" spans="1:1">
      <c r="A29370" s="56"/>
    </row>
    <row r="29371" spans="1:1">
      <c r="A29371" s="56"/>
    </row>
    <row r="29372" spans="1:1">
      <c r="A29372" s="56"/>
    </row>
    <row r="29373" spans="1:1">
      <c r="A29373" s="56"/>
    </row>
    <row r="29374" spans="1:1">
      <c r="A29374" s="56"/>
    </row>
    <row r="29375" spans="1:1">
      <c r="A29375" s="56"/>
    </row>
    <row r="29376" spans="1:1">
      <c r="A29376" s="56"/>
    </row>
    <row r="29377" spans="1:1">
      <c r="A29377" s="56"/>
    </row>
    <row r="29378" spans="1:1">
      <c r="A29378" s="56"/>
    </row>
    <row r="29379" spans="1:1">
      <c r="A29379" s="56"/>
    </row>
    <row r="29380" spans="1:1">
      <c r="A29380" s="56"/>
    </row>
    <row r="29381" spans="1:1">
      <c r="A29381" s="56"/>
    </row>
    <row r="29382" spans="1:1">
      <c r="A29382" s="56"/>
    </row>
    <row r="29383" spans="1:1">
      <c r="A29383" s="56"/>
    </row>
    <row r="29384" spans="1:1">
      <c r="A29384" s="56"/>
    </row>
    <row r="29385" spans="1:1">
      <c r="A29385" s="56"/>
    </row>
    <row r="29386" spans="1:1">
      <c r="A29386" s="56"/>
    </row>
    <row r="29387" spans="1:1">
      <c r="A29387" s="56"/>
    </row>
    <row r="29388" spans="1:1">
      <c r="A29388" s="56"/>
    </row>
    <row r="29389" spans="1:1">
      <c r="A29389" s="56"/>
    </row>
    <row r="29390" spans="1:1">
      <c r="A29390" s="56"/>
    </row>
    <row r="29391" spans="1:1">
      <c r="A29391" s="56"/>
    </row>
    <row r="29392" spans="1:1">
      <c r="A29392" s="56"/>
    </row>
    <row r="29393" spans="1:1">
      <c r="A29393" s="56"/>
    </row>
    <row r="29394" spans="1:1">
      <c r="A29394" s="56"/>
    </row>
    <row r="29395" spans="1:1">
      <c r="A29395" s="56"/>
    </row>
    <row r="29396" spans="1:1">
      <c r="A29396" s="56"/>
    </row>
    <row r="29397" spans="1:1">
      <c r="A29397" s="56"/>
    </row>
    <row r="29398" spans="1:1">
      <c r="A29398" s="56"/>
    </row>
    <row r="29399" spans="1:1">
      <c r="A29399" s="56"/>
    </row>
    <row r="29400" spans="1:1">
      <c r="A29400" s="56"/>
    </row>
    <row r="29401" spans="1:1">
      <c r="A29401" s="56"/>
    </row>
    <row r="29402" spans="1:1">
      <c r="A29402" s="56"/>
    </row>
    <row r="29403" spans="1:1">
      <c r="A29403" s="56"/>
    </row>
    <row r="29404" spans="1:1">
      <c r="A29404" s="56"/>
    </row>
    <row r="29405" spans="1:1">
      <c r="A29405" s="56"/>
    </row>
    <row r="29406" spans="1:1">
      <c r="A29406" s="56"/>
    </row>
    <row r="29407" spans="1:1">
      <c r="A29407" s="56"/>
    </row>
    <row r="29408" spans="1:1">
      <c r="A29408" s="56"/>
    </row>
    <row r="29409" spans="1:1">
      <c r="A29409" s="56"/>
    </row>
    <row r="29410" spans="1:1">
      <c r="A29410" s="56"/>
    </row>
    <row r="29411" spans="1:1">
      <c r="A29411" s="56"/>
    </row>
    <row r="29412" spans="1:1">
      <c r="A29412" s="56"/>
    </row>
    <row r="29413" spans="1:1">
      <c r="A29413" s="56"/>
    </row>
    <row r="29414" spans="1:1">
      <c r="A29414" s="56"/>
    </row>
    <row r="29415" spans="1:1">
      <c r="A29415" s="56"/>
    </row>
    <row r="29416" spans="1:1">
      <c r="A29416" s="56"/>
    </row>
    <row r="29417" spans="1:1">
      <c r="A29417" s="56"/>
    </row>
    <row r="29418" spans="1:1">
      <c r="A29418" s="56"/>
    </row>
    <row r="29419" spans="1:1">
      <c r="A29419" s="56"/>
    </row>
    <row r="29420" spans="1:1">
      <c r="A29420" s="56"/>
    </row>
    <row r="29421" spans="1:1">
      <c r="A29421" s="56"/>
    </row>
    <row r="29422" spans="1:1">
      <c r="A29422" s="56"/>
    </row>
    <row r="29423" spans="1:1">
      <c r="A29423" s="56"/>
    </row>
    <row r="29424" spans="1:1">
      <c r="A29424" s="56"/>
    </row>
    <row r="29425" spans="1:1">
      <c r="A29425" s="56"/>
    </row>
    <row r="29426" spans="1:1">
      <c r="A29426" s="56"/>
    </row>
    <row r="29427" spans="1:1">
      <c r="A29427" s="56"/>
    </row>
    <row r="29428" spans="1:1">
      <c r="A29428" s="56"/>
    </row>
    <row r="29429" spans="1:1">
      <c r="A29429" s="56"/>
    </row>
    <row r="29430" spans="1:1">
      <c r="A29430" s="56"/>
    </row>
    <row r="29431" spans="1:1">
      <c r="A29431" s="56"/>
    </row>
    <row r="29432" spans="1:1">
      <c r="A29432" s="56"/>
    </row>
    <row r="29433" spans="1:1">
      <c r="A29433" s="56"/>
    </row>
    <row r="29434" spans="1:1">
      <c r="A29434" s="56"/>
    </row>
    <row r="29435" spans="1:1">
      <c r="A29435" s="56"/>
    </row>
    <row r="29436" spans="1:1">
      <c r="A29436" s="56"/>
    </row>
    <row r="29437" spans="1:1">
      <c r="A29437" s="56"/>
    </row>
    <row r="29438" spans="1:1">
      <c r="A29438" s="56"/>
    </row>
    <row r="29439" spans="1:1">
      <c r="A29439" s="56"/>
    </row>
    <row r="29440" spans="1:1">
      <c r="A29440" s="56"/>
    </row>
    <row r="29441" spans="1:1">
      <c r="A29441" s="56"/>
    </row>
    <row r="29442" spans="1:1">
      <c r="A29442" s="56"/>
    </row>
    <row r="29443" spans="1:1">
      <c r="A29443" s="56"/>
    </row>
    <row r="29444" spans="1:1">
      <c r="A29444" s="56"/>
    </row>
    <row r="29445" spans="1:1">
      <c r="A29445" s="56"/>
    </row>
    <row r="29446" spans="1:1">
      <c r="A29446" s="56"/>
    </row>
    <row r="29447" spans="1:1">
      <c r="A29447" s="56"/>
    </row>
    <row r="29448" spans="1:1">
      <c r="A29448" s="56"/>
    </row>
    <row r="29449" spans="1:1">
      <c r="A29449" s="56"/>
    </row>
    <row r="29450" spans="1:1">
      <c r="A29450" s="56"/>
    </row>
    <row r="29451" spans="1:1">
      <c r="A29451" s="56"/>
    </row>
    <row r="29452" spans="1:1">
      <c r="A29452" s="56"/>
    </row>
    <row r="29453" spans="1:1">
      <c r="A29453" s="56"/>
    </row>
    <row r="29454" spans="1:1">
      <c r="A29454" s="56"/>
    </row>
    <row r="29455" spans="1:1">
      <c r="A29455" s="56"/>
    </row>
    <row r="29456" spans="1:1">
      <c r="A29456" s="56"/>
    </row>
    <row r="29457" spans="1:1">
      <c r="A29457" s="56"/>
    </row>
    <row r="29458" spans="1:1">
      <c r="A29458" s="56"/>
    </row>
    <row r="29459" spans="1:1">
      <c r="A29459" s="56"/>
    </row>
    <row r="29460" spans="1:1">
      <c r="A29460" s="56"/>
    </row>
    <row r="29461" spans="1:1">
      <c r="A29461" s="56"/>
    </row>
    <row r="29462" spans="1:1">
      <c r="A29462" s="56"/>
    </row>
    <row r="29463" spans="1:1">
      <c r="A29463" s="56"/>
    </row>
    <row r="29464" spans="1:1">
      <c r="A29464" s="56"/>
    </row>
    <row r="29465" spans="1:1">
      <c r="A29465" s="56"/>
    </row>
    <row r="29466" spans="1:1">
      <c r="A29466" s="56"/>
    </row>
    <row r="29467" spans="1:1">
      <c r="A29467" s="56"/>
    </row>
    <row r="29468" spans="1:1">
      <c r="A29468" s="56"/>
    </row>
    <row r="29469" spans="1:1">
      <c r="A29469" s="56"/>
    </row>
    <row r="29470" spans="1:1">
      <c r="A29470" s="56"/>
    </row>
    <row r="29471" spans="1:1">
      <c r="A29471" s="56"/>
    </row>
    <row r="29472" spans="1:1">
      <c r="A29472" s="56"/>
    </row>
    <row r="29473" spans="1:1">
      <c r="A29473" s="56"/>
    </row>
    <row r="29474" spans="1:1">
      <c r="A29474" s="56"/>
    </row>
    <row r="29475" spans="1:1">
      <c r="A29475" s="56"/>
    </row>
    <row r="29476" spans="1:1">
      <c r="A29476" s="56"/>
    </row>
    <row r="29477" spans="1:1">
      <c r="A29477" s="56"/>
    </row>
    <row r="29478" spans="1:1">
      <c r="A29478" s="56"/>
    </row>
    <row r="29479" spans="1:1">
      <c r="A29479" s="56"/>
    </row>
    <row r="29480" spans="1:1">
      <c r="A29480" s="56"/>
    </row>
    <row r="29481" spans="1:1">
      <c r="A29481" s="56"/>
    </row>
    <row r="29482" spans="1:1">
      <c r="A29482" s="56"/>
    </row>
    <row r="29483" spans="1:1">
      <c r="A29483" s="56"/>
    </row>
    <row r="29484" spans="1:1">
      <c r="A29484" s="56"/>
    </row>
    <row r="29485" spans="1:1">
      <c r="A29485" s="56"/>
    </row>
    <row r="29486" spans="1:1">
      <c r="A29486" s="56"/>
    </row>
    <row r="29487" spans="1:1">
      <c r="A29487" s="56"/>
    </row>
    <row r="29488" spans="1:1">
      <c r="A29488" s="56"/>
    </row>
    <row r="29489" spans="1:1">
      <c r="A29489" s="56"/>
    </row>
    <row r="29490" spans="1:1">
      <c r="A29490" s="56"/>
    </row>
    <row r="29491" spans="1:1">
      <c r="A29491" s="56"/>
    </row>
    <row r="29492" spans="1:1">
      <c r="A29492" s="56"/>
    </row>
    <row r="29493" spans="1:1">
      <c r="A29493" s="56"/>
    </row>
    <row r="29494" spans="1:1">
      <c r="A29494" s="56"/>
    </row>
    <row r="29495" spans="1:1">
      <c r="A29495" s="56"/>
    </row>
    <row r="29496" spans="1:1">
      <c r="A29496" s="56"/>
    </row>
    <row r="29497" spans="1:1">
      <c r="A29497" s="56"/>
    </row>
    <row r="29498" spans="1:1">
      <c r="A29498" s="56"/>
    </row>
    <row r="29499" spans="1:1">
      <c r="A29499" s="56"/>
    </row>
    <row r="29500" spans="1:1">
      <c r="A29500" s="56"/>
    </row>
    <row r="29501" spans="1:1">
      <c r="A29501" s="56"/>
    </row>
    <row r="29502" spans="1:1">
      <c r="A29502" s="56"/>
    </row>
    <row r="29503" spans="1:1">
      <c r="A29503" s="56"/>
    </row>
    <row r="29504" spans="1:1">
      <c r="A29504" s="56"/>
    </row>
    <row r="29505" spans="1:1">
      <c r="A29505" s="56"/>
    </row>
    <row r="29506" spans="1:1">
      <c r="A29506" s="56"/>
    </row>
    <row r="29507" spans="1:1">
      <c r="A29507" s="56"/>
    </row>
    <row r="29508" spans="1:1">
      <c r="A29508" s="56"/>
    </row>
    <row r="29509" spans="1:1">
      <c r="A29509" s="56"/>
    </row>
    <row r="29510" spans="1:1">
      <c r="A29510" s="56"/>
    </row>
    <row r="29511" spans="1:1">
      <c r="A29511" s="56"/>
    </row>
    <row r="29512" spans="1:1">
      <c r="A29512" s="56"/>
    </row>
    <row r="29513" spans="1:1">
      <c r="A29513" s="56"/>
    </row>
    <row r="29514" spans="1:1">
      <c r="A29514" s="56"/>
    </row>
    <row r="29515" spans="1:1">
      <c r="A29515" s="56"/>
    </row>
    <row r="29516" spans="1:1">
      <c r="A29516" s="56"/>
    </row>
    <row r="29517" spans="1:1">
      <c r="A29517" s="56"/>
    </row>
    <row r="29518" spans="1:1">
      <c r="A29518" s="56"/>
    </row>
    <row r="29519" spans="1:1">
      <c r="A29519" s="56"/>
    </row>
    <row r="29520" spans="1:1">
      <c r="A29520" s="56"/>
    </row>
    <row r="29521" spans="1:1">
      <c r="A29521" s="56"/>
    </row>
    <row r="29522" spans="1:1">
      <c r="A29522" s="56"/>
    </row>
    <row r="29523" spans="1:1">
      <c r="A29523" s="56"/>
    </row>
    <row r="29524" spans="1:1">
      <c r="A29524" s="56"/>
    </row>
    <row r="29525" spans="1:1">
      <c r="A29525" s="56"/>
    </row>
    <row r="29526" spans="1:1">
      <c r="A29526" s="56"/>
    </row>
    <row r="29527" spans="1:1">
      <c r="A29527" s="56"/>
    </row>
    <row r="29528" spans="1:1">
      <c r="A29528" s="56"/>
    </row>
    <row r="29529" spans="1:1">
      <c r="A29529" s="56"/>
    </row>
    <row r="29530" spans="1:1">
      <c r="A29530" s="56"/>
    </row>
    <row r="29531" spans="1:1">
      <c r="A29531" s="56"/>
    </row>
    <row r="29532" spans="1:1">
      <c r="A29532" s="56"/>
    </row>
    <row r="29533" spans="1:1">
      <c r="A29533" s="56"/>
    </row>
    <row r="29534" spans="1:1">
      <c r="A29534" s="56"/>
    </row>
    <row r="29535" spans="1:1">
      <c r="A29535" s="56"/>
    </row>
    <row r="29536" spans="1:1">
      <c r="A29536" s="56"/>
    </row>
    <row r="29537" spans="1:1">
      <c r="A29537" s="56"/>
    </row>
    <row r="29538" spans="1:1">
      <c r="A29538" s="56"/>
    </row>
    <row r="29539" spans="1:1">
      <c r="A29539" s="56"/>
    </row>
    <row r="29540" spans="1:1">
      <c r="A29540" s="56"/>
    </row>
    <row r="29541" spans="1:1">
      <c r="A29541" s="56"/>
    </row>
    <row r="29542" spans="1:1">
      <c r="A29542" s="56"/>
    </row>
    <row r="29543" spans="1:1">
      <c r="A29543" s="56"/>
    </row>
    <row r="29544" spans="1:1">
      <c r="A29544" s="56"/>
    </row>
    <row r="29545" spans="1:1">
      <c r="A29545" s="56"/>
    </row>
    <row r="29546" spans="1:1">
      <c r="A29546" s="56"/>
    </row>
    <row r="29547" spans="1:1">
      <c r="A29547" s="56"/>
    </row>
    <row r="29548" spans="1:1">
      <c r="A29548" s="56"/>
    </row>
    <row r="29549" spans="1:1">
      <c r="A29549" s="56"/>
    </row>
    <row r="29550" spans="1:1">
      <c r="A29550" s="56"/>
    </row>
    <row r="29551" spans="1:1">
      <c r="A29551" s="56"/>
    </row>
    <row r="29552" spans="1:1">
      <c r="A29552" s="56"/>
    </row>
    <row r="29553" spans="1:1">
      <c r="A29553" s="56"/>
    </row>
    <row r="29554" spans="1:1">
      <c r="A29554" s="56"/>
    </row>
    <row r="29555" spans="1:1">
      <c r="A29555" s="56"/>
    </row>
    <row r="29556" spans="1:1">
      <c r="A29556" s="56"/>
    </row>
    <row r="29557" spans="1:1">
      <c r="A29557" s="56"/>
    </row>
    <row r="29558" spans="1:1">
      <c r="A29558" s="56"/>
    </row>
    <row r="29559" spans="1:1">
      <c r="A29559" s="56"/>
    </row>
    <row r="29560" spans="1:1">
      <c r="A29560" s="56"/>
    </row>
    <row r="29561" spans="1:1">
      <c r="A29561" s="56"/>
    </row>
    <row r="29562" spans="1:1">
      <c r="A29562" s="56"/>
    </row>
    <row r="29563" spans="1:1">
      <c r="A29563" s="56"/>
    </row>
    <row r="29564" spans="1:1">
      <c r="A29564" s="56"/>
    </row>
    <row r="29565" spans="1:1">
      <c r="A29565" s="56"/>
    </row>
    <row r="29566" spans="1:1">
      <c r="A29566" s="56"/>
    </row>
    <row r="29567" spans="1:1">
      <c r="A29567" s="56"/>
    </row>
    <row r="29568" spans="1:1">
      <c r="A29568" s="56"/>
    </row>
    <row r="29569" spans="1:1">
      <c r="A29569" s="56"/>
    </row>
    <row r="29570" spans="1:1">
      <c r="A29570" s="56"/>
    </row>
    <row r="29571" spans="1:1">
      <c r="A29571" s="56"/>
    </row>
    <row r="29572" spans="1:1">
      <c r="A29572" s="56"/>
    </row>
    <row r="29573" spans="1:1">
      <c r="A29573" s="56"/>
    </row>
    <row r="29574" spans="1:1">
      <c r="A29574" s="56"/>
    </row>
    <row r="29575" spans="1:1">
      <c r="A29575" s="56"/>
    </row>
    <row r="29576" spans="1:1">
      <c r="A29576" s="56"/>
    </row>
    <row r="29577" spans="1:1">
      <c r="A29577" s="56"/>
    </row>
    <row r="29578" spans="1:1">
      <c r="A29578" s="56"/>
    </row>
    <row r="29579" spans="1:1">
      <c r="A29579" s="56"/>
    </row>
    <row r="29580" spans="1:1">
      <c r="A29580" s="56"/>
    </row>
    <row r="29581" spans="1:1">
      <c r="A29581" s="56"/>
    </row>
    <row r="29582" spans="1:1">
      <c r="A29582" s="56"/>
    </row>
    <row r="29583" spans="1:1">
      <c r="A29583" s="56"/>
    </row>
    <row r="29584" spans="1:1">
      <c r="A29584" s="56"/>
    </row>
    <row r="29585" spans="1:1">
      <c r="A29585" s="56"/>
    </row>
    <row r="29586" spans="1:1">
      <c r="A29586" s="56"/>
    </row>
    <row r="29587" spans="1:1">
      <c r="A29587" s="56"/>
    </row>
    <row r="29588" spans="1:1">
      <c r="A29588" s="56"/>
    </row>
    <row r="29589" spans="1:1">
      <c r="A29589" s="56"/>
    </row>
    <row r="29590" spans="1:1">
      <c r="A29590" s="56"/>
    </row>
    <row r="29591" spans="1:1">
      <c r="A29591" s="56"/>
    </row>
    <row r="29592" spans="1:1">
      <c r="A29592" s="56"/>
    </row>
    <row r="29593" spans="1:1">
      <c r="A29593" s="56"/>
    </row>
    <row r="29594" spans="1:1">
      <c r="A29594" s="56"/>
    </row>
    <row r="29595" spans="1:1">
      <c r="A29595" s="56"/>
    </row>
    <row r="29596" spans="1:1">
      <c r="A29596" s="56"/>
    </row>
    <row r="29597" spans="1:1">
      <c r="A29597" s="56"/>
    </row>
    <row r="29598" spans="1:1">
      <c r="A29598" s="56"/>
    </row>
    <row r="29599" spans="1:1">
      <c r="A29599" s="56"/>
    </row>
    <row r="29600" spans="1:1">
      <c r="A29600" s="56"/>
    </row>
    <row r="29601" spans="1:1">
      <c r="A29601" s="56"/>
    </row>
    <row r="29602" spans="1:1">
      <c r="A29602" s="56"/>
    </row>
    <row r="29603" spans="1:1">
      <c r="A29603" s="56"/>
    </row>
    <row r="29604" spans="1:1">
      <c r="A29604" s="56"/>
    </row>
    <row r="29605" spans="1:1">
      <c r="A29605" s="56"/>
    </row>
    <row r="29606" spans="1:1">
      <c r="A29606" s="56"/>
    </row>
    <row r="29607" spans="1:1">
      <c r="A29607" s="56"/>
    </row>
    <row r="29608" spans="1:1">
      <c r="A29608" s="56"/>
    </row>
    <row r="29609" spans="1:1">
      <c r="A29609" s="56"/>
    </row>
    <row r="29610" spans="1:1">
      <c r="A29610" s="56"/>
    </row>
    <row r="29611" spans="1:1">
      <c r="A29611" s="56"/>
    </row>
    <row r="29612" spans="1:1">
      <c r="A29612" s="56"/>
    </row>
    <row r="29613" spans="1:1">
      <c r="A29613" s="56"/>
    </row>
    <row r="29614" spans="1:1">
      <c r="A29614" s="56"/>
    </row>
    <row r="29615" spans="1:1">
      <c r="A29615" s="56"/>
    </row>
    <row r="29616" spans="1:1">
      <c r="A29616" s="56"/>
    </row>
    <row r="29617" spans="1:1">
      <c r="A29617" s="56"/>
    </row>
    <row r="29618" spans="1:1">
      <c r="A29618" s="56"/>
    </row>
    <row r="29619" spans="1:1">
      <c r="A29619" s="56"/>
    </row>
    <row r="29620" spans="1:1">
      <c r="A29620" s="56"/>
    </row>
    <row r="29621" spans="1:1">
      <c r="A29621" s="56"/>
    </row>
    <row r="29622" spans="1:1">
      <c r="A29622" s="56"/>
    </row>
    <row r="29623" spans="1:1">
      <c r="A29623" s="56"/>
    </row>
    <row r="29624" spans="1:1">
      <c r="A29624" s="56"/>
    </row>
    <row r="29625" spans="1:1">
      <c r="A29625" s="56"/>
    </row>
    <row r="29626" spans="1:1">
      <c r="A29626" s="56"/>
    </row>
    <row r="29627" spans="1:1">
      <c r="A29627" s="56"/>
    </row>
    <row r="29628" spans="1:1">
      <c r="A29628" s="56"/>
    </row>
    <row r="29629" spans="1:1">
      <c r="A29629" s="56"/>
    </row>
    <row r="29630" spans="1:1">
      <c r="A29630" s="56"/>
    </row>
    <row r="29631" spans="1:1">
      <c r="A29631" s="56"/>
    </row>
    <row r="29632" spans="1:1">
      <c r="A29632" s="56"/>
    </row>
    <row r="29633" spans="1:1">
      <c r="A29633" s="56"/>
    </row>
    <row r="29634" spans="1:1">
      <c r="A29634" s="56"/>
    </row>
    <row r="29635" spans="1:1">
      <c r="A29635" s="56"/>
    </row>
    <row r="29636" spans="1:1">
      <c r="A29636" s="56"/>
    </row>
    <row r="29637" spans="1:1">
      <c r="A29637" s="56"/>
    </row>
    <row r="29638" spans="1:1">
      <c r="A29638" s="56"/>
    </row>
    <row r="29639" spans="1:1">
      <c r="A29639" s="56"/>
    </row>
    <row r="29640" spans="1:1">
      <c r="A29640" s="56"/>
    </row>
    <row r="29641" spans="1:1">
      <c r="A29641" s="56"/>
    </row>
    <row r="29642" spans="1:1">
      <c r="A29642" s="56"/>
    </row>
    <row r="29643" spans="1:1">
      <c r="A29643" s="56"/>
    </row>
    <row r="29644" spans="1:1">
      <c r="A29644" s="56"/>
    </row>
    <row r="29645" spans="1:1">
      <c r="A29645" s="56"/>
    </row>
    <row r="29646" spans="1:1">
      <c r="A29646" s="56"/>
    </row>
    <row r="29647" spans="1:1">
      <c r="A29647" s="56"/>
    </row>
    <row r="29648" spans="1:1">
      <c r="A29648" s="56"/>
    </row>
    <row r="29649" spans="1:1">
      <c r="A29649" s="56"/>
    </row>
    <row r="29650" spans="1:1">
      <c r="A29650" s="56"/>
    </row>
    <row r="29651" spans="1:1">
      <c r="A29651" s="56"/>
    </row>
    <row r="29652" spans="1:1">
      <c r="A29652" s="56"/>
    </row>
    <row r="29653" spans="1:1">
      <c r="A29653" s="56"/>
    </row>
    <row r="29654" spans="1:1">
      <c r="A29654" s="56"/>
    </row>
    <row r="29655" spans="1:1">
      <c r="A29655" s="56"/>
    </row>
    <row r="29656" spans="1:1">
      <c r="A29656" s="56"/>
    </row>
    <row r="29657" spans="1:1">
      <c r="A29657" s="56"/>
    </row>
    <row r="29658" spans="1:1">
      <c r="A29658" s="56"/>
    </row>
    <row r="29659" spans="1:1">
      <c r="A29659" s="56"/>
    </row>
    <row r="29660" spans="1:1">
      <c r="A29660" s="56"/>
    </row>
    <row r="29661" spans="1:1">
      <c r="A29661" s="56"/>
    </row>
    <row r="29662" spans="1:1">
      <c r="A29662" s="56"/>
    </row>
    <row r="29663" spans="1:1">
      <c r="A29663" s="56"/>
    </row>
    <row r="29664" spans="1:1">
      <c r="A29664" s="56"/>
    </row>
    <row r="29665" spans="1:1">
      <c r="A29665" s="56"/>
    </row>
    <row r="29666" spans="1:1">
      <c r="A29666" s="56"/>
    </row>
    <row r="29667" spans="1:1">
      <c r="A29667" s="56"/>
    </row>
    <row r="29668" spans="1:1">
      <c r="A29668" s="56"/>
    </row>
    <row r="29669" spans="1:1">
      <c r="A29669" s="56"/>
    </row>
    <row r="29670" spans="1:1">
      <c r="A29670" s="56"/>
    </row>
    <row r="29671" spans="1:1">
      <c r="A29671" s="56"/>
    </row>
    <row r="29672" spans="1:1">
      <c r="A29672" s="56"/>
    </row>
    <row r="29673" spans="1:1">
      <c r="A29673" s="56"/>
    </row>
    <row r="29674" spans="1:1">
      <c r="A29674" s="56"/>
    </row>
    <row r="29675" spans="1:1">
      <c r="A29675" s="56"/>
    </row>
    <row r="29676" spans="1:1">
      <c r="A29676" s="56"/>
    </row>
    <row r="29677" spans="1:1">
      <c r="A29677" s="56"/>
    </row>
    <row r="29678" spans="1:1">
      <c r="A29678" s="56"/>
    </row>
    <row r="29679" spans="1:1">
      <c r="A29679" s="56"/>
    </row>
    <row r="29680" spans="1:1">
      <c r="A29680" s="56"/>
    </row>
    <row r="29681" spans="1:1">
      <c r="A29681" s="56"/>
    </row>
    <row r="29682" spans="1:1">
      <c r="A29682" s="56"/>
    </row>
    <row r="29683" spans="1:1">
      <c r="A29683" s="56"/>
    </row>
    <row r="29684" spans="1:1">
      <c r="A29684" s="56"/>
    </row>
    <row r="29685" spans="1:1">
      <c r="A29685" s="56"/>
    </row>
    <row r="29686" spans="1:1">
      <c r="A29686" s="56"/>
    </row>
    <row r="29687" spans="1:1">
      <c r="A29687" s="56"/>
    </row>
    <row r="29688" spans="1:1">
      <c r="A29688" s="56"/>
    </row>
    <row r="29689" spans="1:1">
      <c r="A29689" s="56"/>
    </row>
    <row r="29690" spans="1:1">
      <c r="A29690" s="56"/>
    </row>
    <row r="29691" spans="1:1">
      <c r="A29691" s="56"/>
    </row>
    <row r="29692" spans="1:1">
      <c r="A29692" s="56"/>
    </row>
    <row r="29693" spans="1:1">
      <c r="A29693" s="56"/>
    </row>
    <row r="29694" spans="1:1">
      <c r="A29694" s="56"/>
    </row>
    <row r="29695" spans="1:1">
      <c r="A29695" s="56"/>
    </row>
    <row r="29696" spans="1:1">
      <c r="A29696" s="56"/>
    </row>
    <row r="29697" spans="1:1">
      <c r="A29697" s="56"/>
    </row>
    <row r="29698" spans="1:1">
      <c r="A29698" s="56"/>
    </row>
    <row r="29699" spans="1:1">
      <c r="A29699" s="56"/>
    </row>
    <row r="29700" spans="1:1">
      <c r="A29700" s="56"/>
    </row>
    <row r="29701" spans="1:1">
      <c r="A29701" s="56"/>
    </row>
    <row r="29702" spans="1:1">
      <c r="A29702" s="56"/>
    </row>
    <row r="29703" spans="1:1">
      <c r="A29703" s="56"/>
    </row>
    <row r="29704" spans="1:1">
      <c r="A29704" s="56"/>
    </row>
    <row r="29705" spans="1:1">
      <c r="A29705" s="56"/>
    </row>
    <row r="29706" spans="1:1">
      <c r="A29706" s="56"/>
    </row>
    <row r="29707" spans="1:1">
      <c r="A29707" s="56"/>
    </row>
    <row r="29708" spans="1:1">
      <c r="A29708" s="56"/>
    </row>
    <row r="29709" spans="1:1">
      <c r="A29709" s="56"/>
    </row>
    <row r="29710" spans="1:1">
      <c r="A29710" s="56"/>
    </row>
    <row r="29711" spans="1:1">
      <c r="A29711" s="56"/>
    </row>
    <row r="29712" spans="1:1">
      <c r="A29712" s="56"/>
    </row>
    <row r="29713" spans="1:1">
      <c r="A29713" s="56"/>
    </row>
    <row r="29714" spans="1:1">
      <c r="A29714" s="56"/>
    </row>
    <row r="29715" spans="1:1">
      <c r="A29715" s="56"/>
    </row>
    <row r="29716" spans="1:1">
      <c r="A29716" s="56"/>
    </row>
    <row r="29717" spans="1:1">
      <c r="A29717" s="56"/>
    </row>
    <row r="29718" spans="1:1">
      <c r="A29718" s="56"/>
    </row>
    <row r="29719" spans="1:1">
      <c r="A29719" s="56"/>
    </row>
    <row r="29720" spans="1:1">
      <c r="A29720" s="56"/>
    </row>
    <row r="29721" spans="1:1">
      <c r="A29721" s="56"/>
    </row>
    <row r="29722" spans="1:1">
      <c r="A29722" s="56"/>
    </row>
    <row r="29723" spans="1:1">
      <c r="A29723" s="56"/>
    </row>
    <row r="29724" spans="1:1">
      <c r="A29724" s="56"/>
    </row>
    <row r="29725" spans="1:1">
      <c r="A29725" s="56"/>
    </row>
    <row r="29726" spans="1:1">
      <c r="A29726" s="56"/>
    </row>
    <row r="29727" spans="1:1">
      <c r="A29727" s="56"/>
    </row>
    <row r="29728" spans="1:1">
      <c r="A29728" s="56"/>
    </row>
    <row r="29729" spans="1:1">
      <c r="A29729" s="56"/>
    </row>
    <row r="29730" spans="1:1">
      <c r="A29730" s="56"/>
    </row>
    <row r="29731" spans="1:1">
      <c r="A29731" s="56"/>
    </row>
    <row r="29732" spans="1:1">
      <c r="A29732" s="56"/>
    </row>
    <row r="29733" spans="1:1">
      <c r="A29733" s="56"/>
    </row>
    <row r="29734" spans="1:1">
      <c r="A29734" s="56"/>
    </row>
    <row r="29735" spans="1:1">
      <c r="A29735" s="56"/>
    </row>
    <row r="29736" spans="1:1">
      <c r="A29736" s="56"/>
    </row>
    <row r="29737" spans="1:1">
      <c r="A29737" s="56"/>
    </row>
    <row r="29738" spans="1:1">
      <c r="A29738" s="56"/>
    </row>
    <row r="29739" spans="1:1">
      <c r="A29739" s="56"/>
    </row>
    <row r="29740" spans="1:1">
      <c r="A29740" s="56"/>
    </row>
    <row r="29741" spans="1:1">
      <c r="A29741" s="56"/>
    </row>
    <row r="29742" spans="1:1">
      <c r="A29742" s="56"/>
    </row>
    <row r="29743" spans="1:1">
      <c r="A29743" s="56"/>
    </row>
    <row r="29744" spans="1:1">
      <c r="A29744" s="56"/>
    </row>
    <row r="29745" spans="1:1">
      <c r="A29745" s="56"/>
    </row>
    <row r="29746" spans="1:1">
      <c r="A29746" s="56"/>
    </row>
    <row r="29747" spans="1:1">
      <c r="A29747" s="56"/>
    </row>
    <row r="29748" spans="1:1">
      <c r="A29748" s="56"/>
    </row>
    <row r="29749" spans="1:1">
      <c r="A29749" s="56"/>
    </row>
    <row r="29750" spans="1:1">
      <c r="A29750" s="56"/>
    </row>
    <row r="29751" spans="1:1">
      <c r="A29751" s="56"/>
    </row>
    <row r="29752" spans="1:1">
      <c r="A29752" s="56"/>
    </row>
    <row r="29753" spans="1:1">
      <c r="A29753" s="56"/>
    </row>
    <row r="29754" spans="1:1">
      <c r="A29754" s="56"/>
    </row>
    <row r="29755" spans="1:1">
      <c r="A29755" s="56"/>
    </row>
    <row r="29756" spans="1:1">
      <c r="A29756" s="56"/>
    </row>
    <row r="29757" spans="1:1">
      <c r="A29757" s="56"/>
    </row>
    <row r="29758" spans="1:1">
      <c r="A29758" s="56"/>
    </row>
    <row r="29759" spans="1:1">
      <c r="A29759" s="56"/>
    </row>
    <row r="29760" spans="1:1">
      <c r="A29760" s="56"/>
    </row>
    <row r="29761" spans="1:1">
      <c r="A29761" s="56"/>
    </row>
    <row r="29762" spans="1:1">
      <c r="A29762" s="56"/>
    </row>
    <row r="29763" spans="1:1">
      <c r="A29763" s="56"/>
    </row>
    <row r="29764" spans="1:1">
      <c r="A29764" s="56"/>
    </row>
    <row r="29765" spans="1:1">
      <c r="A29765" s="56"/>
    </row>
    <row r="29766" spans="1:1">
      <c r="A29766" s="56"/>
    </row>
    <row r="29767" spans="1:1">
      <c r="A29767" s="56"/>
    </row>
    <row r="29768" spans="1:1">
      <c r="A29768" s="56"/>
    </row>
    <row r="29769" spans="1:1">
      <c r="A29769" s="56"/>
    </row>
    <row r="29770" spans="1:1">
      <c r="A29770" s="56"/>
    </row>
    <row r="29771" spans="1:1">
      <c r="A29771" s="56"/>
    </row>
    <row r="29772" spans="1:1">
      <c r="A29772" s="56"/>
    </row>
    <row r="29773" spans="1:1">
      <c r="A29773" s="56"/>
    </row>
    <row r="29774" spans="1:1">
      <c r="A29774" s="56"/>
    </row>
    <row r="29775" spans="1:1">
      <c r="A29775" s="56"/>
    </row>
    <row r="29776" spans="1:1">
      <c r="A29776" s="56"/>
    </row>
    <row r="29777" spans="1:1">
      <c r="A29777" s="56"/>
    </row>
    <row r="29778" spans="1:1">
      <c r="A29778" s="56"/>
    </row>
    <row r="29779" spans="1:1">
      <c r="A29779" s="56"/>
    </row>
    <row r="29780" spans="1:1">
      <c r="A29780" s="56"/>
    </row>
    <row r="29781" spans="1:1">
      <c r="A29781" s="56"/>
    </row>
    <row r="29782" spans="1:1">
      <c r="A29782" s="56"/>
    </row>
    <row r="29783" spans="1:1">
      <c r="A29783" s="56"/>
    </row>
    <row r="29784" spans="1:1">
      <c r="A29784" s="56"/>
    </row>
    <row r="29785" spans="1:1">
      <c r="A29785" s="56"/>
    </row>
    <row r="29786" spans="1:1">
      <c r="A29786" s="56"/>
    </row>
    <row r="29787" spans="1:1">
      <c r="A29787" s="56"/>
    </row>
    <row r="29788" spans="1:1">
      <c r="A29788" s="56"/>
    </row>
    <row r="29789" spans="1:1">
      <c r="A29789" s="56"/>
    </row>
    <row r="29790" spans="1:1">
      <c r="A29790" s="56"/>
    </row>
    <row r="29791" spans="1:1">
      <c r="A29791" s="56"/>
    </row>
    <row r="29792" spans="1:1">
      <c r="A29792" s="56"/>
    </row>
    <row r="29793" spans="1:1">
      <c r="A29793" s="56"/>
    </row>
    <row r="29794" spans="1:1">
      <c r="A29794" s="56"/>
    </row>
    <row r="29795" spans="1:1">
      <c r="A29795" s="56"/>
    </row>
    <row r="29796" spans="1:1">
      <c r="A29796" s="56"/>
    </row>
    <row r="29797" spans="1:1">
      <c r="A29797" s="56"/>
    </row>
    <row r="29798" spans="1:1">
      <c r="A29798" s="56"/>
    </row>
    <row r="29799" spans="1:1">
      <c r="A29799" s="56"/>
    </row>
    <row r="29800" spans="1:1">
      <c r="A29800" s="56"/>
    </row>
    <row r="29801" spans="1:1">
      <c r="A29801" s="56"/>
    </row>
    <row r="29802" spans="1:1">
      <c r="A29802" s="56"/>
    </row>
    <row r="29803" spans="1:1">
      <c r="A29803" s="56"/>
    </row>
    <row r="29804" spans="1:1">
      <c r="A29804" s="56"/>
    </row>
    <row r="29805" spans="1:1">
      <c r="A29805" s="56"/>
    </row>
    <row r="29806" spans="1:1">
      <c r="A29806" s="56"/>
    </row>
    <row r="29807" spans="1:1">
      <c r="A29807" s="56"/>
    </row>
    <row r="29808" spans="1:1">
      <c r="A29808" s="56"/>
    </row>
    <row r="29809" spans="1:1">
      <c r="A29809" s="56"/>
    </row>
    <row r="29810" spans="1:1">
      <c r="A29810" s="56"/>
    </row>
    <row r="29811" spans="1:1">
      <c r="A29811" s="56"/>
    </row>
    <row r="29812" spans="1:1">
      <c r="A29812" s="56"/>
    </row>
    <row r="29813" spans="1:1">
      <c r="A29813" s="56"/>
    </row>
    <row r="29814" spans="1:1">
      <c r="A29814" s="56"/>
    </row>
    <row r="29815" spans="1:1">
      <c r="A29815" s="56"/>
    </row>
    <row r="29816" spans="1:1">
      <c r="A29816" s="56"/>
    </row>
    <row r="29817" spans="1:1">
      <c r="A29817" s="56"/>
    </row>
    <row r="29818" spans="1:1">
      <c r="A29818" s="56"/>
    </row>
    <row r="29819" spans="1:1">
      <c r="A29819" s="56"/>
    </row>
    <row r="29820" spans="1:1">
      <c r="A29820" s="56"/>
    </row>
    <row r="29821" spans="1:1">
      <c r="A29821" s="56"/>
    </row>
    <row r="29822" spans="1:1">
      <c r="A29822" s="56"/>
    </row>
    <row r="29823" spans="1:1">
      <c r="A29823" s="56"/>
    </row>
    <row r="29824" spans="1:1">
      <c r="A29824" s="56"/>
    </row>
    <row r="29825" spans="1:1">
      <c r="A29825" s="56"/>
    </row>
    <row r="29826" spans="1:1">
      <c r="A29826" s="56"/>
    </row>
    <row r="29827" spans="1:1">
      <c r="A29827" s="56"/>
    </row>
    <row r="29828" spans="1:1">
      <c r="A29828" s="56"/>
    </row>
    <row r="29829" spans="1:1">
      <c r="A29829" s="56"/>
    </row>
    <row r="29830" spans="1:1">
      <c r="A29830" s="56"/>
    </row>
    <row r="29831" spans="1:1">
      <c r="A29831" s="56"/>
    </row>
    <row r="29832" spans="1:1">
      <c r="A29832" s="56"/>
    </row>
    <row r="29833" spans="1:1">
      <c r="A29833" s="56"/>
    </row>
    <row r="29834" spans="1:1">
      <c r="A29834" s="56"/>
    </row>
    <row r="29835" spans="1:1">
      <c r="A29835" s="56"/>
    </row>
    <row r="29836" spans="1:1">
      <c r="A29836" s="56"/>
    </row>
    <row r="29837" spans="1:1">
      <c r="A29837" s="56"/>
    </row>
    <row r="29838" spans="1:1">
      <c r="A29838" s="56"/>
    </row>
    <row r="29839" spans="1:1">
      <c r="A29839" s="56"/>
    </row>
    <row r="29840" spans="1:1">
      <c r="A29840" s="56"/>
    </row>
    <row r="29841" spans="1:1">
      <c r="A29841" s="56"/>
    </row>
    <row r="29842" spans="1:1">
      <c r="A29842" s="56"/>
    </row>
    <row r="29843" spans="1:1">
      <c r="A29843" s="56"/>
    </row>
    <row r="29844" spans="1:1">
      <c r="A29844" s="56"/>
    </row>
    <row r="29845" spans="1:1">
      <c r="A29845" s="56"/>
    </row>
    <row r="29846" spans="1:1">
      <c r="A29846" s="56"/>
    </row>
    <row r="29847" spans="1:1">
      <c r="A29847" s="56"/>
    </row>
    <row r="29848" spans="1:1">
      <c r="A29848" s="56"/>
    </row>
    <row r="29849" spans="1:1">
      <c r="A29849" s="56"/>
    </row>
    <row r="29850" spans="1:1">
      <c r="A29850" s="56"/>
    </row>
    <row r="29851" spans="1:1">
      <c r="A29851" s="56"/>
    </row>
    <row r="29852" spans="1:1">
      <c r="A29852" s="56"/>
    </row>
    <row r="29853" spans="1:1">
      <c r="A29853" s="56"/>
    </row>
    <row r="29854" spans="1:1">
      <c r="A29854" s="56"/>
    </row>
    <row r="29855" spans="1:1">
      <c r="A29855" s="56"/>
    </row>
    <row r="29856" spans="1:1">
      <c r="A29856" s="56"/>
    </row>
    <row r="29857" spans="1:1">
      <c r="A29857" s="56"/>
    </row>
    <row r="29858" spans="1:1">
      <c r="A29858" s="56"/>
    </row>
    <row r="29859" spans="1:1">
      <c r="A29859" s="56"/>
    </row>
    <row r="29860" spans="1:1">
      <c r="A29860" s="56"/>
    </row>
    <row r="29861" spans="1:1">
      <c r="A29861" s="56"/>
    </row>
    <row r="29862" spans="1:1">
      <c r="A29862" s="56"/>
    </row>
    <row r="29863" spans="1:1">
      <c r="A29863" s="56"/>
    </row>
    <row r="29864" spans="1:1">
      <c r="A29864" s="56"/>
    </row>
    <row r="29865" spans="1:1">
      <c r="A29865" s="56"/>
    </row>
    <row r="29866" spans="1:1">
      <c r="A29866" s="56"/>
    </row>
    <row r="29867" spans="1:1">
      <c r="A29867" s="56"/>
    </row>
    <row r="29868" spans="1:1">
      <c r="A29868" s="56"/>
    </row>
    <row r="29869" spans="1:1">
      <c r="A29869" s="56"/>
    </row>
    <row r="29870" spans="1:1">
      <c r="A29870" s="56"/>
    </row>
    <row r="29871" spans="1:1">
      <c r="A29871" s="56"/>
    </row>
    <row r="29872" spans="1:1">
      <c r="A29872" s="56"/>
    </row>
    <row r="29873" spans="1:1">
      <c r="A29873" s="56"/>
    </row>
    <row r="29874" spans="1:1">
      <c r="A29874" s="56"/>
    </row>
    <row r="29875" spans="1:1">
      <c r="A29875" s="56"/>
    </row>
    <row r="29876" spans="1:1">
      <c r="A29876" s="56"/>
    </row>
    <row r="29877" spans="1:1">
      <c r="A29877" s="56"/>
    </row>
    <row r="29878" spans="1:1">
      <c r="A29878" s="56"/>
    </row>
    <row r="29879" spans="1:1">
      <c r="A29879" s="56"/>
    </row>
    <row r="29880" spans="1:1">
      <c r="A29880" s="56"/>
    </row>
    <row r="29881" spans="1:1">
      <c r="A29881" s="56"/>
    </row>
    <row r="29882" spans="1:1">
      <c r="A29882" s="56"/>
    </row>
    <row r="29883" spans="1:1">
      <c r="A29883" s="56"/>
    </row>
    <row r="29884" spans="1:1">
      <c r="A29884" s="56"/>
    </row>
    <row r="29885" spans="1:1">
      <c r="A29885" s="56"/>
    </row>
    <row r="29886" spans="1:1">
      <c r="A29886" s="56"/>
    </row>
    <row r="29887" spans="1:1">
      <c r="A29887" s="56"/>
    </row>
    <row r="29888" spans="1:1">
      <c r="A29888" s="56"/>
    </row>
    <row r="29889" spans="1:1">
      <c r="A29889" s="56"/>
    </row>
    <row r="29890" spans="1:1">
      <c r="A29890" s="56"/>
    </row>
    <row r="29891" spans="1:1">
      <c r="A29891" s="56"/>
    </row>
    <row r="29892" spans="1:1">
      <c r="A29892" s="56"/>
    </row>
    <row r="29893" spans="1:1">
      <c r="A29893" s="56"/>
    </row>
    <row r="29894" spans="1:1">
      <c r="A29894" s="56"/>
    </row>
    <row r="29895" spans="1:1">
      <c r="A29895" s="56"/>
    </row>
    <row r="29896" spans="1:1">
      <c r="A29896" s="56"/>
    </row>
    <row r="29897" spans="1:1">
      <c r="A29897" s="56"/>
    </row>
    <row r="29898" spans="1:1">
      <c r="A29898" s="56"/>
    </row>
    <row r="29899" spans="1:1">
      <c r="A29899" s="56"/>
    </row>
    <row r="29900" spans="1:1">
      <c r="A29900" s="56"/>
    </row>
    <row r="29901" spans="1:1">
      <c r="A29901" s="56"/>
    </row>
    <row r="29902" spans="1:1">
      <c r="A29902" s="56"/>
    </row>
    <row r="29903" spans="1:1">
      <c r="A29903" s="56"/>
    </row>
    <row r="29904" spans="1:1">
      <c r="A29904" s="56"/>
    </row>
    <row r="29905" spans="1:1">
      <c r="A29905" s="56"/>
    </row>
    <row r="29906" spans="1:1">
      <c r="A29906" s="56"/>
    </row>
    <row r="29907" spans="1:1">
      <c r="A29907" s="56"/>
    </row>
    <row r="29908" spans="1:1">
      <c r="A29908" s="56"/>
    </row>
    <row r="29909" spans="1:1">
      <c r="A29909" s="56"/>
    </row>
    <row r="29910" spans="1:1">
      <c r="A29910" s="56"/>
    </row>
    <row r="29911" spans="1:1">
      <c r="A29911" s="56"/>
    </row>
    <row r="29912" spans="1:1">
      <c r="A29912" s="56"/>
    </row>
    <row r="29913" spans="1:1">
      <c r="A29913" s="56"/>
    </row>
    <row r="29914" spans="1:1">
      <c r="A29914" s="56"/>
    </row>
    <row r="29915" spans="1:1">
      <c r="A29915" s="56"/>
    </row>
    <row r="29916" spans="1:1">
      <c r="A29916" s="56"/>
    </row>
    <row r="29917" spans="1:1">
      <c r="A29917" s="56"/>
    </row>
    <row r="29918" spans="1:1">
      <c r="A29918" s="56"/>
    </row>
    <row r="29919" spans="1:1">
      <c r="A29919" s="56"/>
    </row>
    <row r="29920" spans="1:1">
      <c r="A29920" s="56"/>
    </row>
    <row r="29921" spans="1:1">
      <c r="A29921" s="56"/>
    </row>
    <row r="29922" spans="1:1">
      <c r="A29922" s="56"/>
    </row>
    <row r="29923" spans="1:1">
      <c r="A29923" s="56"/>
    </row>
    <row r="29924" spans="1:1">
      <c r="A29924" s="56"/>
    </row>
    <row r="29925" spans="1:1">
      <c r="A29925" s="56"/>
    </row>
    <row r="29926" spans="1:1">
      <c r="A29926" s="56"/>
    </row>
    <row r="29927" spans="1:1">
      <c r="A29927" s="56"/>
    </row>
    <row r="29928" spans="1:1">
      <c r="A29928" s="56"/>
    </row>
    <row r="29929" spans="1:1">
      <c r="A29929" s="56"/>
    </row>
    <row r="29930" spans="1:1">
      <c r="A29930" s="56"/>
    </row>
    <row r="29931" spans="1:1">
      <c r="A29931" s="56"/>
    </row>
    <row r="29932" spans="1:1">
      <c r="A29932" s="56"/>
    </row>
    <row r="29933" spans="1:1">
      <c r="A29933" s="56"/>
    </row>
    <row r="29934" spans="1:1">
      <c r="A29934" s="56"/>
    </row>
    <row r="29935" spans="1:1">
      <c r="A29935" s="56"/>
    </row>
    <row r="29936" spans="1:1">
      <c r="A29936" s="56"/>
    </row>
    <row r="29937" spans="1:1">
      <c r="A29937" s="56"/>
    </row>
    <row r="29938" spans="1:1">
      <c r="A29938" s="56"/>
    </row>
    <row r="29939" spans="1:1">
      <c r="A29939" s="56"/>
    </row>
    <row r="29940" spans="1:1">
      <c r="A29940" s="56"/>
    </row>
    <row r="29941" spans="1:1">
      <c r="A29941" s="56"/>
    </row>
    <row r="29942" spans="1:1">
      <c r="A29942" s="56"/>
    </row>
    <row r="29943" spans="1:1">
      <c r="A29943" s="56"/>
    </row>
    <row r="29944" spans="1:1">
      <c r="A29944" s="56"/>
    </row>
    <row r="29945" spans="1:1">
      <c r="A29945" s="56"/>
    </row>
    <row r="29946" spans="1:1">
      <c r="A29946" s="56"/>
    </row>
    <row r="29947" spans="1:1">
      <c r="A29947" s="56"/>
    </row>
    <row r="29948" spans="1:1">
      <c r="A29948" s="56"/>
    </row>
    <row r="29949" spans="1:1">
      <c r="A29949" s="56"/>
    </row>
    <row r="29950" spans="1:1">
      <c r="A29950" s="56"/>
    </row>
    <row r="29951" spans="1:1">
      <c r="A29951" s="56"/>
    </row>
    <row r="29952" spans="1:1">
      <c r="A29952" s="56"/>
    </row>
    <row r="29953" spans="1:1">
      <c r="A29953" s="56"/>
    </row>
    <row r="29954" spans="1:1">
      <c r="A29954" s="56"/>
    </row>
    <row r="29955" spans="1:1">
      <c r="A29955" s="56"/>
    </row>
    <row r="29956" spans="1:1">
      <c r="A29956" s="56"/>
    </row>
    <row r="29957" spans="1:1">
      <c r="A29957" s="56"/>
    </row>
    <row r="29958" spans="1:1">
      <c r="A29958" s="56"/>
    </row>
    <row r="29959" spans="1:1">
      <c r="A29959" s="56"/>
    </row>
    <row r="29960" spans="1:1">
      <c r="A29960" s="56"/>
    </row>
    <row r="29961" spans="1:1">
      <c r="A29961" s="56"/>
    </row>
    <row r="29962" spans="1:1">
      <c r="A29962" s="56"/>
    </row>
    <row r="29963" spans="1:1">
      <c r="A29963" s="56"/>
    </row>
    <row r="29964" spans="1:1">
      <c r="A29964" s="56"/>
    </row>
    <row r="29965" spans="1:1">
      <c r="A29965" s="56"/>
    </row>
    <row r="29966" spans="1:1">
      <c r="A29966" s="56"/>
    </row>
    <row r="29967" spans="1:1">
      <c r="A29967" s="56"/>
    </row>
    <row r="29968" spans="1:1">
      <c r="A29968" s="56"/>
    </row>
    <row r="29969" spans="1:1">
      <c r="A29969" s="56"/>
    </row>
    <row r="29970" spans="1:1">
      <c r="A29970" s="56"/>
    </row>
    <row r="29971" spans="1:1">
      <c r="A29971" s="56"/>
    </row>
    <row r="29972" spans="1:1">
      <c r="A29972" s="56"/>
    </row>
    <row r="29973" spans="1:1">
      <c r="A29973" s="56"/>
    </row>
    <row r="29974" spans="1:1">
      <c r="A29974" s="56"/>
    </row>
    <row r="29975" spans="1:1">
      <c r="A29975" s="56"/>
    </row>
    <row r="29976" spans="1:1">
      <c r="A29976" s="56"/>
    </row>
    <row r="29977" spans="1:1">
      <c r="A29977" s="56"/>
    </row>
    <row r="29978" spans="1:1">
      <c r="A29978" s="56"/>
    </row>
    <row r="29979" spans="1:1">
      <c r="A29979" s="56"/>
    </row>
    <row r="29980" spans="1:1">
      <c r="A29980" s="56"/>
    </row>
    <row r="29981" spans="1:1">
      <c r="A29981" s="56"/>
    </row>
    <row r="29982" spans="1:1">
      <c r="A29982" s="56"/>
    </row>
    <row r="29983" spans="1:1">
      <c r="A29983" s="56"/>
    </row>
    <row r="29984" spans="1:1">
      <c r="A29984" s="56"/>
    </row>
    <row r="29985" spans="1:1">
      <c r="A29985" s="56"/>
    </row>
    <row r="29986" spans="1:1">
      <c r="A29986" s="56"/>
    </row>
    <row r="29987" spans="1:1">
      <c r="A29987" s="56"/>
    </row>
    <row r="29988" spans="1:1">
      <c r="A29988" s="56"/>
    </row>
    <row r="29989" spans="1:1">
      <c r="A29989" s="56"/>
    </row>
    <row r="29990" spans="1:1">
      <c r="A29990" s="56"/>
    </row>
    <row r="29991" spans="1:1">
      <c r="A29991" s="56"/>
    </row>
    <row r="29992" spans="1:1">
      <c r="A29992" s="56"/>
    </row>
    <row r="29993" spans="1:1">
      <c r="A29993" s="56"/>
    </row>
    <row r="29994" spans="1:1">
      <c r="A29994" s="56"/>
    </row>
    <row r="29995" spans="1:1">
      <c r="A29995" s="56"/>
    </row>
    <row r="29996" spans="1:1">
      <c r="A29996" s="56"/>
    </row>
    <row r="29997" spans="1:1">
      <c r="A29997" s="56"/>
    </row>
    <row r="29998" spans="1:1">
      <c r="A29998" s="56"/>
    </row>
    <row r="29999" spans="1:1">
      <c r="A29999" s="56"/>
    </row>
    <row r="30000" spans="1:1">
      <c r="A30000" s="56"/>
    </row>
    <row r="30001" spans="1:1">
      <c r="A30001" s="56"/>
    </row>
    <row r="30002" spans="1:1">
      <c r="A30002" s="56"/>
    </row>
    <row r="30003" spans="1:1">
      <c r="A30003" s="56"/>
    </row>
    <row r="30004" spans="1:1">
      <c r="A30004" s="56"/>
    </row>
    <row r="30005" spans="1:1">
      <c r="A30005" s="56"/>
    </row>
    <row r="30006" spans="1:1">
      <c r="A30006" s="56"/>
    </row>
    <row r="30007" spans="1:1">
      <c r="A30007" s="56"/>
    </row>
    <row r="30008" spans="1:1">
      <c r="A30008" s="56"/>
    </row>
    <row r="30009" spans="1:1">
      <c r="A30009" s="56"/>
    </row>
    <row r="30010" spans="1:1">
      <c r="A30010" s="56"/>
    </row>
    <row r="30011" spans="1:1">
      <c r="A30011" s="56"/>
    </row>
    <row r="30012" spans="1:1">
      <c r="A30012" s="56"/>
    </row>
    <row r="30013" spans="1:1">
      <c r="A30013" s="56"/>
    </row>
    <row r="30014" spans="1:1">
      <c r="A30014" s="56"/>
    </row>
    <row r="30015" spans="1:1">
      <c r="A30015" s="56"/>
    </row>
    <row r="30016" spans="1:1">
      <c r="A30016" s="56"/>
    </row>
    <row r="30017" spans="1:1">
      <c r="A30017" s="56"/>
    </row>
    <row r="30018" spans="1:1">
      <c r="A30018" s="56"/>
    </row>
    <row r="30019" spans="1:1">
      <c r="A30019" s="56"/>
    </row>
    <row r="30020" spans="1:1">
      <c r="A30020" s="56"/>
    </row>
    <row r="30021" spans="1:1">
      <c r="A30021" s="56"/>
    </row>
    <row r="30022" spans="1:1">
      <c r="A30022" s="56"/>
    </row>
    <row r="30023" spans="1:1">
      <c r="A30023" s="56"/>
    </row>
    <row r="30024" spans="1:1">
      <c r="A30024" s="56"/>
    </row>
    <row r="30025" spans="1:1">
      <c r="A30025" s="56"/>
    </row>
    <row r="30026" spans="1:1">
      <c r="A30026" s="56"/>
    </row>
    <row r="30027" spans="1:1">
      <c r="A30027" s="56"/>
    </row>
    <row r="30028" spans="1:1">
      <c r="A30028" s="56"/>
    </row>
    <row r="30029" spans="1:1">
      <c r="A30029" s="56"/>
    </row>
    <row r="30030" spans="1:1">
      <c r="A30030" s="56"/>
    </row>
    <row r="30031" spans="1:1">
      <c r="A30031" s="56"/>
    </row>
    <row r="30032" spans="1:1">
      <c r="A30032" s="56"/>
    </row>
    <row r="30033" spans="1:1">
      <c r="A30033" s="56"/>
    </row>
    <row r="30034" spans="1:1">
      <c r="A30034" s="56"/>
    </row>
    <row r="30035" spans="1:1">
      <c r="A30035" s="56"/>
    </row>
    <row r="30036" spans="1:1">
      <c r="A30036" s="56"/>
    </row>
    <row r="30037" spans="1:1">
      <c r="A30037" s="56"/>
    </row>
    <row r="30038" spans="1:1">
      <c r="A30038" s="56"/>
    </row>
    <row r="30039" spans="1:1">
      <c r="A30039" s="56"/>
    </row>
    <row r="30040" spans="1:1">
      <c r="A30040" s="56"/>
    </row>
    <row r="30041" spans="1:1">
      <c r="A30041" s="56"/>
    </row>
    <row r="30042" spans="1:1">
      <c r="A30042" s="56"/>
    </row>
    <row r="30043" spans="1:1">
      <c r="A30043" s="56"/>
    </row>
    <row r="30044" spans="1:1">
      <c r="A30044" s="56"/>
    </row>
    <row r="30045" spans="1:1">
      <c r="A30045" s="56"/>
    </row>
    <row r="30046" spans="1:1">
      <c r="A30046" s="56"/>
    </row>
    <row r="30047" spans="1:1">
      <c r="A30047" s="56"/>
    </row>
    <row r="30048" spans="1:1">
      <c r="A30048" s="56"/>
    </row>
    <row r="30049" spans="1:1">
      <c r="A30049" s="56"/>
    </row>
    <row r="30050" spans="1:1">
      <c r="A30050" s="56"/>
    </row>
    <row r="30051" spans="1:1">
      <c r="A30051" s="56"/>
    </row>
    <row r="30052" spans="1:1">
      <c r="A30052" s="56"/>
    </row>
    <row r="30053" spans="1:1">
      <c r="A30053" s="56"/>
    </row>
    <row r="30054" spans="1:1">
      <c r="A30054" s="56"/>
    </row>
    <row r="30055" spans="1:1">
      <c r="A30055" s="56"/>
    </row>
    <row r="30056" spans="1:1">
      <c r="A30056" s="56"/>
    </row>
    <row r="30057" spans="1:1">
      <c r="A30057" s="56"/>
    </row>
    <row r="30058" spans="1:1">
      <c r="A30058" s="56"/>
    </row>
    <row r="30059" spans="1:1">
      <c r="A30059" s="56"/>
    </row>
    <row r="30060" spans="1:1">
      <c r="A30060" s="56"/>
    </row>
    <row r="30061" spans="1:1">
      <c r="A30061" s="56"/>
    </row>
    <row r="30062" spans="1:1">
      <c r="A30062" s="56"/>
    </row>
    <row r="30063" spans="1:1">
      <c r="A30063" s="56"/>
    </row>
    <row r="30064" spans="1:1">
      <c r="A30064" s="56"/>
    </row>
    <row r="30065" spans="1:1">
      <c r="A30065" s="56"/>
    </row>
    <row r="30066" spans="1:1">
      <c r="A30066" s="56"/>
    </row>
    <row r="30067" spans="1:1">
      <c r="A30067" s="56"/>
    </row>
    <row r="30068" spans="1:1">
      <c r="A30068" s="56"/>
    </row>
    <row r="30069" spans="1:1">
      <c r="A30069" s="56"/>
    </row>
    <row r="30070" spans="1:1">
      <c r="A30070" s="56"/>
    </row>
    <row r="30071" spans="1:1">
      <c r="A30071" s="56"/>
    </row>
    <row r="30072" spans="1:1">
      <c r="A30072" s="56"/>
    </row>
    <row r="30073" spans="1:1">
      <c r="A30073" s="56"/>
    </row>
    <row r="30074" spans="1:1">
      <c r="A30074" s="56"/>
    </row>
    <row r="30075" spans="1:1">
      <c r="A30075" s="56"/>
    </row>
    <row r="30076" spans="1:1">
      <c r="A30076" s="56"/>
    </row>
    <row r="30077" spans="1:1">
      <c r="A30077" s="56"/>
    </row>
    <row r="30078" spans="1:1">
      <c r="A30078" s="56"/>
    </row>
    <row r="30079" spans="1:1">
      <c r="A30079" s="56"/>
    </row>
    <row r="30080" spans="1:1">
      <c r="A30080" s="56"/>
    </row>
    <row r="30081" spans="1:1">
      <c r="A30081" s="56"/>
    </row>
    <row r="30082" spans="1:1">
      <c r="A30082" s="56"/>
    </row>
    <row r="30083" spans="1:1">
      <c r="A30083" s="56"/>
    </row>
    <row r="30084" spans="1:1">
      <c r="A30084" s="56"/>
    </row>
    <row r="30085" spans="1:1">
      <c r="A30085" s="56"/>
    </row>
    <row r="30086" spans="1:1">
      <c r="A30086" s="56"/>
    </row>
    <row r="30087" spans="1:1">
      <c r="A30087" s="56"/>
    </row>
    <row r="30088" spans="1:1">
      <c r="A30088" s="56"/>
    </row>
    <row r="30089" spans="1:1">
      <c r="A30089" s="56"/>
    </row>
    <row r="30090" spans="1:1">
      <c r="A30090" s="56"/>
    </row>
    <row r="30091" spans="1:1">
      <c r="A30091" s="56"/>
    </row>
    <row r="30092" spans="1:1">
      <c r="A30092" s="56"/>
    </row>
    <row r="30093" spans="1:1">
      <c r="A30093" s="56"/>
    </row>
    <row r="30094" spans="1:1">
      <c r="A30094" s="56"/>
    </row>
    <row r="30095" spans="1:1">
      <c r="A30095" s="56"/>
    </row>
    <row r="30096" spans="1:1">
      <c r="A30096" s="56"/>
    </row>
    <row r="30097" spans="1:1">
      <c r="A30097" s="56"/>
    </row>
    <row r="30098" spans="1:1">
      <c r="A30098" s="56"/>
    </row>
    <row r="30099" spans="1:1">
      <c r="A30099" s="56"/>
    </row>
    <row r="30100" spans="1:1">
      <c r="A30100" s="56"/>
    </row>
    <row r="30101" spans="1:1">
      <c r="A30101" s="56"/>
    </row>
    <row r="30102" spans="1:1">
      <c r="A30102" s="56"/>
    </row>
    <row r="30103" spans="1:1">
      <c r="A30103" s="56"/>
    </row>
    <row r="30104" spans="1:1">
      <c r="A30104" s="56"/>
    </row>
    <row r="30105" spans="1:1">
      <c r="A30105" s="56"/>
    </row>
    <row r="30106" spans="1:1">
      <c r="A30106" s="56"/>
    </row>
    <row r="30107" spans="1:1">
      <c r="A30107" s="56"/>
    </row>
    <row r="30108" spans="1:1">
      <c r="A30108" s="56"/>
    </row>
    <row r="30109" spans="1:1">
      <c r="A30109" s="56"/>
    </row>
    <row r="30110" spans="1:1">
      <c r="A30110" s="56"/>
    </row>
    <row r="30111" spans="1:1">
      <c r="A30111" s="56"/>
    </row>
    <row r="30112" spans="1:1">
      <c r="A30112" s="56"/>
    </row>
    <row r="30113" spans="1:1">
      <c r="A30113" s="56"/>
    </row>
    <row r="30114" spans="1:1">
      <c r="A30114" s="56"/>
    </row>
    <row r="30115" spans="1:1">
      <c r="A30115" s="56"/>
    </row>
    <row r="30116" spans="1:1">
      <c r="A30116" s="56"/>
    </row>
    <row r="30117" spans="1:1">
      <c r="A30117" s="56"/>
    </row>
    <row r="30118" spans="1:1">
      <c r="A30118" s="56"/>
    </row>
    <row r="30119" spans="1:1">
      <c r="A30119" s="56"/>
    </row>
    <row r="30120" spans="1:1">
      <c r="A30120" s="56"/>
    </row>
    <row r="30121" spans="1:1">
      <c r="A30121" s="56"/>
    </row>
    <row r="30122" spans="1:1">
      <c r="A30122" s="56"/>
    </row>
    <row r="30123" spans="1:1">
      <c r="A30123" s="56"/>
    </row>
    <row r="30124" spans="1:1">
      <c r="A30124" s="56"/>
    </row>
    <row r="30125" spans="1:1">
      <c r="A30125" s="56"/>
    </row>
    <row r="30126" spans="1:1">
      <c r="A30126" s="56"/>
    </row>
    <row r="30127" spans="1:1">
      <c r="A30127" s="56"/>
    </row>
    <row r="30128" spans="1:1">
      <c r="A30128" s="56"/>
    </row>
    <row r="30129" spans="1:1">
      <c r="A30129" s="56"/>
    </row>
    <row r="30130" spans="1:1">
      <c r="A30130" s="56"/>
    </row>
    <row r="30131" spans="1:1">
      <c r="A30131" s="56"/>
    </row>
    <row r="30132" spans="1:1">
      <c r="A30132" s="56"/>
    </row>
    <row r="30133" spans="1:1">
      <c r="A30133" s="56"/>
    </row>
    <row r="30134" spans="1:1">
      <c r="A30134" s="56"/>
    </row>
    <row r="30135" spans="1:1">
      <c r="A30135" s="56"/>
    </row>
    <row r="30136" spans="1:1">
      <c r="A30136" s="56"/>
    </row>
    <row r="30137" spans="1:1">
      <c r="A30137" s="56"/>
    </row>
    <row r="30138" spans="1:1">
      <c r="A30138" s="56"/>
    </row>
    <row r="30139" spans="1:1">
      <c r="A30139" s="56"/>
    </row>
    <row r="30140" spans="1:1">
      <c r="A30140" s="56"/>
    </row>
    <row r="30141" spans="1:1">
      <c r="A30141" s="56"/>
    </row>
    <row r="30142" spans="1:1">
      <c r="A30142" s="56"/>
    </row>
    <row r="30143" spans="1:1">
      <c r="A30143" s="56"/>
    </row>
    <row r="30144" spans="1:1">
      <c r="A30144" s="56"/>
    </row>
    <row r="30145" spans="1:1">
      <c r="A30145" s="56"/>
    </row>
    <row r="30146" spans="1:1">
      <c r="A30146" s="56"/>
    </row>
    <row r="30147" spans="1:1">
      <c r="A30147" s="56"/>
    </row>
    <row r="30148" spans="1:1">
      <c r="A30148" s="56"/>
    </row>
    <row r="30149" spans="1:1">
      <c r="A30149" s="56"/>
    </row>
    <row r="30150" spans="1:1">
      <c r="A30150" s="56"/>
    </row>
    <row r="30151" spans="1:1">
      <c r="A30151" s="56"/>
    </row>
    <row r="30152" spans="1:1">
      <c r="A30152" s="56"/>
    </row>
    <row r="30153" spans="1:1">
      <c r="A30153" s="56"/>
    </row>
    <row r="30154" spans="1:1">
      <c r="A30154" s="56"/>
    </row>
    <row r="30155" spans="1:1">
      <c r="A30155" s="56"/>
    </row>
    <row r="30156" spans="1:1">
      <c r="A30156" s="56"/>
    </row>
    <row r="30157" spans="1:1">
      <c r="A30157" s="56"/>
    </row>
    <row r="30158" spans="1:1">
      <c r="A30158" s="56"/>
    </row>
    <row r="30159" spans="1:1">
      <c r="A30159" s="56"/>
    </row>
    <row r="30160" spans="1:1">
      <c r="A30160" s="56"/>
    </row>
    <row r="30161" spans="1:1">
      <c r="A30161" s="56"/>
    </row>
    <row r="30162" spans="1:1">
      <c r="A30162" s="56"/>
    </row>
    <row r="30163" spans="1:1">
      <c r="A30163" s="56"/>
    </row>
    <row r="30164" spans="1:1">
      <c r="A30164" s="56"/>
    </row>
    <row r="30165" spans="1:1">
      <c r="A30165" s="56"/>
    </row>
    <row r="30166" spans="1:1">
      <c r="A30166" s="56"/>
    </row>
    <row r="30167" spans="1:1">
      <c r="A30167" s="56"/>
    </row>
    <row r="30168" spans="1:1">
      <c r="A30168" s="56"/>
    </row>
    <row r="30169" spans="1:1">
      <c r="A30169" s="56"/>
    </row>
    <row r="30170" spans="1:1">
      <c r="A30170" s="56"/>
    </row>
    <row r="30171" spans="1:1">
      <c r="A30171" s="56"/>
    </row>
    <row r="30172" spans="1:1">
      <c r="A30172" s="56"/>
    </row>
    <row r="30173" spans="1:1">
      <c r="A30173" s="56"/>
    </row>
    <row r="30174" spans="1:1">
      <c r="A30174" s="56"/>
    </row>
    <row r="30175" spans="1:1">
      <c r="A30175" s="56"/>
    </row>
    <row r="30176" spans="1:1">
      <c r="A30176" s="56"/>
    </row>
    <row r="30177" spans="1:1">
      <c r="A30177" s="56"/>
    </row>
    <row r="30178" spans="1:1">
      <c r="A30178" s="56"/>
    </row>
    <row r="30179" spans="1:1">
      <c r="A30179" s="56"/>
    </row>
    <row r="30180" spans="1:1">
      <c r="A30180" s="56"/>
    </row>
    <row r="30181" spans="1:1">
      <c r="A30181" s="56"/>
    </row>
    <row r="30182" spans="1:1">
      <c r="A30182" s="56"/>
    </row>
    <row r="30183" spans="1:1">
      <c r="A30183" s="56"/>
    </row>
    <row r="30184" spans="1:1">
      <c r="A30184" s="56"/>
    </row>
    <row r="30185" spans="1:1">
      <c r="A30185" s="56"/>
    </row>
    <row r="30186" spans="1:1">
      <c r="A30186" s="56"/>
    </row>
    <row r="30187" spans="1:1">
      <c r="A30187" s="56"/>
    </row>
    <row r="30188" spans="1:1">
      <c r="A30188" s="56"/>
    </row>
    <row r="30189" spans="1:1">
      <c r="A30189" s="56"/>
    </row>
    <row r="30190" spans="1:1">
      <c r="A30190" s="56"/>
    </row>
    <row r="30191" spans="1:1">
      <c r="A30191" s="56"/>
    </row>
    <row r="30192" spans="1:1">
      <c r="A30192" s="56"/>
    </row>
    <row r="30193" spans="1:1">
      <c r="A30193" s="56"/>
    </row>
    <row r="30194" spans="1:1">
      <c r="A30194" s="56"/>
    </row>
    <row r="30195" spans="1:1">
      <c r="A30195" s="56"/>
    </row>
    <row r="30196" spans="1:1">
      <c r="A30196" s="56"/>
    </row>
    <row r="30197" spans="1:1">
      <c r="A30197" s="56"/>
    </row>
    <row r="30198" spans="1:1">
      <c r="A30198" s="56"/>
    </row>
    <row r="30199" spans="1:1">
      <c r="A30199" s="56"/>
    </row>
    <row r="30200" spans="1:1">
      <c r="A30200" s="56"/>
    </row>
    <row r="30201" spans="1:1">
      <c r="A30201" s="56"/>
    </row>
    <row r="30202" spans="1:1">
      <c r="A30202" s="56"/>
    </row>
    <row r="30203" spans="1:1">
      <c r="A30203" s="56"/>
    </row>
    <row r="30204" spans="1:1">
      <c r="A30204" s="56"/>
    </row>
    <row r="30205" spans="1:1">
      <c r="A30205" s="56"/>
    </row>
    <row r="30206" spans="1:1">
      <c r="A30206" s="56"/>
    </row>
    <row r="30207" spans="1:1">
      <c r="A30207" s="56"/>
    </row>
    <row r="30208" spans="1:1">
      <c r="A30208" s="56"/>
    </row>
    <row r="30209" spans="1:1">
      <c r="A30209" s="56"/>
    </row>
    <row r="30210" spans="1:1">
      <c r="A30210" s="56"/>
    </row>
    <row r="30211" spans="1:1">
      <c r="A30211" s="56"/>
    </row>
    <row r="30212" spans="1:1">
      <c r="A30212" s="56"/>
    </row>
    <row r="30213" spans="1:1">
      <c r="A30213" s="56"/>
    </row>
    <row r="30214" spans="1:1">
      <c r="A30214" s="56"/>
    </row>
    <row r="30215" spans="1:1">
      <c r="A30215" s="56"/>
    </row>
    <row r="30216" spans="1:1">
      <c r="A30216" s="56"/>
    </row>
    <row r="30217" spans="1:1">
      <c r="A30217" s="56"/>
    </row>
    <row r="30218" spans="1:1">
      <c r="A30218" s="56"/>
    </row>
    <row r="30219" spans="1:1">
      <c r="A30219" s="56"/>
    </row>
    <row r="30220" spans="1:1">
      <c r="A30220" s="56"/>
    </row>
    <row r="30221" spans="1:1">
      <c r="A30221" s="56"/>
    </row>
    <row r="30222" spans="1:1">
      <c r="A30222" s="56"/>
    </row>
    <row r="30223" spans="1:1">
      <c r="A30223" s="56"/>
    </row>
    <row r="30224" spans="1:1">
      <c r="A30224" s="56"/>
    </row>
    <row r="30225" spans="1:1">
      <c r="A30225" s="56"/>
    </row>
    <row r="30226" spans="1:1">
      <c r="A30226" s="56"/>
    </row>
    <row r="30227" spans="1:1">
      <c r="A30227" s="56"/>
    </row>
    <row r="30228" spans="1:1">
      <c r="A30228" s="56"/>
    </row>
    <row r="30229" spans="1:1">
      <c r="A30229" s="56"/>
    </row>
    <row r="30230" spans="1:1">
      <c r="A30230" s="56"/>
    </row>
    <row r="30231" spans="1:1">
      <c r="A30231" s="56"/>
    </row>
    <row r="30232" spans="1:1">
      <c r="A30232" s="56"/>
    </row>
    <row r="30233" spans="1:1">
      <c r="A30233" s="56"/>
    </row>
    <row r="30234" spans="1:1">
      <c r="A30234" s="56"/>
    </row>
    <row r="30235" spans="1:1">
      <c r="A30235" s="56"/>
    </row>
    <row r="30236" spans="1:1">
      <c r="A30236" s="56"/>
    </row>
    <row r="30237" spans="1:1">
      <c r="A30237" s="56"/>
    </row>
    <row r="30238" spans="1:1">
      <c r="A30238" s="56"/>
    </row>
    <row r="30239" spans="1:1">
      <c r="A30239" s="56"/>
    </row>
    <row r="30240" spans="1:1">
      <c r="A30240" s="56"/>
    </row>
    <row r="30241" spans="1:1">
      <c r="A30241" s="56"/>
    </row>
    <row r="30242" spans="1:1">
      <c r="A30242" s="56"/>
    </row>
    <row r="30243" spans="1:1">
      <c r="A30243" s="56"/>
    </row>
    <row r="30244" spans="1:1">
      <c r="A30244" s="56"/>
    </row>
    <row r="30245" spans="1:1">
      <c r="A30245" s="56"/>
    </row>
    <row r="30246" spans="1:1">
      <c r="A30246" s="56"/>
    </row>
    <row r="30247" spans="1:1">
      <c r="A30247" s="56"/>
    </row>
    <row r="30248" spans="1:1">
      <c r="A30248" s="56"/>
    </row>
    <row r="30249" spans="1:1">
      <c r="A30249" s="56"/>
    </row>
    <row r="30250" spans="1:1">
      <c r="A30250" s="56"/>
    </row>
    <row r="30251" spans="1:1">
      <c r="A30251" s="56"/>
    </row>
    <row r="30252" spans="1:1">
      <c r="A30252" s="56"/>
    </row>
    <row r="30253" spans="1:1">
      <c r="A30253" s="56"/>
    </row>
    <row r="30254" spans="1:1">
      <c r="A30254" s="56"/>
    </row>
    <row r="30255" spans="1:1">
      <c r="A30255" s="56"/>
    </row>
    <row r="30256" spans="1:1">
      <c r="A30256" s="56"/>
    </row>
    <row r="30257" spans="1:1">
      <c r="A30257" s="56"/>
    </row>
    <row r="30258" spans="1:1">
      <c r="A30258" s="56"/>
    </row>
    <row r="30259" spans="1:1">
      <c r="A30259" s="56"/>
    </row>
    <row r="30260" spans="1:1">
      <c r="A30260" s="56"/>
    </row>
    <row r="30261" spans="1:1">
      <c r="A30261" s="56"/>
    </row>
    <row r="30262" spans="1:1">
      <c r="A30262" s="56"/>
    </row>
    <row r="30263" spans="1:1">
      <c r="A30263" s="56"/>
    </row>
    <row r="30264" spans="1:1">
      <c r="A30264" s="56"/>
    </row>
    <row r="30265" spans="1:1">
      <c r="A30265" s="56"/>
    </row>
    <row r="30266" spans="1:1">
      <c r="A30266" s="56"/>
    </row>
    <row r="30267" spans="1:1">
      <c r="A30267" s="56"/>
    </row>
    <row r="30268" spans="1:1">
      <c r="A30268" s="56"/>
    </row>
    <row r="30269" spans="1:1">
      <c r="A30269" s="56"/>
    </row>
    <row r="30270" spans="1:1">
      <c r="A30270" s="56"/>
    </row>
    <row r="30271" spans="1:1">
      <c r="A30271" s="56"/>
    </row>
    <row r="30272" spans="1:1">
      <c r="A30272" s="56"/>
    </row>
    <row r="30273" spans="1:1">
      <c r="A30273" s="56"/>
    </row>
    <row r="30274" spans="1:1">
      <c r="A30274" s="56"/>
    </row>
    <row r="30275" spans="1:1">
      <c r="A30275" s="56"/>
    </row>
    <row r="30276" spans="1:1">
      <c r="A30276" s="56"/>
    </row>
    <row r="30277" spans="1:1">
      <c r="A30277" s="56"/>
    </row>
    <row r="30278" spans="1:1">
      <c r="A30278" s="56"/>
    </row>
    <row r="30279" spans="1:1">
      <c r="A30279" s="56"/>
    </row>
    <row r="30280" spans="1:1">
      <c r="A30280" s="56"/>
    </row>
    <row r="30281" spans="1:1">
      <c r="A30281" s="56"/>
    </row>
    <row r="30282" spans="1:1">
      <c r="A30282" s="56"/>
    </row>
    <row r="30283" spans="1:1">
      <c r="A30283" s="56"/>
    </row>
    <row r="30284" spans="1:1">
      <c r="A30284" s="56"/>
    </row>
    <row r="30285" spans="1:1">
      <c r="A30285" s="56"/>
    </row>
    <row r="30286" spans="1:1">
      <c r="A30286" s="56"/>
    </row>
    <row r="30287" spans="1:1">
      <c r="A30287" s="56"/>
    </row>
    <row r="30288" spans="1:1">
      <c r="A30288" s="56"/>
    </row>
    <row r="30289" spans="1:1">
      <c r="A30289" s="56"/>
    </row>
    <row r="30290" spans="1:1">
      <c r="A30290" s="56"/>
    </row>
    <row r="30291" spans="1:1">
      <c r="A30291" s="56"/>
    </row>
    <row r="30292" spans="1:1">
      <c r="A30292" s="56"/>
    </row>
    <row r="30293" spans="1:1">
      <c r="A30293" s="56"/>
    </row>
    <row r="30294" spans="1:1">
      <c r="A30294" s="56"/>
    </row>
    <row r="30295" spans="1:1">
      <c r="A30295" s="56"/>
    </row>
    <row r="30296" spans="1:1">
      <c r="A30296" s="56"/>
    </row>
    <row r="30297" spans="1:1">
      <c r="A30297" s="56"/>
    </row>
    <row r="30298" spans="1:1">
      <c r="A30298" s="56"/>
    </row>
    <row r="30299" spans="1:1">
      <c r="A30299" s="56"/>
    </row>
    <row r="30300" spans="1:1">
      <c r="A30300" s="56"/>
    </row>
    <row r="30301" spans="1:1">
      <c r="A30301" s="56"/>
    </row>
    <row r="30302" spans="1:1">
      <c r="A30302" s="56"/>
    </row>
    <row r="30303" spans="1:1">
      <c r="A30303" s="56"/>
    </row>
    <row r="30304" spans="1:1">
      <c r="A30304" s="56"/>
    </row>
    <row r="30305" spans="1:1">
      <c r="A30305" s="56"/>
    </row>
    <row r="30306" spans="1:1">
      <c r="A30306" s="56"/>
    </row>
    <row r="30307" spans="1:1">
      <c r="A30307" s="56"/>
    </row>
    <row r="30308" spans="1:1">
      <c r="A30308" s="56"/>
    </row>
    <row r="30309" spans="1:1">
      <c r="A30309" s="56"/>
    </row>
    <row r="30310" spans="1:1">
      <c r="A30310" s="56"/>
    </row>
    <row r="30311" spans="1:1">
      <c r="A30311" s="56"/>
    </row>
    <row r="30312" spans="1:1">
      <c r="A30312" s="56"/>
    </row>
    <row r="30313" spans="1:1">
      <c r="A30313" s="56"/>
    </row>
    <row r="30314" spans="1:1">
      <c r="A30314" s="56"/>
    </row>
    <row r="30315" spans="1:1">
      <c r="A30315" s="56"/>
    </row>
    <row r="30316" spans="1:1">
      <c r="A30316" s="56"/>
    </row>
    <row r="30317" spans="1:1">
      <c r="A30317" s="56"/>
    </row>
    <row r="30318" spans="1:1">
      <c r="A30318" s="56"/>
    </row>
    <row r="30319" spans="1:1">
      <c r="A30319" s="56"/>
    </row>
    <row r="30320" spans="1:1">
      <c r="A30320" s="56"/>
    </row>
    <row r="30321" spans="1:1">
      <c r="A30321" s="56"/>
    </row>
    <row r="30322" spans="1:1">
      <c r="A30322" s="56"/>
    </row>
    <row r="30323" spans="1:1">
      <c r="A30323" s="56"/>
    </row>
    <row r="30324" spans="1:1">
      <c r="A30324" s="56"/>
    </row>
    <row r="30325" spans="1:1">
      <c r="A30325" s="56"/>
    </row>
    <row r="30326" spans="1:1">
      <c r="A30326" s="56"/>
    </row>
    <row r="30327" spans="1:1">
      <c r="A30327" s="56"/>
    </row>
    <row r="30328" spans="1:1">
      <c r="A30328" s="56"/>
    </row>
    <row r="30329" spans="1:1">
      <c r="A30329" s="56"/>
    </row>
    <row r="30330" spans="1:1">
      <c r="A30330" s="56"/>
    </row>
    <row r="30331" spans="1:1">
      <c r="A30331" s="56"/>
    </row>
    <row r="30332" spans="1:1">
      <c r="A30332" s="56"/>
    </row>
    <row r="30333" spans="1:1">
      <c r="A30333" s="56"/>
    </row>
    <row r="30334" spans="1:1">
      <c r="A30334" s="56"/>
    </row>
    <row r="30335" spans="1:1">
      <c r="A30335" s="56"/>
    </row>
    <row r="30336" spans="1:1">
      <c r="A30336" s="56"/>
    </row>
    <row r="30337" spans="1:1">
      <c r="A30337" s="56"/>
    </row>
    <row r="30338" spans="1:1">
      <c r="A30338" s="56"/>
    </row>
    <row r="30339" spans="1:1">
      <c r="A30339" s="56"/>
    </row>
    <row r="30340" spans="1:1">
      <c r="A30340" s="56"/>
    </row>
    <row r="30341" spans="1:1">
      <c r="A30341" s="56"/>
    </row>
    <row r="30342" spans="1:1">
      <c r="A30342" s="56"/>
    </row>
    <row r="30343" spans="1:1">
      <c r="A30343" s="56"/>
    </row>
    <row r="30344" spans="1:1">
      <c r="A30344" s="56"/>
    </row>
    <row r="30345" spans="1:1">
      <c r="A30345" s="56"/>
    </row>
    <row r="30346" spans="1:1">
      <c r="A30346" s="56"/>
    </row>
    <row r="30347" spans="1:1">
      <c r="A30347" s="56"/>
    </row>
    <row r="30348" spans="1:1">
      <c r="A30348" s="56"/>
    </row>
    <row r="30349" spans="1:1">
      <c r="A30349" s="56"/>
    </row>
    <row r="30350" spans="1:1">
      <c r="A30350" s="56"/>
    </row>
    <row r="30351" spans="1:1">
      <c r="A30351" s="56"/>
    </row>
    <row r="30352" spans="1:1">
      <c r="A30352" s="56"/>
    </row>
    <row r="30353" spans="1:1">
      <c r="A30353" s="56"/>
    </row>
    <row r="30354" spans="1:1">
      <c r="A30354" s="56"/>
    </row>
    <row r="30355" spans="1:1">
      <c r="A30355" s="56"/>
    </row>
    <row r="30356" spans="1:1">
      <c r="A30356" s="56"/>
    </row>
    <row r="30357" spans="1:1">
      <c r="A30357" s="56"/>
    </row>
    <row r="30358" spans="1:1">
      <c r="A30358" s="56"/>
    </row>
    <row r="30359" spans="1:1">
      <c r="A30359" s="56"/>
    </row>
    <row r="30360" spans="1:1">
      <c r="A30360" s="56"/>
    </row>
    <row r="30361" spans="1:1">
      <c r="A30361" s="56"/>
    </row>
    <row r="30362" spans="1:1">
      <c r="A30362" s="56"/>
    </row>
    <row r="30363" spans="1:1">
      <c r="A30363" s="56"/>
    </row>
    <row r="30364" spans="1:1">
      <c r="A30364" s="56"/>
    </row>
    <row r="30365" spans="1:1">
      <c r="A30365" s="56"/>
    </row>
    <row r="30366" spans="1:1">
      <c r="A30366" s="56"/>
    </row>
    <row r="30367" spans="1:1">
      <c r="A30367" s="56"/>
    </row>
    <row r="30368" spans="1:1">
      <c r="A30368" s="56"/>
    </row>
    <row r="30369" spans="1:1">
      <c r="A30369" s="56"/>
    </row>
    <row r="30370" spans="1:1">
      <c r="A30370" s="56"/>
    </row>
    <row r="30371" spans="1:1">
      <c r="A30371" s="56"/>
    </row>
    <row r="30372" spans="1:1">
      <c r="A30372" s="56"/>
    </row>
    <row r="30373" spans="1:1">
      <c r="A30373" s="56"/>
    </row>
    <row r="30374" spans="1:1">
      <c r="A30374" s="56"/>
    </row>
    <row r="30375" spans="1:1">
      <c r="A30375" s="56"/>
    </row>
    <row r="30376" spans="1:1">
      <c r="A30376" s="56"/>
    </row>
    <row r="30377" spans="1:1">
      <c r="A30377" s="56"/>
    </row>
    <row r="30378" spans="1:1">
      <c r="A30378" s="56"/>
    </row>
    <row r="30379" spans="1:1">
      <c r="A30379" s="56"/>
    </row>
    <row r="30380" spans="1:1">
      <c r="A30380" s="56"/>
    </row>
    <row r="30381" spans="1:1">
      <c r="A30381" s="56"/>
    </row>
    <row r="30382" spans="1:1">
      <c r="A30382" s="56"/>
    </row>
    <row r="30383" spans="1:1">
      <c r="A30383" s="56"/>
    </row>
    <row r="30384" spans="1:1">
      <c r="A30384" s="56"/>
    </row>
    <row r="30385" spans="1:1">
      <c r="A30385" s="56"/>
    </row>
    <row r="30386" spans="1:1">
      <c r="A30386" s="56"/>
    </row>
    <row r="30387" spans="1:1">
      <c r="A30387" s="56"/>
    </row>
    <row r="30388" spans="1:1">
      <c r="A30388" s="56"/>
    </row>
    <row r="30389" spans="1:1">
      <c r="A30389" s="56"/>
    </row>
    <row r="30390" spans="1:1">
      <c r="A30390" s="56"/>
    </row>
    <row r="30391" spans="1:1">
      <c r="A30391" s="56"/>
    </row>
    <row r="30392" spans="1:1">
      <c r="A30392" s="56"/>
    </row>
    <row r="30393" spans="1:1">
      <c r="A30393" s="56"/>
    </row>
    <row r="30394" spans="1:1">
      <c r="A30394" s="56"/>
    </row>
    <row r="30395" spans="1:1">
      <c r="A30395" s="56"/>
    </row>
    <row r="30396" spans="1:1">
      <c r="A30396" s="56"/>
    </row>
    <row r="30397" spans="1:1">
      <c r="A30397" s="56"/>
    </row>
    <row r="30398" spans="1:1">
      <c r="A30398" s="56"/>
    </row>
    <row r="30399" spans="1:1">
      <c r="A30399" s="56"/>
    </row>
    <row r="30400" spans="1:1">
      <c r="A30400" s="56"/>
    </row>
    <row r="30401" spans="1:1">
      <c r="A30401" s="56"/>
    </row>
    <row r="30402" spans="1:1">
      <c r="A30402" s="56"/>
    </row>
    <row r="30403" spans="1:1">
      <c r="A30403" s="56"/>
    </row>
    <row r="30404" spans="1:1">
      <c r="A30404" s="56"/>
    </row>
    <row r="30405" spans="1:1">
      <c r="A30405" s="56"/>
    </row>
    <row r="30406" spans="1:1">
      <c r="A30406" s="56"/>
    </row>
    <row r="30407" spans="1:1">
      <c r="A30407" s="56"/>
    </row>
    <row r="30408" spans="1:1">
      <c r="A30408" s="56"/>
    </row>
    <row r="30409" spans="1:1">
      <c r="A30409" s="56"/>
    </row>
    <row r="30410" spans="1:1">
      <c r="A30410" s="56"/>
    </row>
    <row r="30411" spans="1:1">
      <c r="A30411" s="56"/>
    </row>
    <row r="30412" spans="1:1">
      <c r="A30412" s="56"/>
    </row>
    <row r="30413" spans="1:1">
      <c r="A30413" s="56"/>
    </row>
    <row r="30414" spans="1:1">
      <c r="A30414" s="56"/>
    </row>
    <row r="30415" spans="1:1">
      <c r="A30415" s="56"/>
    </row>
    <row r="30416" spans="1:1">
      <c r="A30416" s="56"/>
    </row>
    <row r="30417" spans="1:1">
      <c r="A30417" s="56"/>
    </row>
    <row r="30418" spans="1:1">
      <c r="A30418" s="56"/>
    </row>
    <row r="30419" spans="1:1">
      <c r="A30419" s="56"/>
    </row>
    <row r="30420" spans="1:1">
      <c r="A30420" s="56"/>
    </row>
    <row r="30421" spans="1:1">
      <c r="A30421" s="56"/>
    </row>
    <row r="30422" spans="1:1">
      <c r="A30422" s="56"/>
    </row>
    <row r="30423" spans="1:1">
      <c r="A30423" s="56"/>
    </row>
    <row r="30424" spans="1:1">
      <c r="A30424" s="56"/>
    </row>
    <row r="30425" spans="1:1">
      <c r="A30425" s="56"/>
    </row>
    <row r="30426" spans="1:1">
      <c r="A30426" s="56"/>
    </row>
    <row r="30427" spans="1:1">
      <c r="A30427" s="56"/>
    </row>
    <row r="30428" spans="1:1">
      <c r="A30428" s="56"/>
    </row>
    <row r="30429" spans="1:1">
      <c r="A30429" s="56"/>
    </row>
    <row r="30430" spans="1:1">
      <c r="A30430" s="56"/>
    </row>
    <row r="30431" spans="1:1">
      <c r="A30431" s="56"/>
    </row>
    <row r="30432" spans="1:1">
      <c r="A30432" s="56"/>
    </row>
    <row r="30433" spans="1:1">
      <c r="A30433" s="56"/>
    </row>
    <row r="30434" spans="1:1">
      <c r="A30434" s="56"/>
    </row>
    <row r="30435" spans="1:1">
      <c r="A30435" s="56"/>
    </row>
    <row r="30436" spans="1:1">
      <c r="A30436" s="56"/>
    </row>
    <row r="30437" spans="1:1">
      <c r="A30437" s="56"/>
    </row>
    <row r="30438" spans="1:1">
      <c r="A30438" s="56"/>
    </row>
    <row r="30439" spans="1:1">
      <c r="A30439" s="56"/>
    </row>
    <row r="30440" spans="1:1">
      <c r="A30440" s="56"/>
    </row>
    <row r="30441" spans="1:1">
      <c r="A30441" s="56"/>
    </row>
    <row r="30442" spans="1:1">
      <c r="A30442" s="56"/>
    </row>
    <row r="30443" spans="1:1">
      <c r="A30443" s="56"/>
    </row>
    <row r="30444" spans="1:1">
      <c r="A30444" s="56"/>
    </row>
    <row r="30445" spans="1:1">
      <c r="A30445" s="56"/>
    </row>
    <row r="30446" spans="1:1">
      <c r="A30446" s="56"/>
    </row>
    <row r="30447" spans="1:1">
      <c r="A30447" s="56"/>
    </row>
    <row r="30448" spans="1:1">
      <c r="A30448" s="56"/>
    </row>
    <row r="30449" spans="1:1">
      <c r="A30449" s="56"/>
    </row>
    <row r="30450" spans="1:1">
      <c r="A30450" s="56"/>
    </row>
    <row r="30451" spans="1:1">
      <c r="A30451" s="56"/>
    </row>
    <row r="30452" spans="1:1">
      <c r="A30452" s="56"/>
    </row>
    <row r="30453" spans="1:1">
      <c r="A30453" s="56"/>
    </row>
    <row r="30454" spans="1:1">
      <c r="A30454" s="56"/>
    </row>
    <row r="30455" spans="1:1">
      <c r="A30455" s="56"/>
    </row>
    <row r="30456" spans="1:1">
      <c r="A30456" s="56"/>
    </row>
    <row r="30457" spans="1:1">
      <c r="A30457" s="56"/>
    </row>
    <row r="30458" spans="1:1">
      <c r="A30458" s="56"/>
    </row>
    <row r="30459" spans="1:1">
      <c r="A30459" s="56"/>
    </row>
    <row r="30460" spans="1:1">
      <c r="A30460" s="56"/>
    </row>
    <row r="30461" spans="1:1">
      <c r="A30461" s="56"/>
    </row>
    <row r="30462" spans="1:1">
      <c r="A30462" s="56"/>
    </row>
    <row r="30463" spans="1:1">
      <c r="A30463" s="56"/>
    </row>
    <row r="30464" spans="1:1">
      <c r="A30464" s="56"/>
    </row>
    <row r="30465" spans="1:1">
      <c r="A30465" s="56"/>
    </row>
    <row r="30466" spans="1:1">
      <c r="A30466" s="56"/>
    </row>
    <row r="30467" spans="1:1">
      <c r="A30467" s="56"/>
    </row>
    <row r="30468" spans="1:1">
      <c r="A30468" s="56"/>
    </row>
    <row r="30469" spans="1:1">
      <c r="A30469" s="56"/>
    </row>
    <row r="30470" spans="1:1">
      <c r="A30470" s="56"/>
    </row>
    <row r="30471" spans="1:1">
      <c r="A30471" s="56"/>
    </row>
    <row r="30472" spans="1:1">
      <c r="A30472" s="56"/>
    </row>
    <row r="30473" spans="1:1">
      <c r="A30473" s="56"/>
    </row>
    <row r="30474" spans="1:1">
      <c r="A30474" s="56"/>
    </row>
    <row r="30475" spans="1:1">
      <c r="A30475" s="56"/>
    </row>
    <row r="30476" spans="1:1">
      <c r="A30476" s="56"/>
    </row>
    <row r="30477" spans="1:1">
      <c r="A30477" s="56"/>
    </row>
    <row r="30478" spans="1:1">
      <c r="A30478" s="56"/>
    </row>
    <row r="30479" spans="1:1">
      <c r="A30479" s="56"/>
    </row>
    <row r="30480" spans="1:1">
      <c r="A30480" s="56"/>
    </row>
    <row r="30481" spans="1:1">
      <c r="A30481" s="56"/>
    </row>
    <row r="30482" spans="1:1">
      <c r="A30482" s="56"/>
    </row>
    <row r="30483" spans="1:1">
      <c r="A30483" s="56"/>
    </row>
    <row r="30484" spans="1:1">
      <c r="A30484" s="56"/>
    </row>
    <row r="30485" spans="1:1">
      <c r="A30485" s="56"/>
    </row>
    <row r="30486" spans="1:1">
      <c r="A30486" s="56"/>
    </row>
    <row r="30487" spans="1:1">
      <c r="A30487" s="56"/>
    </row>
    <row r="30488" spans="1:1">
      <c r="A30488" s="56"/>
    </row>
    <row r="30489" spans="1:1">
      <c r="A30489" s="56"/>
    </row>
    <row r="30490" spans="1:1">
      <c r="A30490" s="56"/>
    </row>
    <row r="30491" spans="1:1">
      <c r="A30491" s="56"/>
    </row>
    <row r="30492" spans="1:1">
      <c r="A30492" s="56"/>
    </row>
    <row r="30493" spans="1:1">
      <c r="A30493" s="56"/>
    </row>
    <row r="30494" spans="1:1">
      <c r="A30494" s="56"/>
    </row>
    <row r="30495" spans="1:1">
      <c r="A30495" s="56"/>
    </row>
    <row r="30496" spans="1:1">
      <c r="A30496" s="56"/>
    </row>
    <row r="30497" spans="1:1">
      <c r="A30497" s="56"/>
    </row>
    <row r="30498" spans="1:1">
      <c r="A30498" s="56"/>
    </row>
    <row r="30499" spans="1:1">
      <c r="A30499" s="56"/>
    </row>
    <row r="30500" spans="1:1">
      <c r="A30500" s="56"/>
    </row>
    <row r="30501" spans="1:1">
      <c r="A30501" s="56"/>
    </row>
    <row r="30502" spans="1:1">
      <c r="A30502" s="56"/>
    </row>
    <row r="30503" spans="1:1">
      <c r="A30503" s="56"/>
    </row>
    <row r="30504" spans="1:1">
      <c r="A30504" s="56"/>
    </row>
    <row r="30505" spans="1:1">
      <c r="A30505" s="56"/>
    </row>
    <row r="30506" spans="1:1">
      <c r="A30506" s="56"/>
    </row>
    <row r="30507" spans="1:1">
      <c r="A30507" s="56"/>
    </row>
    <row r="30508" spans="1:1">
      <c r="A30508" s="56"/>
    </row>
    <row r="30509" spans="1:1">
      <c r="A30509" s="56"/>
    </row>
    <row r="30510" spans="1:1">
      <c r="A30510" s="56"/>
    </row>
    <row r="30511" spans="1:1">
      <c r="A30511" s="56"/>
    </row>
    <row r="30512" spans="1:1">
      <c r="A30512" s="56"/>
    </row>
    <row r="30513" spans="1:1">
      <c r="A30513" s="56"/>
    </row>
    <row r="30514" spans="1:1">
      <c r="A30514" s="56"/>
    </row>
    <row r="30515" spans="1:1">
      <c r="A30515" s="56"/>
    </row>
    <row r="30516" spans="1:1">
      <c r="A30516" s="56"/>
    </row>
    <row r="30517" spans="1:1">
      <c r="A30517" s="56"/>
    </row>
    <row r="30518" spans="1:1">
      <c r="A30518" s="56"/>
    </row>
    <row r="30519" spans="1:1">
      <c r="A30519" s="56"/>
    </row>
    <row r="30520" spans="1:1">
      <c r="A30520" s="56"/>
    </row>
    <row r="30521" spans="1:1">
      <c r="A30521" s="56"/>
    </row>
    <row r="30522" spans="1:1">
      <c r="A30522" s="56"/>
    </row>
    <row r="30523" spans="1:1">
      <c r="A30523" s="56"/>
    </row>
    <row r="30524" spans="1:1">
      <c r="A30524" s="56"/>
    </row>
    <row r="30525" spans="1:1">
      <c r="A30525" s="56"/>
    </row>
    <row r="30526" spans="1:1">
      <c r="A30526" s="56"/>
    </row>
    <row r="30527" spans="1:1">
      <c r="A30527" s="56"/>
    </row>
    <row r="30528" spans="1:1">
      <c r="A30528" s="56"/>
    </row>
    <row r="30529" spans="1:1">
      <c r="A30529" s="56"/>
    </row>
    <row r="30530" spans="1:1">
      <c r="A30530" s="56"/>
    </row>
    <row r="30531" spans="1:1">
      <c r="A30531" s="56"/>
    </row>
    <row r="30532" spans="1:1">
      <c r="A30532" s="56"/>
    </row>
    <row r="30533" spans="1:1">
      <c r="A30533" s="56"/>
    </row>
    <row r="30534" spans="1:1">
      <c r="A30534" s="56"/>
    </row>
    <row r="30535" spans="1:1">
      <c r="A30535" s="56"/>
    </row>
    <row r="30536" spans="1:1">
      <c r="A30536" s="56"/>
    </row>
    <row r="30537" spans="1:1">
      <c r="A30537" s="56"/>
    </row>
    <row r="30538" spans="1:1">
      <c r="A30538" s="56"/>
    </row>
    <row r="30539" spans="1:1">
      <c r="A30539" s="56"/>
    </row>
    <row r="30540" spans="1:1">
      <c r="A30540" s="56"/>
    </row>
    <row r="30541" spans="1:1">
      <c r="A30541" s="56"/>
    </row>
    <row r="30542" spans="1:1">
      <c r="A30542" s="56"/>
    </row>
    <row r="30543" spans="1:1">
      <c r="A30543" s="56"/>
    </row>
    <row r="30544" spans="1:1">
      <c r="A30544" s="56"/>
    </row>
    <row r="30545" spans="1:1">
      <c r="A30545" s="56"/>
    </row>
    <row r="30546" spans="1:1">
      <c r="A30546" s="56"/>
    </row>
    <row r="30547" spans="1:1">
      <c r="A30547" s="56"/>
    </row>
    <row r="30548" spans="1:1">
      <c r="A30548" s="56"/>
    </row>
    <row r="30549" spans="1:1">
      <c r="A30549" s="56"/>
    </row>
    <row r="30550" spans="1:1">
      <c r="A30550" s="56"/>
    </row>
    <row r="30551" spans="1:1">
      <c r="A30551" s="56"/>
    </row>
    <row r="30552" spans="1:1">
      <c r="A30552" s="56"/>
    </row>
    <row r="30553" spans="1:1">
      <c r="A30553" s="56"/>
    </row>
    <row r="30554" spans="1:1">
      <c r="A30554" s="56"/>
    </row>
    <row r="30555" spans="1:1">
      <c r="A30555" s="56"/>
    </row>
    <row r="30556" spans="1:1">
      <c r="A30556" s="56"/>
    </row>
    <row r="30557" spans="1:1">
      <c r="A30557" s="56"/>
    </row>
    <row r="30558" spans="1:1">
      <c r="A30558" s="56"/>
    </row>
    <row r="30559" spans="1:1">
      <c r="A30559" s="56"/>
    </row>
    <row r="30560" spans="1:1">
      <c r="A30560" s="56"/>
    </row>
    <row r="30561" spans="1:1">
      <c r="A30561" s="56"/>
    </row>
    <row r="30562" spans="1:1">
      <c r="A30562" s="56"/>
    </row>
    <row r="30563" spans="1:1">
      <c r="A30563" s="56"/>
    </row>
    <row r="30564" spans="1:1">
      <c r="A30564" s="56"/>
    </row>
    <row r="30565" spans="1:1">
      <c r="A30565" s="56"/>
    </row>
    <row r="30566" spans="1:1">
      <c r="A30566" s="56"/>
    </row>
    <row r="30567" spans="1:1">
      <c r="A30567" s="56"/>
    </row>
    <row r="30568" spans="1:1">
      <c r="A30568" s="56"/>
    </row>
    <row r="30569" spans="1:1">
      <c r="A30569" s="56"/>
    </row>
    <row r="30570" spans="1:1">
      <c r="A30570" s="56"/>
    </row>
    <row r="30571" spans="1:1">
      <c r="A30571" s="56"/>
    </row>
    <row r="30572" spans="1:1">
      <c r="A30572" s="56"/>
    </row>
    <row r="30573" spans="1:1">
      <c r="A30573" s="56"/>
    </row>
    <row r="30574" spans="1:1">
      <c r="A30574" s="56"/>
    </row>
    <row r="30575" spans="1:1">
      <c r="A30575" s="56"/>
    </row>
    <row r="30576" spans="1:1">
      <c r="A30576" s="56"/>
    </row>
    <row r="30577" spans="1:1">
      <c r="A30577" s="56"/>
    </row>
    <row r="30578" spans="1:1">
      <c r="A30578" s="56"/>
    </row>
    <row r="30579" spans="1:1">
      <c r="A30579" s="56"/>
    </row>
    <row r="30580" spans="1:1">
      <c r="A30580" s="56"/>
    </row>
    <row r="30581" spans="1:1">
      <c r="A30581" s="56"/>
    </row>
    <row r="30582" spans="1:1">
      <c r="A30582" s="56"/>
    </row>
    <row r="30583" spans="1:1">
      <c r="A30583" s="56"/>
    </row>
    <row r="30584" spans="1:1">
      <c r="A30584" s="56"/>
    </row>
    <row r="30585" spans="1:1">
      <c r="A30585" s="56"/>
    </row>
    <row r="30586" spans="1:1">
      <c r="A30586" s="56"/>
    </row>
    <row r="30587" spans="1:1">
      <c r="A30587" s="56"/>
    </row>
    <row r="30588" spans="1:1">
      <c r="A30588" s="56"/>
    </row>
    <row r="30589" spans="1:1">
      <c r="A30589" s="56"/>
    </row>
    <row r="30590" spans="1:1">
      <c r="A30590" s="56"/>
    </row>
    <row r="30591" spans="1:1">
      <c r="A30591" s="56"/>
    </row>
    <row r="30592" spans="1:1">
      <c r="A30592" s="56"/>
    </row>
    <row r="30593" spans="1:1">
      <c r="A30593" s="56"/>
    </row>
    <row r="30594" spans="1:1">
      <c r="A30594" s="56"/>
    </row>
    <row r="30595" spans="1:1">
      <c r="A30595" s="56"/>
    </row>
    <row r="30596" spans="1:1">
      <c r="A30596" s="56"/>
    </row>
    <row r="30597" spans="1:1">
      <c r="A30597" s="56"/>
    </row>
    <row r="30598" spans="1:1">
      <c r="A30598" s="56"/>
    </row>
    <row r="30599" spans="1:1">
      <c r="A30599" s="56"/>
    </row>
    <row r="30600" spans="1:1">
      <c r="A30600" s="56"/>
    </row>
    <row r="30601" spans="1:1">
      <c r="A30601" s="56"/>
    </row>
    <row r="30602" spans="1:1">
      <c r="A30602" s="56"/>
    </row>
    <row r="30603" spans="1:1">
      <c r="A30603" s="56"/>
    </row>
    <row r="30604" spans="1:1">
      <c r="A30604" s="56"/>
    </row>
    <row r="30605" spans="1:1">
      <c r="A30605" s="56"/>
    </row>
    <row r="30606" spans="1:1">
      <c r="A30606" s="56"/>
    </row>
    <row r="30607" spans="1:1">
      <c r="A30607" s="56"/>
    </row>
    <row r="30608" spans="1:1">
      <c r="A30608" s="56"/>
    </row>
    <row r="30609" spans="1:1">
      <c r="A30609" s="56"/>
    </row>
    <row r="30610" spans="1:1">
      <c r="A30610" s="56"/>
    </row>
    <row r="30611" spans="1:1">
      <c r="A30611" s="56"/>
    </row>
    <row r="30612" spans="1:1">
      <c r="A30612" s="56"/>
    </row>
    <row r="30613" spans="1:1">
      <c r="A30613" s="56"/>
    </row>
    <row r="30614" spans="1:1">
      <c r="A30614" s="56"/>
    </row>
    <row r="30615" spans="1:1">
      <c r="A30615" s="56"/>
    </row>
    <row r="30616" spans="1:1">
      <c r="A30616" s="56"/>
    </row>
    <row r="30617" spans="1:1">
      <c r="A30617" s="56"/>
    </row>
    <row r="30618" spans="1:1">
      <c r="A30618" s="56"/>
    </row>
    <row r="30619" spans="1:1">
      <c r="A30619" s="56"/>
    </row>
    <row r="30620" spans="1:1">
      <c r="A30620" s="56"/>
    </row>
    <row r="30621" spans="1:1">
      <c r="A30621" s="56"/>
    </row>
    <row r="30622" spans="1:1">
      <c r="A30622" s="56"/>
    </row>
    <row r="30623" spans="1:1">
      <c r="A30623" s="56"/>
    </row>
    <row r="30624" spans="1:1">
      <c r="A30624" s="56"/>
    </row>
    <row r="30625" spans="1:1">
      <c r="A30625" s="56"/>
    </row>
    <row r="30626" spans="1:1">
      <c r="A30626" s="56"/>
    </row>
    <row r="30627" spans="1:1">
      <c r="A30627" s="56"/>
    </row>
    <row r="30628" spans="1:1">
      <c r="A30628" s="56"/>
    </row>
    <row r="30629" spans="1:1">
      <c r="A30629" s="56"/>
    </row>
    <row r="30630" spans="1:1">
      <c r="A30630" s="56"/>
    </row>
    <row r="30631" spans="1:1">
      <c r="A30631" s="56"/>
    </row>
    <row r="30632" spans="1:1">
      <c r="A30632" s="56"/>
    </row>
    <row r="30633" spans="1:1">
      <c r="A30633" s="56"/>
    </row>
    <row r="30634" spans="1:1">
      <c r="A30634" s="56"/>
    </row>
    <row r="30635" spans="1:1">
      <c r="A30635" s="56"/>
    </row>
    <row r="30636" spans="1:1">
      <c r="A30636" s="56"/>
    </row>
    <row r="30637" spans="1:1">
      <c r="A30637" s="56"/>
    </row>
    <row r="30638" spans="1:1">
      <c r="A30638" s="56"/>
    </row>
    <row r="30639" spans="1:1">
      <c r="A30639" s="56"/>
    </row>
    <row r="30640" spans="1:1">
      <c r="A30640" s="56"/>
    </row>
    <row r="30641" spans="1:1">
      <c r="A30641" s="56"/>
    </row>
    <row r="30642" spans="1:1">
      <c r="A30642" s="56"/>
    </row>
    <row r="30643" spans="1:1">
      <c r="A30643" s="56"/>
    </row>
    <row r="30644" spans="1:1">
      <c r="A30644" s="56"/>
    </row>
    <row r="30645" spans="1:1">
      <c r="A30645" s="56"/>
    </row>
    <row r="30646" spans="1:1">
      <c r="A30646" s="56"/>
    </row>
    <row r="30647" spans="1:1">
      <c r="A30647" s="56"/>
    </row>
    <row r="30648" spans="1:1">
      <c r="A30648" s="56"/>
    </row>
    <row r="30649" spans="1:1">
      <c r="A30649" s="56"/>
    </row>
    <row r="30650" spans="1:1">
      <c r="A30650" s="56"/>
    </row>
    <row r="30651" spans="1:1">
      <c r="A30651" s="56"/>
    </row>
    <row r="30652" spans="1:1">
      <c r="A30652" s="56"/>
    </row>
    <row r="30653" spans="1:1">
      <c r="A30653" s="56"/>
    </row>
    <row r="30654" spans="1:1">
      <c r="A30654" s="56"/>
    </row>
    <row r="30655" spans="1:1">
      <c r="A30655" s="56"/>
    </row>
    <row r="30656" spans="1:1">
      <c r="A30656" s="56"/>
    </row>
    <row r="30657" spans="1:1">
      <c r="A30657" s="56"/>
    </row>
    <row r="30658" spans="1:1">
      <c r="A30658" s="56"/>
    </row>
    <row r="30659" spans="1:1">
      <c r="A30659" s="56"/>
    </row>
    <row r="30660" spans="1:1">
      <c r="A30660" s="56"/>
    </row>
    <row r="30661" spans="1:1">
      <c r="A30661" s="56"/>
    </row>
    <row r="30662" spans="1:1">
      <c r="A30662" s="56"/>
    </row>
    <row r="30663" spans="1:1">
      <c r="A30663" s="56"/>
    </row>
    <row r="30664" spans="1:1">
      <c r="A30664" s="56"/>
    </row>
    <row r="30665" spans="1:1">
      <c r="A30665" s="56"/>
    </row>
    <row r="30666" spans="1:1">
      <c r="A30666" s="56"/>
    </row>
    <row r="30667" spans="1:1">
      <c r="A30667" s="56"/>
    </row>
    <row r="30668" spans="1:1">
      <c r="A30668" s="56"/>
    </row>
    <row r="30669" spans="1:1">
      <c r="A30669" s="56"/>
    </row>
    <row r="30670" spans="1:1">
      <c r="A30670" s="56"/>
    </row>
    <row r="30671" spans="1:1">
      <c r="A30671" s="56"/>
    </row>
    <row r="30672" spans="1:1">
      <c r="A30672" s="56"/>
    </row>
    <row r="30673" spans="1:1">
      <c r="A30673" s="56"/>
    </row>
    <row r="30674" spans="1:1">
      <c r="A30674" s="56"/>
    </row>
    <row r="30675" spans="1:1">
      <c r="A30675" s="56"/>
    </row>
    <row r="30676" spans="1:1">
      <c r="A30676" s="56"/>
    </row>
    <row r="30677" spans="1:1">
      <c r="A30677" s="56"/>
    </row>
    <row r="30678" spans="1:1">
      <c r="A30678" s="56"/>
    </row>
    <row r="30679" spans="1:1">
      <c r="A30679" s="56"/>
    </row>
    <row r="30680" spans="1:1">
      <c r="A30680" s="56"/>
    </row>
    <row r="30681" spans="1:1">
      <c r="A30681" s="56"/>
    </row>
    <row r="30682" spans="1:1">
      <c r="A30682" s="56"/>
    </row>
    <row r="30683" spans="1:1">
      <c r="A30683" s="56"/>
    </row>
    <row r="30684" spans="1:1">
      <c r="A30684" s="56"/>
    </row>
    <row r="30685" spans="1:1">
      <c r="A30685" s="56"/>
    </row>
    <row r="30686" spans="1:1">
      <c r="A30686" s="56"/>
    </row>
    <row r="30687" spans="1:1">
      <c r="A30687" s="56"/>
    </row>
    <row r="30688" spans="1:1">
      <c r="A30688" s="56"/>
    </row>
    <row r="30689" spans="1:1">
      <c r="A30689" s="56"/>
    </row>
    <row r="30690" spans="1:1">
      <c r="A30690" s="56"/>
    </row>
    <row r="30691" spans="1:1">
      <c r="A30691" s="56"/>
    </row>
    <row r="30692" spans="1:1">
      <c r="A30692" s="56"/>
    </row>
    <row r="30693" spans="1:1">
      <c r="A30693" s="56"/>
    </row>
    <row r="30694" spans="1:1">
      <c r="A30694" s="56"/>
    </row>
    <row r="30695" spans="1:1">
      <c r="A30695" s="56"/>
    </row>
    <row r="30696" spans="1:1">
      <c r="A30696" s="56"/>
    </row>
    <row r="30697" spans="1:1">
      <c r="A30697" s="56"/>
    </row>
    <row r="30698" spans="1:1">
      <c r="A30698" s="56"/>
    </row>
    <row r="30699" spans="1:1">
      <c r="A30699" s="56"/>
    </row>
    <row r="30700" spans="1:1">
      <c r="A30700" s="56"/>
    </row>
    <row r="30701" spans="1:1">
      <c r="A30701" s="56"/>
    </row>
    <row r="30702" spans="1:1">
      <c r="A30702" s="56"/>
    </row>
    <row r="30703" spans="1:1">
      <c r="A30703" s="56"/>
    </row>
    <row r="30704" spans="1:1">
      <c r="A30704" s="56"/>
    </row>
    <row r="30705" spans="1:1">
      <c r="A30705" s="56"/>
    </row>
    <row r="30706" spans="1:1">
      <c r="A30706" s="56"/>
    </row>
    <row r="30707" spans="1:1">
      <c r="A30707" s="56"/>
    </row>
    <row r="30708" spans="1:1">
      <c r="A30708" s="56"/>
    </row>
    <row r="30709" spans="1:1">
      <c r="A30709" s="56"/>
    </row>
    <row r="30710" spans="1:1">
      <c r="A30710" s="56"/>
    </row>
    <row r="30711" spans="1:1">
      <c r="A30711" s="56"/>
    </row>
    <row r="30712" spans="1:1">
      <c r="A30712" s="56"/>
    </row>
    <row r="30713" spans="1:1">
      <c r="A30713" s="56"/>
    </row>
    <row r="30714" spans="1:1">
      <c r="A30714" s="56"/>
    </row>
    <row r="30715" spans="1:1">
      <c r="A30715" s="56"/>
    </row>
    <row r="30716" spans="1:1">
      <c r="A30716" s="56"/>
    </row>
    <row r="30717" spans="1:1">
      <c r="A30717" s="56"/>
    </row>
    <row r="30718" spans="1:1">
      <c r="A30718" s="56"/>
    </row>
    <row r="30719" spans="1:1">
      <c r="A30719" s="56"/>
    </row>
    <row r="30720" spans="1:1">
      <c r="A30720" s="56"/>
    </row>
    <row r="30721" spans="1:1">
      <c r="A30721" s="56"/>
    </row>
    <row r="30722" spans="1:1">
      <c r="A30722" s="56"/>
    </row>
    <row r="30723" spans="1:1">
      <c r="A30723" s="56"/>
    </row>
    <row r="30724" spans="1:1">
      <c r="A30724" s="56"/>
    </row>
    <row r="30725" spans="1:1">
      <c r="A30725" s="56"/>
    </row>
    <row r="30726" spans="1:1">
      <c r="A30726" s="56"/>
    </row>
    <row r="30727" spans="1:1">
      <c r="A30727" s="56"/>
    </row>
    <row r="30728" spans="1:1">
      <c r="A30728" s="56"/>
    </row>
    <row r="30729" spans="1:1">
      <c r="A30729" s="56"/>
    </row>
    <row r="30730" spans="1:1">
      <c r="A30730" s="56"/>
    </row>
    <row r="30731" spans="1:1">
      <c r="A30731" s="56"/>
    </row>
    <row r="30732" spans="1:1">
      <c r="A30732" s="56"/>
    </row>
    <row r="30733" spans="1:1">
      <c r="A30733" s="56"/>
    </row>
    <row r="30734" spans="1:1">
      <c r="A30734" s="56"/>
    </row>
    <row r="30735" spans="1:1">
      <c r="A30735" s="56"/>
    </row>
    <row r="30736" spans="1:1">
      <c r="A30736" s="56"/>
    </row>
    <row r="30737" spans="1:1">
      <c r="A30737" s="56"/>
    </row>
    <row r="30738" spans="1:1">
      <c r="A30738" s="56"/>
    </row>
    <row r="30739" spans="1:1">
      <c r="A30739" s="56"/>
    </row>
    <row r="30740" spans="1:1">
      <c r="A30740" s="56"/>
    </row>
    <row r="30741" spans="1:1">
      <c r="A30741" s="56"/>
    </row>
    <row r="30742" spans="1:1">
      <c r="A30742" s="56"/>
    </row>
    <row r="30743" spans="1:1">
      <c r="A30743" s="56"/>
    </row>
    <row r="30744" spans="1:1">
      <c r="A30744" s="56"/>
    </row>
    <row r="30745" spans="1:1">
      <c r="A30745" s="56"/>
    </row>
    <row r="30746" spans="1:1">
      <c r="A30746" s="56"/>
    </row>
    <row r="30747" spans="1:1">
      <c r="A30747" s="56"/>
    </row>
    <row r="30748" spans="1:1">
      <c r="A30748" s="56"/>
    </row>
    <row r="30749" spans="1:1">
      <c r="A30749" s="56"/>
    </row>
    <row r="30750" spans="1:1">
      <c r="A30750" s="56"/>
    </row>
    <row r="30751" spans="1:1">
      <c r="A30751" s="56"/>
    </row>
    <row r="30752" spans="1:1">
      <c r="A30752" s="56"/>
    </row>
    <row r="30753" spans="1:1">
      <c r="A30753" s="56"/>
    </row>
    <row r="30754" spans="1:1">
      <c r="A30754" s="56"/>
    </row>
    <row r="30755" spans="1:1">
      <c r="A30755" s="56"/>
    </row>
    <row r="30756" spans="1:1">
      <c r="A30756" s="56"/>
    </row>
    <row r="30757" spans="1:1">
      <c r="A30757" s="56"/>
    </row>
    <row r="30758" spans="1:1">
      <c r="A30758" s="56"/>
    </row>
    <row r="30759" spans="1:1">
      <c r="A30759" s="56"/>
    </row>
    <row r="30760" spans="1:1">
      <c r="A30760" s="56"/>
    </row>
    <row r="30761" spans="1:1">
      <c r="A30761" s="56"/>
    </row>
    <row r="30762" spans="1:1">
      <c r="A30762" s="56"/>
    </row>
    <row r="30763" spans="1:1">
      <c r="A30763" s="56"/>
    </row>
    <row r="30764" spans="1:1">
      <c r="A30764" s="56"/>
    </row>
    <row r="30765" spans="1:1">
      <c r="A30765" s="56"/>
    </row>
    <row r="30766" spans="1:1">
      <c r="A30766" s="56"/>
    </row>
    <row r="30767" spans="1:1">
      <c r="A30767" s="56"/>
    </row>
    <row r="30768" spans="1:1">
      <c r="A30768" s="56"/>
    </row>
    <row r="30769" spans="1:1">
      <c r="A30769" s="56"/>
    </row>
    <row r="30770" spans="1:1">
      <c r="A30770" s="56"/>
    </row>
    <row r="30771" spans="1:1">
      <c r="A30771" s="56"/>
    </row>
    <row r="30772" spans="1:1">
      <c r="A30772" s="56"/>
    </row>
    <row r="30773" spans="1:1">
      <c r="A30773" s="56"/>
    </row>
    <row r="30774" spans="1:1">
      <c r="A30774" s="56"/>
    </row>
    <row r="30775" spans="1:1">
      <c r="A30775" s="56"/>
    </row>
    <row r="30776" spans="1:1">
      <c r="A30776" s="56"/>
    </row>
    <row r="30777" spans="1:1">
      <c r="A30777" s="56"/>
    </row>
    <row r="30778" spans="1:1">
      <c r="A30778" s="56"/>
    </row>
    <row r="30779" spans="1:1">
      <c r="A30779" s="56"/>
    </row>
    <row r="30780" spans="1:1">
      <c r="A30780" s="56"/>
    </row>
    <row r="30781" spans="1:1">
      <c r="A30781" s="56"/>
    </row>
    <row r="30782" spans="1:1">
      <c r="A30782" s="56"/>
    </row>
    <row r="30783" spans="1:1">
      <c r="A30783" s="56"/>
    </row>
    <row r="30784" spans="1:1">
      <c r="A30784" s="56"/>
    </row>
    <row r="30785" spans="1:1">
      <c r="A30785" s="56"/>
    </row>
    <row r="30786" spans="1:1">
      <c r="A30786" s="56"/>
    </row>
    <row r="30787" spans="1:1">
      <c r="A30787" s="56"/>
    </row>
    <row r="30788" spans="1:1">
      <c r="A30788" s="56"/>
    </row>
    <row r="30789" spans="1:1">
      <c r="A30789" s="56"/>
    </row>
    <row r="30790" spans="1:1">
      <c r="A30790" s="56"/>
    </row>
    <row r="30791" spans="1:1">
      <c r="A30791" s="56"/>
    </row>
    <row r="30792" spans="1:1">
      <c r="A30792" s="56"/>
    </row>
    <row r="30793" spans="1:1">
      <c r="A30793" s="56"/>
    </row>
    <row r="30794" spans="1:1">
      <c r="A30794" s="56"/>
    </row>
    <row r="30795" spans="1:1">
      <c r="A30795" s="56"/>
    </row>
    <row r="30796" spans="1:1">
      <c r="A30796" s="56"/>
    </row>
    <row r="30797" spans="1:1">
      <c r="A30797" s="56"/>
    </row>
    <row r="30798" spans="1:1">
      <c r="A30798" s="56"/>
    </row>
    <row r="30799" spans="1:1">
      <c r="A30799" s="56"/>
    </row>
    <row r="30800" spans="1:1">
      <c r="A30800" s="56"/>
    </row>
    <row r="30801" spans="1:1">
      <c r="A30801" s="56"/>
    </row>
    <row r="30802" spans="1:1">
      <c r="A30802" s="56"/>
    </row>
    <row r="30803" spans="1:1">
      <c r="A30803" s="56"/>
    </row>
    <row r="30804" spans="1:1">
      <c r="A30804" s="56"/>
    </row>
    <row r="30805" spans="1:1">
      <c r="A30805" s="56"/>
    </row>
    <row r="30806" spans="1:1">
      <c r="A30806" s="56"/>
    </row>
    <row r="30807" spans="1:1">
      <c r="A30807" s="56"/>
    </row>
    <row r="30808" spans="1:1">
      <c r="A30808" s="56"/>
    </row>
    <row r="30809" spans="1:1">
      <c r="A30809" s="56"/>
    </row>
    <row r="30810" spans="1:1">
      <c r="A30810" s="56"/>
    </row>
    <row r="30811" spans="1:1">
      <c r="A30811" s="56"/>
    </row>
    <row r="30812" spans="1:1">
      <c r="A30812" s="56"/>
    </row>
    <row r="30813" spans="1:1">
      <c r="A30813" s="56"/>
    </row>
    <row r="30814" spans="1:1">
      <c r="A30814" s="56"/>
    </row>
    <row r="30815" spans="1:1">
      <c r="A30815" s="56"/>
    </row>
    <row r="30816" spans="1:1">
      <c r="A30816" s="56"/>
    </row>
    <row r="30817" spans="1:1">
      <c r="A30817" s="56"/>
    </row>
    <row r="30818" spans="1:1">
      <c r="A30818" s="56"/>
    </row>
    <row r="30819" spans="1:1">
      <c r="A30819" s="56"/>
    </row>
    <row r="30820" spans="1:1">
      <c r="A30820" s="56"/>
    </row>
    <row r="30821" spans="1:1">
      <c r="A30821" s="56"/>
    </row>
    <row r="30822" spans="1:1">
      <c r="A30822" s="56"/>
    </row>
    <row r="30823" spans="1:1">
      <c r="A30823" s="56"/>
    </row>
    <row r="30824" spans="1:1">
      <c r="A30824" s="56"/>
    </row>
    <row r="30825" spans="1:1">
      <c r="A30825" s="56"/>
    </row>
    <row r="30826" spans="1:1">
      <c r="A30826" s="56"/>
    </row>
    <row r="30827" spans="1:1">
      <c r="A30827" s="56"/>
    </row>
    <row r="30828" spans="1:1">
      <c r="A30828" s="56"/>
    </row>
    <row r="30829" spans="1:1">
      <c r="A30829" s="56"/>
    </row>
    <row r="30830" spans="1:1">
      <c r="A30830" s="56"/>
    </row>
    <row r="30831" spans="1:1">
      <c r="A30831" s="56"/>
    </row>
    <row r="30832" spans="1:1">
      <c r="A30832" s="56"/>
    </row>
    <row r="30833" spans="1:1">
      <c r="A30833" s="56"/>
    </row>
    <row r="30834" spans="1:1">
      <c r="A30834" s="56"/>
    </row>
    <row r="30835" spans="1:1">
      <c r="A30835" s="56"/>
    </row>
    <row r="30836" spans="1:1">
      <c r="A30836" s="56"/>
    </row>
    <row r="30837" spans="1:1">
      <c r="A30837" s="56"/>
    </row>
    <row r="30838" spans="1:1">
      <c r="A30838" s="56"/>
    </row>
    <row r="30839" spans="1:1">
      <c r="A30839" s="56"/>
    </row>
    <row r="30840" spans="1:1">
      <c r="A30840" s="56"/>
    </row>
    <row r="30841" spans="1:1">
      <c r="A30841" s="56"/>
    </row>
    <row r="30842" spans="1:1">
      <c r="A30842" s="56"/>
    </row>
    <row r="30843" spans="1:1">
      <c r="A30843" s="56"/>
    </row>
    <row r="30844" spans="1:1">
      <c r="A30844" s="56"/>
    </row>
    <row r="30845" spans="1:1">
      <c r="A30845" s="56"/>
    </row>
    <row r="30846" spans="1:1">
      <c r="A30846" s="56"/>
    </row>
    <row r="30847" spans="1:1">
      <c r="A30847" s="56"/>
    </row>
    <row r="30848" spans="1:1">
      <c r="A30848" s="56"/>
    </row>
    <row r="30849" spans="1:1">
      <c r="A30849" s="56"/>
    </row>
    <row r="30850" spans="1:1">
      <c r="A30850" s="56"/>
    </row>
    <row r="30851" spans="1:1">
      <c r="A30851" s="56"/>
    </row>
    <row r="30852" spans="1:1">
      <c r="A30852" s="56"/>
    </row>
    <row r="30853" spans="1:1">
      <c r="A30853" s="56"/>
    </row>
    <row r="30854" spans="1:1">
      <c r="A30854" s="56"/>
    </row>
    <row r="30855" spans="1:1">
      <c r="A30855" s="56"/>
    </row>
    <row r="30856" spans="1:1">
      <c r="A30856" s="56"/>
    </row>
    <row r="30857" spans="1:1">
      <c r="A30857" s="56"/>
    </row>
    <row r="30858" spans="1:1">
      <c r="A30858" s="56"/>
    </row>
    <row r="30859" spans="1:1">
      <c r="A30859" s="56"/>
    </row>
    <row r="30860" spans="1:1">
      <c r="A30860" s="56"/>
    </row>
    <row r="30861" spans="1:1">
      <c r="A30861" s="56"/>
    </row>
    <row r="30862" spans="1:1">
      <c r="A30862" s="56"/>
    </row>
    <row r="30863" spans="1:1">
      <c r="A30863" s="56"/>
    </row>
    <row r="30864" spans="1:1">
      <c r="A30864" s="56"/>
    </row>
    <row r="30865" spans="1:1">
      <c r="A30865" s="56"/>
    </row>
    <row r="30866" spans="1:1">
      <c r="A30866" s="56"/>
    </row>
    <row r="30867" spans="1:1">
      <c r="A30867" s="56"/>
    </row>
    <row r="30868" spans="1:1">
      <c r="A30868" s="56"/>
    </row>
    <row r="30869" spans="1:1">
      <c r="A30869" s="56"/>
    </row>
    <row r="30870" spans="1:1">
      <c r="A30870" s="56"/>
    </row>
    <row r="30871" spans="1:1">
      <c r="A30871" s="56"/>
    </row>
    <row r="30872" spans="1:1">
      <c r="A30872" s="56"/>
    </row>
    <row r="30873" spans="1:1">
      <c r="A30873" s="56"/>
    </row>
    <row r="30874" spans="1:1">
      <c r="A30874" s="56"/>
    </row>
    <row r="30875" spans="1:1">
      <c r="A30875" s="56"/>
    </row>
    <row r="30876" spans="1:1">
      <c r="A30876" s="56"/>
    </row>
    <row r="30877" spans="1:1">
      <c r="A30877" s="56"/>
    </row>
    <row r="30878" spans="1:1">
      <c r="A30878" s="56"/>
    </row>
    <row r="30879" spans="1:1">
      <c r="A30879" s="56"/>
    </row>
    <row r="30880" spans="1:1">
      <c r="A30880" s="56"/>
    </row>
    <row r="30881" spans="1:1">
      <c r="A30881" s="56"/>
    </row>
    <row r="30882" spans="1:1">
      <c r="A30882" s="56"/>
    </row>
    <row r="30883" spans="1:1">
      <c r="A30883" s="56"/>
    </row>
    <row r="30884" spans="1:1">
      <c r="A30884" s="56"/>
    </row>
    <row r="30885" spans="1:1">
      <c r="A30885" s="56"/>
    </row>
    <row r="30886" spans="1:1">
      <c r="A30886" s="56"/>
    </row>
    <row r="30887" spans="1:1">
      <c r="A30887" s="56"/>
    </row>
    <row r="30888" spans="1:1">
      <c r="A30888" s="56"/>
    </row>
    <row r="30889" spans="1:1">
      <c r="A30889" s="56"/>
    </row>
    <row r="30890" spans="1:1">
      <c r="A30890" s="56"/>
    </row>
    <row r="30891" spans="1:1">
      <c r="A30891" s="56"/>
    </row>
    <row r="30892" spans="1:1">
      <c r="A30892" s="56"/>
    </row>
    <row r="30893" spans="1:1">
      <c r="A30893" s="56"/>
    </row>
    <row r="30894" spans="1:1">
      <c r="A30894" s="56"/>
    </row>
    <row r="30895" spans="1:1">
      <c r="A30895" s="56"/>
    </row>
    <row r="30896" spans="1:1">
      <c r="A30896" s="56"/>
    </row>
    <row r="30897" spans="1:1">
      <c r="A30897" s="56"/>
    </row>
    <row r="30898" spans="1:1">
      <c r="A30898" s="56"/>
    </row>
    <row r="30899" spans="1:1">
      <c r="A30899" s="56"/>
    </row>
    <row r="30900" spans="1:1">
      <c r="A30900" s="56"/>
    </row>
    <row r="30901" spans="1:1">
      <c r="A30901" s="56"/>
    </row>
    <row r="30902" spans="1:1">
      <c r="A30902" s="56"/>
    </row>
    <row r="30903" spans="1:1">
      <c r="A30903" s="56"/>
    </row>
    <row r="30904" spans="1:1">
      <c r="A30904" s="56"/>
    </row>
    <row r="30905" spans="1:1">
      <c r="A30905" s="56"/>
    </row>
    <row r="30906" spans="1:1">
      <c r="A30906" s="56"/>
    </row>
    <row r="30907" spans="1:1">
      <c r="A30907" s="56"/>
    </row>
    <row r="30908" spans="1:1">
      <c r="A30908" s="56"/>
    </row>
    <row r="30909" spans="1:1">
      <c r="A30909" s="56"/>
    </row>
    <row r="30910" spans="1:1">
      <c r="A30910" s="56"/>
    </row>
    <row r="30911" spans="1:1">
      <c r="A30911" s="56"/>
    </row>
    <row r="30912" spans="1:1">
      <c r="A30912" s="56"/>
    </row>
    <row r="30913" spans="1:1">
      <c r="A30913" s="56"/>
    </row>
    <row r="30914" spans="1:1">
      <c r="A30914" s="56"/>
    </row>
    <row r="30915" spans="1:1">
      <c r="A30915" s="56"/>
    </row>
    <row r="30916" spans="1:1">
      <c r="A30916" s="56"/>
    </row>
    <row r="30917" spans="1:1">
      <c r="A30917" s="56"/>
    </row>
    <row r="30918" spans="1:1">
      <c r="A30918" s="56"/>
    </row>
    <row r="30919" spans="1:1">
      <c r="A30919" s="56"/>
    </row>
    <row r="30920" spans="1:1">
      <c r="A30920" s="56"/>
    </row>
    <row r="30921" spans="1:1">
      <c r="A30921" s="56"/>
    </row>
    <row r="30922" spans="1:1">
      <c r="A30922" s="56"/>
    </row>
    <row r="30923" spans="1:1">
      <c r="A30923" s="56"/>
    </row>
    <row r="30924" spans="1:1">
      <c r="A30924" s="56"/>
    </row>
    <row r="30925" spans="1:1">
      <c r="A30925" s="56"/>
    </row>
    <row r="30926" spans="1:1">
      <c r="A30926" s="56"/>
    </row>
    <row r="30927" spans="1:1">
      <c r="A30927" s="56"/>
    </row>
    <row r="30928" spans="1:1">
      <c r="A30928" s="56"/>
    </row>
    <row r="30929" spans="1:1">
      <c r="A30929" s="56"/>
    </row>
    <row r="30930" spans="1:1">
      <c r="A30930" s="56"/>
    </row>
    <row r="30931" spans="1:1">
      <c r="A30931" s="56"/>
    </row>
    <row r="30932" spans="1:1">
      <c r="A30932" s="56"/>
    </row>
    <row r="30933" spans="1:1">
      <c r="A30933" s="56"/>
    </row>
    <row r="30934" spans="1:1">
      <c r="A30934" s="56"/>
    </row>
    <row r="30935" spans="1:1">
      <c r="A30935" s="56"/>
    </row>
    <row r="30936" spans="1:1">
      <c r="A30936" s="56"/>
    </row>
    <row r="30937" spans="1:1">
      <c r="A30937" s="56"/>
    </row>
    <row r="30938" spans="1:1">
      <c r="A30938" s="56"/>
    </row>
    <row r="30939" spans="1:1">
      <c r="A30939" s="56"/>
    </row>
    <row r="30940" spans="1:1">
      <c r="A30940" s="56"/>
    </row>
    <row r="30941" spans="1:1">
      <c r="A30941" s="56"/>
    </row>
    <row r="30942" spans="1:1">
      <c r="A30942" s="56"/>
    </row>
    <row r="30943" spans="1:1">
      <c r="A30943" s="56"/>
    </row>
    <row r="30944" spans="1:1">
      <c r="A30944" s="56"/>
    </row>
    <row r="30945" spans="1:1">
      <c r="A30945" s="56"/>
    </row>
    <row r="30946" spans="1:1">
      <c r="A30946" s="56"/>
    </row>
    <row r="30947" spans="1:1">
      <c r="A30947" s="56"/>
    </row>
    <row r="30948" spans="1:1">
      <c r="A30948" s="56"/>
    </row>
    <row r="30949" spans="1:1">
      <c r="A30949" s="56"/>
    </row>
    <row r="30950" spans="1:1">
      <c r="A30950" s="56"/>
    </row>
    <row r="30951" spans="1:1">
      <c r="A30951" s="56"/>
    </row>
    <row r="30952" spans="1:1">
      <c r="A30952" s="56"/>
    </row>
    <row r="30953" spans="1:1">
      <c r="A30953" s="56"/>
    </row>
    <row r="30954" spans="1:1">
      <c r="A30954" s="56"/>
    </row>
    <row r="30955" spans="1:1">
      <c r="A30955" s="56"/>
    </row>
    <row r="30956" spans="1:1">
      <c r="A30956" s="56"/>
    </row>
    <row r="30957" spans="1:1">
      <c r="A30957" s="56"/>
    </row>
    <row r="30958" spans="1:1">
      <c r="A30958" s="56"/>
    </row>
    <row r="30959" spans="1:1">
      <c r="A30959" s="56"/>
    </row>
    <row r="30960" spans="1:1">
      <c r="A30960" s="56"/>
    </row>
    <row r="30961" spans="1:1">
      <c r="A30961" s="56"/>
    </row>
    <row r="30962" spans="1:1">
      <c r="A30962" s="56"/>
    </row>
    <row r="30963" spans="1:1">
      <c r="A30963" s="56"/>
    </row>
    <row r="30964" spans="1:1">
      <c r="A30964" s="56"/>
    </row>
    <row r="30965" spans="1:1">
      <c r="A30965" s="56"/>
    </row>
    <row r="30966" spans="1:1">
      <c r="A30966" s="56"/>
    </row>
    <row r="30967" spans="1:1">
      <c r="A30967" s="56"/>
    </row>
    <row r="30968" spans="1:1">
      <c r="A30968" s="56"/>
    </row>
    <row r="30969" spans="1:1">
      <c r="A30969" s="56"/>
    </row>
    <row r="30970" spans="1:1">
      <c r="A30970" s="56"/>
    </row>
    <row r="30971" spans="1:1">
      <c r="A30971" s="56"/>
    </row>
    <row r="30972" spans="1:1">
      <c r="A30972" s="56"/>
    </row>
    <row r="30973" spans="1:1">
      <c r="A30973" s="56"/>
    </row>
    <row r="30974" spans="1:1">
      <c r="A30974" s="56"/>
    </row>
    <row r="30975" spans="1:1">
      <c r="A30975" s="56"/>
    </row>
    <row r="30976" spans="1:1">
      <c r="A30976" s="56"/>
    </row>
    <row r="30977" spans="1:1">
      <c r="A30977" s="56"/>
    </row>
    <row r="30978" spans="1:1">
      <c r="A30978" s="56"/>
    </row>
    <row r="30979" spans="1:1">
      <c r="A30979" s="56"/>
    </row>
    <row r="30980" spans="1:1">
      <c r="A30980" s="56"/>
    </row>
    <row r="30981" spans="1:1">
      <c r="A30981" s="56"/>
    </row>
    <row r="30982" spans="1:1">
      <c r="A30982" s="56"/>
    </row>
    <row r="30983" spans="1:1">
      <c r="A30983" s="56"/>
    </row>
    <row r="30984" spans="1:1">
      <c r="A30984" s="56"/>
    </row>
    <row r="30985" spans="1:1">
      <c r="A30985" s="56"/>
    </row>
    <row r="30986" spans="1:1">
      <c r="A30986" s="56"/>
    </row>
    <row r="30987" spans="1:1">
      <c r="A30987" s="56"/>
    </row>
    <row r="30988" spans="1:1">
      <c r="A30988" s="56"/>
    </row>
    <row r="30989" spans="1:1">
      <c r="A30989" s="56"/>
    </row>
    <row r="30990" spans="1:1">
      <c r="A30990" s="56"/>
    </row>
    <row r="30991" spans="1:1">
      <c r="A30991" s="56"/>
    </row>
    <row r="30992" spans="1:1">
      <c r="A30992" s="56"/>
    </row>
    <row r="30993" spans="1:1">
      <c r="A30993" s="56"/>
    </row>
    <row r="30994" spans="1:1">
      <c r="A30994" s="56"/>
    </row>
    <row r="30995" spans="1:1">
      <c r="A30995" s="56"/>
    </row>
    <row r="30996" spans="1:1">
      <c r="A30996" s="56"/>
    </row>
    <row r="30997" spans="1:1">
      <c r="A30997" s="56"/>
    </row>
    <row r="30998" spans="1:1">
      <c r="A30998" s="56"/>
    </row>
    <row r="30999" spans="1:1">
      <c r="A30999" s="56"/>
    </row>
    <row r="31000" spans="1:1">
      <c r="A31000" s="56"/>
    </row>
    <row r="31001" spans="1:1">
      <c r="A31001" s="56"/>
    </row>
    <row r="31002" spans="1:1">
      <c r="A31002" s="56"/>
    </row>
    <row r="31003" spans="1:1">
      <c r="A31003" s="56"/>
    </row>
    <row r="31004" spans="1:1">
      <c r="A31004" s="56"/>
    </row>
    <row r="31005" spans="1:1">
      <c r="A31005" s="56"/>
    </row>
    <row r="31006" spans="1:1">
      <c r="A31006" s="56"/>
    </row>
    <row r="31007" spans="1:1">
      <c r="A31007" s="56"/>
    </row>
    <row r="31008" spans="1:1">
      <c r="A31008" s="56"/>
    </row>
    <row r="31009" spans="1:1">
      <c r="A31009" s="56"/>
    </row>
    <row r="31010" spans="1:1">
      <c r="A31010" s="56"/>
    </row>
    <row r="31011" spans="1:1">
      <c r="A31011" s="56"/>
    </row>
    <row r="31012" spans="1:1">
      <c r="A31012" s="56"/>
    </row>
    <row r="31013" spans="1:1">
      <c r="A31013" s="56"/>
    </row>
    <row r="31014" spans="1:1">
      <c r="A31014" s="56"/>
    </row>
    <row r="31015" spans="1:1">
      <c r="A31015" s="56"/>
    </row>
    <row r="31016" spans="1:1">
      <c r="A31016" s="56"/>
    </row>
    <row r="31017" spans="1:1">
      <c r="A31017" s="56"/>
    </row>
    <row r="31018" spans="1:1">
      <c r="A31018" s="56"/>
    </row>
    <row r="31019" spans="1:1">
      <c r="A31019" s="56"/>
    </row>
    <row r="31020" spans="1:1">
      <c r="A31020" s="56"/>
    </row>
    <row r="31021" spans="1:1">
      <c r="A31021" s="56"/>
    </row>
    <row r="31022" spans="1:1">
      <c r="A31022" s="56"/>
    </row>
    <row r="31023" spans="1:1">
      <c r="A31023" s="56"/>
    </row>
    <row r="31024" spans="1:1">
      <c r="A31024" s="56"/>
    </row>
    <row r="31025" spans="1:1">
      <c r="A31025" s="56"/>
    </row>
    <row r="31026" spans="1:1">
      <c r="A31026" s="56"/>
    </row>
    <row r="31027" spans="1:1">
      <c r="A31027" s="56"/>
    </row>
    <row r="31028" spans="1:1">
      <c r="A31028" s="56"/>
    </row>
    <row r="31029" spans="1:1">
      <c r="A31029" s="56"/>
    </row>
    <row r="31030" spans="1:1">
      <c r="A31030" s="56"/>
    </row>
    <row r="31031" spans="1:1">
      <c r="A31031" s="56"/>
    </row>
    <row r="31032" spans="1:1">
      <c r="A31032" s="56"/>
    </row>
    <row r="31033" spans="1:1">
      <c r="A31033" s="56"/>
    </row>
    <row r="31034" spans="1:1">
      <c r="A31034" s="56"/>
    </row>
    <row r="31035" spans="1:1">
      <c r="A31035" s="56"/>
    </row>
    <row r="31036" spans="1:1">
      <c r="A31036" s="56"/>
    </row>
    <row r="31037" spans="1:1">
      <c r="A31037" s="56"/>
    </row>
    <row r="31038" spans="1:1">
      <c r="A31038" s="56"/>
    </row>
    <row r="31039" spans="1:1">
      <c r="A31039" s="56"/>
    </row>
    <row r="31040" spans="1:1">
      <c r="A31040" s="56"/>
    </row>
    <row r="31041" spans="1:1">
      <c r="A31041" s="56"/>
    </row>
    <row r="31042" spans="1:1">
      <c r="A31042" s="56"/>
    </row>
    <row r="31043" spans="1:1">
      <c r="A31043" s="56"/>
    </row>
    <row r="31044" spans="1:1">
      <c r="A31044" s="56"/>
    </row>
    <row r="31045" spans="1:1">
      <c r="A31045" s="56"/>
    </row>
    <row r="31046" spans="1:1">
      <c r="A31046" s="56"/>
    </row>
    <row r="31047" spans="1:1">
      <c r="A31047" s="56"/>
    </row>
    <row r="31048" spans="1:1">
      <c r="A31048" s="56"/>
    </row>
    <row r="31049" spans="1:1">
      <c r="A31049" s="56"/>
    </row>
    <row r="31050" spans="1:1">
      <c r="A31050" s="56"/>
    </row>
    <row r="31051" spans="1:1">
      <c r="A31051" s="56"/>
    </row>
    <row r="31052" spans="1:1">
      <c r="A31052" s="56"/>
    </row>
    <row r="31053" spans="1:1">
      <c r="A31053" s="56"/>
    </row>
    <row r="31054" spans="1:1">
      <c r="A31054" s="56"/>
    </row>
    <row r="31055" spans="1:1">
      <c r="A31055" s="56"/>
    </row>
    <row r="31056" spans="1:1">
      <c r="A31056" s="56"/>
    </row>
    <row r="31057" spans="1:1">
      <c r="A31057" s="56"/>
    </row>
    <row r="31058" spans="1:1">
      <c r="A31058" s="56"/>
    </row>
    <row r="31059" spans="1:1">
      <c r="A31059" s="56"/>
    </row>
    <row r="31060" spans="1:1">
      <c r="A31060" s="56"/>
    </row>
    <row r="31061" spans="1:1">
      <c r="A31061" s="56"/>
    </row>
    <row r="31062" spans="1:1">
      <c r="A31062" s="56"/>
    </row>
    <row r="31063" spans="1:1">
      <c r="A31063" s="56"/>
    </row>
    <row r="31064" spans="1:1">
      <c r="A31064" s="56"/>
    </row>
    <row r="31065" spans="1:1">
      <c r="A31065" s="56"/>
    </row>
    <row r="31066" spans="1:1">
      <c r="A31066" s="56"/>
    </row>
    <row r="31067" spans="1:1">
      <c r="A31067" s="56"/>
    </row>
    <row r="31068" spans="1:1">
      <c r="A31068" s="56"/>
    </row>
    <row r="31069" spans="1:1">
      <c r="A31069" s="56"/>
    </row>
    <row r="31070" spans="1:1">
      <c r="A31070" s="56"/>
    </row>
    <row r="31071" spans="1:1">
      <c r="A31071" s="56"/>
    </row>
    <row r="31072" spans="1:1">
      <c r="A31072" s="56"/>
    </row>
    <row r="31073" spans="1:1">
      <c r="A31073" s="56"/>
    </row>
    <row r="31074" spans="1:1">
      <c r="A31074" s="56"/>
    </row>
    <row r="31075" spans="1:1">
      <c r="A31075" s="56"/>
    </row>
    <row r="31076" spans="1:1">
      <c r="A31076" s="56"/>
    </row>
    <row r="31077" spans="1:1">
      <c r="A31077" s="56"/>
    </row>
    <row r="31078" spans="1:1">
      <c r="A31078" s="56"/>
    </row>
    <row r="31079" spans="1:1">
      <c r="A31079" s="56"/>
    </row>
    <row r="31080" spans="1:1">
      <c r="A31080" s="56"/>
    </row>
    <row r="31081" spans="1:1">
      <c r="A31081" s="56"/>
    </row>
    <row r="31082" spans="1:1">
      <c r="A31082" s="56"/>
    </row>
    <row r="31083" spans="1:1">
      <c r="A31083" s="56"/>
    </row>
    <row r="31084" spans="1:1">
      <c r="A31084" s="56"/>
    </row>
    <row r="31085" spans="1:1">
      <c r="A31085" s="56"/>
    </row>
    <row r="31086" spans="1:1">
      <c r="A31086" s="56"/>
    </row>
    <row r="31087" spans="1:1">
      <c r="A31087" s="56"/>
    </row>
    <row r="31088" spans="1:1">
      <c r="A31088" s="56"/>
    </row>
    <row r="31089" spans="1:1">
      <c r="A31089" s="56"/>
    </row>
    <row r="31090" spans="1:1">
      <c r="A31090" s="56"/>
    </row>
    <row r="31091" spans="1:1">
      <c r="A31091" s="56"/>
    </row>
    <row r="31092" spans="1:1">
      <c r="A31092" s="56"/>
    </row>
    <row r="31093" spans="1:1">
      <c r="A31093" s="56"/>
    </row>
    <row r="31094" spans="1:1">
      <c r="A31094" s="56"/>
    </row>
    <row r="31095" spans="1:1">
      <c r="A31095" s="56"/>
    </row>
    <row r="31096" spans="1:1">
      <c r="A31096" s="56"/>
    </row>
    <row r="31097" spans="1:1">
      <c r="A31097" s="56"/>
    </row>
    <row r="31098" spans="1:1">
      <c r="A31098" s="56"/>
    </row>
    <row r="31099" spans="1:1">
      <c r="A31099" s="56"/>
    </row>
    <row r="31100" spans="1:1">
      <c r="A31100" s="56"/>
    </row>
    <row r="31101" spans="1:1">
      <c r="A31101" s="56"/>
    </row>
    <row r="31102" spans="1:1">
      <c r="A31102" s="56"/>
    </row>
    <row r="31103" spans="1:1">
      <c r="A31103" s="56"/>
    </row>
    <row r="31104" spans="1:1">
      <c r="A31104" s="56"/>
    </row>
    <row r="31105" spans="1:1">
      <c r="A31105" s="56"/>
    </row>
    <row r="31106" spans="1:1">
      <c r="A31106" s="56"/>
    </row>
    <row r="31107" spans="1:1">
      <c r="A31107" s="56"/>
    </row>
    <row r="31108" spans="1:1">
      <c r="A31108" s="56"/>
    </row>
    <row r="31109" spans="1:1">
      <c r="A31109" s="56"/>
    </row>
    <row r="31110" spans="1:1">
      <c r="A31110" s="56"/>
    </row>
    <row r="31111" spans="1:1">
      <c r="A31111" s="56"/>
    </row>
    <row r="31112" spans="1:1">
      <c r="A31112" s="56"/>
    </row>
    <row r="31113" spans="1:1">
      <c r="A31113" s="56"/>
    </row>
    <row r="31114" spans="1:1">
      <c r="A31114" s="56"/>
    </row>
    <row r="31115" spans="1:1">
      <c r="A31115" s="56"/>
    </row>
    <row r="31116" spans="1:1">
      <c r="A31116" s="56"/>
    </row>
    <row r="31117" spans="1:1">
      <c r="A31117" s="56"/>
    </row>
    <row r="31118" spans="1:1">
      <c r="A31118" s="56"/>
    </row>
    <row r="31119" spans="1:1">
      <c r="A31119" s="56"/>
    </row>
    <row r="31120" spans="1:1">
      <c r="A31120" s="56"/>
    </row>
    <row r="31121" spans="1:1">
      <c r="A31121" s="56"/>
    </row>
    <row r="31122" spans="1:1">
      <c r="A31122" s="56"/>
    </row>
    <row r="31123" spans="1:1">
      <c r="A31123" s="56"/>
    </row>
    <row r="31124" spans="1:1">
      <c r="A31124" s="56"/>
    </row>
    <row r="31125" spans="1:1">
      <c r="A31125" s="56"/>
    </row>
    <row r="31126" spans="1:1">
      <c r="A31126" s="56"/>
    </row>
    <row r="31127" spans="1:1">
      <c r="A31127" s="56"/>
    </row>
    <row r="31128" spans="1:1">
      <c r="A31128" s="56"/>
    </row>
    <row r="31129" spans="1:1">
      <c r="A31129" s="56"/>
    </row>
    <row r="31130" spans="1:1">
      <c r="A31130" s="56"/>
    </row>
    <row r="31131" spans="1:1">
      <c r="A31131" s="56"/>
    </row>
    <row r="31132" spans="1:1">
      <c r="A31132" s="56"/>
    </row>
    <row r="31133" spans="1:1">
      <c r="A31133" s="56"/>
    </row>
    <row r="31134" spans="1:1">
      <c r="A31134" s="56"/>
    </row>
    <row r="31135" spans="1:1">
      <c r="A31135" s="56"/>
    </row>
    <row r="31136" spans="1:1">
      <c r="A31136" s="56"/>
    </row>
    <row r="31137" spans="1:1">
      <c r="A31137" s="56"/>
    </row>
    <row r="31138" spans="1:1">
      <c r="A31138" s="56"/>
    </row>
    <row r="31139" spans="1:1">
      <c r="A31139" s="56"/>
    </row>
    <row r="31140" spans="1:1">
      <c r="A31140" s="56"/>
    </row>
    <row r="31141" spans="1:1">
      <c r="A31141" s="56"/>
    </row>
    <row r="31142" spans="1:1">
      <c r="A31142" s="56"/>
    </row>
    <row r="31143" spans="1:1">
      <c r="A31143" s="56"/>
    </row>
    <row r="31144" spans="1:1">
      <c r="A31144" s="56"/>
    </row>
    <row r="31145" spans="1:1">
      <c r="A31145" s="56"/>
    </row>
    <row r="31146" spans="1:1">
      <c r="A31146" s="56"/>
    </row>
    <row r="31147" spans="1:1">
      <c r="A31147" s="56"/>
    </row>
    <row r="31148" spans="1:1">
      <c r="A31148" s="56"/>
    </row>
    <row r="31149" spans="1:1">
      <c r="A31149" s="56"/>
    </row>
    <row r="31150" spans="1:1">
      <c r="A31150" s="56"/>
    </row>
    <row r="31151" spans="1:1">
      <c r="A31151" s="56"/>
    </row>
    <row r="31152" spans="1:1">
      <c r="A31152" s="56"/>
    </row>
    <row r="31153" spans="1:1">
      <c r="A31153" s="56"/>
    </row>
    <row r="31154" spans="1:1">
      <c r="A31154" s="56"/>
    </row>
    <row r="31155" spans="1:1">
      <c r="A31155" s="56"/>
    </row>
    <row r="31156" spans="1:1">
      <c r="A31156" s="56"/>
    </row>
    <row r="31157" spans="1:1">
      <c r="A31157" s="56"/>
    </row>
    <row r="31158" spans="1:1">
      <c r="A31158" s="56"/>
    </row>
    <row r="31159" spans="1:1">
      <c r="A31159" s="56"/>
    </row>
    <row r="31160" spans="1:1">
      <c r="A31160" s="56"/>
    </row>
    <row r="31161" spans="1:1">
      <c r="A31161" s="56"/>
    </row>
    <row r="31162" spans="1:1">
      <c r="A31162" s="56"/>
    </row>
    <row r="31163" spans="1:1">
      <c r="A31163" s="56"/>
    </row>
    <row r="31164" spans="1:1">
      <c r="A31164" s="56"/>
    </row>
    <row r="31165" spans="1:1">
      <c r="A31165" s="56"/>
    </row>
    <row r="31166" spans="1:1">
      <c r="A31166" s="56"/>
    </row>
    <row r="31167" spans="1:1">
      <c r="A31167" s="56"/>
    </row>
    <row r="31168" spans="1:1">
      <c r="A31168" s="56"/>
    </row>
    <row r="31169" spans="1:1">
      <c r="A31169" s="56"/>
    </row>
    <row r="31170" spans="1:1">
      <c r="A31170" s="56"/>
    </row>
    <row r="31171" spans="1:1">
      <c r="A31171" s="56"/>
    </row>
    <row r="31172" spans="1:1">
      <c r="A31172" s="56"/>
    </row>
    <row r="31173" spans="1:1">
      <c r="A31173" s="56"/>
    </row>
    <row r="31174" spans="1:1">
      <c r="A31174" s="56"/>
    </row>
    <row r="31175" spans="1:1">
      <c r="A31175" s="56"/>
    </row>
    <row r="31176" spans="1:1">
      <c r="A31176" s="56"/>
    </row>
    <row r="31177" spans="1:1">
      <c r="A31177" s="56"/>
    </row>
    <row r="31178" spans="1:1">
      <c r="A31178" s="56"/>
    </row>
    <row r="31179" spans="1:1">
      <c r="A31179" s="56"/>
    </row>
    <row r="31180" spans="1:1">
      <c r="A31180" s="56"/>
    </row>
    <row r="31181" spans="1:1">
      <c r="A31181" s="56"/>
    </row>
    <row r="31182" spans="1:1">
      <c r="A31182" s="56"/>
    </row>
    <row r="31183" spans="1:1">
      <c r="A31183" s="56"/>
    </row>
    <row r="31184" spans="1:1">
      <c r="A31184" s="56"/>
    </row>
    <row r="31185" spans="1:1">
      <c r="A31185" s="56"/>
    </row>
    <row r="31186" spans="1:1">
      <c r="A31186" s="56"/>
    </row>
    <row r="31187" spans="1:1">
      <c r="A31187" s="56"/>
    </row>
    <row r="31188" spans="1:1">
      <c r="A31188" s="56"/>
    </row>
    <row r="31189" spans="1:1">
      <c r="A31189" s="56"/>
    </row>
    <row r="31190" spans="1:1">
      <c r="A31190" s="56"/>
    </row>
    <row r="31191" spans="1:1">
      <c r="A31191" s="56"/>
    </row>
    <row r="31192" spans="1:1">
      <c r="A31192" s="56"/>
    </row>
    <row r="31193" spans="1:1">
      <c r="A31193" s="56"/>
    </row>
    <row r="31194" spans="1:1">
      <c r="A31194" s="56"/>
    </row>
    <row r="31195" spans="1:1">
      <c r="A31195" s="56"/>
    </row>
    <row r="31196" spans="1:1">
      <c r="A31196" s="56"/>
    </row>
    <row r="31197" spans="1:1">
      <c r="A31197" s="56"/>
    </row>
    <row r="31198" spans="1:1">
      <c r="A31198" s="56"/>
    </row>
    <row r="31199" spans="1:1">
      <c r="A31199" s="56"/>
    </row>
    <row r="31200" spans="1:1">
      <c r="A31200" s="56"/>
    </row>
    <row r="31201" spans="1:1">
      <c r="A31201" s="56"/>
    </row>
    <row r="31202" spans="1:1">
      <c r="A31202" s="56"/>
    </row>
    <row r="31203" spans="1:1">
      <c r="A31203" s="56"/>
    </row>
    <row r="31204" spans="1:1">
      <c r="A31204" s="56"/>
    </row>
    <row r="31205" spans="1:1">
      <c r="A31205" s="56"/>
    </row>
    <row r="31206" spans="1:1">
      <c r="A31206" s="56"/>
    </row>
    <row r="31207" spans="1:1">
      <c r="A31207" s="56"/>
    </row>
    <row r="31208" spans="1:1">
      <c r="A31208" s="56"/>
    </row>
    <row r="31209" spans="1:1">
      <c r="A31209" s="56"/>
    </row>
    <row r="31210" spans="1:1">
      <c r="A31210" s="56"/>
    </row>
    <row r="31211" spans="1:1">
      <c r="A31211" s="56"/>
    </row>
    <row r="31212" spans="1:1">
      <c r="A31212" s="56"/>
    </row>
    <row r="31213" spans="1:1">
      <c r="A31213" s="56"/>
    </row>
    <row r="31214" spans="1:1">
      <c r="A31214" s="56"/>
    </row>
    <row r="31215" spans="1:1">
      <c r="A31215" s="56"/>
    </row>
    <row r="31216" spans="1:1">
      <c r="A31216" s="56"/>
    </row>
    <row r="31217" spans="1:1">
      <c r="A31217" s="56"/>
    </row>
    <row r="31218" spans="1:1">
      <c r="A31218" s="56"/>
    </row>
    <row r="31219" spans="1:1">
      <c r="A31219" s="56"/>
    </row>
    <row r="31220" spans="1:1">
      <c r="A31220" s="56"/>
    </row>
    <row r="31221" spans="1:1">
      <c r="A31221" s="56"/>
    </row>
    <row r="31222" spans="1:1">
      <c r="A31222" s="56"/>
    </row>
    <row r="31223" spans="1:1">
      <c r="A31223" s="56"/>
    </row>
    <row r="31224" spans="1:1">
      <c r="A31224" s="56"/>
    </row>
    <row r="31225" spans="1:1">
      <c r="A31225" s="56"/>
    </row>
    <row r="31226" spans="1:1">
      <c r="A31226" s="56"/>
    </row>
    <row r="31227" spans="1:1">
      <c r="A31227" s="56"/>
    </row>
    <row r="31228" spans="1:1">
      <c r="A31228" s="56"/>
    </row>
    <row r="31229" spans="1:1">
      <c r="A31229" s="56"/>
    </row>
    <row r="31230" spans="1:1">
      <c r="A31230" s="56"/>
    </row>
    <row r="31231" spans="1:1">
      <c r="A31231" s="56"/>
    </row>
    <row r="31232" spans="1:1">
      <c r="A31232" s="56"/>
    </row>
    <row r="31233" spans="1:1">
      <c r="A31233" s="56"/>
    </row>
    <row r="31234" spans="1:1">
      <c r="A31234" s="56"/>
    </row>
    <row r="31235" spans="1:1">
      <c r="A31235" s="56"/>
    </row>
    <row r="31236" spans="1:1">
      <c r="A31236" s="56"/>
    </row>
    <row r="31237" spans="1:1">
      <c r="A31237" s="56"/>
    </row>
    <row r="31238" spans="1:1">
      <c r="A31238" s="56"/>
    </row>
    <row r="31239" spans="1:1">
      <c r="A31239" s="56"/>
    </row>
    <row r="31240" spans="1:1">
      <c r="A31240" s="56"/>
    </row>
    <row r="31241" spans="1:1">
      <c r="A31241" s="56"/>
    </row>
    <row r="31242" spans="1:1">
      <c r="A31242" s="56"/>
    </row>
    <row r="31243" spans="1:1">
      <c r="A31243" s="56"/>
    </row>
    <row r="31244" spans="1:1">
      <c r="A31244" s="56"/>
    </row>
    <row r="31245" spans="1:1">
      <c r="A31245" s="56"/>
    </row>
    <row r="31246" spans="1:1">
      <c r="A31246" s="56"/>
    </row>
    <row r="31247" spans="1:1">
      <c r="A31247" s="56"/>
    </row>
    <row r="31248" spans="1:1">
      <c r="A31248" s="56"/>
    </row>
    <row r="31249" spans="1:1">
      <c r="A31249" s="56"/>
    </row>
    <row r="31250" spans="1:1">
      <c r="A31250" s="56"/>
    </row>
    <row r="31251" spans="1:1">
      <c r="A31251" s="56"/>
    </row>
    <row r="31252" spans="1:1">
      <c r="A31252" s="56"/>
    </row>
    <row r="31253" spans="1:1">
      <c r="A31253" s="56"/>
    </row>
    <row r="31254" spans="1:1">
      <c r="A31254" s="56"/>
    </row>
    <row r="31255" spans="1:1">
      <c r="A31255" s="56"/>
    </row>
    <row r="31256" spans="1:1">
      <c r="A31256" s="56"/>
    </row>
    <row r="31257" spans="1:1">
      <c r="A31257" s="56"/>
    </row>
    <row r="31258" spans="1:1">
      <c r="A31258" s="56"/>
    </row>
    <row r="31259" spans="1:1">
      <c r="A31259" s="56"/>
    </row>
    <row r="31260" spans="1:1">
      <c r="A31260" s="56"/>
    </row>
    <row r="31261" spans="1:1">
      <c r="A31261" s="56"/>
    </row>
    <row r="31262" spans="1:1">
      <c r="A31262" s="56"/>
    </row>
    <row r="31263" spans="1:1">
      <c r="A31263" s="56"/>
    </row>
    <row r="31264" spans="1:1">
      <c r="A31264" s="56"/>
    </row>
    <row r="31265" spans="1:1">
      <c r="A31265" s="56"/>
    </row>
    <row r="31266" spans="1:1">
      <c r="A31266" s="56"/>
    </row>
    <row r="31267" spans="1:1">
      <c r="A31267" s="56"/>
    </row>
    <row r="31268" spans="1:1">
      <c r="A31268" s="56"/>
    </row>
    <row r="31269" spans="1:1">
      <c r="A31269" s="56"/>
    </row>
    <row r="31270" spans="1:1">
      <c r="A31270" s="56"/>
    </row>
    <row r="31271" spans="1:1">
      <c r="A31271" s="56"/>
    </row>
    <row r="31272" spans="1:1">
      <c r="A31272" s="56"/>
    </row>
    <row r="31273" spans="1:1">
      <c r="A31273" s="56"/>
    </row>
    <row r="31274" spans="1:1">
      <c r="A31274" s="56"/>
    </row>
    <row r="31275" spans="1:1">
      <c r="A31275" s="56"/>
    </row>
    <row r="31276" spans="1:1">
      <c r="A31276" s="56"/>
    </row>
    <row r="31277" spans="1:1">
      <c r="A31277" s="56"/>
    </row>
    <row r="31278" spans="1:1">
      <c r="A31278" s="56"/>
    </row>
    <row r="31279" spans="1:1">
      <c r="A31279" s="56"/>
    </row>
    <row r="31280" spans="1:1">
      <c r="A31280" s="56"/>
    </row>
    <row r="31281" spans="1:1">
      <c r="A31281" s="56"/>
    </row>
    <row r="31282" spans="1:1">
      <c r="A31282" s="56"/>
    </row>
    <row r="31283" spans="1:1">
      <c r="A31283" s="56"/>
    </row>
    <row r="31284" spans="1:1">
      <c r="A31284" s="56"/>
    </row>
    <row r="31285" spans="1:1">
      <c r="A31285" s="56"/>
    </row>
    <row r="31286" spans="1:1">
      <c r="A31286" s="56"/>
    </row>
    <row r="31287" spans="1:1">
      <c r="A31287" s="56"/>
    </row>
    <row r="31288" spans="1:1">
      <c r="A31288" s="56"/>
    </row>
    <row r="31289" spans="1:1">
      <c r="A31289" s="56"/>
    </row>
    <row r="31290" spans="1:1">
      <c r="A31290" s="56"/>
    </row>
    <row r="31291" spans="1:1">
      <c r="A31291" s="56"/>
    </row>
    <row r="31292" spans="1:1">
      <c r="A31292" s="56"/>
    </row>
    <row r="31293" spans="1:1">
      <c r="A31293" s="56"/>
    </row>
    <row r="31294" spans="1:1">
      <c r="A31294" s="56"/>
    </row>
    <row r="31295" spans="1:1">
      <c r="A31295" s="56"/>
    </row>
    <row r="31296" spans="1:1">
      <c r="A31296" s="56"/>
    </row>
    <row r="31297" spans="1:1">
      <c r="A31297" s="56"/>
    </row>
    <row r="31298" spans="1:1">
      <c r="A31298" s="56"/>
    </row>
    <row r="31299" spans="1:1">
      <c r="A31299" s="56"/>
    </row>
    <row r="31300" spans="1:1">
      <c r="A31300" s="56"/>
    </row>
    <row r="31301" spans="1:1">
      <c r="A31301" s="56"/>
    </row>
    <row r="31302" spans="1:1">
      <c r="A31302" s="56"/>
    </row>
    <row r="31303" spans="1:1">
      <c r="A31303" s="56"/>
    </row>
    <row r="31304" spans="1:1">
      <c r="A31304" s="56"/>
    </row>
    <row r="31305" spans="1:1">
      <c r="A31305" s="56"/>
    </row>
    <row r="31306" spans="1:1">
      <c r="A31306" s="56"/>
    </row>
    <row r="31307" spans="1:1">
      <c r="A31307" s="56"/>
    </row>
    <row r="31308" spans="1:1">
      <c r="A31308" s="56"/>
    </row>
    <row r="31309" spans="1:1">
      <c r="A31309" s="56"/>
    </row>
    <row r="31310" spans="1:1">
      <c r="A31310" s="56"/>
    </row>
    <row r="31311" spans="1:1">
      <c r="A31311" s="56"/>
    </row>
    <row r="31312" spans="1:1">
      <c r="A31312" s="56"/>
    </row>
    <row r="31313" spans="1:1">
      <c r="A31313" s="56"/>
    </row>
    <row r="31314" spans="1:1">
      <c r="A31314" s="56"/>
    </row>
    <row r="31315" spans="1:1">
      <c r="A31315" s="56"/>
    </row>
    <row r="31316" spans="1:1">
      <c r="A31316" s="56"/>
    </row>
    <row r="31317" spans="1:1">
      <c r="A31317" s="56"/>
    </row>
    <row r="31318" spans="1:1">
      <c r="A31318" s="56"/>
    </row>
    <row r="31319" spans="1:1">
      <c r="A31319" s="56"/>
    </row>
    <row r="31320" spans="1:1">
      <c r="A31320" s="56"/>
    </row>
    <row r="31321" spans="1:1">
      <c r="A31321" s="56"/>
    </row>
    <row r="31322" spans="1:1">
      <c r="A31322" s="56"/>
    </row>
    <row r="31323" spans="1:1">
      <c r="A31323" s="56"/>
    </row>
    <row r="31324" spans="1:1">
      <c r="A31324" s="56"/>
    </row>
    <row r="31325" spans="1:1">
      <c r="A31325" s="56"/>
    </row>
    <row r="31326" spans="1:1">
      <c r="A31326" s="56"/>
    </row>
    <row r="31327" spans="1:1">
      <c r="A31327" s="56"/>
    </row>
    <row r="31328" spans="1:1">
      <c r="A31328" s="56"/>
    </row>
    <row r="31329" spans="1:1">
      <c r="A31329" s="56"/>
    </row>
    <row r="31330" spans="1:1">
      <c r="A31330" s="56"/>
    </row>
    <row r="31331" spans="1:1">
      <c r="A31331" s="56"/>
    </row>
    <row r="31332" spans="1:1">
      <c r="A31332" s="56"/>
    </row>
    <row r="31333" spans="1:1">
      <c r="A31333" s="56"/>
    </row>
    <row r="31334" spans="1:1">
      <c r="A31334" s="56"/>
    </row>
    <row r="31335" spans="1:1">
      <c r="A31335" s="56"/>
    </row>
    <row r="31336" spans="1:1">
      <c r="A31336" s="56"/>
    </row>
    <row r="31337" spans="1:1">
      <c r="A31337" s="56"/>
    </row>
    <row r="31338" spans="1:1">
      <c r="A31338" s="56"/>
    </row>
    <row r="31339" spans="1:1">
      <c r="A31339" s="56"/>
    </row>
    <row r="31340" spans="1:1">
      <c r="A31340" s="56"/>
    </row>
    <row r="31341" spans="1:1">
      <c r="A31341" s="56"/>
    </row>
    <row r="31342" spans="1:1">
      <c r="A31342" s="56"/>
    </row>
    <row r="31343" spans="1:1">
      <c r="A31343" s="56"/>
    </row>
    <row r="31344" spans="1:1">
      <c r="A31344" s="56"/>
    </row>
    <row r="31345" spans="1:1">
      <c r="A31345" s="56"/>
    </row>
    <row r="31346" spans="1:1">
      <c r="A31346" s="56"/>
    </row>
    <row r="31347" spans="1:1">
      <c r="A31347" s="56"/>
    </row>
    <row r="31348" spans="1:1">
      <c r="A31348" s="56"/>
    </row>
    <row r="31349" spans="1:1">
      <c r="A31349" s="56"/>
    </row>
    <row r="31350" spans="1:1">
      <c r="A31350" s="56"/>
    </row>
    <row r="31351" spans="1:1">
      <c r="A31351" s="56"/>
    </row>
    <row r="31352" spans="1:1">
      <c r="A31352" s="56"/>
    </row>
    <row r="31353" spans="1:1">
      <c r="A31353" s="56"/>
    </row>
    <row r="31354" spans="1:1">
      <c r="A31354" s="56"/>
    </row>
    <row r="31355" spans="1:1">
      <c r="A31355" s="56"/>
    </row>
    <row r="31356" spans="1:1">
      <c r="A31356" s="56"/>
    </row>
    <row r="31357" spans="1:1">
      <c r="A31357" s="56"/>
    </row>
    <row r="31358" spans="1:1">
      <c r="A31358" s="56"/>
    </row>
    <row r="31359" spans="1:1">
      <c r="A31359" s="56"/>
    </row>
    <row r="31360" spans="1:1">
      <c r="A31360" s="56"/>
    </row>
    <row r="31361" spans="1:1">
      <c r="A31361" s="56"/>
    </row>
    <row r="31362" spans="1:1">
      <c r="A31362" s="56"/>
    </row>
    <row r="31363" spans="1:1">
      <c r="A31363" s="56"/>
    </row>
    <row r="31364" spans="1:1">
      <c r="A31364" s="56"/>
    </row>
    <row r="31365" spans="1:1">
      <c r="A31365" s="56"/>
    </row>
    <row r="31366" spans="1:1">
      <c r="A31366" s="56"/>
    </row>
    <row r="31367" spans="1:1">
      <c r="A31367" s="56"/>
    </row>
    <row r="31368" spans="1:1">
      <c r="A31368" s="56"/>
    </row>
    <row r="31369" spans="1:1">
      <c r="A31369" s="56"/>
    </row>
    <row r="31370" spans="1:1">
      <c r="A31370" s="56"/>
    </row>
    <row r="31371" spans="1:1">
      <c r="A31371" s="56"/>
    </row>
    <row r="31372" spans="1:1">
      <c r="A31372" s="56"/>
    </row>
    <row r="31373" spans="1:1">
      <c r="A31373" s="56"/>
    </row>
    <row r="31374" spans="1:1">
      <c r="A31374" s="56"/>
    </row>
    <row r="31375" spans="1:1">
      <c r="A31375" s="56"/>
    </row>
    <row r="31376" spans="1:1">
      <c r="A31376" s="56"/>
    </row>
    <row r="31377" spans="1:1">
      <c r="A31377" s="56"/>
    </row>
    <row r="31378" spans="1:1">
      <c r="A31378" s="56"/>
    </row>
    <row r="31379" spans="1:1">
      <c r="A31379" s="56"/>
    </row>
    <row r="31380" spans="1:1">
      <c r="A31380" s="56"/>
    </row>
    <row r="31381" spans="1:1">
      <c r="A31381" s="56"/>
    </row>
    <row r="31382" spans="1:1">
      <c r="A31382" s="56"/>
    </row>
    <row r="31383" spans="1:1">
      <c r="A31383" s="56"/>
    </row>
    <row r="31384" spans="1:1">
      <c r="A31384" s="56"/>
    </row>
    <row r="31385" spans="1:1">
      <c r="A31385" s="56"/>
    </row>
    <row r="31386" spans="1:1">
      <c r="A31386" s="56"/>
    </row>
    <row r="31387" spans="1:1">
      <c r="A31387" s="56"/>
    </row>
    <row r="31388" spans="1:1">
      <c r="A31388" s="56"/>
    </row>
    <row r="31389" spans="1:1">
      <c r="A31389" s="56"/>
    </row>
    <row r="31390" spans="1:1">
      <c r="A31390" s="56"/>
    </row>
    <row r="31391" spans="1:1">
      <c r="A31391" s="56"/>
    </row>
    <row r="31392" spans="1:1">
      <c r="A31392" s="56"/>
    </row>
    <row r="31393" spans="1:1">
      <c r="A31393" s="56"/>
    </row>
    <row r="31394" spans="1:1">
      <c r="A31394" s="56"/>
    </row>
    <row r="31395" spans="1:1">
      <c r="A31395" s="56"/>
    </row>
    <row r="31396" spans="1:1">
      <c r="A31396" s="56"/>
    </row>
    <row r="31397" spans="1:1">
      <c r="A31397" s="56"/>
    </row>
    <row r="31398" spans="1:1">
      <c r="A31398" s="56"/>
    </row>
    <row r="31399" spans="1:1">
      <c r="A31399" s="56"/>
    </row>
    <row r="31400" spans="1:1">
      <c r="A31400" s="56"/>
    </row>
    <row r="31401" spans="1:1">
      <c r="A31401" s="56"/>
    </row>
    <row r="31402" spans="1:1">
      <c r="A31402" s="56"/>
    </row>
    <row r="31403" spans="1:1">
      <c r="A31403" s="56"/>
    </row>
    <row r="31404" spans="1:1">
      <c r="A31404" s="56"/>
    </row>
    <row r="31405" spans="1:1">
      <c r="A31405" s="56"/>
    </row>
    <row r="31406" spans="1:1">
      <c r="A31406" s="56"/>
    </row>
    <row r="31407" spans="1:1">
      <c r="A31407" s="56"/>
    </row>
    <row r="31408" spans="1:1">
      <c r="A31408" s="56"/>
    </row>
    <row r="31409" spans="1:1">
      <c r="A31409" s="56"/>
    </row>
    <row r="31410" spans="1:1">
      <c r="A31410" s="56"/>
    </row>
    <row r="31411" spans="1:1">
      <c r="A31411" s="56"/>
    </row>
    <row r="31412" spans="1:1">
      <c r="A31412" s="56"/>
    </row>
    <row r="31413" spans="1:1">
      <c r="A31413" s="56"/>
    </row>
    <row r="31414" spans="1:1">
      <c r="A31414" s="56"/>
    </row>
    <row r="31415" spans="1:1">
      <c r="A31415" s="56"/>
    </row>
    <row r="31416" spans="1:1">
      <c r="A31416" s="56"/>
    </row>
    <row r="31417" spans="1:1">
      <c r="A31417" s="56"/>
    </row>
    <row r="31418" spans="1:1">
      <c r="A31418" s="56"/>
    </row>
    <row r="31419" spans="1:1">
      <c r="A31419" s="56"/>
    </row>
    <row r="31420" spans="1:1">
      <c r="A31420" s="56"/>
    </row>
    <row r="31421" spans="1:1">
      <c r="A31421" s="56"/>
    </row>
    <row r="31422" spans="1:1">
      <c r="A31422" s="56"/>
    </row>
    <row r="31423" spans="1:1">
      <c r="A31423" s="56"/>
    </row>
    <row r="31424" spans="1:1">
      <c r="A31424" s="56"/>
    </row>
    <row r="31425" spans="1:1">
      <c r="A31425" s="56"/>
    </row>
    <row r="31426" spans="1:1">
      <c r="A31426" s="56"/>
    </row>
    <row r="31427" spans="1:1">
      <c r="A31427" s="56"/>
    </row>
    <row r="31428" spans="1:1">
      <c r="A31428" s="56"/>
    </row>
    <row r="31429" spans="1:1">
      <c r="A31429" s="56"/>
    </row>
    <row r="31430" spans="1:1">
      <c r="A31430" s="56"/>
    </row>
    <row r="31431" spans="1:1">
      <c r="A31431" s="56"/>
    </row>
    <row r="31432" spans="1:1">
      <c r="A31432" s="56"/>
    </row>
    <row r="31433" spans="1:1">
      <c r="A31433" s="56"/>
    </row>
    <row r="31434" spans="1:1">
      <c r="A31434" s="56"/>
    </row>
    <row r="31435" spans="1:1">
      <c r="A31435" s="56"/>
    </row>
    <row r="31436" spans="1:1">
      <c r="A31436" s="56"/>
    </row>
    <row r="31437" spans="1:1">
      <c r="A31437" s="56"/>
    </row>
    <row r="31438" spans="1:1">
      <c r="A31438" s="56"/>
    </row>
    <row r="31439" spans="1:1">
      <c r="A31439" s="56"/>
    </row>
    <row r="31440" spans="1:1">
      <c r="A31440" s="56"/>
    </row>
    <row r="31441" spans="1:1">
      <c r="A31441" s="56"/>
    </row>
    <row r="31442" spans="1:1">
      <c r="A31442" s="56"/>
    </row>
    <row r="31443" spans="1:1">
      <c r="A31443" s="56"/>
    </row>
    <row r="31444" spans="1:1">
      <c r="A31444" s="56"/>
    </row>
    <row r="31445" spans="1:1">
      <c r="A31445" s="56"/>
    </row>
    <row r="31446" spans="1:1">
      <c r="A31446" s="56"/>
    </row>
    <row r="31447" spans="1:1">
      <c r="A31447" s="56"/>
    </row>
    <row r="31448" spans="1:1">
      <c r="A31448" s="56"/>
    </row>
    <row r="31449" spans="1:1">
      <c r="A31449" s="56"/>
    </row>
    <row r="31450" spans="1:1">
      <c r="A31450" s="56"/>
    </row>
    <row r="31451" spans="1:1">
      <c r="A31451" s="56"/>
    </row>
    <row r="31452" spans="1:1">
      <c r="A31452" s="56"/>
    </row>
    <row r="31453" spans="1:1">
      <c r="A31453" s="56"/>
    </row>
    <row r="31454" spans="1:1">
      <c r="A31454" s="56"/>
    </row>
    <row r="31455" spans="1:1">
      <c r="A31455" s="56"/>
    </row>
    <row r="31456" spans="1:1">
      <c r="A31456" s="56"/>
    </row>
    <row r="31457" spans="1:1">
      <c r="A31457" s="56"/>
    </row>
    <row r="31458" spans="1:1">
      <c r="A31458" s="56"/>
    </row>
    <row r="31459" spans="1:1">
      <c r="A31459" s="56"/>
    </row>
    <row r="31460" spans="1:1">
      <c r="A31460" s="56"/>
    </row>
    <row r="31461" spans="1:1">
      <c r="A31461" s="56"/>
    </row>
    <row r="31462" spans="1:1">
      <c r="A31462" s="56"/>
    </row>
    <row r="31463" spans="1:1">
      <c r="A31463" s="56"/>
    </row>
    <row r="31464" spans="1:1">
      <c r="A31464" s="56"/>
    </row>
    <row r="31465" spans="1:1">
      <c r="A31465" s="56"/>
    </row>
    <row r="31466" spans="1:1">
      <c r="A31466" s="56"/>
    </row>
    <row r="31467" spans="1:1">
      <c r="A31467" s="56"/>
    </row>
    <row r="31468" spans="1:1">
      <c r="A31468" s="56"/>
    </row>
    <row r="31469" spans="1:1">
      <c r="A31469" s="56"/>
    </row>
    <row r="31470" spans="1:1">
      <c r="A31470" s="56"/>
    </row>
    <row r="31471" spans="1:1">
      <c r="A31471" s="56"/>
    </row>
    <row r="31472" spans="1:1">
      <c r="A31472" s="56"/>
    </row>
    <row r="31473" spans="1:1">
      <c r="A31473" s="56"/>
    </row>
    <row r="31474" spans="1:1">
      <c r="A31474" s="56"/>
    </row>
    <row r="31475" spans="1:1">
      <c r="A31475" s="56"/>
    </row>
    <row r="31476" spans="1:1">
      <c r="A31476" s="56"/>
    </row>
    <row r="31477" spans="1:1">
      <c r="A31477" s="56"/>
    </row>
    <row r="31478" spans="1:1">
      <c r="A31478" s="56"/>
    </row>
    <row r="31479" spans="1:1">
      <c r="A31479" s="56"/>
    </row>
    <row r="31480" spans="1:1">
      <c r="A31480" s="56"/>
    </row>
    <row r="31481" spans="1:1">
      <c r="A31481" s="56"/>
    </row>
    <row r="31482" spans="1:1">
      <c r="A31482" s="56"/>
    </row>
    <row r="31483" spans="1:1">
      <c r="A31483" s="56"/>
    </row>
    <row r="31484" spans="1:1">
      <c r="A31484" s="56"/>
    </row>
    <row r="31485" spans="1:1">
      <c r="A31485" s="56"/>
    </row>
    <row r="31486" spans="1:1">
      <c r="A31486" s="56"/>
    </row>
    <row r="31487" spans="1:1">
      <c r="A31487" s="56"/>
    </row>
    <row r="31488" spans="1:1">
      <c r="A31488" s="56"/>
    </row>
    <row r="31489" spans="1:1">
      <c r="A31489" s="56"/>
    </row>
    <row r="31490" spans="1:1">
      <c r="A31490" s="56"/>
    </row>
    <row r="31491" spans="1:1">
      <c r="A31491" s="56"/>
    </row>
    <row r="31492" spans="1:1">
      <c r="A31492" s="56"/>
    </row>
    <row r="31493" spans="1:1">
      <c r="A31493" s="56"/>
    </row>
    <row r="31494" spans="1:1">
      <c r="A31494" s="56"/>
    </row>
    <row r="31495" spans="1:1">
      <c r="A31495" s="56"/>
    </row>
    <row r="31496" spans="1:1">
      <c r="A31496" s="56"/>
    </row>
    <row r="31497" spans="1:1">
      <c r="A31497" s="56"/>
    </row>
    <row r="31498" spans="1:1">
      <c r="A31498" s="56"/>
    </row>
    <row r="31499" spans="1:1">
      <c r="A31499" s="56"/>
    </row>
    <row r="31500" spans="1:1">
      <c r="A31500" s="56"/>
    </row>
    <row r="31501" spans="1:1">
      <c r="A31501" s="56"/>
    </row>
    <row r="31502" spans="1:1">
      <c r="A31502" s="56"/>
    </row>
    <row r="31503" spans="1:1">
      <c r="A31503" s="56"/>
    </row>
    <row r="31504" spans="1:1">
      <c r="A31504" s="56"/>
    </row>
    <row r="31505" spans="1:1">
      <c r="A31505" s="56"/>
    </row>
    <row r="31506" spans="1:1">
      <c r="A31506" s="56"/>
    </row>
    <row r="31507" spans="1:1">
      <c r="A31507" s="56"/>
    </row>
    <row r="31508" spans="1:1">
      <c r="A31508" s="56"/>
    </row>
    <row r="31509" spans="1:1">
      <c r="A31509" s="56"/>
    </row>
    <row r="31510" spans="1:1">
      <c r="A31510" s="56"/>
    </row>
    <row r="31511" spans="1:1">
      <c r="A31511" s="56"/>
    </row>
    <row r="31512" spans="1:1">
      <c r="A31512" s="56"/>
    </row>
    <row r="31513" spans="1:1">
      <c r="A31513" s="56"/>
    </row>
    <row r="31514" spans="1:1">
      <c r="A31514" s="56"/>
    </row>
    <row r="31515" spans="1:1">
      <c r="A31515" s="56"/>
    </row>
    <row r="31516" spans="1:1">
      <c r="A31516" s="56"/>
    </row>
    <row r="31517" spans="1:1">
      <c r="A31517" s="56"/>
    </row>
    <row r="31518" spans="1:1">
      <c r="A31518" s="56"/>
    </row>
    <row r="31519" spans="1:1">
      <c r="A31519" s="56"/>
    </row>
    <row r="31520" spans="1:1">
      <c r="A31520" s="56"/>
    </row>
    <row r="31521" spans="1:1">
      <c r="A31521" s="56"/>
    </row>
    <row r="31522" spans="1:1">
      <c r="A31522" s="56"/>
    </row>
    <row r="31523" spans="1:1">
      <c r="A31523" s="56"/>
    </row>
    <row r="31524" spans="1:1">
      <c r="A31524" s="56"/>
    </row>
    <row r="31525" spans="1:1">
      <c r="A31525" s="56"/>
    </row>
    <row r="31526" spans="1:1">
      <c r="A31526" s="56"/>
    </row>
    <row r="31527" spans="1:1">
      <c r="A31527" s="56"/>
    </row>
    <row r="31528" spans="1:1">
      <c r="A31528" s="56"/>
    </row>
    <row r="31529" spans="1:1">
      <c r="A31529" s="56"/>
    </row>
    <row r="31530" spans="1:1">
      <c r="A31530" s="56"/>
    </row>
    <row r="31531" spans="1:1">
      <c r="A31531" s="56"/>
    </row>
    <row r="31532" spans="1:1">
      <c r="A31532" s="56"/>
    </row>
    <row r="31533" spans="1:1">
      <c r="A31533" s="56"/>
    </row>
    <row r="31534" spans="1:1">
      <c r="A31534" s="56"/>
    </row>
    <row r="31535" spans="1:1">
      <c r="A31535" s="56"/>
    </row>
    <row r="31536" spans="1:1">
      <c r="A31536" s="56"/>
    </row>
    <row r="31537" spans="1:1">
      <c r="A31537" s="56"/>
    </row>
    <row r="31538" spans="1:1">
      <c r="A31538" s="56"/>
    </row>
    <row r="31539" spans="1:1">
      <c r="A31539" s="56"/>
    </row>
    <row r="31540" spans="1:1">
      <c r="A31540" s="56"/>
    </row>
    <row r="31541" spans="1:1">
      <c r="A31541" s="56"/>
    </row>
    <row r="31542" spans="1:1">
      <c r="A31542" s="56"/>
    </row>
    <row r="31543" spans="1:1">
      <c r="A31543" s="56"/>
    </row>
    <row r="31544" spans="1:1">
      <c r="A31544" s="56"/>
    </row>
    <row r="31545" spans="1:1">
      <c r="A31545" s="56"/>
    </row>
    <row r="31546" spans="1:1">
      <c r="A31546" s="56"/>
    </row>
    <row r="31547" spans="1:1">
      <c r="A31547" s="56"/>
    </row>
    <row r="31548" spans="1:1">
      <c r="A31548" s="56"/>
    </row>
    <row r="31549" spans="1:1">
      <c r="A31549" s="56"/>
    </row>
    <row r="31550" spans="1:1">
      <c r="A31550" s="56"/>
    </row>
    <row r="31551" spans="1:1">
      <c r="A31551" s="56"/>
    </row>
    <row r="31552" spans="1:1">
      <c r="A31552" s="56"/>
    </row>
    <row r="31553" spans="1:1">
      <c r="A31553" s="56"/>
    </row>
    <row r="31554" spans="1:1">
      <c r="A31554" s="56"/>
    </row>
    <row r="31555" spans="1:1">
      <c r="A31555" s="56"/>
    </row>
    <row r="31556" spans="1:1">
      <c r="A31556" s="56"/>
    </row>
    <row r="31557" spans="1:1">
      <c r="A31557" s="56"/>
    </row>
    <row r="31558" spans="1:1">
      <c r="A31558" s="56"/>
    </row>
    <row r="31559" spans="1:1">
      <c r="A31559" s="56"/>
    </row>
    <row r="31560" spans="1:1">
      <c r="A31560" s="56"/>
    </row>
    <row r="31561" spans="1:1">
      <c r="A31561" s="56"/>
    </row>
    <row r="31562" spans="1:1">
      <c r="A31562" s="56"/>
    </row>
    <row r="31563" spans="1:1">
      <c r="A31563" s="56"/>
    </row>
    <row r="31564" spans="1:1">
      <c r="A31564" s="56"/>
    </row>
    <row r="31565" spans="1:1">
      <c r="A31565" s="56"/>
    </row>
    <row r="31566" spans="1:1">
      <c r="A31566" s="56"/>
    </row>
    <row r="31567" spans="1:1">
      <c r="A31567" s="56"/>
    </row>
    <row r="31568" spans="1:1">
      <c r="A31568" s="56"/>
    </row>
    <row r="31569" spans="1:1">
      <c r="A31569" s="56"/>
    </row>
    <row r="31570" spans="1:1">
      <c r="A31570" s="56"/>
    </row>
    <row r="31571" spans="1:1">
      <c r="A31571" s="56"/>
    </row>
    <row r="31572" spans="1:1">
      <c r="A31572" s="56"/>
    </row>
    <row r="31573" spans="1:1">
      <c r="A31573" s="56"/>
    </row>
    <row r="31574" spans="1:1">
      <c r="A31574" s="56"/>
    </row>
    <row r="31575" spans="1:1">
      <c r="A31575" s="56"/>
    </row>
    <row r="31576" spans="1:1">
      <c r="A31576" s="56"/>
    </row>
    <row r="31577" spans="1:1">
      <c r="A31577" s="56"/>
    </row>
    <row r="31578" spans="1:1">
      <c r="A31578" s="56"/>
    </row>
    <row r="31579" spans="1:1">
      <c r="A31579" s="56"/>
    </row>
    <row r="31580" spans="1:1">
      <c r="A31580" s="56"/>
    </row>
    <row r="31581" spans="1:1">
      <c r="A31581" s="56"/>
    </row>
    <row r="31582" spans="1:1">
      <c r="A31582" s="56"/>
    </row>
    <row r="31583" spans="1:1">
      <c r="A31583" s="56"/>
    </row>
    <row r="31584" spans="1:1">
      <c r="A31584" s="56"/>
    </row>
    <row r="31585" spans="1:1">
      <c r="A31585" s="56"/>
    </row>
    <row r="31586" spans="1:1">
      <c r="A31586" s="56"/>
    </row>
    <row r="31587" spans="1:1">
      <c r="A31587" s="56"/>
    </row>
    <row r="31588" spans="1:1">
      <c r="A31588" s="56"/>
    </row>
    <row r="31589" spans="1:1">
      <c r="A31589" s="56"/>
    </row>
    <row r="31590" spans="1:1">
      <c r="A31590" s="56"/>
    </row>
    <row r="31591" spans="1:1">
      <c r="A31591" s="56"/>
    </row>
    <row r="31592" spans="1:1">
      <c r="A31592" s="56"/>
    </row>
    <row r="31593" spans="1:1">
      <c r="A31593" s="56"/>
    </row>
    <row r="31594" spans="1:1">
      <c r="A31594" s="56"/>
    </row>
    <row r="31595" spans="1:1">
      <c r="A31595" s="56"/>
    </row>
    <row r="31596" spans="1:1">
      <c r="A31596" s="56"/>
    </row>
    <row r="31597" spans="1:1">
      <c r="A31597" s="56"/>
    </row>
    <row r="31598" spans="1:1">
      <c r="A31598" s="56"/>
    </row>
    <row r="31599" spans="1:1">
      <c r="A31599" s="56"/>
    </row>
    <row r="31600" spans="1:1">
      <c r="A31600" s="56"/>
    </row>
    <row r="31601" spans="1:1">
      <c r="A31601" s="56"/>
    </row>
    <row r="31602" spans="1:1">
      <c r="A31602" s="56"/>
    </row>
    <row r="31603" spans="1:1">
      <c r="A31603" s="56"/>
    </row>
    <row r="31604" spans="1:1">
      <c r="A31604" s="56"/>
    </row>
    <row r="31605" spans="1:1">
      <c r="A31605" s="56"/>
    </row>
    <row r="31606" spans="1:1">
      <c r="A31606" s="56"/>
    </row>
    <row r="31607" spans="1:1">
      <c r="A31607" s="56"/>
    </row>
    <row r="31608" spans="1:1">
      <c r="A31608" s="56"/>
    </row>
    <row r="31609" spans="1:1">
      <c r="A31609" s="56"/>
    </row>
    <row r="31610" spans="1:1">
      <c r="A31610" s="56"/>
    </row>
    <row r="31611" spans="1:1">
      <c r="A31611" s="56"/>
    </row>
    <row r="31612" spans="1:1">
      <c r="A31612" s="56"/>
    </row>
    <row r="31613" spans="1:1">
      <c r="A31613" s="56"/>
    </row>
    <row r="31614" spans="1:1">
      <c r="A31614" s="56"/>
    </row>
    <row r="31615" spans="1:1">
      <c r="A31615" s="56"/>
    </row>
    <row r="31616" spans="1:1">
      <c r="A31616" s="56"/>
    </row>
    <row r="31617" spans="1:1">
      <c r="A31617" s="56"/>
    </row>
    <row r="31618" spans="1:1">
      <c r="A31618" s="56"/>
    </row>
    <row r="31619" spans="1:1">
      <c r="A31619" s="56"/>
    </row>
    <row r="31620" spans="1:1">
      <c r="A31620" s="56"/>
    </row>
    <row r="31621" spans="1:1">
      <c r="A31621" s="56"/>
    </row>
    <row r="31622" spans="1:1">
      <c r="A31622" s="56"/>
    </row>
    <row r="31623" spans="1:1">
      <c r="A31623" s="56"/>
    </row>
    <row r="31624" spans="1:1">
      <c r="A31624" s="56"/>
    </row>
    <row r="31625" spans="1:1">
      <c r="A31625" s="56"/>
    </row>
    <row r="31626" spans="1:1">
      <c r="A31626" s="56"/>
    </row>
    <row r="31627" spans="1:1">
      <c r="A31627" s="56"/>
    </row>
    <row r="31628" spans="1:1">
      <c r="A31628" s="56"/>
    </row>
    <row r="31629" spans="1:1">
      <c r="A31629" s="56"/>
    </row>
    <row r="31630" spans="1:1">
      <c r="A31630" s="56"/>
    </row>
    <row r="31631" spans="1:1">
      <c r="A31631" s="56"/>
    </row>
    <row r="31632" spans="1:1">
      <c r="A31632" s="56"/>
    </row>
    <row r="31633" spans="1:1">
      <c r="A31633" s="56"/>
    </row>
    <row r="31634" spans="1:1">
      <c r="A31634" s="56"/>
    </row>
    <row r="31635" spans="1:1">
      <c r="A31635" s="56"/>
    </row>
    <row r="31636" spans="1:1">
      <c r="A31636" s="56"/>
    </row>
    <row r="31637" spans="1:1">
      <c r="A31637" s="56"/>
    </row>
    <row r="31638" spans="1:1">
      <c r="A31638" s="56"/>
    </row>
    <row r="31639" spans="1:1">
      <c r="A31639" s="56"/>
    </row>
    <row r="31640" spans="1:1">
      <c r="A31640" s="56"/>
    </row>
    <row r="31641" spans="1:1">
      <c r="A31641" s="56"/>
    </row>
    <row r="31642" spans="1:1">
      <c r="A31642" s="56"/>
    </row>
    <row r="31643" spans="1:1">
      <c r="A31643" s="56"/>
    </row>
    <row r="31644" spans="1:1">
      <c r="A31644" s="56"/>
    </row>
    <row r="31645" spans="1:1">
      <c r="A31645" s="56"/>
    </row>
    <row r="31646" spans="1:1">
      <c r="A31646" s="56"/>
    </row>
    <row r="31647" spans="1:1">
      <c r="A31647" s="56"/>
    </row>
    <row r="31648" spans="1:1">
      <c r="A31648" s="56"/>
    </row>
    <row r="31649" spans="1:1">
      <c r="A31649" s="56"/>
    </row>
    <row r="31650" spans="1:1">
      <c r="A31650" s="56"/>
    </row>
    <row r="31651" spans="1:1">
      <c r="A31651" s="56"/>
    </row>
    <row r="31652" spans="1:1">
      <c r="A31652" s="56"/>
    </row>
    <row r="31653" spans="1:1">
      <c r="A31653" s="56"/>
    </row>
    <row r="31654" spans="1:1">
      <c r="A31654" s="56"/>
    </row>
    <row r="31655" spans="1:1">
      <c r="A31655" s="56"/>
    </row>
    <row r="31656" spans="1:1">
      <c r="A31656" s="56"/>
    </row>
    <row r="31657" spans="1:1">
      <c r="A31657" s="56"/>
    </row>
    <row r="31658" spans="1:1">
      <c r="A31658" s="56"/>
    </row>
    <row r="31659" spans="1:1">
      <c r="A31659" s="56"/>
    </row>
    <row r="31660" spans="1:1">
      <c r="A31660" s="56"/>
    </row>
    <row r="31661" spans="1:1">
      <c r="A31661" s="56"/>
    </row>
    <row r="31662" spans="1:1">
      <c r="A31662" s="56"/>
    </row>
    <row r="31663" spans="1:1">
      <c r="A31663" s="56"/>
    </row>
    <row r="31664" spans="1:1">
      <c r="A31664" s="56"/>
    </row>
    <row r="31665" spans="1:1">
      <c r="A31665" s="56"/>
    </row>
    <row r="31666" spans="1:1">
      <c r="A31666" s="56"/>
    </row>
    <row r="31667" spans="1:1">
      <c r="A31667" s="56"/>
    </row>
    <row r="31668" spans="1:1">
      <c r="A31668" s="56"/>
    </row>
    <row r="31669" spans="1:1">
      <c r="A31669" s="56"/>
    </row>
    <row r="31670" spans="1:1">
      <c r="A31670" s="56"/>
    </row>
    <row r="31671" spans="1:1">
      <c r="A31671" s="56"/>
    </row>
    <row r="31672" spans="1:1">
      <c r="A31672" s="56"/>
    </row>
    <row r="31673" spans="1:1">
      <c r="A31673" s="56"/>
    </row>
    <row r="31674" spans="1:1">
      <c r="A31674" s="56"/>
    </row>
    <row r="31675" spans="1:1">
      <c r="A31675" s="56"/>
    </row>
    <row r="31676" spans="1:1">
      <c r="A31676" s="56"/>
    </row>
    <row r="31677" spans="1:1">
      <c r="A31677" s="56"/>
    </row>
    <row r="31678" spans="1:1">
      <c r="A31678" s="56"/>
    </row>
    <row r="31679" spans="1:1">
      <c r="A31679" s="56"/>
    </row>
    <row r="31680" spans="1:1">
      <c r="A31680" s="56"/>
    </row>
    <row r="31681" spans="1:1">
      <c r="A31681" s="56"/>
    </row>
    <row r="31682" spans="1:1">
      <c r="A31682" s="56"/>
    </row>
    <row r="31683" spans="1:1">
      <c r="A31683" s="56"/>
    </row>
    <row r="31684" spans="1:1">
      <c r="A31684" s="56"/>
    </row>
    <row r="31685" spans="1:1">
      <c r="A31685" s="56"/>
    </row>
    <row r="31686" spans="1:1">
      <c r="A31686" s="56"/>
    </row>
    <row r="31687" spans="1:1">
      <c r="A31687" s="56"/>
    </row>
    <row r="31688" spans="1:1">
      <c r="A31688" s="56"/>
    </row>
    <row r="31689" spans="1:1">
      <c r="A31689" s="56"/>
    </row>
    <row r="31690" spans="1:1">
      <c r="A31690" s="56"/>
    </row>
    <row r="31691" spans="1:1">
      <c r="A31691" s="56"/>
    </row>
    <row r="31692" spans="1:1">
      <c r="A31692" s="56"/>
    </row>
    <row r="31693" spans="1:1">
      <c r="A31693" s="56"/>
    </row>
    <row r="31694" spans="1:1">
      <c r="A31694" s="56"/>
    </row>
    <row r="31695" spans="1:1">
      <c r="A31695" s="56"/>
    </row>
    <row r="31696" spans="1:1">
      <c r="A31696" s="56"/>
    </row>
    <row r="31697" spans="1:1">
      <c r="A31697" s="56"/>
    </row>
    <row r="31698" spans="1:1">
      <c r="A31698" s="56"/>
    </row>
    <row r="31699" spans="1:1">
      <c r="A31699" s="56"/>
    </row>
    <row r="31700" spans="1:1">
      <c r="A31700" s="56"/>
    </row>
    <row r="31701" spans="1:1">
      <c r="A31701" s="56"/>
    </row>
    <row r="31702" spans="1:1">
      <c r="A31702" s="56"/>
    </row>
    <row r="31703" spans="1:1">
      <c r="A31703" s="56"/>
    </row>
    <row r="31704" spans="1:1">
      <c r="A31704" s="56"/>
    </row>
    <row r="31705" spans="1:1">
      <c r="A31705" s="56"/>
    </row>
    <row r="31706" spans="1:1">
      <c r="A31706" s="56"/>
    </row>
    <row r="31707" spans="1:1">
      <c r="A31707" s="56"/>
    </row>
    <row r="31708" spans="1:1">
      <c r="A31708" s="56"/>
    </row>
    <row r="31709" spans="1:1">
      <c r="A31709" s="56"/>
    </row>
    <row r="31710" spans="1:1">
      <c r="A31710" s="56"/>
    </row>
    <row r="31711" spans="1:1">
      <c r="A31711" s="56"/>
    </row>
    <row r="31712" spans="1:1">
      <c r="A31712" s="56"/>
    </row>
    <row r="31713" spans="1:1">
      <c r="A31713" s="56"/>
    </row>
    <row r="31714" spans="1:1">
      <c r="A31714" s="56"/>
    </row>
    <row r="31715" spans="1:1">
      <c r="A31715" s="56"/>
    </row>
    <row r="31716" spans="1:1">
      <c r="A31716" s="56"/>
    </row>
    <row r="31717" spans="1:1">
      <c r="A31717" s="56"/>
    </row>
    <row r="31718" spans="1:1">
      <c r="A31718" s="56"/>
    </row>
    <row r="31719" spans="1:1">
      <c r="A31719" s="56"/>
    </row>
    <row r="31720" spans="1:1">
      <c r="A31720" s="56"/>
    </row>
    <row r="31721" spans="1:1">
      <c r="A31721" s="56"/>
    </row>
    <row r="31722" spans="1:1">
      <c r="A31722" s="56"/>
    </row>
    <row r="31723" spans="1:1">
      <c r="A31723" s="56"/>
    </row>
    <row r="31724" spans="1:1">
      <c r="A31724" s="56"/>
    </row>
    <row r="31725" spans="1:1">
      <c r="A31725" s="56"/>
    </row>
    <row r="31726" spans="1:1">
      <c r="A31726" s="56"/>
    </row>
    <row r="31727" spans="1:1">
      <c r="A31727" s="56"/>
    </row>
    <row r="31728" spans="1:1">
      <c r="A31728" s="56"/>
    </row>
    <row r="31729" spans="1:1">
      <c r="A31729" s="56"/>
    </row>
    <row r="31730" spans="1:1">
      <c r="A31730" s="56"/>
    </row>
    <row r="31731" spans="1:1">
      <c r="A31731" s="56"/>
    </row>
    <row r="31732" spans="1:1">
      <c r="A31732" s="56"/>
    </row>
    <row r="31733" spans="1:1">
      <c r="A31733" s="56"/>
    </row>
    <row r="31734" spans="1:1">
      <c r="A31734" s="56"/>
    </row>
    <row r="31735" spans="1:1">
      <c r="A31735" s="56"/>
    </row>
    <row r="31736" spans="1:1">
      <c r="A31736" s="56"/>
    </row>
    <row r="31737" spans="1:1">
      <c r="A31737" s="56"/>
    </row>
    <row r="31738" spans="1:1">
      <c r="A31738" s="56"/>
    </row>
    <row r="31739" spans="1:1">
      <c r="A31739" s="56"/>
    </row>
    <row r="31740" spans="1:1">
      <c r="A31740" s="56"/>
    </row>
    <row r="31741" spans="1:1">
      <c r="A31741" s="56"/>
    </row>
    <row r="31742" spans="1:1">
      <c r="A31742" s="56"/>
    </row>
    <row r="31743" spans="1:1">
      <c r="A31743" s="56"/>
    </row>
    <row r="31744" spans="1:1">
      <c r="A31744" s="56"/>
    </row>
    <row r="31745" spans="1:1">
      <c r="A31745" s="56"/>
    </row>
    <row r="31746" spans="1:1">
      <c r="A31746" s="56"/>
    </row>
    <row r="31747" spans="1:1">
      <c r="A31747" s="56"/>
    </row>
    <row r="31748" spans="1:1">
      <c r="A31748" s="56"/>
    </row>
    <row r="31749" spans="1:1">
      <c r="A31749" s="56"/>
    </row>
    <row r="31750" spans="1:1">
      <c r="A31750" s="56"/>
    </row>
    <row r="31751" spans="1:1">
      <c r="A31751" s="56"/>
    </row>
    <row r="31752" spans="1:1">
      <c r="A31752" s="56"/>
    </row>
    <row r="31753" spans="1:1">
      <c r="A31753" s="56"/>
    </row>
    <row r="31754" spans="1:1">
      <c r="A31754" s="56"/>
    </row>
    <row r="31755" spans="1:1">
      <c r="A31755" s="56"/>
    </row>
    <row r="31756" spans="1:1">
      <c r="A31756" s="56"/>
    </row>
    <row r="31757" spans="1:1">
      <c r="A31757" s="56"/>
    </row>
    <row r="31758" spans="1:1">
      <c r="A31758" s="56"/>
    </row>
    <row r="31759" spans="1:1">
      <c r="A31759" s="56"/>
    </row>
    <row r="31760" spans="1:1">
      <c r="A31760" s="56"/>
    </row>
    <row r="31761" spans="1:1">
      <c r="A31761" s="56"/>
    </row>
    <row r="31762" spans="1:1">
      <c r="A31762" s="56"/>
    </row>
    <row r="31763" spans="1:1">
      <c r="A31763" s="56"/>
    </row>
    <row r="31764" spans="1:1">
      <c r="A31764" s="56"/>
    </row>
    <row r="31765" spans="1:1">
      <c r="A31765" s="56"/>
    </row>
    <row r="31766" spans="1:1">
      <c r="A31766" s="56"/>
    </row>
    <row r="31767" spans="1:1">
      <c r="A31767" s="56"/>
    </row>
    <row r="31768" spans="1:1">
      <c r="A31768" s="56"/>
    </row>
    <row r="31769" spans="1:1">
      <c r="A31769" s="56"/>
    </row>
    <row r="31770" spans="1:1">
      <c r="A31770" s="56"/>
    </row>
    <row r="31771" spans="1:1">
      <c r="A31771" s="56"/>
    </row>
    <row r="31772" spans="1:1">
      <c r="A31772" s="56"/>
    </row>
    <row r="31773" spans="1:1">
      <c r="A31773" s="56"/>
    </row>
    <row r="31774" spans="1:1">
      <c r="A31774" s="56"/>
    </row>
    <row r="31775" spans="1:1">
      <c r="A31775" s="56"/>
    </row>
    <row r="31776" spans="1:1">
      <c r="A31776" s="56"/>
    </row>
    <row r="31777" spans="1:1">
      <c r="A31777" s="56"/>
    </row>
    <row r="31778" spans="1:1">
      <c r="A31778" s="56"/>
    </row>
    <row r="31779" spans="1:1">
      <c r="A31779" s="56"/>
    </row>
    <row r="31780" spans="1:1">
      <c r="A31780" s="56"/>
    </row>
    <row r="31781" spans="1:1">
      <c r="A31781" s="56"/>
    </row>
    <row r="31782" spans="1:1">
      <c r="A31782" s="56"/>
    </row>
    <row r="31783" spans="1:1">
      <c r="A31783" s="56"/>
    </row>
    <row r="31784" spans="1:1">
      <c r="A31784" s="56"/>
    </row>
    <row r="31785" spans="1:1">
      <c r="A31785" s="56"/>
    </row>
    <row r="31786" spans="1:1">
      <c r="A31786" s="56"/>
    </row>
    <row r="31787" spans="1:1">
      <c r="A31787" s="56"/>
    </row>
    <row r="31788" spans="1:1">
      <c r="A31788" s="56"/>
    </row>
    <row r="31789" spans="1:1">
      <c r="A31789" s="56"/>
    </row>
    <row r="31790" spans="1:1">
      <c r="A31790" s="56"/>
    </row>
    <row r="31791" spans="1:1">
      <c r="A31791" s="56"/>
    </row>
    <row r="31792" spans="1:1">
      <c r="A31792" s="56"/>
    </row>
    <row r="31793" spans="1:1">
      <c r="A31793" s="56"/>
    </row>
    <row r="31794" spans="1:1">
      <c r="A31794" s="56"/>
    </row>
    <row r="31795" spans="1:1">
      <c r="A31795" s="56"/>
    </row>
    <row r="31796" spans="1:1">
      <c r="A31796" s="56"/>
    </row>
    <row r="31797" spans="1:1">
      <c r="A31797" s="56"/>
    </row>
    <row r="31798" spans="1:1">
      <c r="A31798" s="56"/>
    </row>
    <row r="31799" spans="1:1">
      <c r="A31799" s="56"/>
    </row>
    <row r="31800" spans="1:1">
      <c r="A31800" s="56"/>
    </row>
    <row r="31801" spans="1:1">
      <c r="A31801" s="56"/>
    </row>
    <row r="31802" spans="1:1">
      <c r="A31802" s="56"/>
    </row>
    <row r="31803" spans="1:1">
      <c r="A31803" s="56"/>
    </row>
    <row r="31804" spans="1:1">
      <c r="A31804" s="56"/>
    </row>
    <row r="31805" spans="1:1">
      <c r="A31805" s="56"/>
    </row>
    <row r="31806" spans="1:1">
      <c r="A31806" s="56"/>
    </row>
    <row r="31807" spans="1:1">
      <c r="A31807" s="56"/>
    </row>
    <row r="31808" spans="1:1">
      <c r="A31808" s="56"/>
    </row>
    <row r="31809" spans="1:1">
      <c r="A31809" s="56"/>
    </row>
    <row r="31810" spans="1:1">
      <c r="A31810" s="56"/>
    </row>
    <row r="31811" spans="1:1">
      <c r="A31811" s="56"/>
    </row>
    <row r="31812" spans="1:1">
      <c r="A31812" s="56"/>
    </row>
    <row r="31813" spans="1:1">
      <c r="A31813" s="56"/>
    </row>
    <row r="31814" spans="1:1">
      <c r="A31814" s="56"/>
    </row>
    <row r="31815" spans="1:1">
      <c r="A31815" s="56"/>
    </row>
    <row r="31816" spans="1:1">
      <c r="A31816" s="56"/>
    </row>
    <row r="31817" spans="1:1">
      <c r="A31817" s="56"/>
    </row>
    <row r="31818" spans="1:1">
      <c r="A31818" s="56"/>
    </row>
    <row r="31819" spans="1:1">
      <c r="A31819" s="56"/>
    </row>
    <row r="31820" spans="1:1">
      <c r="A31820" s="56"/>
    </row>
    <row r="31821" spans="1:1">
      <c r="A31821" s="56"/>
    </row>
    <row r="31822" spans="1:1">
      <c r="A31822" s="56"/>
    </row>
    <row r="31823" spans="1:1">
      <c r="A31823" s="56"/>
    </row>
    <row r="31824" spans="1:1">
      <c r="A31824" s="56"/>
    </row>
    <row r="31825" spans="1:1">
      <c r="A31825" s="56"/>
    </row>
    <row r="31826" spans="1:1">
      <c r="A31826" s="56"/>
    </row>
    <row r="31827" spans="1:1">
      <c r="A31827" s="56"/>
    </row>
    <row r="31828" spans="1:1">
      <c r="A31828" s="56"/>
    </row>
    <row r="31829" spans="1:1">
      <c r="A31829" s="56"/>
    </row>
    <row r="31830" spans="1:1">
      <c r="A31830" s="56"/>
    </row>
    <row r="31831" spans="1:1">
      <c r="A31831" s="56"/>
    </row>
    <row r="31832" spans="1:1">
      <c r="A31832" s="56"/>
    </row>
    <row r="31833" spans="1:1">
      <c r="A31833" s="56"/>
    </row>
    <row r="31834" spans="1:1">
      <c r="A31834" s="56"/>
    </row>
    <row r="31835" spans="1:1">
      <c r="A31835" s="56"/>
    </row>
    <row r="31836" spans="1:1">
      <c r="A31836" s="56"/>
    </row>
    <row r="31837" spans="1:1">
      <c r="A31837" s="56"/>
    </row>
    <row r="31838" spans="1:1">
      <c r="A31838" s="56"/>
    </row>
    <row r="31839" spans="1:1">
      <c r="A31839" s="56"/>
    </row>
    <row r="31840" spans="1:1">
      <c r="A31840" s="56"/>
    </row>
    <row r="31841" spans="1:1">
      <c r="A31841" s="56"/>
    </row>
    <row r="31842" spans="1:1">
      <c r="A31842" s="56"/>
    </row>
    <row r="31843" spans="1:1">
      <c r="A31843" s="56"/>
    </row>
    <row r="31844" spans="1:1">
      <c r="A31844" s="56"/>
    </row>
    <row r="31845" spans="1:1">
      <c r="A31845" s="56"/>
    </row>
    <row r="31846" spans="1:1">
      <c r="A31846" s="56"/>
    </row>
    <row r="31847" spans="1:1">
      <c r="A31847" s="56"/>
    </row>
    <row r="31848" spans="1:1">
      <c r="A31848" s="56"/>
    </row>
    <row r="31849" spans="1:1">
      <c r="A31849" s="56"/>
    </row>
    <row r="31850" spans="1:1">
      <c r="A31850" s="56"/>
    </row>
    <row r="31851" spans="1:1">
      <c r="A31851" s="56"/>
    </row>
    <row r="31852" spans="1:1">
      <c r="A31852" s="56"/>
    </row>
    <row r="31853" spans="1:1">
      <c r="A31853" s="56"/>
    </row>
    <row r="31854" spans="1:1">
      <c r="A31854" s="56"/>
    </row>
    <row r="31855" spans="1:1">
      <c r="A31855" s="56"/>
    </row>
    <row r="31856" spans="1:1">
      <c r="A31856" s="56"/>
    </row>
    <row r="31857" spans="1:1">
      <c r="A31857" s="56"/>
    </row>
    <row r="31858" spans="1:1">
      <c r="A31858" s="56"/>
    </row>
    <row r="31859" spans="1:1">
      <c r="A31859" s="56"/>
    </row>
    <row r="31860" spans="1:1">
      <c r="A31860" s="56"/>
    </row>
    <row r="31861" spans="1:1">
      <c r="A31861" s="56"/>
    </row>
    <row r="31862" spans="1:1">
      <c r="A31862" s="56"/>
    </row>
    <row r="31863" spans="1:1">
      <c r="A31863" s="56"/>
    </row>
    <row r="31864" spans="1:1">
      <c r="A31864" s="56"/>
    </row>
    <row r="31865" spans="1:1">
      <c r="A31865" s="56"/>
    </row>
    <row r="31866" spans="1:1">
      <c r="A31866" s="56"/>
    </row>
    <row r="31867" spans="1:1">
      <c r="A31867" s="56"/>
    </row>
    <row r="31868" spans="1:1">
      <c r="A31868" s="56"/>
    </row>
    <row r="31869" spans="1:1">
      <c r="A31869" s="56"/>
    </row>
    <row r="31870" spans="1:1">
      <c r="A31870" s="56"/>
    </row>
    <row r="31871" spans="1:1">
      <c r="A31871" s="56"/>
    </row>
    <row r="31872" spans="1:1">
      <c r="A31872" s="56"/>
    </row>
    <row r="31873" spans="1:1">
      <c r="A31873" s="56"/>
    </row>
    <row r="31874" spans="1:1">
      <c r="A31874" s="56"/>
    </row>
    <row r="31875" spans="1:1">
      <c r="A31875" s="56"/>
    </row>
    <row r="31876" spans="1:1">
      <c r="A31876" s="56"/>
    </row>
    <row r="31877" spans="1:1">
      <c r="A31877" s="56"/>
    </row>
    <row r="31878" spans="1:1">
      <c r="A31878" s="56"/>
    </row>
    <row r="31879" spans="1:1">
      <c r="A31879" s="56"/>
    </row>
    <row r="31880" spans="1:1">
      <c r="A31880" s="56"/>
    </row>
    <row r="31881" spans="1:1">
      <c r="A31881" s="56"/>
    </row>
    <row r="31882" spans="1:1">
      <c r="A31882" s="56"/>
    </row>
    <row r="31883" spans="1:1">
      <c r="A31883" s="56"/>
    </row>
    <row r="31884" spans="1:1">
      <c r="A31884" s="56"/>
    </row>
    <row r="31885" spans="1:1">
      <c r="A31885" s="56"/>
    </row>
    <row r="31886" spans="1:1">
      <c r="A31886" s="56"/>
    </row>
    <row r="31887" spans="1:1">
      <c r="A31887" s="56"/>
    </row>
    <row r="31888" spans="1:1">
      <c r="A31888" s="56"/>
    </row>
    <row r="31889" spans="1:1">
      <c r="A31889" s="56"/>
    </row>
    <row r="31890" spans="1:1">
      <c r="A31890" s="56"/>
    </row>
    <row r="31891" spans="1:1">
      <c r="A31891" s="56"/>
    </row>
    <row r="31892" spans="1:1">
      <c r="A31892" s="56"/>
    </row>
    <row r="31893" spans="1:1">
      <c r="A31893" s="56"/>
    </row>
    <row r="31894" spans="1:1">
      <c r="A31894" s="56"/>
    </row>
    <row r="31895" spans="1:1">
      <c r="A31895" s="56"/>
    </row>
    <row r="31896" spans="1:1">
      <c r="A31896" s="56"/>
    </row>
    <row r="31897" spans="1:1">
      <c r="A31897" s="56"/>
    </row>
    <row r="31898" spans="1:1">
      <c r="A31898" s="56"/>
    </row>
    <row r="31899" spans="1:1">
      <c r="A31899" s="56"/>
    </row>
    <row r="31900" spans="1:1">
      <c r="A31900" s="56"/>
    </row>
    <row r="31901" spans="1:1">
      <c r="A31901" s="56"/>
    </row>
    <row r="31902" spans="1:1">
      <c r="A31902" s="56"/>
    </row>
    <row r="31903" spans="1:1">
      <c r="A31903" s="56"/>
    </row>
    <row r="31904" spans="1:1">
      <c r="A31904" s="56"/>
    </row>
    <row r="31905" spans="1:1">
      <c r="A31905" s="56"/>
    </row>
    <row r="31906" spans="1:1">
      <c r="A31906" s="56"/>
    </row>
    <row r="31907" spans="1:1">
      <c r="A31907" s="56"/>
    </row>
    <row r="31908" spans="1:1">
      <c r="A31908" s="56"/>
    </row>
    <row r="31909" spans="1:1">
      <c r="A31909" s="56"/>
    </row>
    <row r="31910" spans="1:1">
      <c r="A31910" s="56"/>
    </row>
    <row r="31911" spans="1:1">
      <c r="A31911" s="56"/>
    </row>
    <row r="31912" spans="1:1">
      <c r="A31912" s="56"/>
    </row>
    <row r="31913" spans="1:1">
      <c r="A31913" s="56"/>
    </row>
    <row r="31914" spans="1:1">
      <c r="A31914" s="56"/>
    </row>
    <row r="31915" spans="1:1">
      <c r="A31915" s="56"/>
    </row>
    <row r="31916" spans="1:1">
      <c r="A31916" s="56"/>
    </row>
    <row r="31917" spans="1:1">
      <c r="A31917" s="56"/>
    </row>
    <row r="31918" spans="1:1">
      <c r="A31918" s="56"/>
    </row>
    <row r="31919" spans="1:1">
      <c r="A31919" s="56"/>
    </row>
    <row r="31920" spans="1:1">
      <c r="A31920" s="56"/>
    </row>
    <row r="31921" spans="1:1">
      <c r="A31921" s="56"/>
    </row>
    <row r="31922" spans="1:1">
      <c r="A31922" s="56"/>
    </row>
    <row r="31923" spans="1:1">
      <c r="A31923" s="56"/>
    </row>
    <row r="31924" spans="1:1">
      <c r="A31924" s="56"/>
    </row>
    <row r="31925" spans="1:1">
      <c r="A31925" s="56"/>
    </row>
    <row r="31926" spans="1:1">
      <c r="A31926" s="56"/>
    </row>
    <row r="31927" spans="1:1">
      <c r="A31927" s="56"/>
    </row>
    <row r="31928" spans="1:1">
      <c r="A31928" s="56"/>
    </row>
    <row r="31929" spans="1:1">
      <c r="A31929" s="56"/>
    </row>
    <row r="31930" spans="1:1">
      <c r="A31930" s="56"/>
    </row>
    <row r="31931" spans="1:1">
      <c r="A31931" s="56"/>
    </row>
    <row r="31932" spans="1:1">
      <c r="A31932" s="56"/>
    </row>
    <row r="31933" spans="1:1">
      <c r="A31933" s="56"/>
    </row>
    <row r="31934" spans="1:1">
      <c r="A31934" s="56"/>
    </row>
    <row r="31935" spans="1:1">
      <c r="A31935" s="56"/>
    </row>
    <row r="31936" spans="1:1">
      <c r="A31936" s="56"/>
    </row>
    <row r="31937" spans="1:1">
      <c r="A31937" s="56"/>
    </row>
    <row r="31938" spans="1:1">
      <c r="A31938" s="56"/>
    </row>
    <row r="31939" spans="1:1">
      <c r="A31939" s="56"/>
    </row>
    <row r="31940" spans="1:1">
      <c r="A31940" s="56"/>
    </row>
    <row r="31941" spans="1:1">
      <c r="A31941" s="56"/>
    </row>
    <row r="31942" spans="1:1">
      <c r="A31942" s="56"/>
    </row>
    <row r="31943" spans="1:1">
      <c r="A31943" s="56"/>
    </row>
    <row r="31944" spans="1:1">
      <c r="A31944" s="56"/>
    </row>
    <row r="31945" spans="1:1">
      <c r="A31945" s="56"/>
    </row>
    <row r="31946" spans="1:1">
      <c r="A31946" s="56"/>
    </row>
    <row r="31947" spans="1:1">
      <c r="A31947" s="56"/>
    </row>
    <row r="31948" spans="1:1">
      <c r="A31948" s="56"/>
    </row>
    <row r="31949" spans="1:1">
      <c r="A31949" s="56"/>
    </row>
    <row r="31950" spans="1:1">
      <c r="A31950" s="56"/>
    </row>
    <row r="31951" spans="1:1">
      <c r="A31951" s="56"/>
    </row>
    <row r="31952" spans="1:1">
      <c r="A31952" s="56"/>
    </row>
    <row r="31953" spans="1:1">
      <c r="A31953" s="56"/>
    </row>
    <row r="31954" spans="1:1">
      <c r="A31954" s="56"/>
    </row>
    <row r="31955" spans="1:1">
      <c r="A31955" s="56"/>
    </row>
    <row r="31956" spans="1:1">
      <c r="A31956" s="56"/>
    </row>
    <row r="31957" spans="1:1">
      <c r="A31957" s="56"/>
    </row>
    <row r="31958" spans="1:1">
      <c r="A31958" s="56"/>
    </row>
    <row r="31959" spans="1:1">
      <c r="A31959" s="56"/>
    </row>
    <row r="31960" spans="1:1">
      <c r="A31960" s="56"/>
    </row>
    <row r="31961" spans="1:1">
      <c r="A31961" s="56"/>
    </row>
    <row r="31962" spans="1:1">
      <c r="A31962" s="56"/>
    </row>
    <row r="31963" spans="1:1">
      <c r="A31963" s="56"/>
    </row>
    <row r="31964" spans="1:1">
      <c r="A31964" s="56"/>
    </row>
    <row r="31965" spans="1:1">
      <c r="A31965" s="56"/>
    </row>
    <row r="31966" spans="1:1">
      <c r="A31966" s="56"/>
    </row>
    <row r="31967" spans="1:1">
      <c r="A31967" s="56"/>
    </row>
    <row r="31968" spans="1:1">
      <c r="A31968" s="56"/>
    </row>
    <row r="31969" spans="1:1">
      <c r="A31969" s="56"/>
    </row>
    <row r="31970" spans="1:1">
      <c r="A31970" s="56"/>
    </row>
    <row r="31971" spans="1:1">
      <c r="A31971" s="56"/>
    </row>
    <row r="31972" spans="1:1">
      <c r="A31972" s="56"/>
    </row>
    <row r="31973" spans="1:1">
      <c r="A31973" s="56"/>
    </row>
    <row r="31974" spans="1:1">
      <c r="A31974" s="56"/>
    </row>
    <row r="31975" spans="1:1">
      <c r="A31975" s="56"/>
    </row>
    <row r="31976" spans="1:1">
      <c r="A31976" s="56"/>
    </row>
    <row r="31977" spans="1:1">
      <c r="A31977" s="56"/>
    </row>
    <row r="31978" spans="1:1">
      <c r="A31978" s="56"/>
    </row>
    <row r="31979" spans="1:1">
      <c r="A31979" s="56"/>
    </row>
    <row r="31980" spans="1:1">
      <c r="A31980" s="56"/>
    </row>
    <row r="31981" spans="1:1">
      <c r="A31981" s="56"/>
    </row>
    <row r="31982" spans="1:1">
      <c r="A31982" s="56"/>
    </row>
    <row r="31983" spans="1:1">
      <c r="A31983" s="56"/>
    </row>
    <row r="31984" spans="1:1">
      <c r="A31984" s="56"/>
    </row>
    <row r="31985" spans="1:1">
      <c r="A31985" s="56"/>
    </row>
    <row r="31986" spans="1:1">
      <c r="A31986" s="56"/>
    </row>
    <row r="31987" spans="1:1">
      <c r="A31987" s="56"/>
    </row>
    <row r="31988" spans="1:1">
      <c r="A31988" s="56"/>
    </row>
    <row r="31989" spans="1:1">
      <c r="A31989" s="56"/>
    </row>
    <row r="31990" spans="1:1">
      <c r="A31990" s="56"/>
    </row>
    <row r="31991" spans="1:1">
      <c r="A31991" s="56"/>
    </row>
    <row r="31992" spans="1:1">
      <c r="A31992" s="56"/>
    </row>
    <row r="31993" spans="1:1">
      <c r="A31993" s="56"/>
    </row>
    <row r="31994" spans="1:1">
      <c r="A31994" s="56"/>
    </row>
    <row r="31995" spans="1:1">
      <c r="A31995" s="56"/>
    </row>
    <row r="31996" spans="1:1">
      <c r="A31996" s="56"/>
    </row>
    <row r="31997" spans="1:1">
      <c r="A31997" s="56"/>
    </row>
    <row r="31998" spans="1:1">
      <c r="A31998" s="56"/>
    </row>
    <row r="31999" spans="1:1">
      <c r="A31999" s="56"/>
    </row>
    <row r="32000" spans="1:1">
      <c r="A32000" s="56"/>
    </row>
    <row r="32001" spans="1:1">
      <c r="A32001" s="56"/>
    </row>
    <row r="32002" spans="1:1">
      <c r="A32002" s="56"/>
    </row>
    <row r="32003" spans="1:1">
      <c r="A32003" s="56"/>
    </row>
    <row r="32004" spans="1:1">
      <c r="A32004" s="56"/>
    </row>
    <row r="32005" spans="1:1">
      <c r="A32005" s="56"/>
    </row>
    <row r="32006" spans="1:1">
      <c r="A32006" s="56"/>
    </row>
    <row r="32007" spans="1:1">
      <c r="A32007" s="56"/>
    </row>
    <row r="32008" spans="1:1">
      <c r="A32008" s="56"/>
    </row>
    <row r="32009" spans="1:1">
      <c r="A32009" s="56"/>
    </row>
    <row r="32010" spans="1:1">
      <c r="A32010" s="56"/>
    </row>
    <row r="32011" spans="1:1">
      <c r="A32011" s="56"/>
    </row>
    <row r="32012" spans="1:1">
      <c r="A32012" s="56"/>
    </row>
    <row r="32013" spans="1:1">
      <c r="A32013" s="56"/>
    </row>
    <row r="32014" spans="1:1">
      <c r="A32014" s="56"/>
    </row>
    <row r="32015" spans="1:1">
      <c r="A32015" s="56"/>
    </row>
    <row r="32016" spans="1:1">
      <c r="A32016" s="56"/>
    </row>
    <row r="32017" spans="1:1">
      <c r="A32017" s="56"/>
    </row>
    <row r="32018" spans="1:1">
      <c r="A32018" s="56"/>
    </row>
    <row r="32019" spans="1:1">
      <c r="A32019" s="56"/>
    </row>
    <row r="32020" spans="1:1">
      <c r="A32020" s="56"/>
    </row>
    <row r="32021" spans="1:1">
      <c r="A32021" s="56"/>
    </row>
    <row r="32022" spans="1:1">
      <c r="A32022" s="56"/>
    </row>
    <row r="32023" spans="1:1">
      <c r="A32023" s="56"/>
    </row>
    <row r="32024" spans="1:1">
      <c r="A32024" s="56"/>
    </row>
    <row r="32025" spans="1:1">
      <c r="A32025" s="56"/>
    </row>
    <row r="32026" spans="1:1">
      <c r="A32026" s="56"/>
    </row>
    <row r="32027" spans="1:1">
      <c r="A32027" s="56"/>
    </row>
    <row r="32028" spans="1:1">
      <c r="A32028" s="56"/>
    </row>
    <row r="32029" spans="1:1">
      <c r="A32029" s="56"/>
    </row>
    <row r="32030" spans="1:1">
      <c r="A32030" s="56"/>
    </row>
    <row r="32031" spans="1:1">
      <c r="A32031" s="56"/>
    </row>
    <row r="32032" spans="1:1">
      <c r="A32032" s="56"/>
    </row>
    <row r="32033" spans="1:1">
      <c r="A32033" s="56"/>
    </row>
    <row r="32034" spans="1:1">
      <c r="A32034" s="56"/>
    </row>
    <row r="32035" spans="1:1">
      <c r="A32035" s="56"/>
    </row>
    <row r="32036" spans="1:1">
      <c r="A32036" s="56"/>
    </row>
    <row r="32037" spans="1:1">
      <c r="A32037" s="56"/>
    </row>
    <row r="32038" spans="1:1">
      <c r="A32038" s="56"/>
    </row>
    <row r="32039" spans="1:1">
      <c r="A32039" s="56"/>
    </row>
    <row r="32040" spans="1:1">
      <c r="A32040" s="56"/>
    </row>
    <row r="32041" spans="1:1">
      <c r="A32041" s="56"/>
    </row>
    <row r="32042" spans="1:1">
      <c r="A32042" s="56"/>
    </row>
    <row r="32043" spans="1:1">
      <c r="A32043" s="56"/>
    </row>
    <row r="32044" spans="1:1">
      <c r="A32044" s="56"/>
    </row>
    <row r="32045" spans="1:1">
      <c r="A32045" s="56"/>
    </row>
    <row r="32046" spans="1:1">
      <c r="A32046" s="56"/>
    </row>
    <row r="32047" spans="1:1">
      <c r="A32047" s="56"/>
    </row>
    <row r="32048" spans="1:1">
      <c r="A32048" s="56"/>
    </row>
    <row r="32049" spans="1:1">
      <c r="A32049" s="56"/>
    </row>
    <row r="32050" spans="1:1">
      <c r="A32050" s="56"/>
    </row>
    <row r="32051" spans="1:1">
      <c r="A32051" s="56"/>
    </row>
    <row r="32052" spans="1:1">
      <c r="A32052" s="56"/>
    </row>
    <row r="32053" spans="1:1">
      <c r="A32053" s="56"/>
    </row>
    <row r="32054" spans="1:1">
      <c r="A32054" s="56"/>
    </row>
    <row r="32055" spans="1:1">
      <c r="A32055" s="56"/>
    </row>
    <row r="32056" spans="1:1">
      <c r="A32056" s="56"/>
    </row>
    <row r="32057" spans="1:1">
      <c r="A32057" s="56"/>
    </row>
    <row r="32058" spans="1:1">
      <c r="A32058" s="56"/>
    </row>
    <row r="32059" spans="1:1">
      <c r="A32059" s="56"/>
    </row>
    <row r="32060" spans="1:1">
      <c r="A32060" s="56"/>
    </row>
    <row r="32061" spans="1:1">
      <c r="A32061" s="56"/>
    </row>
    <row r="32062" spans="1:1">
      <c r="A32062" s="56"/>
    </row>
    <row r="32063" spans="1:1">
      <c r="A32063" s="56"/>
    </row>
    <row r="32064" spans="1:1">
      <c r="A32064" s="56"/>
    </row>
    <row r="32065" spans="1:1">
      <c r="A32065" s="56"/>
    </row>
    <row r="32066" spans="1:1">
      <c r="A32066" s="56"/>
    </row>
    <row r="32067" spans="1:1">
      <c r="A32067" s="56"/>
    </row>
    <row r="32068" spans="1:1">
      <c r="A32068" s="56"/>
    </row>
    <row r="32069" spans="1:1">
      <c r="A32069" s="56"/>
    </row>
    <row r="32070" spans="1:1">
      <c r="A32070" s="56"/>
    </row>
    <row r="32071" spans="1:1">
      <c r="A32071" s="56"/>
    </row>
    <row r="32072" spans="1:1">
      <c r="A32072" s="56"/>
    </row>
    <row r="32073" spans="1:1">
      <c r="A32073" s="56"/>
    </row>
    <row r="32074" spans="1:1">
      <c r="A32074" s="56"/>
    </row>
    <row r="32075" spans="1:1">
      <c r="A32075" s="56"/>
    </row>
    <row r="32076" spans="1:1">
      <c r="A32076" s="56"/>
    </row>
    <row r="32077" spans="1:1">
      <c r="A32077" s="56"/>
    </row>
    <row r="32078" spans="1:1">
      <c r="A32078" s="56"/>
    </row>
    <row r="32079" spans="1:1">
      <c r="A32079" s="56"/>
    </row>
    <row r="32080" spans="1:1">
      <c r="A32080" s="56"/>
    </row>
    <row r="32081" spans="1:1">
      <c r="A32081" s="56"/>
    </row>
    <row r="32082" spans="1:1">
      <c r="A32082" s="56"/>
    </row>
    <row r="32083" spans="1:1">
      <c r="A32083" s="56"/>
    </row>
    <row r="32084" spans="1:1">
      <c r="A32084" s="56"/>
    </row>
    <row r="32085" spans="1:1">
      <c r="A32085" s="56"/>
    </row>
    <row r="32086" spans="1:1">
      <c r="A32086" s="56"/>
    </row>
    <row r="32087" spans="1:1">
      <c r="A32087" s="56"/>
    </row>
    <row r="32088" spans="1:1">
      <c r="A32088" s="56"/>
    </row>
    <row r="32089" spans="1:1">
      <c r="A32089" s="56"/>
    </row>
    <row r="32090" spans="1:1">
      <c r="A32090" s="56"/>
    </row>
    <row r="32091" spans="1:1">
      <c r="A32091" s="56"/>
    </row>
    <row r="32092" spans="1:1">
      <c r="A32092" s="56"/>
    </row>
    <row r="32093" spans="1:1">
      <c r="A32093" s="56"/>
    </row>
    <row r="32094" spans="1:1">
      <c r="A32094" s="56"/>
    </row>
    <row r="32095" spans="1:1">
      <c r="A32095" s="56"/>
    </row>
    <row r="32096" spans="1:1">
      <c r="A32096" s="56"/>
    </row>
    <row r="32097" spans="1:1">
      <c r="A32097" s="56"/>
    </row>
    <row r="32098" spans="1:1">
      <c r="A32098" s="56"/>
    </row>
    <row r="32099" spans="1:1">
      <c r="A32099" s="56"/>
    </row>
    <row r="32100" spans="1:1">
      <c r="A32100" s="56"/>
    </row>
    <row r="32101" spans="1:1">
      <c r="A32101" s="56"/>
    </row>
    <row r="32102" spans="1:1">
      <c r="A32102" s="56"/>
    </row>
    <row r="32103" spans="1:1">
      <c r="A32103" s="56"/>
    </row>
    <row r="32104" spans="1:1">
      <c r="A32104" s="56"/>
    </row>
    <row r="32105" spans="1:1">
      <c r="A32105" s="56"/>
    </row>
    <row r="32106" spans="1:1">
      <c r="A32106" s="56"/>
    </row>
    <row r="32107" spans="1:1">
      <c r="A32107" s="56"/>
    </row>
    <row r="32108" spans="1:1">
      <c r="A32108" s="56"/>
    </row>
    <row r="32109" spans="1:1">
      <c r="A32109" s="56"/>
    </row>
    <row r="32110" spans="1:1">
      <c r="A32110" s="56"/>
    </row>
    <row r="32111" spans="1:1">
      <c r="A32111" s="56"/>
    </row>
    <row r="32112" spans="1:1">
      <c r="A32112" s="56"/>
    </row>
    <row r="32113" spans="1:1">
      <c r="A32113" s="56"/>
    </row>
    <row r="32114" spans="1:1">
      <c r="A32114" s="56"/>
    </row>
    <row r="32115" spans="1:1">
      <c r="A32115" s="56"/>
    </row>
    <row r="32116" spans="1:1">
      <c r="A32116" s="56"/>
    </row>
    <row r="32117" spans="1:1">
      <c r="A32117" s="56"/>
    </row>
    <row r="32118" spans="1:1">
      <c r="A32118" s="56"/>
    </row>
    <row r="32119" spans="1:1">
      <c r="A32119" s="56"/>
    </row>
    <row r="32120" spans="1:1">
      <c r="A32120" s="56"/>
    </row>
    <row r="32121" spans="1:1">
      <c r="A32121" s="56"/>
    </row>
    <row r="32122" spans="1:1">
      <c r="A32122" s="56"/>
    </row>
    <row r="32123" spans="1:1">
      <c r="A32123" s="56"/>
    </row>
    <row r="32124" spans="1:1">
      <c r="A32124" s="56"/>
    </row>
    <row r="32125" spans="1:1">
      <c r="A32125" s="56"/>
    </row>
    <row r="32126" spans="1:1">
      <c r="A32126" s="56"/>
    </row>
    <row r="32127" spans="1:1">
      <c r="A32127" s="56"/>
    </row>
    <row r="32128" spans="1:1">
      <c r="A32128" s="56"/>
    </row>
    <row r="32129" spans="1:1">
      <c r="A32129" s="56"/>
    </row>
    <row r="32130" spans="1:1">
      <c r="A32130" s="56"/>
    </row>
    <row r="32131" spans="1:1">
      <c r="A32131" s="56"/>
    </row>
    <row r="32132" spans="1:1">
      <c r="A32132" s="56"/>
    </row>
    <row r="32133" spans="1:1">
      <c r="A32133" s="56"/>
    </row>
    <row r="32134" spans="1:1">
      <c r="A32134" s="56"/>
    </row>
    <row r="32135" spans="1:1">
      <c r="A32135" s="56"/>
    </row>
    <row r="32136" spans="1:1">
      <c r="A32136" s="56"/>
    </row>
    <row r="32137" spans="1:1">
      <c r="A32137" s="56"/>
    </row>
    <row r="32138" spans="1:1">
      <c r="A32138" s="56"/>
    </row>
    <row r="32139" spans="1:1">
      <c r="A32139" s="56"/>
    </row>
    <row r="32140" spans="1:1">
      <c r="A32140" s="56"/>
    </row>
    <row r="32141" spans="1:1">
      <c r="A32141" s="56"/>
    </row>
    <row r="32142" spans="1:1">
      <c r="A32142" s="56"/>
    </row>
    <row r="32143" spans="1:1">
      <c r="A32143" s="56"/>
    </row>
    <row r="32144" spans="1:1">
      <c r="A32144" s="56"/>
    </row>
    <row r="32145" spans="1:1">
      <c r="A32145" s="56"/>
    </row>
    <row r="32146" spans="1:1">
      <c r="A32146" s="56"/>
    </row>
    <row r="32147" spans="1:1">
      <c r="A32147" s="56"/>
    </row>
    <row r="32148" spans="1:1">
      <c r="A32148" s="56"/>
    </row>
    <row r="32149" spans="1:1">
      <c r="A32149" s="56"/>
    </row>
    <row r="32150" spans="1:1">
      <c r="A32150" s="56"/>
    </row>
    <row r="32151" spans="1:1">
      <c r="A32151" s="56"/>
    </row>
    <row r="32152" spans="1:1">
      <c r="A32152" s="56"/>
    </row>
    <row r="32153" spans="1:1">
      <c r="A32153" s="56"/>
    </row>
    <row r="32154" spans="1:1">
      <c r="A32154" s="56"/>
    </row>
    <row r="32155" spans="1:1">
      <c r="A32155" s="56"/>
    </row>
    <row r="32156" spans="1:1">
      <c r="A32156" s="56"/>
    </row>
    <row r="32157" spans="1:1">
      <c r="A32157" s="56"/>
    </row>
    <row r="32158" spans="1:1">
      <c r="A32158" s="56"/>
    </row>
    <row r="32159" spans="1:1">
      <c r="A32159" s="56"/>
    </row>
    <row r="32160" spans="1:1">
      <c r="A32160" s="56"/>
    </row>
    <row r="32161" spans="1:1">
      <c r="A32161" s="56"/>
    </row>
    <row r="32162" spans="1:1">
      <c r="A32162" s="56"/>
    </row>
    <row r="32163" spans="1:1">
      <c r="A32163" s="56"/>
    </row>
    <row r="32164" spans="1:1">
      <c r="A32164" s="56"/>
    </row>
    <row r="32165" spans="1:1">
      <c r="A32165" s="56"/>
    </row>
    <row r="32166" spans="1:1">
      <c r="A32166" s="56"/>
    </row>
    <row r="32167" spans="1:1">
      <c r="A32167" s="56"/>
    </row>
    <row r="32168" spans="1:1">
      <c r="A32168" s="56"/>
    </row>
    <row r="32169" spans="1:1">
      <c r="A32169" s="56"/>
    </row>
    <row r="32170" spans="1:1">
      <c r="A32170" s="56"/>
    </row>
    <row r="32171" spans="1:1">
      <c r="A32171" s="56"/>
    </row>
    <row r="32172" spans="1:1">
      <c r="A32172" s="56"/>
    </row>
    <row r="32173" spans="1:1">
      <c r="A32173" s="56"/>
    </row>
    <row r="32174" spans="1:1">
      <c r="A32174" s="56"/>
    </row>
    <row r="32175" spans="1:1">
      <c r="A32175" s="56"/>
    </row>
    <row r="32176" spans="1:1">
      <c r="A32176" s="56"/>
    </row>
    <row r="32177" spans="1:1">
      <c r="A32177" s="56"/>
    </row>
    <row r="32178" spans="1:1">
      <c r="A32178" s="56"/>
    </row>
    <row r="32179" spans="1:1">
      <c r="A32179" s="56"/>
    </row>
    <row r="32180" spans="1:1">
      <c r="A32180" s="56"/>
    </row>
    <row r="32181" spans="1:1">
      <c r="A32181" s="56"/>
    </row>
    <row r="32182" spans="1:1">
      <c r="A32182" s="56"/>
    </row>
    <row r="32183" spans="1:1">
      <c r="A32183" s="56"/>
    </row>
    <row r="32184" spans="1:1">
      <c r="A32184" s="56"/>
    </row>
    <row r="32185" spans="1:1">
      <c r="A32185" s="56"/>
    </row>
    <row r="32186" spans="1:1">
      <c r="A32186" s="56"/>
    </row>
    <row r="32187" spans="1:1">
      <c r="A32187" s="56"/>
    </row>
    <row r="32188" spans="1:1">
      <c r="A32188" s="56"/>
    </row>
    <row r="32189" spans="1:1">
      <c r="A32189" s="56"/>
    </row>
    <row r="32190" spans="1:1">
      <c r="A32190" s="56"/>
    </row>
    <row r="32191" spans="1:1">
      <c r="A32191" s="56"/>
    </row>
    <row r="32192" spans="1:1">
      <c r="A32192" s="56"/>
    </row>
    <row r="32193" spans="1:1">
      <c r="A32193" s="56"/>
    </row>
    <row r="32194" spans="1:1">
      <c r="A32194" s="56"/>
    </row>
    <row r="32195" spans="1:1">
      <c r="A32195" s="56"/>
    </row>
    <row r="32196" spans="1:1">
      <c r="A32196" s="56"/>
    </row>
    <row r="32197" spans="1:1">
      <c r="A32197" s="56"/>
    </row>
    <row r="32198" spans="1:1">
      <c r="A32198" s="56"/>
    </row>
    <row r="32199" spans="1:1">
      <c r="A32199" s="56"/>
    </row>
    <row r="32200" spans="1:1">
      <c r="A32200" s="56"/>
    </row>
    <row r="32201" spans="1:1">
      <c r="A32201" s="56"/>
    </row>
    <row r="32202" spans="1:1">
      <c r="A32202" s="56"/>
    </row>
    <row r="32203" spans="1:1">
      <c r="A32203" s="56"/>
    </row>
    <row r="32204" spans="1:1">
      <c r="A32204" s="56"/>
    </row>
    <row r="32205" spans="1:1">
      <c r="A32205" s="56"/>
    </row>
    <row r="32206" spans="1:1">
      <c r="A32206" s="56"/>
    </row>
    <row r="32207" spans="1:1">
      <c r="A32207" s="56"/>
    </row>
    <row r="32208" spans="1:1">
      <c r="A32208" s="56"/>
    </row>
    <row r="32209" spans="1:1">
      <c r="A32209" s="56"/>
    </row>
    <row r="32210" spans="1:1">
      <c r="A32210" s="56"/>
    </row>
    <row r="32211" spans="1:1">
      <c r="A32211" s="56"/>
    </row>
    <row r="32212" spans="1:1">
      <c r="A32212" s="56"/>
    </row>
    <row r="32213" spans="1:1">
      <c r="A32213" s="56"/>
    </row>
    <row r="32214" spans="1:1">
      <c r="A32214" s="56"/>
    </row>
    <row r="32215" spans="1:1">
      <c r="A32215" s="56"/>
    </row>
    <row r="32216" spans="1:1">
      <c r="A32216" s="56"/>
    </row>
    <row r="32217" spans="1:1">
      <c r="A32217" s="56"/>
    </row>
    <row r="32218" spans="1:1">
      <c r="A32218" s="56"/>
    </row>
    <row r="32219" spans="1:1">
      <c r="A32219" s="56"/>
    </row>
    <row r="32220" spans="1:1">
      <c r="A32220" s="56"/>
    </row>
    <row r="32221" spans="1:1">
      <c r="A32221" s="56"/>
    </row>
    <row r="32222" spans="1:1">
      <c r="A32222" s="56"/>
    </row>
    <row r="32223" spans="1:1">
      <c r="A32223" s="56"/>
    </row>
    <row r="32224" spans="1:1">
      <c r="A32224" s="56"/>
    </row>
    <row r="32225" spans="1:1">
      <c r="A32225" s="56"/>
    </row>
    <row r="32226" spans="1:1">
      <c r="A32226" s="56"/>
    </row>
    <row r="32227" spans="1:1">
      <c r="A32227" s="56"/>
    </row>
    <row r="32228" spans="1:1">
      <c r="A32228" s="56"/>
    </row>
    <row r="32229" spans="1:1">
      <c r="A32229" s="56"/>
    </row>
    <row r="32230" spans="1:1">
      <c r="A32230" s="56"/>
    </row>
    <row r="32231" spans="1:1">
      <c r="A32231" s="56"/>
    </row>
    <row r="32232" spans="1:1">
      <c r="A32232" s="56"/>
    </row>
    <row r="32233" spans="1:1">
      <c r="A32233" s="56"/>
    </row>
    <row r="32234" spans="1:1">
      <c r="A32234" s="56"/>
    </row>
    <row r="32235" spans="1:1">
      <c r="A32235" s="56"/>
    </row>
    <row r="32236" spans="1:1">
      <c r="A32236" s="56"/>
    </row>
    <row r="32237" spans="1:1">
      <c r="A32237" s="56"/>
    </row>
    <row r="32238" spans="1:1">
      <c r="A32238" s="56"/>
    </row>
    <row r="32239" spans="1:1">
      <c r="A32239" s="56"/>
    </row>
    <row r="32240" spans="1:1">
      <c r="A32240" s="56"/>
    </row>
    <row r="32241" spans="1:1">
      <c r="A32241" s="56"/>
    </row>
    <row r="32242" spans="1:1">
      <c r="A32242" s="56"/>
    </row>
    <row r="32243" spans="1:1">
      <c r="A32243" s="56"/>
    </row>
    <row r="32244" spans="1:1">
      <c r="A32244" s="56"/>
    </row>
    <row r="32245" spans="1:1">
      <c r="A32245" s="56"/>
    </row>
    <row r="32246" spans="1:1">
      <c r="A32246" s="56"/>
    </row>
    <row r="32247" spans="1:1">
      <c r="A32247" s="56"/>
    </row>
    <row r="32248" spans="1:1">
      <c r="A32248" s="56"/>
    </row>
    <row r="32249" spans="1:1">
      <c r="A32249" s="56"/>
    </row>
    <row r="32250" spans="1:1">
      <c r="A32250" s="56"/>
    </row>
    <row r="32251" spans="1:1">
      <c r="A32251" s="56"/>
    </row>
    <row r="32252" spans="1:1">
      <c r="A32252" s="56"/>
    </row>
    <row r="32253" spans="1:1">
      <c r="A32253" s="56"/>
    </row>
    <row r="32254" spans="1:1">
      <c r="A32254" s="56"/>
    </row>
    <row r="32255" spans="1:1">
      <c r="A32255" s="56"/>
    </row>
    <row r="32256" spans="1:1">
      <c r="A32256" s="56"/>
    </row>
    <row r="32257" spans="1:1">
      <c r="A32257" s="56"/>
    </row>
    <row r="32258" spans="1:1">
      <c r="A32258" s="56"/>
    </row>
    <row r="32259" spans="1:1">
      <c r="A32259" s="56"/>
    </row>
    <row r="32260" spans="1:1">
      <c r="A32260" s="56"/>
    </row>
    <row r="32261" spans="1:1">
      <c r="A32261" s="56"/>
    </row>
    <row r="32262" spans="1:1">
      <c r="A32262" s="56"/>
    </row>
    <row r="32263" spans="1:1">
      <c r="A32263" s="56"/>
    </row>
    <row r="32264" spans="1:1">
      <c r="A32264" s="56"/>
    </row>
    <row r="32265" spans="1:1">
      <c r="A32265" s="56"/>
    </row>
    <row r="32266" spans="1:1">
      <c r="A32266" s="56"/>
    </row>
    <row r="32267" spans="1:1">
      <c r="A32267" s="56"/>
    </row>
    <row r="32268" spans="1:1">
      <c r="A32268" s="56"/>
    </row>
    <row r="32269" spans="1:1">
      <c r="A32269" s="56"/>
    </row>
    <row r="32270" spans="1:1">
      <c r="A32270" s="56"/>
    </row>
    <row r="32271" spans="1:1">
      <c r="A32271" s="56"/>
    </row>
    <row r="32272" spans="1:1">
      <c r="A32272" s="56"/>
    </row>
    <row r="32273" spans="1:1">
      <c r="A32273" s="56"/>
    </row>
    <row r="32274" spans="1:1">
      <c r="A32274" s="56"/>
    </row>
    <row r="32275" spans="1:1">
      <c r="A32275" s="56"/>
    </row>
    <row r="32276" spans="1:1">
      <c r="A32276" s="56"/>
    </row>
    <row r="32277" spans="1:1">
      <c r="A32277" s="56"/>
    </row>
    <row r="32278" spans="1:1">
      <c r="A32278" s="56"/>
    </row>
    <row r="32279" spans="1:1">
      <c r="A32279" s="56"/>
    </row>
    <row r="32280" spans="1:1">
      <c r="A32280" s="56"/>
    </row>
    <row r="32281" spans="1:1">
      <c r="A32281" s="56"/>
    </row>
    <row r="32282" spans="1:1">
      <c r="A32282" s="56"/>
    </row>
    <row r="32283" spans="1:1">
      <c r="A32283" s="56"/>
    </row>
    <row r="32284" spans="1:1">
      <c r="A32284" s="56"/>
    </row>
    <row r="32285" spans="1:1">
      <c r="A32285" s="56"/>
    </row>
    <row r="32286" spans="1:1">
      <c r="A32286" s="56"/>
    </row>
    <row r="32287" spans="1:1">
      <c r="A32287" s="56"/>
    </row>
    <row r="32288" spans="1:1">
      <c r="A32288" s="56"/>
    </row>
    <row r="32289" spans="1:1">
      <c r="A32289" s="56"/>
    </row>
    <row r="32290" spans="1:1">
      <c r="A32290" s="56"/>
    </row>
    <row r="32291" spans="1:1">
      <c r="A32291" s="56"/>
    </row>
    <row r="32292" spans="1:1">
      <c r="A32292" s="56"/>
    </row>
    <row r="32293" spans="1:1">
      <c r="A32293" s="56"/>
    </row>
    <row r="32294" spans="1:1">
      <c r="A32294" s="56"/>
    </row>
    <row r="32295" spans="1:1">
      <c r="A32295" s="56"/>
    </row>
    <row r="32296" spans="1:1">
      <c r="A32296" s="56"/>
    </row>
    <row r="32297" spans="1:1">
      <c r="A32297" s="56"/>
    </row>
    <row r="32298" spans="1:1">
      <c r="A32298" s="56"/>
    </row>
    <row r="32299" spans="1:1">
      <c r="A32299" s="56"/>
    </row>
    <row r="32300" spans="1:1">
      <c r="A32300" s="56"/>
    </row>
    <row r="32301" spans="1:1">
      <c r="A32301" s="56"/>
    </row>
    <row r="32302" spans="1:1">
      <c r="A32302" s="56"/>
    </row>
    <row r="32303" spans="1:1">
      <c r="A32303" s="56"/>
    </row>
    <row r="32304" spans="1:1">
      <c r="A32304" s="56"/>
    </row>
    <row r="32305" spans="1:1">
      <c r="A32305" s="56"/>
    </row>
    <row r="32306" spans="1:1">
      <c r="A32306" s="56"/>
    </row>
    <row r="32307" spans="1:1">
      <c r="A32307" s="56"/>
    </row>
    <row r="32308" spans="1:1">
      <c r="A32308" s="56"/>
    </row>
    <row r="32309" spans="1:1">
      <c r="A32309" s="56"/>
    </row>
    <row r="32310" spans="1:1">
      <c r="A32310" s="56"/>
    </row>
    <row r="32311" spans="1:1">
      <c r="A32311" s="56"/>
    </row>
    <row r="32312" spans="1:1">
      <c r="A32312" s="56"/>
    </row>
    <row r="32313" spans="1:1">
      <c r="A32313" s="56"/>
    </row>
    <row r="32314" spans="1:1">
      <c r="A32314" s="56"/>
    </row>
    <row r="32315" spans="1:1">
      <c r="A32315" s="56"/>
    </row>
    <row r="32316" spans="1:1">
      <c r="A32316" s="56"/>
    </row>
    <row r="32317" spans="1:1">
      <c r="A32317" s="56"/>
    </row>
    <row r="32318" spans="1:1">
      <c r="A32318" s="56"/>
    </row>
    <row r="32319" spans="1:1">
      <c r="A32319" s="56"/>
    </row>
    <row r="32320" spans="1:1">
      <c r="A32320" s="56"/>
    </row>
    <row r="32321" spans="1:1">
      <c r="A32321" s="56"/>
    </row>
    <row r="32322" spans="1:1">
      <c r="A32322" s="56"/>
    </row>
    <row r="32323" spans="1:1">
      <c r="A32323" s="56"/>
    </row>
    <row r="32324" spans="1:1">
      <c r="A32324" s="56"/>
    </row>
    <row r="32325" spans="1:1">
      <c r="A32325" s="56"/>
    </row>
    <row r="32326" spans="1:1">
      <c r="A32326" s="56"/>
    </row>
    <row r="32327" spans="1:1">
      <c r="A32327" s="56"/>
    </row>
    <row r="32328" spans="1:1">
      <c r="A32328" s="56"/>
    </row>
    <row r="32329" spans="1:1">
      <c r="A32329" s="56"/>
    </row>
    <row r="32330" spans="1:1">
      <c r="A32330" s="56"/>
    </row>
    <row r="32331" spans="1:1">
      <c r="A32331" s="56"/>
    </row>
    <row r="32332" spans="1:1">
      <c r="A32332" s="56"/>
    </row>
    <row r="32333" spans="1:1">
      <c r="A32333" s="56"/>
    </row>
    <row r="32334" spans="1:1">
      <c r="A32334" s="56"/>
    </row>
    <row r="32335" spans="1:1">
      <c r="A32335" s="56"/>
    </row>
    <row r="32336" spans="1:1">
      <c r="A32336" s="56"/>
    </row>
    <row r="32337" spans="1:1">
      <c r="A32337" s="56"/>
    </row>
    <row r="32338" spans="1:1">
      <c r="A32338" s="56"/>
    </row>
    <row r="32339" spans="1:1">
      <c r="A32339" s="56"/>
    </row>
    <row r="32340" spans="1:1">
      <c r="A32340" s="56"/>
    </row>
    <row r="32341" spans="1:1">
      <c r="A32341" s="56"/>
    </row>
    <row r="32342" spans="1:1">
      <c r="A32342" s="56"/>
    </row>
    <row r="32343" spans="1:1">
      <c r="A32343" s="56"/>
    </row>
    <row r="32344" spans="1:1">
      <c r="A32344" s="56"/>
    </row>
    <row r="32345" spans="1:1">
      <c r="A32345" s="56"/>
    </row>
    <row r="32346" spans="1:1">
      <c r="A32346" s="56"/>
    </row>
    <row r="32347" spans="1:1">
      <c r="A32347" s="56"/>
    </row>
    <row r="32348" spans="1:1">
      <c r="A32348" s="56"/>
    </row>
    <row r="32349" spans="1:1">
      <c r="A32349" s="56"/>
    </row>
    <row r="32350" spans="1:1">
      <c r="A32350" s="56"/>
    </row>
    <row r="32351" spans="1:1">
      <c r="A32351" s="56"/>
    </row>
    <row r="32352" spans="1:1">
      <c r="A32352" s="56"/>
    </row>
    <row r="32353" spans="1:1">
      <c r="A32353" s="56"/>
    </row>
    <row r="32354" spans="1:1">
      <c r="A32354" s="56"/>
    </row>
    <row r="32355" spans="1:1">
      <c r="A32355" s="56"/>
    </row>
    <row r="32356" spans="1:1">
      <c r="A32356" s="56"/>
    </row>
    <row r="32357" spans="1:1">
      <c r="A32357" s="56"/>
    </row>
    <row r="32358" spans="1:1">
      <c r="A32358" s="56"/>
    </row>
    <row r="32359" spans="1:1">
      <c r="A32359" s="56"/>
    </row>
    <row r="32360" spans="1:1">
      <c r="A32360" s="56"/>
    </row>
    <row r="32361" spans="1:1">
      <c r="A32361" s="56"/>
    </row>
    <row r="32362" spans="1:1">
      <c r="A32362" s="56"/>
    </row>
    <row r="32363" spans="1:1">
      <c r="A32363" s="56"/>
    </row>
    <row r="32364" spans="1:1">
      <c r="A32364" s="56"/>
    </row>
    <row r="32365" spans="1:1">
      <c r="A32365" s="56"/>
    </row>
    <row r="32366" spans="1:1">
      <c r="A32366" s="56"/>
    </row>
    <row r="32367" spans="1:1">
      <c r="A32367" s="56"/>
    </row>
    <row r="32368" spans="1:1">
      <c r="A32368" s="56"/>
    </row>
    <row r="32369" spans="1:1">
      <c r="A32369" s="56"/>
    </row>
    <row r="32370" spans="1:1">
      <c r="A32370" s="56"/>
    </row>
    <row r="32371" spans="1:1">
      <c r="A32371" s="56"/>
    </row>
    <row r="32372" spans="1:1">
      <c r="A32372" s="56"/>
    </row>
    <row r="32373" spans="1:1">
      <c r="A32373" s="56"/>
    </row>
    <row r="32374" spans="1:1">
      <c r="A32374" s="56"/>
    </row>
    <row r="32375" spans="1:1">
      <c r="A32375" s="56"/>
    </row>
    <row r="32376" spans="1:1">
      <c r="A32376" s="56"/>
    </row>
    <row r="32377" spans="1:1">
      <c r="A32377" s="56"/>
    </row>
    <row r="32378" spans="1:1">
      <c r="A32378" s="56"/>
    </row>
    <row r="32379" spans="1:1">
      <c r="A32379" s="56"/>
    </row>
    <row r="32380" spans="1:1">
      <c r="A32380" s="56"/>
    </row>
    <row r="32381" spans="1:1">
      <c r="A32381" s="56"/>
    </row>
    <row r="32382" spans="1:1">
      <c r="A32382" s="56"/>
    </row>
    <row r="32383" spans="1:1">
      <c r="A32383" s="56"/>
    </row>
    <row r="32384" spans="1:1">
      <c r="A32384" s="56"/>
    </row>
    <row r="32385" spans="1:1">
      <c r="A32385" s="56"/>
    </row>
    <row r="32386" spans="1:1">
      <c r="A32386" s="56"/>
    </row>
    <row r="32387" spans="1:1">
      <c r="A32387" s="56"/>
    </row>
    <row r="32388" spans="1:1">
      <c r="A32388" s="56"/>
    </row>
    <row r="32389" spans="1:1">
      <c r="A32389" s="56"/>
    </row>
    <row r="32390" spans="1:1">
      <c r="A32390" s="56"/>
    </row>
    <row r="32391" spans="1:1">
      <c r="A32391" s="56"/>
    </row>
    <row r="32392" spans="1:1">
      <c r="A32392" s="56"/>
    </row>
    <row r="32393" spans="1:1">
      <c r="A32393" s="56"/>
    </row>
    <row r="32394" spans="1:1">
      <c r="A32394" s="56"/>
    </row>
    <row r="32395" spans="1:1">
      <c r="A32395" s="56"/>
    </row>
    <row r="32396" spans="1:1">
      <c r="A32396" s="56"/>
    </row>
    <row r="32397" spans="1:1">
      <c r="A32397" s="56"/>
    </row>
    <row r="32398" spans="1:1">
      <c r="A32398" s="56"/>
    </row>
    <row r="32399" spans="1:1">
      <c r="A32399" s="56"/>
    </row>
    <row r="32400" spans="1:1">
      <c r="A32400" s="56"/>
    </row>
    <row r="32401" spans="1:1">
      <c r="A32401" s="56"/>
    </row>
    <row r="32402" spans="1:1">
      <c r="A32402" s="56"/>
    </row>
    <row r="32403" spans="1:1">
      <c r="A32403" s="56"/>
    </row>
    <row r="32404" spans="1:1">
      <c r="A32404" s="56"/>
    </row>
    <row r="32405" spans="1:1">
      <c r="A32405" s="56"/>
    </row>
    <row r="32406" spans="1:1">
      <c r="A32406" s="56"/>
    </row>
    <row r="32407" spans="1:1">
      <c r="A32407" s="56"/>
    </row>
    <row r="32408" spans="1:1">
      <c r="A32408" s="56"/>
    </row>
    <row r="32409" spans="1:1">
      <c r="A32409" s="56"/>
    </row>
    <row r="32410" spans="1:1">
      <c r="A32410" s="56"/>
    </row>
    <row r="32411" spans="1:1">
      <c r="A32411" s="56"/>
    </row>
    <row r="32412" spans="1:1">
      <c r="A32412" s="56"/>
    </row>
    <row r="32413" spans="1:1">
      <c r="A32413" s="56"/>
    </row>
    <row r="32414" spans="1:1">
      <c r="A32414" s="56"/>
    </row>
    <row r="32415" spans="1:1">
      <c r="A32415" s="56"/>
    </row>
    <row r="32416" spans="1:1">
      <c r="A32416" s="56"/>
    </row>
    <row r="32417" spans="1:1">
      <c r="A32417" s="56"/>
    </row>
    <row r="32418" spans="1:1">
      <c r="A32418" s="56"/>
    </row>
    <row r="32419" spans="1:1">
      <c r="A32419" s="56"/>
    </row>
    <row r="32420" spans="1:1">
      <c r="A32420" s="56"/>
    </row>
    <row r="32421" spans="1:1">
      <c r="A32421" s="56"/>
    </row>
    <row r="32422" spans="1:1">
      <c r="A32422" s="56"/>
    </row>
    <row r="32423" spans="1:1">
      <c r="A32423" s="56"/>
    </row>
    <row r="32424" spans="1:1">
      <c r="A32424" s="56"/>
    </row>
    <row r="32425" spans="1:1">
      <c r="A32425" s="56"/>
    </row>
    <row r="32426" spans="1:1">
      <c r="A32426" s="56"/>
    </row>
    <row r="32427" spans="1:1">
      <c r="A32427" s="56"/>
    </row>
    <row r="32428" spans="1:1">
      <c r="A32428" s="56"/>
    </row>
    <row r="32429" spans="1:1">
      <c r="A32429" s="56"/>
    </row>
    <row r="32430" spans="1:1">
      <c r="A32430" s="56"/>
    </row>
    <row r="32431" spans="1:1">
      <c r="A32431" s="56"/>
    </row>
    <row r="32432" spans="1:1">
      <c r="A32432" s="56"/>
    </row>
    <row r="32433" spans="1:1">
      <c r="A32433" s="56"/>
    </row>
    <row r="32434" spans="1:1">
      <c r="A32434" s="56"/>
    </row>
    <row r="32435" spans="1:1">
      <c r="A32435" s="56"/>
    </row>
    <row r="32436" spans="1:1">
      <c r="A32436" s="56"/>
    </row>
    <row r="32437" spans="1:1">
      <c r="A32437" s="56"/>
    </row>
    <row r="32438" spans="1:1">
      <c r="A32438" s="56"/>
    </row>
    <row r="32439" spans="1:1">
      <c r="A32439" s="56"/>
    </row>
    <row r="32440" spans="1:1">
      <c r="A32440" s="56"/>
    </row>
    <row r="32441" spans="1:1">
      <c r="A32441" s="56"/>
    </row>
    <row r="32442" spans="1:1">
      <c r="A32442" s="56"/>
    </row>
    <row r="32443" spans="1:1">
      <c r="A32443" s="56"/>
    </row>
    <row r="32444" spans="1:1">
      <c r="A32444" s="56"/>
    </row>
    <row r="32445" spans="1:1">
      <c r="A32445" s="56"/>
    </row>
    <row r="32446" spans="1:1">
      <c r="A32446" s="56"/>
    </row>
    <row r="32447" spans="1:1">
      <c r="A32447" s="56"/>
    </row>
    <row r="32448" spans="1:1">
      <c r="A32448" s="56"/>
    </row>
    <row r="32449" spans="1:1">
      <c r="A32449" s="56"/>
    </row>
    <row r="32450" spans="1:1">
      <c r="A32450" s="56"/>
    </row>
    <row r="32451" spans="1:1">
      <c r="A32451" s="56"/>
    </row>
    <row r="32452" spans="1:1">
      <c r="A32452" s="56"/>
    </row>
    <row r="32453" spans="1:1">
      <c r="A32453" s="56"/>
    </row>
    <row r="32454" spans="1:1">
      <c r="A32454" s="56"/>
    </row>
    <row r="32455" spans="1:1">
      <c r="A32455" s="56"/>
    </row>
    <row r="32456" spans="1:1">
      <c r="A32456" s="56"/>
    </row>
    <row r="32457" spans="1:1">
      <c r="A32457" s="56"/>
    </row>
    <row r="32458" spans="1:1">
      <c r="A32458" s="56"/>
    </row>
    <row r="32459" spans="1:1">
      <c r="A32459" s="56"/>
    </row>
    <row r="32460" spans="1:1">
      <c r="A32460" s="56"/>
    </row>
    <row r="32461" spans="1:1">
      <c r="A32461" s="56"/>
    </row>
    <row r="32462" spans="1:1">
      <c r="A32462" s="56"/>
    </row>
    <row r="32463" spans="1:1">
      <c r="A32463" s="56"/>
    </row>
    <row r="32464" spans="1:1">
      <c r="A32464" s="56"/>
    </row>
    <row r="32465" spans="1:1">
      <c r="A32465" s="56"/>
    </row>
    <row r="32466" spans="1:1">
      <c r="A32466" s="56"/>
    </row>
    <row r="32467" spans="1:1">
      <c r="A32467" s="56"/>
    </row>
    <row r="32468" spans="1:1">
      <c r="A32468" s="56"/>
    </row>
    <row r="32469" spans="1:1">
      <c r="A32469" s="56"/>
    </row>
    <row r="32470" spans="1:1">
      <c r="A32470" s="56"/>
    </row>
    <row r="32471" spans="1:1">
      <c r="A32471" s="56"/>
    </row>
    <row r="32472" spans="1:1">
      <c r="A32472" s="56"/>
    </row>
    <row r="32473" spans="1:1">
      <c r="A32473" s="56"/>
    </row>
    <row r="32474" spans="1:1">
      <c r="A32474" s="56"/>
    </row>
    <row r="32475" spans="1:1">
      <c r="A32475" s="56"/>
    </row>
    <row r="32476" spans="1:1">
      <c r="A32476" s="56"/>
    </row>
    <row r="32477" spans="1:1">
      <c r="A32477" s="56"/>
    </row>
    <row r="32478" spans="1:1">
      <c r="A32478" s="56"/>
    </row>
    <row r="32479" spans="1:1">
      <c r="A32479" s="56"/>
    </row>
    <row r="32480" spans="1:1">
      <c r="A32480" s="56"/>
    </row>
    <row r="32481" spans="1:1">
      <c r="A32481" s="56"/>
    </row>
    <row r="32482" spans="1:1">
      <c r="A32482" s="56"/>
    </row>
    <row r="32483" spans="1:1">
      <c r="A32483" s="56"/>
    </row>
    <row r="32484" spans="1:1">
      <c r="A32484" s="56"/>
    </row>
    <row r="32485" spans="1:1">
      <c r="A32485" s="56"/>
    </row>
    <row r="32486" spans="1:1">
      <c r="A32486" s="56"/>
    </row>
    <row r="32487" spans="1:1">
      <c r="A32487" s="56"/>
    </row>
    <row r="32488" spans="1:1">
      <c r="A32488" s="56"/>
    </row>
    <row r="32489" spans="1:1">
      <c r="A32489" s="56"/>
    </row>
    <row r="32490" spans="1:1">
      <c r="A32490" s="56"/>
    </row>
    <row r="32491" spans="1:1">
      <c r="A32491" s="56"/>
    </row>
    <row r="32492" spans="1:1">
      <c r="A32492" s="56"/>
    </row>
    <row r="32493" spans="1:1">
      <c r="A32493" s="56"/>
    </row>
    <row r="32494" spans="1:1">
      <c r="A32494" s="56"/>
    </row>
    <row r="32495" spans="1:1">
      <c r="A32495" s="56"/>
    </row>
    <row r="32496" spans="1:1">
      <c r="A32496" s="56"/>
    </row>
    <row r="32497" spans="1:1">
      <c r="A32497" s="56"/>
    </row>
    <row r="32498" spans="1:1">
      <c r="A32498" s="56"/>
    </row>
    <row r="32499" spans="1:1">
      <c r="A32499" s="56"/>
    </row>
    <row r="32500" spans="1:1">
      <c r="A32500" s="56"/>
    </row>
    <row r="32501" spans="1:1">
      <c r="A32501" s="56"/>
    </row>
    <row r="32502" spans="1:1">
      <c r="A32502" s="56"/>
    </row>
    <row r="32503" spans="1:1">
      <c r="A32503" s="56"/>
    </row>
    <row r="32504" spans="1:1">
      <c r="A32504" s="56"/>
    </row>
    <row r="32505" spans="1:1">
      <c r="A32505" s="56"/>
    </row>
    <row r="32506" spans="1:1">
      <c r="A32506" s="56"/>
    </row>
    <row r="32507" spans="1:1">
      <c r="A32507" s="56"/>
    </row>
    <row r="32508" spans="1:1">
      <c r="A32508" s="56"/>
    </row>
    <row r="32509" spans="1:1">
      <c r="A32509" s="56"/>
    </row>
    <row r="32510" spans="1:1">
      <c r="A32510" s="56"/>
    </row>
    <row r="32511" spans="1:1">
      <c r="A32511" s="56"/>
    </row>
    <row r="32512" spans="1:1">
      <c r="A32512" s="56"/>
    </row>
    <row r="32513" spans="1:1">
      <c r="A32513" s="56"/>
    </row>
    <row r="32514" spans="1:1">
      <c r="A32514" s="56"/>
    </row>
    <row r="32515" spans="1:1">
      <c r="A32515" s="56"/>
    </row>
    <row r="32516" spans="1:1">
      <c r="A32516" s="56"/>
    </row>
    <row r="32517" spans="1:1">
      <c r="A32517" s="56"/>
    </row>
    <row r="32518" spans="1:1">
      <c r="A32518" s="56"/>
    </row>
    <row r="32519" spans="1:1">
      <c r="A32519" s="56"/>
    </row>
    <row r="32520" spans="1:1">
      <c r="A32520" s="56"/>
    </row>
    <row r="32521" spans="1:1">
      <c r="A32521" s="56"/>
    </row>
    <row r="32522" spans="1:1">
      <c r="A32522" s="56"/>
    </row>
    <row r="32523" spans="1:1">
      <c r="A32523" s="56"/>
    </row>
    <row r="32524" spans="1:1">
      <c r="A32524" s="56"/>
    </row>
    <row r="32525" spans="1:1">
      <c r="A32525" s="56"/>
    </row>
    <row r="32526" spans="1:1">
      <c r="A32526" s="56"/>
    </row>
    <row r="32527" spans="1:1">
      <c r="A32527" s="56"/>
    </row>
    <row r="32528" spans="1:1">
      <c r="A32528" s="56"/>
    </row>
    <row r="32529" spans="1:1">
      <c r="A32529" s="56"/>
    </row>
    <row r="32530" spans="1:1">
      <c r="A32530" s="56"/>
    </row>
    <row r="32531" spans="1:1">
      <c r="A32531" s="56"/>
    </row>
    <row r="32532" spans="1:1">
      <c r="A32532" s="56"/>
    </row>
    <row r="32533" spans="1:1">
      <c r="A32533" s="56"/>
    </row>
    <row r="32534" spans="1:1">
      <c r="A32534" s="56"/>
    </row>
    <row r="32535" spans="1:1">
      <c r="A32535" s="56"/>
    </row>
    <row r="32536" spans="1:1">
      <c r="A32536" s="56"/>
    </row>
    <row r="32537" spans="1:1">
      <c r="A32537" s="56"/>
    </row>
    <row r="32538" spans="1:1">
      <c r="A32538" s="56"/>
    </row>
    <row r="32539" spans="1:1">
      <c r="A32539" s="56"/>
    </row>
    <row r="32540" spans="1:1">
      <c r="A32540" s="56"/>
    </row>
    <row r="32541" spans="1:1">
      <c r="A32541" s="56"/>
    </row>
    <row r="32542" spans="1:1">
      <c r="A32542" s="56"/>
    </row>
    <row r="32543" spans="1:1">
      <c r="A32543" s="56"/>
    </row>
    <row r="32544" spans="1:1">
      <c r="A32544" s="56"/>
    </row>
    <row r="32545" spans="1:1">
      <c r="A32545" s="56"/>
    </row>
    <row r="32546" spans="1:1">
      <c r="A32546" s="56"/>
    </row>
    <row r="32547" spans="1:1">
      <c r="A32547" s="56"/>
    </row>
    <row r="32548" spans="1:1">
      <c r="A32548" s="56"/>
    </row>
    <row r="32549" spans="1:1">
      <c r="A32549" s="56"/>
    </row>
    <row r="32550" spans="1:1">
      <c r="A32550" s="56"/>
    </row>
    <row r="32551" spans="1:1">
      <c r="A32551" s="56"/>
    </row>
    <row r="32552" spans="1:1">
      <c r="A32552" s="56"/>
    </row>
    <row r="32553" spans="1:1">
      <c r="A32553" s="56"/>
    </row>
    <row r="32554" spans="1:1">
      <c r="A32554" s="56"/>
    </row>
    <row r="32555" spans="1:1">
      <c r="A32555" s="56"/>
    </row>
    <row r="32556" spans="1:1">
      <c r="A32556" s="56"/>
    </row>
    <row r="32557" spans="1:1">
      <c r="A32557" s="56"/>
    </row>
    <row r="32558" spans="1:1">
      <c r="A32558" s="56"/>
    </row>
    <row r="32559" spans="1:1">
      <c r="A32559" s="56"/>
    </row>
    <row r="32560" spans="1:1">
      <c r="A32560" s="56"/>
    </row>
    <row r="32561" spans="1:1">
      <c r="A32561" s="56"/>
    </row>
    <row r="32562" spans="1:1">
      <c r="A32562" s="56"/>
    </row>
    <row r="32563" spans="1:1">
      <c r="A32563" s="56"/>
    </row>
    <row r="32564" spans="1:1">
      <c r="A32564" s="56"/>
    </row>
    <row r="32565" spans="1:1">
      <c r="A32565" s="56"/>
    </row>
    <row r="32566" spans="1:1">
      <c r="A32566" s="56"/>
    </row>
    <row r="32567" spans="1:1">
      <c r="A32567" s="56"/>
    </row>
    <row r="32568" spans="1:1">
      <c r="A32568" s="56"/>
    </row>
    <row r="32569" spans="1:1">
      <c r="A32569" s="56"/>
    </row>
    <row r="32570" spans="1:1">
      <c r="A32570" s="56"/>
    </row>
    <row r="32571" spans="1:1">
      <c r="A32571" s="56"/>
    </row>
    <row r="32572" spans="1:1">
      <c r="A32572" s="56"/>
    </row>
    <row r="32573" spans="1:1">
      <c r="A32573" s="56"/>
    </row>
    <row r="32574" spans="1:1">
      <c r="A32574" s="56"/>
    </row>
    <row r="32575" spans="1:1">
      <c r="A32575" s="56"/>
    </row>
    <row r="32576" spans="1:1">
      <c r="A32576" s="56"/>
    </row>
    <row r="32577" spans="1:1">
      <c r="A32577" s="56"/>
    </row>
    <row r="32578" spans="1:1">
      <c r="A32578" s="56"/>
    </row>
    <row r="32579" spans="1:1">
      <c r="A32579" s="56"/>
    </row>
    <row r="32580" spans="1:1">
      <c r="A32580" s="56"/>
    </row>
    <row r="32581" spans="1:1">
      <c r="A32581" s="56"/>
    </row>
    <row r="32582" spans="1:1">
      <c r="A32582" s="56"/>
    </row>
    <row r="32583" spans="1:1">
      <c r="A32583" s="56"/>
    </row>
    <row r="32584" spans="1:1">
      <c r="A32584" s="56"/>
    </row>
    <row r="32585" spans="1:1">
      <c r="A32585" s="56"/>
    </row>
    <row r="32586" spans="1:1">
      <c r="A32586" s="56"/>
    </row>
    <row r="32587" spans="1:1">
      <c r="A32587" s="56"/>
    </row>
    <row r="32588" spans="1:1">
      <c r="A32588" s="56"/>
    </row>
    <row r="32589" spans="1:1">
      <c r="A32589" s="56"/>
    </row>
    <row r="32590" spans="1:1">
      <c r="A32590" s="56"/>
    </row>
    <row r="32591" spans="1:1">
      <c r="A32591" s="56"/>
    </row>
    <row r="32592" spans="1:1">
      <c r="A32592" s="56"/>
    </row>
    <row r="32593" spans="1:1">
      <c r="A32593" s="56"/>
    </row>
    <row r="32594" spans="1:1">
      <c r="A32594" s="56"/>
    </row>
    <row r="32595" spans="1:1">
      <c r="A32595" s="56"/>
    </row>
    <row r="32596" spans="1:1">
      <c r="A32596" s="56"/>
    </row>
    <row r="32597" spans="1:1">
      <c r="A32597" s="56"/>
    </row>
    <row r="32598" spans="1:1">
      <c r="A32598" s="56"/>
    </row>
    <row r="32599" spans="1:1">
      <c r="A32599" s="56"/>
    </row>
    <row r="32600" spans="1:1">
      <c r="A32600" s="56"/>
    </row>
    <row r="32601" spans="1:1">
      <c r="A32601" s="56"/>
    </row>
    <row r="32602" spans="1:1">
      <c r="A32602" s="56"/>
    </row>
    <row r="32603" spans="1:1">
      <c r="A32603" s="56"/>
    </row>
    <row r="32604" spans="1:1">
      <c r="A32604" s="56"/>
    </row>
    <row r="32605" spans="1:1">
      <c r="A32605" s="56"/>
    </row>
    <row r="32606" spans="1:1">
      <c r="A32606" s="56"/>
    </row>
    <row r="32607" spans="1:1">
      <c r="A32607" s="56"/>
    </row>
    <row r="32608" spans="1:1">
      <c r="A32608" s="56"/>
    </row>
    <row r="32609" spans="1:1">
      <c r="A32609" s="56"/>
    </row>
    <row r="32610" spans="1:1">
      <c r="A32610" s="56"/>
    </row>
    <row r="32611" spans="1:1">
      <c r="A32611" s="56"/>
    </row>
    <row r="32612" spans="1:1">
      <c r="A32612" s="56"/>
    </row>
    <row r="32613" spans="1:1">
      <c r="A32613" s="56"/>
    </row>
    <row r="32614" spans="1:1">
      <c r="A32614" s="56"/>
    </row>
    <row r="32615" spans="1:1">
      <c r="A32615" s="56"/>
    </row>
    <row r="32616" spans="1:1">
      <c r="A32616" s="56"/>
    </row>
    <row r="32617" spans="1:1">
      <c r="A32617" s="56"/>
    </row>
    <row r="32618" spans="1:1">
      <c r="A32618" s="56"/>
    </row>
    <row r="32619" spans="1:1">
      <c r="A32619" s="56"/>
    </row>
    <row r="32620" spans="1:1">
      <c r="A32620" s="56"/>
    </row>
    <row r="32621" spans="1:1">
      <c r="A32621" s="56"/>
    </row>
    <row r="32622" spans="1:1">
      <c r="A32622" s="56"/>
    </row>
    <row r="32623" spans="1:1">
      <c r="A32623" s="56"/>
    </row>
    <row r="32624" spans="1:1">
      <c r="A32624" s="56"/>
    </row>
    <row r="32625" spans="1:1">
      <c r="A32625" s="56"/>
    </row>
    <row r="32626" spans="1:1">
      <c r="A32626" s="56"/>
    </row>
    <row r="32627" spans="1:1">
      <c r="A32627" s="56"/>
    </row>
    <row r="32628" spans="1:1">
      <c r="A32628" s="56"/>
    </row>
    <row r="32629" spans="1:1">
      <c r="A32629" s="56"/>
    </row>
    <row r="32630" spans="1:1">
      <c r="A32630" s="56"/>
    </row>
    <row r="32631" spans="1:1">
      <c r="A32631" s="56"/>
    </row>
    <row r="32632" spans="1:1">
      <c r="A32632" s="56"/>
    </row>
    <row r="32633" spans="1:1">
      <c r="A32633" s="56"/>
    </row>
    <row r="32634" spans="1:1">
      <c r="A32634" s="56"/>
    </row>
    <row r="32635" spans="1:1">
      <c r="A32635" s="56"/>
    </row>
    <row r="32636" spans="1:1">
      <c r="A32636" s="56"/>
    </row>
    <row r="32637" spans="1:1">
      <c r="A32637" s="56"/>
    </row>
    <row r="32638" spans="1:1">
      <c r="A32638" s="56"/>
    </row>
    <row r="32639" spans="1:1">
      <c r="A32639" s="56"/>
    </row>
    <row r="32640" spans="1:1">
      <c r="A32640" s="56"/>
    </row>
    <row r="32641" spans="1:1">
      <c r="A32641" s="56"/>
    </row>
    <row r="32642" spans="1:1">
      <c r="A32642" s="56"/>
    </row>
    <row r="32643" spans="1:1">
      <c r="A32643" s="56"/>
    </row>
    <row r="32644" spans="1:1">
      <c r="A32644" s="56"/>
    </row>
    <row r="32645" spans="1:1">
      <c r="A32645" s="56"/>
    </row>
    <row r="32646" spans="1:1">
      <c r="A32646" s="56"/>
    </row>
    <row r="32647" spans="1:1">
      <c r="A32647" s="56"/>
    </row>
    <row r="32648" spans="1:1">
      <c r="A32648" s="56"/>
    </row>
    <row r="32649" spans="1:1">
      <c r="A32649" s="56"/>
    </row>
    <row r="32650" spans="1:1">
      <c r="A32650" s="56"/>
    </row>
    <row r="32651" spans="1:1">
      <c r="A32651" s="56"/>
    </row>
    <row r="32652" spans="1:1">
      <c r="A32652" s="56"/>
    </row>
    <row r="32653" spans="1:1">
      <c r="A32653" s="56"/>
    </row>
    <row r="32654" spans="1:1">
      <c r="A32654" s="56"/>
    </row>
    <row r="32655" spans="1:1">
      <c r="A32655" s="56"/>
    </row>
    <row r="32656" spans="1:1">
      <c r="A32656" s="56"/>
    </row>
    <row r="32657" spans="1:1">
      <c r="A32657" s="56"/>
    </row>
    <row r="32658" spans="1:1">
      <c r="A32658" s="56"/>
    </row>
    <row r="32659" spans="1:1">
      <c r="A32659" s="56"/>
    </row>
    <row r="32660" spans="1:1">
      <c r="A32660" s="56"/>
    </row>
    <row r="32661" spans="1:1">
      <c r="A32661" s="56"/>
    </row>
    <row r="32662" spans="1:1">
      <c r="A32662" s="56"/>
    </row>
    <row r="32663" spans="1:1">
      <c r="A32663" s="56"/>
    </row>
    <row r="32664" spans="1:1">
      <c r="A32664" s="56"/>
    </row>
    <row r="32665" spans="1:1">
      <c r="A32665" s="56"/>
    </row>
    <row r="32666" spans="1:1">
      <c r="A32666" s="56"/>
    </row>
    <row r="32667" spans="1:1">
      <c r="A32667" s="56"/>
    </row>
    <row r="32668" spans="1:1">
      <c r="A32668" s="56"/>
    </row>
    <row r="32669" spans="1:1">
      <c r="A32669" s="56"/>
    </row>
    <row r="32670" spans="1:1">
      <c r="A32670" s="56"/>
    </row>
    <row r="32671" spans="1:1">
      <c r="A32671" s="56"/>
    </row>
    <row r="32672" spans="1:1">
      <c r="A32672" s="56"/>
    </row>
    <row r="32673" spans="1:1">
      <c r="A32673" s="56"/>
    </row>
    <row r="32674" spans="1:1">
      <c r="A32674" s="56"/>
    </row>
    <row r="32675" spans="1:1">
      <c r="A32675" s="56"/>
    </row>
    <row r="32676" spans="1:1">
      <c r="A32676" s="56"/>
    </row>
    <row r="32677" spans="1:1">
      <c r="A32677" s="56"/>
    </row>
    <row r="32678" spans="1:1">
      <c r="A32678" s="56"/>
    </row>
    <row r="32679" spans="1:1">
      <c r="A32679" s="56"/>
    </row>
    <row r="32680" spans="1:1">
      <c r="A32680" s="56"/>
    </row>
    <row r="32681" spans="1:1">
      <c r="A32681" s="56"/>
    </row>
    <row r="32682" spans="1:1">
      <c r="A32682" s="56"/>
    </row>
    <row r="32683" spans="1:1">
      <c r="A32683" s="56"/>
    </row>
    <row r="32684" spans="1:1">
      <c r="A32684" s="56"/>
    </row>
    <row r="32685" spans="1:1">
      <c r="A32685" s="56"/>
    </row>
    <row r="32686" spans="1:1">
      <c r="A32686" s="56"/>
    </row>
    <row r="32687" spans="1:1">
      <c r="A32687" s="56"/>
    </row>
    <row r="32688" spans="1:1">
      <c r="A32688" s="56"/>
    </row>
    <row r="32689" spans="1:1">
      <c r="A32689" s="56"/>
    </row>
    <row r="32690" spans="1:1">
      <c r="A32690" s="56"/>
    </row>
    <row r="32691" spans="1:1">
      <c r="A32691" s="56"/>
    </row>
    <row r="32692" spans="1:1">
      <c r="A32692" s="56"/>
    </row>
    <row r="32693" spans="1:1">
      <c r="A32693" s="56"/>
    </row>
    <row r="32694" spans="1:1">
      <c r="A32694" s="56"/>
    </row>
    <row r="32695" spans="1:1">
      <c r="A32695" s="56"/>
    </row>
    <row r="32696" spans="1:1">
      <c r="A32696" s="56"/>
    </row>
    <row r="32697" spans="1:1">
      <c r="A32697" s="56"/>
    </row>
    <row r="32698" spans="1:1">
      <c r="A32698" s="56"/>
    </row>
    <row r="32699" spans="1:1">
      <c r="A32699" s="56"/>
    </row>
    <row r="32700" spans="1:1">
      <c r="A32700" s="56"/>
    </row>
    <row r="32701" spans="1:1">
      <c r="A32701" s="56"/>
    </row>
    <row r="32702" spans="1:1">
      <c r="A32702" s="56"/>
    </row>
    <row r="32703" spans="1:1">
      <c r="A32703" s="56"/>
    </row>
    <row r="32704" spans="1:1">
      <c r="A32704" s="56"/>
    </row>
    <row r="32705" spans="1:1">
      <c r="A32705" s="56"/>
    </row>
    <row r="32706" spans="1:1">
      <c r="A32706" s="56"/>
    </row>
    <row r="32707" spans="1:1">
      <c r="A32707" s="56"/>
    </row>
    <row r="32708" spans="1:1">
      <c r="A32708" s="56"/>
    </row>
    <row r="32709" spans="1:1">
      <c r="A32709" s="56"/>
    </row>
    <row r="32710" spans="1:1">
      <c r="A32710" s="56"/>
    </row>
    <row r="32711" spans="1:1">
      <c r="A32711" s="56"/>
    </row>
    <row r="32712" spans="1:1">
      <c r="A32712" s="56"/>
    </row>
    <row r="32713" spans="1:1">
      <c r="A32713" s="56"/>
    </row>
    <row r="32714" spans="1:1">
      <c r="A32714" s="56"/>
    </row>
    <row r="32715" spans="1:1">
      <c r="A32715" s="56"/>
    </row>
    <row r="32716" spans="1:1">
      <c r="A32716" s="56"/>
    </row>
    <row r="32717" spans="1:1">
      <c r="A32717" s="56"/>
    </row>
    <row r="32718" spans="1:1">
      <c r="A32718" s="56"/>
    </row>
    <row r="32719" spans="1:1">
      <c r="A32719" s="56"/>
    </row>
    <row r="32720" spans="1:1">
      <c r="A32720" s="56"/>
    </row>
    <row r="32721" spans="1:1">
      <c r="A32721" s="56"/>
    </row>
    <row r="32722" spans="1:1">
      <c r="A32722" s="56"/>
    </row>
    <row r="32723" spans="1:1">
      <c r="A32723" s="56"/>
    </row>
    <row r="32724" spans="1:1">
      <c r="A32724" s="56"/>
    </row>
    <row r="32725" spans="1:1">
      <c r="A32725" s="56"/>
    </row>
    <row r="32726" spans="1:1">
      <c r="A32726" s="56"/>
    </row>
    <row r="32727" spans="1:1">
      <c r="A32727" s="56"/>
    </row>
    <row r="32728" spans="1:1">
      <c r="A32728" s="56"/>
    </row>
    <row r="32729" spans="1:1">
      <c r="A32729" s="56"/>
    </row>
    <row r="32730" spans="1:1">
      <c r="A32730" s="56"/>
    </row>
    <row r="32731" spans="1:1">
      <c r="A32731" s="56"/>
    </row>
    <row r="32732" spans="1:1">
      <c r="A32732" s="56"/>
    </row>
    <row r="32733" spans="1:1">
      <c r="A32733" s="56"/>
    </row>
    <row r="32734" spans="1:1">
      <c r="A32734" s="56"/>
    </row>
    <row r="32735" spans="1:1">
      <c r="A32735" s="56"/>
    </row>
    <row r="32736" spans="1:1">
      <c r="A32736" s="56"/>
    </row>
    <row r="32737" spans="1:1">
      <c r="A32737" s="56"/>
    </row>
    <row r="32738" spans="1:1">
      <c r="A32738" s="56"/>
    </row>
    <row r="32739" spans="1:1">
      <c r="A32739" s="56"/>
    </row>
    <row r="32740" spans="1:1">
      <c r="A32740" s="56"/>
    </row>
    <row r="32741" spans="1:1">
      <c r="A32741" s="56"/>
    </row>
    <row r="32742" spans="1:1">
      <c r="A32742" s="56"/>
    </row>
    <row r="32743" spans="1:1">
      <c r="A32743" s="56"/>
    </row>
    <row r="32744" spans="1:1">
      <c r="A32744" s="56"/>
    </row>
    <row r="32745" spans="1:1">
      <c r="A32745" s="56"/>
    </row>
    <row r="32746" spans="1:1">
      <c r="A32746" s="56"/>
    </row>
    <row r="32747" spans="1:1">
      <c r="A32747" s="56"/>
    </row>
    <row r="32748" spans="1:1">
      <c r="A32748" s="56"/>
    </row>
    <row r="32749" spans="1:1">
      <c r="A32749" s="56"/>
    </row>
    <row r="32750" spans="1:1">
      <c r="A32750" s="56"/>
    </row>
    <row r="32751" spans="1:1">
      <c r="A32751" s="56"/>
    </row>
    <row r="32752" spans="1:1">
      <c r="A32752" s="56"/>
    </row>
    <row r="32753" spans="1:1">
      <c r="A32753" s="56"/>
    </row>
    <row r="32754" spans="1:1">
      <c r="A32754" s="56"/>
    </row>
    <row r="32755" spans="1:1">
      <c r="A32755" s="56"/>
    </row>
    <row r="32756" spans="1:1">
      <c r="A32756" s="56"/>
    </row>
    <row r="32757" spans="1:1">
      <c r="A32757" s="56"/>
    </row>
    <row r="32758" spans="1:1">
      <c r="A32758" s="56"/>
    </row>
    <row r="32759" spans="1:1">
      <c r="A32759" s="56"/>
    </row>
    <row r="32760" spans="1:1">
      <c r="A32760" s="56"/>
    </row>
    <row r="32761" spans="1:1">
      <c r="A32761" s="56"/>
    </row>
    <row r="32762" spans="1:1">
      <c r="A32762" s="56"/>
    </row>
    <row r="32763" spans="1:1">
      <c r="A32763" s="56"/>
    </row>
    <row r="32764" spans="1:1">
      <c r="A32764" s="56"/>
    </row>
    <row r="32765" spans="1:1">
      <c r="A32765" s="56"/>
    </row>
    <row r="32766" spans="1:1">
      <c r="A32766" s="56"/>
    </row>
    <row r="32767" spans="1:1">
      <c r="A32767" s="56"/>
    </row>
    <row r="32768" spans="1:1">
      <c r="A32768" s="56"/>
    </row>
    <row r="32769" spans="1:1">
      <c r="A32769" s="56"/>
    </row>
    <row r="32770" spans="1:1">
      <c r="A32770" s="56"/>
    </row>
    <row r="32771" spans="1:1">
      <c r="A32771" s="56"/>
    </row>
    <row r="32772" spans="1:1">
      <c r="A32772" s="56"/>
    </row>
    <row r="32773" spans="1:1">
      <c r="A32773" s="56"/>
    </row>
    <row r="32774" spans="1:1">
      <c r="A32774" s="56"/>
    </row>
    <row r="32775" spans="1:1">
      <c r="A32775" s="56"/>
    </row>
    <row r="32776" spans="1:1">
      <c r="A32776" s="56"/>
    </row>
    <row r="32777" spans="1:1">
      <c r="A32777" s="56"/>
    </row>
    <row r="32778" spans="1:1">
      <c r="A32778" s="56"/>
    </row>
    <row r="32779" spans="1:1">
      <c r="A32779" s="56"/>
    </row>
    <row r="32780" spans="1:1">
      <c r="A32780" s="56"/>
    </row>
    <row r="32781" spans="1:1">
      <c r="A32781" s="56"/>
    </row>
    <row r="32782" spans="1:1">
      <c r="A32782" s="56"/>
    </row>
    <row r="32783" spans="1:1">
      <c r="A32783" s="56"/>
    </row>
    <row r="32784" spans="1:1">
      <c r="A32784" s="56"/>
    </row>
    <row r="32785" spans="1:1">
      <c r="A32785" s="56"/>
    </row>
    <row r="32786" spans="1:1">
      <c r="A32786" s="56"/>
    </row>
    <row r="32787" spans="1:1">
      <c r="A32787" s="56"/>
    </row>
    <row r="32788" spans="1:1">
      <c r="A32788" s="56"/>
    </row>
    <row r="32789" spans="1:1">
      <c r="A32789" s="56"/>
    </row>
    <row r="32790" spans="1:1">
      <c r="A32790" s="56"/>
    </row>
    <row r="32791" spans="1:1">
      <c r="A32791" s="56"/>
    </row>
    <row r="32792" spans="1:1">
      <c r="A32792" s="56"/>
    </row>
    <row r="32793" spans="1:1">
      <c r="A32793" s="56"/>
    </row>
    <row r="32794" spans="1:1">
      <c r="A32794" s="56"/>
    </row>
    <row r="32795" spans="1:1">
      <c r="A32795" s="56"/>
    </row>
    <row r="32796" spans="1:1">
      <c r="A32796" s="56"/>
    </row>
    <row r="32797" spans="1:1">
      <c r="A32797" s="56"/>
    </row>
    <row r="32798" spans="1:1">
      <c r="A32798" s="56"/>
    </row>
    <row r="32799" spans="1:1">
      <c r="A32799" s="56"/>
    </row>
    <row r="32800" spans="1:1">
      <c r="A32800" s="56"/>
    </row>
    <row r="32801" spans="1:1">
      <c r="A32801" s="56"/>
    </row>
    <row r="32802" spans="1:1">
      <c r="A32802" s="56"/>
    </row>
    <row r="32803" spans="1:1">
      <c r="A32803" s="56"/>
    </row>
    <row r="32804" spans="1:1">
      <c r="A32804" s="56"/>
    </row>
    <row r="32805" spans="1:1">
      <c r="A32805" s="56"/>
    </row>
    <row r="32806" spans="1:1">
      <c r="A32806" s="56"/>
    </row>
    <row r="32807" spans="1:1">
      <c r="A32807" s="56"/>
    </row>
    <row r="32808" spans="1:1">
      <c r="A32808" s="56"/>
    </row>
    <row r="32809" spans="1:1">
      <c r="A32809" s="56"/>
    </row>
    <row r="32810" spans="1:1">
      <c r="A32810" s="56"/>
    </row>
    <row r="32811" spans="1:1">
      <c r="A32811" s="56"/>
    </row>
    <row r="32812" spans="1:1">
      <c r="A32812" s="56"/>
    </row>
    <row r="32813" spans="1:1">
      <c r="A32813" s="56"/>
    </row>
    <row r="32814" spans="1:1">
      <c r="A32814" s="56"/>
    </row>
    <row r="32815" spans="1:1">
      <c r="A32815" s="56"/>
    </row>
    <row r="32816" spans="1:1">
      <c r="A32816" s="56"/>
    </row>
    <row r="32817" spans="1:1">
      <c r="A32817" s="56"/>
    </row>
    <row r="32818" spans="1:1">
      <c r="A32818" s="56"/>
    </row>
    <row r="32819" spans="1:1">
      <c r="A32819" s="56"/>
    </row>
    <row r="32820" spans="1:1">
      <c r="A32820" s="56"/>
    </row>
    <row r="32821" spans="1:1">
      <c r="A32821" s="56"/>
    </row>
    <row r="32822" spans="1:1">
      <c r="A32822" s="56"/>
    </row>
    <row r="32823" spans="1:1">
      <c r="A32823" s="56"/>
    </row>
    <row r="32824" spans="1:1">
      <c r="A32824" s="56"/>
    </row>
    <row r="32825" spans="1:1">
      <c r="A32825" s="56"/>
    </row>
    <row r="32826" spans="1:1">
      <c r="A32826" s="56"/>
    </row>
    <row r="32827" spans="1:1">
      <c r="A32827" s="56"/>
    </row>
    <row r="32828" spans="1:1">
      <c r="A32828" s="56"/>
    </row>
    <row r="32829" spans="1:1">
      <c r="A32829" s="56"/>
    </row>
    <row r="32830" spans="1:1">
      <c r="A32830" s="56"/>
    </row>
    <row r="32831" spans="1:1">
      <c r="A32831" s="56"/>
    </row>
    <row r="32832" spans="1:1">
      <c r="A32832" s="56"/>
    </row>
    <row r="32833" spans="1:1">
      <c r="A32833" s="56"/>
    </row>
    <row r="32834" spans="1:1">
      <c r="A32834" s="56"/>
    </row>
    <row r="32835" spans="1:1">
      <c r="A32835" s="56"/>
    </row>
    <row r="32836" spans="1:1">
      <c r="A32836" s="56"/>
    </row>
    <row r="32837" spans="1:1">
      <c r="A32837" s="56"/>
    </row>
    <row r="32838" spans="1:1">
      <c r="A32838" s="56"/>
    </row>
    <row r="32839" spans="1:1">
      <c r="A32839" s="56"/>
    </row>
    <row r="32840" spans="1:1">
      <c r="A32840" s="56"/>
    </row>
    <row r="32841" spans="1:1">
      <c r="A32841" s="56"/>
    </row>
    <row r="32842" spans="1:1">
      <c r="A32842" s="56"/>
    </row>
    <row r="32843" spans="1:1">
      <c r="A32843" s="56"/>
    </row>
    <row r="32844" spans="1:1">
      <c r="A32844" s="56"/>
    </row>
    <row r="32845" spans="1:1">
      <c r="A32845" s="56"/>
    </row>
    <row r="32846" spans="1:1">
      <c r="A32846" s="56"/>
    </row>
    <row r="32847" spans="1:1">
      <c r="A32847" s="56"/>
    </row>
    <row r="32848" spans="1:1">
      <c r="A32848" s="56"/>
    </row>
    <row r="32849" spans="1:1">
      <c r="A32849" s="56"/>
    </row>
    <row r="32850" spans="1:1">
      <c r="A32850" s="56"/>
    </row>
    <row r="32851" spans="1:1">
      <c r="A32851" s="56"/>
    </row>
    <row r="32852" spans="1:1">
      <c r="A32852" s="56"/>
    </row>
    <row r="32853" spans="1:1">
      <c r="A32853" s="56"/>
    </row>
    <row r="32854" spans="1:1">
      <c r="A32854" s="56"/>
    </row>
    <row r="32855" spans="1:1">
      <c r="A32855" s="56"/>
    </row>
    <row r="32856" spans="1:1">
      <c r="A32856" s="56"/>
    </row>
    <row r="32857" spans="1:1">
      <c r="A32857" s="56"/>
    </row>
    <row r="32858" spans="1:1">
      <c r="A32858" s="56"/>
    </row>
    <row r="32859" spans="1:1">
      <c r="A32859" s="56"/>
    </row>
    <row r="32860" spans="1:1">
      <c r="A32860" s="56"/>
    </row>
    <row r="32861" spans="1:1">
      <c r="A32861" s="56"/>
    </row>
    <row r="32862" spans="1:1">
      <c r="A32862" s="56"/>
    </row>
    <row r="32863" spans="1:1">
      <c r="A32863" s="56"/>
    </row>
    <row r="32864" spans="1:1">
      <c r="A32864" s="56"/>
    </row>
    <row r="32865" spans="1:1">
      <c r="A32865" s="56"/>
    </row>
    <row r="32866" spans="1:1">
      <c r="A32866" s="56"/>
    </row>
    <row r="32867" spans="1:1">
      <c r="A32867" s="56"/>
    </row>
    <row r="32868" spans="1:1">
      <c r="A32868" s="56"/>
    </row>
    <row r="32869" spans="1:1">
      <c r="A32869" s="56"/>
    </row>
    <row r="32870" spans="1:1">
      <c r="A32870" s="56"/>
    </row>
    <row r="32871" spans="1:1">
      <c r="A32871" s="56"/>
    </row>
    <row r="32872" spans="1:1">
      <c r="A32872" s="56"/>
    </row>
    <row r="32873" spans="1:1">
      <c r="A32873" s="56"/>
    </row>
    <row r="32874" spans="1:1">
      <c r="A32874" s="56"/>
    </row>
    <row r="32875" spans="1:1">
      <c r="A32875" s="56"/>
    </row>
    <row r="32876" spans="1:1">
      <c r="A32876" s="56"/>
    </row>
    <row r="32877" spans="1:1">
      <c r="A32877" s="56"/>
    </row>
    <row r="32878" spans="1:1">
      <c r="A32878" s="56"/>
    </row>
    <row r="32879" spans="1:1">
      <c r="A32879" s="56"/>
    </row>
    <row r="32880" spans="1:1">
      <c r="A32880" s="56"/>
    </row>
    <row r="32881" spans="1:1">
      <c r="A32881" s="56"/>
    </row>
    <row r="32882" spans="1:1">
      <c r="A32882" s="56"/>
    </row>
    <row r="32883" spans="1:1">
      <c r="A32883" s="56"/>
    </row>
    <row r="32884" spans="1:1">
      <c r="A32884" s="56"/>
    </row>
    <row r="32885" spans="1:1">
      <c r="A32885" s="56"/>
    </row>
    <row r="32886" spans="1:1">
      <c r="A32886" s="56"/>
    </row>
    <row r="32887" spans="1:1">
      <c r="A32887" s="56"/>
    </row>
    <row r="32888" spans="1:1">
      <c r="A32888" s="56"/>
    </row>
    <row r="32889" spans="1:1">
      <c r="A32889" s="56"/>
    </row>
    <row r="32890" spans="1:1">
      <c r="A32890" s="56"/>
    </row>
    <row r="32891" spans="1:1">
      <c r="A32891" s="56"/>
    </row>
    <row r="32892" spans="1:1">
      <c r="A32892" s="56"/>
    </row>
    <row r="32893" spans="1:1">
      <c r="A32893" s="56"/>
    </row>
    <row r="32894" spans="1:1">
      <c r="A32894" s="56"/>
    </row>
    <row r="32895" spans="1:1">
      <c r="A32895" s="56"/>
    </row>
    <row r="32896" spans="1:1">
      <c r="A32896" s="56"/>
    </row>
    <row r="32897" spans="1:1">
      <c r="A32897" s="56"/>
    </row>
    <row r="32898" spans="1:1">
      <c r="A32898" s="56"/>
    </row>
    <row r="32899" spans="1:1">
      <c r="A32899" s="56"/>
    </row>
    <row r="32900" spans="1:1">
      <c r="A32900" s="56"/>
    </row>
    <row r="32901" spans="1:1">
      <c r="A32901" s="56"/>
    </row>
    <row r="32902" spans="1:1">
      <c r="A32902" s="56"/>
    </row>
    <row r="32903" spans="1:1">
      <c r="A32903" s="56"/>
    </row>
    <row r="32904" spans="1:1">
      <c r="A32904" s="56"/>
    </row>
    <row r="32905" spans="1:1">
      <c r="A32905" s="56"/>
    </row>
    <row r="32906" spans="1:1">
      <c r="A32906" s="56"/>
    </row>
    <row r="32907" spans="1:1">
      <c r="A32907" s="56"/>
    </row>
    <row r="32908" spans="1:1">
      <c r="A32908" s="56"/>
    </row>
    <row r="32909" spans="1:1">
      <c r="A32909" s="56"/>
    </row>
    <row r="32910" spans="1:1">
      <c r="A32910" s="56"/>
    </row>
    <row r="32911" spans="1:1">
      <c r="A32911" s="56"/>
    </row>
    <row r="32912" spans="1:1">
      <c r="A32912" s="56"/>
    </row>
    <row r="32913" spans="1:1">
      <c r="A32913" s="56"/>
    </row>
    <row r="32914" spans="1:1">
      <c r="A32914" s="56"/>
    </row>
    <row r="32915" spans="1:1">
      <c r="A32915" s="56"/>
    </row>
    <row r="32916" spans="1:1">
      <c r="A32916" s="56"/>
    </row>
    <row r="32917" spans="1:1">
      <c r="A32917" s="56"/>
    </row>
    <row r="32918" spans="1:1">
      <c r="A32918" s="56"/>
    </row>
    <row r="32919" spans="1:1">
      <c r="A32919" s="56"/>
    </row>
    <row r="32920" spans="1:1">
      <c r="A32920" s="56"/>
    </row>
    <row r="32921" spans="1:1">
      <c r="A32921" s="56"/>
    </row>
    <row r="32922" spans="1:1">
      <c r="A32922" s="56"/>
    </row>
    <row r="32923" spans="1:1">
      <c r="A32923" s="56"/>
    </row>
    <row r="32924" spans="1:1">
      <c r="A32924" s="56"/>
    </row>
    <row r="32925" spans="1:1">
      <c r="A32925" s="56"/>
    </row>
    <row r="32926" spans="1:1">
      <c r="A32926" s="56"/>
    </row>
    <row r="32927" spans="1:1">
      <c r="A32927" s="56"/>
    </row>
    <row r="32928" spans="1:1">
      <c r="A32928" s="56"/>
    </row>
    <row r="32929" spans="1:1">
      <c r="A32929" s="56"/>
    </row>
    <row r="32930" spans="1:1">
      <c r="A32930" s="56"/>
    </row>
    <row r="32931" spans="1:1">
      <c r="A32931" s="56"/>
    </row>
    <row r="32932" spans="1:1">
      <c r="A32932" s="56"/>
    </row>
    <row r="32933" spans="1:1">
      <c r="A32933" s="56"/>
    </row>
    <row r="32934" spans="1:1">
      <c r="A32934" s="56"/>
    </row>
    <row r="32935" spans="1:1">
      <c r="A32935" s="56"/>
    </row>
    <row r="32936" spans="1:1">
      <c r="A32936" s="56"/>
    </row>
    <row r="32937" spans="1:1">
      <c r="A32937" s="56"/>
    </row>
    <row r="32938" spans="1:1">
      <c r="A32938" s="56"/>
    </row>
    <row r="32939" spans="1:1">
      <c r="A32939" s="56"/>
    </row>
    <row r="32940" spans="1:1">
      <c r="A32940" s="56"/>
    </row>
    <row r="32941" spans="1:1">
      <c r="A32941" s="56"/>
    </row>
    <row r="32942" spans="1:1">
      <c r="A32942" s="56"/>
    </row>
    <row r="32943" spans="1:1">
      <c r="A32943" s="56"/>
    </row>
    <row r="32944" spans="1:1">
      <c r="A32944" s="56"/>
    </row>
    <row r="32945" spans="1:1">
      <c r="A32945" s="56"/>
    </row>
    <row r="32946" spans="1:1">
      <c r="A32946" s="56"/>
    </row>
    <row r="32947" spans="1:1">
      <c r="A32947" s="56"/>
    </row>
    <row r="32948" spans="1:1">
      <c r="A32948" s="56"/>
    </row>
    <row r="32949" spans="1:1">
      <c r="A32949" s="56"/>
    </row>
    <row r="32950" spans="1:1">
      <c r="A32950" s="56"/>
    </row>
    <row r="32951" spans="1:1">
      <c r="A32951" s="56"/>
    </row>
    <row r="32952" spans="1:1">
      <c r="A32952" s="56"/>
    </row>
    <row r="32953" spans="1:1">
      <c r="A32953" s="56"/>
    </row>
    <row r="32954" spans="1:1">
      <c r="A32954" s="56"/>
    </row>
    <row r="32955" spans="1:1">
      <c r="A32955" s="56"/>
    </row>
    <row r="32956" spans="1:1">
      <c r="A32956" s="56"/>
    </row>
    <row r="32957" spans="1:1">
      <c r="A32957" s="56"/>
    </row>
    <row r="32958" spans="1:1">
      <c r="A32958" s="56"/>
    </row>
    <row r="32959" spans="1:1">
      <c r="A32959" s="56"/>
    </row>
    <row r="32960" spans="1:1">
      <c r="A32960" s="56"/>
    </row>
    <row r="32961" spans="1:1">
      <c r="A32961" s="56"/>
    </row>
    <row r="32962" spans="1:1">
      <c r="A32962" s="56"/>
    </row>
    <row r="32963" spans="1:1">
      <c r="A32963" s="56"/>
    </row>
    <row r="32964" spans="1:1">
      <c r="A32964" s="56"/>
    </row>
    <row r="32965" spans="1:1">
      <c r="A32965" s="56"/>
    </row>
    <row r="32966" spans="1:1">
      <c r="A32966" s="56"/>
    </row>
    <row r="32967" spans="1:1">
      <c r="A32967" s="56"/>
    </row>
    <row r="32968" spans="1:1">
      <c r="A32968" s="56"/>
    </row>
    <row r="32969" spans="1:1">
      <c r="A32969" s="56"/>
    </row>
    <row r="32970" spans="1:1">
      <c r="A32970" s="56"/>
    </row>
    <row r="32971" spans="1:1">
      <c r="A32971" s="56"/>
    </row>
    <row r="32972" spans="1:1">
      <c r="A32972" s="56"/>
    </row>
    <row r="32973" spans="1:1">
      <c r="A32973" s="56"/>
    </row>
    <row r="32974" spans="1:1">
      <c r="A32974" s="56"/>
    </row>
    <row r="32975" spans="1:1">
      <c r="A32975" s="56"/>
    </row>
    <row r="32976" spans="1:1">
      <c r="A32976" s="56"/>
    </row>
    <row r="32977" spans="1:1">
      <c r="A32977" s="56"/>
    </row>
    <row r="32978" spans="1:1">
      <c r="A32978" s="56"/>
    </row>
    <row r="32979" spans="1:1">
      <c r="A32979" s="56"/>
    </row>
    <row r="32980" spans="1:1">
      <c r="A32980" s="56"/>
    </row>
    <row r="32981" spans="1:1">
      <c r="A32981" s="56"/>
    </row>
    <row r="32982" spans="1:1">
      <c r="A32982" s="56"/>
    </row>
    <row r="32983" spans="1:1">
      <c r="A32983" s="56"/>
    </row>
    <row r="32984" spans="1:1">
      <c r="A32984" s="56"/>
    </row>
    <row r="32985" spans="1:1">
      <c r="A32985" s="56"/>
    </row>
    <row r="32986" spans="1:1">
      <c r="A32986" s="56"/>
    </row>
    <row r="32987" spans="1:1">
      <c r="A32987" s="56"/>
    </row>
    <row r="32988" spans="1:1">
      <c r="A32988" s="56"/>
    </row>
    <row r="32989" spans="1:1">
      <c r="A32989" s="56"/>
    </row>
    <row r="32990" spans="1:1">
      <c r="A32990" s="56"/>
    </row>
    <row r="32991" spans="1:1">
      <c r="A32991" s="56"/>
    </row>
    <row r="32992" spans="1:1">
      <c r="A32992" s="56"/>
    </row>
    <row r="32993" spans="1:1">
      <c r="A32993" s="56"/>
    </row>
    <row r="32994" spans="1:1">
      <c r="A32994" s="56"/>
    </row>
    <row r="32995" spans="1:1">
      <c r="A32995" s="56"/>
    </row>
    <row r="32996" spans="1:1">
      <c r="A32996" s="56"/>
    </row>
    <row r="32997" spans="1:1">
      <c r="A32997" s="56"/>
    </row>
    <row r="32998" spans="1:1">
      <c r="A32998" s="56"/>
    </row>
    <row r="32999" spans="1:1">
      <c r="A32999" s="56"/>
    </row>
    <row r="33000" spans="1:1">
      <c r="A33000" s="56"/>
    </row>
    <row r="33001" spans="1:1">
      <c r="A33001" s="56"/>
    </row>
    <row r="33002" spans="1:1">
      <c r="A33002" s="56"/>
    </row>
    <row r="33003" spans="1:1">
      <c r="A33003" s="56"/>
    </row>
    <row r="33004" spans="1:1">
      <c r="A33004" s="56"/>
    </row>
    <row r="33005" spans="1:1">
      <c r="A33005" s="56"/>
    </row>
    <row r="33006" spans="1:1">
      <c r="A33006" s="56"/>
    </row>
    <row r="33007" spans="1:1">
      <c r="A33007" s="56"/>
    </row>
    <row r="33008" spans="1:1">
      <c r="A33008" s="56"/>
    </row>
    <row r="33009" spans="1:1">
      <c r="A33009" s="56"/>
    </row>
    <row r="33010" spans="1:1">
      <c r="A33010" s="56"/>
    </row>
    <row r="33011" spans="1:1">
      <c r="A33011" s="56"/>
    </row>
    <row r="33012" spans="1:1">
      <c r="A33012" s="56"/>
    </row>
    <row r="33013" spans="1:1">
      <c r="A33013" s="56"/>
    </row>
    <row r="33014" spans="1:1">
      <c r="A33014" s="56"/>
    </row>
    <row r="33015" spans="1:1">
      <c r="A33015" s="56"/>
    </row>
    <row r="33016" spans="1:1">
      <c r="A33016" s="56"/>
    </row>
    <row r="33017" spans="1:1">
      <c r="A33017" s="56"/>
    </row>
    <row r="33018" spans="1:1">
      <c r="A33018" s="56"/>
    </row>
    <row r="33019" spans="1:1">
      <c r="A33019" s="56"/>
    </row>
    <row r="33020" spans="1:1">
      <c r="A33020" s="56"/>
    </row>
    <row r="33021" spans="1:1">
      <c r="A33021" s="56"/>
    </row>
    <row r="33022" spans="1:1">
      <c r="A33022" s="56"/>
    </row>
    <row r="33023" spans="1:1">
      <c r="A33023" s="56"/>
    </row>
    <row r="33024" spans="1:1">
      <c r="A33024" s="56"/>
    </row>
    <row r="33025" spans="1:1">
      <c r="A33025" s="56"/>
    </row>
    <row r="33026" spans="1:1">
      <c r="A33026" s="56"/>
    </row>
    <row r="33027" spans="1:1">
      <c r="A33027" s="56"/>
    </row>
    <row r="33028" spans="1:1">
      <c r="A33028" s="56"/>
    </row>
    <row r="33029" spans="1:1">
      <c r="A33029" s="56"/>
    </row>
    <row r="33030" spans="1:1">
      <c r="A33030" s="56"/>
    </row>
    <row r="33031" spans="1:1">
      <c r="A33031" s="56"/>
    </row>
    <row r="33032" spans="1:1">
      <c r="A33032" s="56"/>
    </row>
    <row r="33033" spans="1:1">
      <c r="A33033" s="56"/>
    </row>
    <row r="33034" spans="1:1">
      <c r="A33034" s="56"/>
    </row>
    <row r="33035" spans="1:1">
      <c r="A33035" s="56"/>
    </row>
    <row r="33036" spans="1:1">
      <c r="A33036" s="56"/>
    </row>
    <row r="33037" spans="1:1">
      <c r="A33037" s="56"/>
    </row>
    <row r="33038" spans="1:1">
      <c r="A33038" s="56"/>
    </row>
    <row r="33039" spans="1:1">
      <c r="A33039" s="56"/>
    </row>
    <row r="33040" spans="1:1">
      <c r="A33040" s="56"/>
    </row>
    <row r="33041" spans="1:1">
      <c r="A33041" s="56"/>
    </row>
    <row r="33042" spans="1:1">
      <c r="A33042" s="56"/>
    </row>
    <row r="33043" spans="1:1">
      <c r="A33043" s="56"/>
    </row>
    <row r="33044" spans="1:1">
      <c r="A33044" s="56"/>
    </row>
    <row r="33045" spans="1:1">
      <c r="A33045" s="56"/>
    </row>
    <row r="33046" spans="1:1">
      <c r="A33046" s="56"/>
    </row>
    <row r="33047" spans="1:1">
      <c r="A33047" s="56"/>
    </row>
    <row r="33048" spans="1:1">
      <c r="A33048" s="56"/>
    </row>
    <row r="33049" spans="1:1">
      <c r="A33049" s="56"/>
    </row>
    <row r="33050" spans="1:1">
      <c r="A33050" s="56"/>
    </row>
    <row r="33051" spans="1:1">
      <c r="A33051" s="56"/>
    </row>
    <row r="33052" spans="1:1">
      <c r="A33052" s="56"/>
    </row>
    <row r="33053" spans="1:1">
      <c r="A33053" s="56"/>
    </row>
    <row r="33054" spans="1:1">
      <c r="A33054" s="56"/>
    </row>
    <row r="33055" spans="1:1">
      <c r="A33055" s="56"/>
    </row>
    <row r="33056" spans="1:1">
      <c r="A33056" s="56"/>
    </row>
    <row r="33057" spans="1:1">
      <c r="A33057" s="56"/>
    </row>
    <row r="33058" spans="1:1">
      <c r="A33058" s="56"/>
    </row>
    <row r="33059" spans="1:1">
      <c r="A33059" s="56"/>
    </row>
    <row r="33060" spans="1:1">
      <c r="A33060" s="56"/>
    </row>
    <row r="33061" spans="1:1">
      <c r="A33061" s="56"/>
    </row>
    <row r="33062" spans="1:1">
      <c r="A33062" s="56"/>
    </row>
    <row r="33063" spans="1:1">
      <c r="A33063" s="56"/>
    </row>
    <row r="33064" spans="1:1">
      <c r="A33064" s="56"/>
    </row>
    <row r="33065" spans="1:1">
      <c r="A33065" s="56"/>
    </row>
    <row r="33066" spans="1:1">
      <c r="A33066" s="56"/>
    </row>
    <row r="33067" spans="1:1">
      <c r="A33067" s="56"/>
    </row>
    <row r="33068" spans="1:1">
      <c r="A33068" s="56"/>
    </row>
    <row r="33069" spans="1:1">
      <c r="A33069" s="56"/>
    </row>
    <row r="33070" spans="1:1">
      <c r="A33070" s="56"/>
    </row>
    <row r="33071" spans="1:1">
      <c r="A33071" s="56"/>
    </row>
    <row r="33072" spans="1:1">
      <c r="A33072" s="56"/>
    </row>
    <row r="33073" spans="1:1">
      <c r="A33073" s="56"/>
    </row>
    <row r="33074" spans="1:1">
      <c r="A33074" s="56"/>
    </row>
    <row r="33075" spans="1:1">
      <c r="A33075" s="56"/>
    </row>
    <row r="33076" spans="1:1">
      <c r="A33076" s="56"/>
    </row>
    <row r="33077" spans="1:1">
      <c r="A33077" s="56"/>
    </row>
    <row r="33078" spans="1:1">
      <c r="A33078" s="56"/>
    </row>
    <row r="33079" spans="1:1">
      <c r="A33079" s="56"/>
    </row>
    <row r="33080" spans="1:1">
      <c r="A33080" s="56"/>
    </row>
    <row r="33081" spans="1:1">
      <c r="A33081" s="56"/>
    </row>
    <row r="33082" spans="1:1">
      <c r="A33082" s="56"/>
    </row>
    <row r="33083" spans="1:1">
      <c r="A33083" s="56"/>
    </row>
    <row r="33084" spans="1:1">
      <c r="A33084" s="56"/>
    </row>
    <row r="33085" spans="1:1">
      <c r="A33085" s="56"/>
    </row>
    <row r="33086" spans="1:1">
      <c r="A33086" s="56"/>
    </row>
    <row r="33087" spans="1:1">
      <c r="A33087" s="56"/>
    </row>
    <row r="33088" spans="1:1">
      <c r="A33088" s="56"/>
    </row>
    <row r="33089" spans="1:1">
      <c r="A33089" s="56"/>
    </row>
    <row r="33090" spans="1:1">
      <c r="A33090" s="56"/>
    </row>
    <row r="33091" spans="1:1">
      <c r="A33091" s="56"/>
    </row>
    <row r="33092" spans="1:1">
      <c r="A33092" s="56"/>
    </row>
    <row r="33093" spans="1:1">
      <c r="A33093" s="56"/>
    </row>
    <row r="33094" spans="1:1">
      <c r="A33094" s="56"/>
    </row>
    <row r="33095" spans="1:1">
      <c r="A33095" s="56"/>
    </row>
    <row r="33096" spans="1:1">
      <c r="A33096" s="56"/>
    </row>
    <row r="33097" spans="1:1">
      <c r="A33097" s="56"/>
    </row>
    <row r="33098" spans="1:1">
      <c r="A33098" s="56"/>
    </row>
    <row r="33099" spans="1:1">
      <c r="A33099" s="56"/>
    </row>
    <row r="33100" spans="1:1">
      <c r="A33100" s="56"/>
    </row>
    <row r="33101" spans="1:1">
      <c r="A33101" s="56"/>
    </row>
    <row r="33102" spans="1:1">
      <c r="A33102" s="56"/>
    </row>
    <row r="33103" spans="1:1">
      <c r="A33103" s="56"/>
    </row>
    <row r="33104" spans="1:1">
      <c r="A33104" s="56"/>
    </row>
    <row r="33105" spans="1:1">
      <c r="A33105" s="56"/>
    </row>
    <row r="33106" spans="1:1">
      <c r="A33106" s="56"/>
    </row>
    <row r="33107" spans="1:1">
      <c r="A33107" s="56"/>
    </row>
    <row r="33108" spans="1:1">
      <c r="A33108" s="56"/>
    </row>
    <row r="33109" spans="1:1">
      <c r="A33109" s="56"/>
    </row>
    <row r="33110" spans="1:1">
      <c r="A33110" s="56"/>
    </row>
    <row r="33111" spans="1:1">
      <c r="A33111" s="56"/>
    </row>
    <row r="33112" spans="1:1">
      <c r="A33112" s="56"/>
    </row>
    <row r="33113" spans="1:1">
      <c r="A33113" s="56"/>
    </row>
    <row r="33114" spans="1:1">
      <c r="A33114" s="56"/>
    </row>
    <row r="33115" spans="1:1">
      <c r="A33115" s="56"/>
    </row>
    <row r="33116" spans="1:1">
      <c r="A33116" s="56"/>
    </row>
    <row r="33117" spans="1:1">
      <c r="A33117" s="56"/>
    </row>
    <row r="33118" spans="1:1">
      <c r="A33118" s="56"/>
    </row>
    <row r="33119" spans="1:1">
      <c r="A33119" s="56"/>
    </row>
    <row r="33120" spans="1:1">
      <c r="A33120" s="56"/>
    </row>
    <row r="33121" spans="1:1">
      <c r="A33121" s="56"/>
    </row>
    <row r="33122" spans="1:1">
      <c r="A33122" s="56"/>
    </row>
    <row r="33123" spans="1:1">
      <c r="A33123" s="56"/>
    </row>
    <row r="33124" spans="1:1">
      <c r="A33124" s="56"/>
    </row>
    <row r="33125" spans="1:1">
      <c r="A33125" s="56"/>
    </row>
    <row r="33126" spans="1:1">
      <c r="A33126" s="56"/>
    </row>
    <row r="33127" spans="1:1">
      <c r="A33127" s="56"/>
    </row>
    <row r="33128" spans="1:1">
      <c r="A33128" s="56"/>
    </row>
    <row r="33129" spans="1:1">
      <c r="A33129" s="56"/>
    </row>
    <row r="33130" spans="1:1">
      <c r="A33130" s="56"/>
    </row>
    <row r="33131" spans="1:1">
      <c r="A33131" s="56"/>
    </row>
    <row r="33132" spans="1:1">
      <c r="A33132" s="56"/>
    </row>
    <row r="33133" spans="1:1">
      <c r="A33133" s="56"/>
    </row>
    <row r="33134" spans="1:1">
      <c r="A33134" s="56"/>
    </row>
    <row r="33135" spans="1:1">
      <c r="A33135" s="56"/>
    </row>
    <row r="33136" spans="1:1">
      <c r="A33136" s="56"/>
    </row>
    <row r="33137" spans="1:1">
      <c r="A33137" s="56"/>
    </row>
    <row r="33138" spans="1:1">
      <c r="A33138" s="56"/>
    </row>
    <row r="33139" spans="1:1">
      <c r="A33139" s="56"/>
    </row>
    <row r="33140" spans="1:1">
      <c r="A33140" s="56"/>
    </row>
    <row r="33141" spans="1:1">
      <c r="A33141" s="56"/>
    </row>
    <row r="33142" spans="1:1">
      <c r="A33142" s="56"/>
    </row>
    <row r="33143" spans="1:1">
      <c r="A33143" s="56"/>
    </row>
    <row r="33144" spans="1:1">
      <c r="A33144" s="56"/>
    </row>
    <row r="33145" spans="1:1">
      <c r="A33145" s="56"/>
    </row>
    <row r="33146" spans="1:1">
      <c r="A33146" s="56"/>
    </row>
    <row r="33147" spans="1:1">
      <c r="A33147" s="56"/>
    </row>
    <row r="33148" spans="1:1">
      <c r="A33148" s="56"/>
    </row>
    <row r="33149" spans="1:1">
      <c r="A33149" s="56"/>
    </row>
    <row r="33150" spans="1:1">
      <c r="A33150" s="56"/>
    </row>
    <row r="33151" spans="1:1">
      <c r="A33151" s="56"/>
    </row>
    <row r="33152" spans="1:1">
      <c r="A33152" s="56"/>
    </row>
    <row r="33153" spans="1:1">
      <c r="A33153" s="56"/>
    </row>
    <row r="33154" spans="1:1">
      <c r="A33154" s="56"/>
    </row>
    <row r="33155" spans="1:1">
      <c r="A33155" s="56"/>
    </row>
    <row r="33156" spans="1:1">
      <c r="A33156" s="56"/>
    </row>
    <row r="33157" spans="1:1">
      <c r="A33157" s="56"/>
    </row>
    <row r="33158" spans="1:1">
      <c r="A33158" s="56"/>
    </row>
    <row r="33159" spans="1:1">
      <c r="A33159" s="56"/>
    </row>
    <row r="33160" spans="1:1">
      <c r="A33160" s="56"/>
    </row>
    <row r="33161" spans="1:1">
      <c r="A33161" s="56"/>
    </row>
    <row r="33162" spans="1:1">
      <c r="A33162" s="56"/>
    </row>
    <row r="33163" spans="1:1">
      <c r="A33163" s="56"/>
    </row>
    <row r="33164" spans="1:1">
      <c r="A33164" s="56"/>
    </row>
    <row r="33165" spans="1:1">
      <c r="A33165" s="56"/>
    </row>
    <row r="33166" spans="1:1">
      <c r="A33166" s="56"/>
    </row>
    <row r="33167" spans="1:1">
      <c r="A33167" s="56"/>
    </row>
    <row r="33168" spans="1:1">
      <c r="A33168" s="56"/>
    </row>
    <row r="33169" spans="1:1">
      <c r="A33169" s="56"/>
    </row>
    <row r="33170" spans="1:1">
      <c r="A33170" s="56"/>
    </row>
    <row r="33171" spans="1:1">
      <c r="A33171" s="56"/>
    </row>
    <row r="33172" spans="1:1">
      <c r="A33172" s="56"/>
    </row>
    <row r="33173" spans="1:1">
      <c r="A33173" s="56"/>
    </row>
    <row r="33174" spans="1:1">
      <c r="A33174" s="56"/>
    </row>
    <row r="33175" spans="1:1">
      <c r="A33175" s="56"/>
    </row>
    <row r="33176" spans="1:1">
      <c r="A33176" s="56"/>
    </row>
    <row r="33177" spans="1:1">
      <c r="A33177" s="56"/>
    </row>
    <row r="33178" spans="1:1">
      <c r="A33178" s="56"/>
    </row>
    <row r="33179" spans="1:1">
      <c r="A33179" s="56"/>
    </row>
    <row r="33180" spans="1:1">
      <c r="A33180" s="56"/>
    </row>
    <row r="33181" spans="1:1">
      <c r="A33181" s="56"/>
    </row>
    <row r="33182" spans="1:1">
      <c r="A33182" s="56"/>
    </row>
    <row r="33183" spans="1:1">
      <c r="A33183" s="56"/>
    </row>
    <row r="33184" spans="1:1">
      <c r="A33184" s="56"/>
    </row>
    <row r="33185" spans="1:1">
      <c r="A33185" s="56"/>
    </row>
    <row r="33186" spans="1:1">
      <c r="A33186" s="56"/>
    </row>
    <row r="33187" spans="1:1">
      <c r="A33187" s="56"/>
    </row>
    <row r="33188" spans="1:1">
      <c r="A33188" s="56"/>
    </row>
    <row r="33189" spans="1:1">
      <c r="A33189" s="56"/>
    </row>
    <row r="33190" spans="1:1">
      <c r="A33190" s="56"/>
    </row>
    <row r="33191" spans="1:1">
      <c r="A33191" s="56"/>
    </row>
    <row r="33192" spans="1:1">
      <c r="A33192" s="56"/>
    </row>
    <row r="33193" spans="1:1">
      <c r="A33193" s="56"/>
    </row>
    <row r="33194" spans="1:1">
      <c r="A33194" s="56"/>
    </row>
    <row r="33195" spans="1:1">
      <c r="A33195" s="56"/>
    </row>
    <row r="33196" spans="1:1">
      <c r="A33196" s="56"/>
    </row>
    <row r="33197" spans="1:1">
      <c r="A33197" s="56"/>
    </row>
    <row r="33198" spans="1:1">
      <c r="A33198" s="56"/>
    </row>
    <row r="33199" spans="1:1">
      <c r="A33199" s="56"/>
    </row>
    <row r="33200" spans="1:1">
      <c r="A33200" s="56"/>
    </row>
    <row r="33201" spans="1:1">
      <c r="A33201" s="56"/>
    </row>
    <row r="33202" spans="1:1">
      <c r="A33202" s="56"/>
    </row>
    <row r="33203" spans="1:1">
      <c r="A33203" s="56"/>
    </row>
    <row r="33204" spans="1:1">
      <c r="A33204" s="56"/>
    </row>
    <row r="33205" spans="1:1">
      <c r="A33205" s="56"/>
    </row>
    <row r="33206" spans="1:1">
      <c r="A33206" s="56"/>
    </row>
    <row r="33207" spans="1:1">
      <c r="A33207" s="56"/>
    </row>
    <row r="33208" spans="1:1">
      <c r="A33208" s="56"/>
    </row>
    <row r="33209" spans="1:1">
      <c r="A33209" s="56"/>
    </row>
    <row r="33210" spans="1:1">
      <c r="A33210" s="56"/>
    </row>
    <row r="33211" spans="1:1">
      <c r="A33211" s="56"/>
    </row>
    <row r="33212" spans="1:1">
      <c r="A33212" s="56"/>
    </row>
    <row r="33213" spans="1:1">
      <c r="A33213" s="56"/>
    </row>
    <row r="33214" spans="1:1">
      <c r="A33214" s="56"/>
    </row>
    <row r="33215" spans="1:1">
      <c r="A33215" s="56"/>
    </row>
    <row r="33216" spans="1:1">
      <c r="A33216" s="56"/>
    </row>
    <row r="33217" spans="1:1">
      <c r="A33217" s="56"/>
    </row>
    <row r="33218" spans="1:1">
      <c r="A33218" s="56"/>
    </row>
    <row r="33219" spans="1:1">
      <c r="A33219" s="56"/>
    </row>
    <row r="33220" spans="1:1">
      <c r="A33220" s="56"/>
    </row>
    <row r="33221" spans="1:1">
      <c r="A33221" s="56"/>
    </row>
    <row r="33222" spans="1:1">
      <c r="A33222" s="56"/>
    </row>
    <row r="33223" spans="1:1">
      <c r="A33223" s="56"/>
    </row>
    <row r="33224" spans="1:1">
      <c r="A33224" s="56"/>
    </row>
    <row r="33225" spans="1:1">
      <c r="A33225" s="56"/>
    </row>
    <row r="33226" spans="1:1">
      <c r="A33226" s="56"/>
    </row>
    <row r="33227" spans="1:1">
      <c r="A33227" s="56"/>
    </row>
    <row r="33228" spans="1:1">
      <c r="A33228" s="56"/>
    </row>
    <row r="33229" spans="1:1">
      <c r="A33229" s="56"/>
    </row>
    <row r="33230" spans="1:1">
      <c r="A33230" s="56"/>
    </row>
    <row r="33231" spans="1:1">
      <c r="A33231" s="56"/>
    </row>
    <row r="33232" spans="1:1">
      <c r="A33232" s="56"/>
    </row>
    <row r="33233" spans="1:1">
      <c r="A33233" s="56"/>
    </row>
    <row r="33234" spans="1:1">
      <c r="A33234" s="56"/>
    </row>
    <row r="33235" spans="1:1">
      <c r="A33235" s="56"/>
    </row>
    <row r="33236" spans="1:1">
      <c r="A33236" s="56"/>
    </row>
    <row r="33237" spans="1:1">
      <c r="A33237" s="56"/>
    </row>
    <row r="33238" spans="1:1">
      <c r="A33238" s="56"/>
    </row>
    <row r="33239" spans="1:1">
      <c r="A33239" s="56"/>
    </row>
    <row r="33240" spans="1:1">
      <c r="A33240" s="56"/>
    </row>
    <row r="33241" spans="1:1">
      <c r="A33241" s="56"/>
    </row>
    <row r="33242" spans="1:1">
      <c r="A33242" s="56"/>
    </row>
    <row r="33243" spans="1:1">
      <c r="A33243" s="56"/>
    </row>
    <row r="33244" spans="1:1">
      <c r="A33244" s="56"/>
    </row>
    <row r="33245" spans="1:1">
      <c r="A33245" s="56"/>
    </row>
    <row r="33246" spans="1:1">
      <c r="A33246" s="56"/>
    </row>
    <row r="33247" spans="1:1">
      <c r="A33247" s="56"/>
    </row>
    <row r="33248" spans="1:1">
      <c r="A33248" s="56"/>
    </row>
    <row r="33249" spans="1:1">
      <c r="A33249" s="56"/>
    </row>
    <row r="33250" spans="1:1">
      <c r="A33250" s="56"/>
    </row>
    <row r="33251" spans="1:1">
      <c r="A33251" s="56"/>
    </row>
    <row r="33252" spans="1:1">
      <c r="A33252" s="56"/>
    </row>
    <row r="33253" spans="1:1">
      <c r="A33253" s="56"/>
    </row>
    <row r="33254" spans="1:1">
      <c r="A33254" s="56"/>
    </row>
    <row r="33255" spans="1:1">
      <c r="A33255" s="56"/>
    </row>
    <row r="33256" spans="1:1">
      <c r="A33256" s="56"/>
    </row>
    <row r="33257" spans="1:1">
      <c r="A33257" s="56"/>
    </row>
    <row r="33258" spans="1:1">
      <c r="A33258" s="56"/>
    </row>
    <row r="33259" spans="1:1">
      <c r="A33259" s="56"/>
    </row>
    <row r="33260" spans="1:1">
      <c r="A33260" s="56"/>
    </row>
    <row r="33261" spans="1:1">
      <c r="A33261" s="56"/>
    </row>
    <row r="33262" spans="1:1">
      <c r="A33262" s="56"/>
    </row>
    <row r="33263" spans="1:1">
      <c r="A33263" s="56"/>
    </row>
    <row r="33264" spans="1:1">
      <c r="A33264" s="56"/>
    </row>
    <row r="33265" spans="1:1">
      <c r="A33265" s="56"/>
    </row>
    <row r="33266" spans="1:1">
      <c r="A33266" s="56"/>
    </row>
    <row r="33267" spans="1:1">
      <c r="A33267" s="56"/>
    </row>
    <row r="33268" spans="1:1">
      <c r="A33268" s="56"/>
    </row>
    <row r="33269" spans="1:1">
      <c r="A33269" s="56"/>
    </row>
    <row r="33270" spans="1:1">
      <c r="A33270" s="56"/>
    </row>
    <row r="33271" spans="1:1">
      <c r="A33271" s="56"/>
    </row>
    <row r="33272" spans="1:1">
      <c r="A33272" s="56"/>
    </row>
    <row r="33273" spans="1:1">
      <c r="A33273" s="56"/>
    </row>
    <row r="33274" spans="1:1">
      <c r="A33274" s="56"/>
    </row>
    <row r="33275" spans="1:1">
      <c r="A33275" s="56"/>
    </row>
    <row r="33276" spans="1:1">
      <c r="A33276" s="56"/>
    </row>
    <row r="33277" spans="1:1">
      <c r="A33277" s="56"/>
    </row>
    <row r="33278" spans="1:1">
      <c r="A33278" s="56"/>
    </row>
    <row r="33279" spans="1:1">
      <c r="A33279" s="56"/>
    </row>
    <row r="33280" spans="1:1">
      <c r="A33280" s="56"/>
    </row>
    <row r="33281" spans="1:1">
      <c r="A33281" s="56"/>
    </row>
    <row r="33282" spans="1:1">
      <c r="A33282" s="56"/>
    </row>
    <row r="33283" spans="1:1">
      <c r="A33283" s="56"/>
    </row>
    <row r="33284" spans="1:1">
      <c r="A33284" s="56"/>
    </row>
    <row r="33285" spans="1:1">
      <c r="A33285" s="56"/>
    </row>
    <row r="33286" spans="1:1">
      <c r="A33286" s="56"/>
    </row>
    <row r="33287" spans="1:1">
      <c r="A33287" s="56"/>
    </row>
    <row r="33288" spans="1:1">
      <c r="A33288" s="56"/>
    </row>
    <row r="33289" spans="1:1">
      <c r="A33289" s="56"/>
    </row>
    <row r="33290" spans="1:1">
      <c r="A33290" s="56"/>
    </row>
    <row r="33291" spans="1:1">
      <c r="A33291" s="56"/>
    </row>
    <row r="33292" spans="1:1">
      <c r="A33292" s="56"/>
    </row>
    <row r="33293" spans="1:1">
      <c r="A33293" s="56"/>
    </row>
    <row r="33294" spans="1:1">
      <c r="A33294" s="56"/>
    </row>
    <row r="33295" spans="1:1">
      <c r="A33295" s="56"/>
    </row>
    <row r="33296" spans="1:1">
      <c r="A33296" s="56"/>
    </row>
    <row r="33297" spans="1:1">
      <c r="A33297" s="56"/>
    </row>
    <row r="33298" spans="1:1">
      <c r="A33298" s="56"/>
    </row>
    <row r="33299" spans="1:1">
      <c r="A33299" s="56"/>
    </row>
    <row r="33300" spans="1:1">
      <c r="A33300" s="56"/>
    </row>
    <row r="33301" spans="1:1">
      <c r="A33301" s="56"/>
    </row>
    <row r="33302" spans="1:1">
      <c r="A33302" s="56"/>
    </row>
    <row r="33303" spans="1:1">
      <c r="A33303" s="56"/>
    </row>
    <row r="33304" spans="1:1">
      <c r="A33304" s="56"/>
    </row>
    <row r="33305" spans="1:1">
      <c r="A33305" s="56"/>
    </row>
    <row r="33306" spans="1:1">
      <c r="A33306" s="56"/>
    </row>
    <row r="33307" spans="1:1">
      <c r="A33307" s="56"/>
    </row>
    <row r="33308" spans="1:1">
      <c r="A33308" s="56"/>
    </row>
    <row r="33309" spans="1:1">
      <c r="A33309" s="56"/>
    </row>
    <row r="33310" spans="1:1">
      <c r="A33310" s="56"/>
    </row>
    <row r="33311" spans="1:1">
      <c r="A33311" s="56"/>
    </row>
    <row r="33312" spans="1:1">
      <c r="A33312" s="56"/>
    </row>
    <row r="33313" spans="1:1">
      <c r="A33313" s="56"/>
    </row>
    <row r="33314" spans="1:1">
      <c r="A33314" s="56"/>
    </row>
    <row r="33315" spans="1:1">
      <c r="A33315" s="56"/>
    </row>
    <row r="33316" spans="1:1">
      <c r="A33316" s="56"/>
    </row>
    <row r="33317" spans="1:1">
      <c r="A33317" s="56"/>
    </row>
    <row r="33318" spans="1:1">
      <c r="A33318" s="56"/>
    </row>
    <row r="33319" spans="1:1">
      <c r="A33319" s="56"/>
    </row>
    <row r="33320" spans="1:1">
      <c r="A33320" s="56"/>
    </row>
    <row r="33321" spans="1:1">
      <c r="A33321" s="56"/>
    </row>
    <row r="33322" spans="1:1">
      <c r="A33322" s="56"/>
    </row>
    <row r="33323" spans="1:1">
      <c r="A33323" s="56"/>
    </row>
    <row r="33324" spans="1:1">
      <c r="A33324" s="56"/>
    </row>
    <row r="33325" spans="1:1">
      <c r="A33325" s="56"/>
    </row>
    <row r="33326" spans="1:1">
      <c r="A33326" s="56"/>
    </row>
    <row r="33327" spans="1:1">
      <c r="A33327" s="56"/>
    </row>
    <row r="33328" spans="1:1">
      <c r="A33328" s="56"/>
    </row>
    <row r="33329" spans="1:1">
      <c r="A33329" s="56"/>
    </row>
    <row r="33330" spans="1:1">
      <c r="A33330" s="56"/>
    </row>
    <row r="33331" spans="1:1">
      <c r="A33331" s="56"/>
    </row>
    <row r="33332" spans="1:1">
      <c r="A33332" s="56"/>
    </row>
    <row r="33333" spans="1:1">
      <c r="A33333" s="56"/>
    </row>
    <row r="33334" spans="1:1">
      <c r="A33334" s="56"/>
    </row>
    <row r="33335" spans="1:1">
      <c r="A33335" s="56"/>
    </row>
    <row r="33336" spans="1:1">
      <c r="A33336" s="56"/>
    </row>
    <row r="33337" spans="1:1">
      <c r="A33337" s="56"/>
    </row>
    <row r="33338" spans="1:1">
      <c r="A33338" s="56"/>
    </row>
    <row r="33339" spans="1:1">
      <c r="A33339" s="56"/>
    </row>
    <row r="33340" spans="1:1">
      <c r="A33340" s="56"/>
    </row>
    <row r="33341" spans="1:1">
      <c r="A33341" s="56"/>
    </row>
    <row r="33342" spans="1:1">
      <c r="A33342" s="56"/>
    </row>
    <row r="33343" spans="1:1">
      <c r="A33343" s="56"/>
    </row>
    <row r="33344" spans="1:1">
      <c r="A33344" s="56"/>
    </row>
    <row r="33345" spans="1:1">
      <c r="A33345" s="56"/>
    </row>
    <row r="33346" spans="1:1">
      <c r="A33346" s="56"/>
    </row>
    <row r="33347" spans="1:1">
      <c r="A33347" s="56"/>
    </row>
    <row r="33348" spans="1:1">
      <c r="A33348" s="56"/>
    </row>
    <row r="33349" spans="1:1">
      <c r="A33349" s="56"/>
    </row>
    <row r="33350" spans="1:1">
      <c r="A33350" s="56"/>
    </row>
    <row r="33351" spans="1:1">
      <c r="A33351" s="56"/>
    </row>
    <row r="33352" spans="1:1">
      <c r="A33352" s="56"/>
    </row>
    <row r="33353" spans="1:1">
      <c r="A33353" s="56"/>
    </row>
    <row r="33354" spans="1:1">
      <c r="A33354" s="56"/>
    </row>
    <row r="33355" spans="1:1">
      <c r="A33355" s="56"/>
    </row>
    <row r="33356" spans="1:1">
      <c r="A33356" s="56"/>
    </row>
    <row r="33357" spans="1:1">
      <c r="A33357" s="56"/>
    </row>
    <row r="33358" spans="1:1">
      <c r="A33358" s="56"/>
    </row>
    <row r="33359" spans="1:1">
      <c r="A33359" s="56"/>
    </row>
    <row r="33360" spans="1:1">
      <c r="A33360" s="56"/>
    </row>
    <row r="33361" spans="1:1">
      <c r="A33361" s="56"/>
    </row>
    <row r="33362" spans="1:1">
      <c r="A33362" s="56"/>
    </row>
    <row r="33363" spans="1:1">
      <c r="A33363" s="56"/>
    </row>
    <row r="33364" spans="1:1">
      <c r="A33364" s="56"/>
    </row>
    <row r="33365" spans="1:1">
      <c r="A33365" s="56"/>
    </row>
    <row r="33366" spans="1:1">
      <c r="A33366" s="56"/>
    </row>
    <row r="33367" spans="1:1">
      <c r="A33367" s="56"/>
    </row>
    <row r="33368" spans="1:1">
      <c r="A33368" s="56"/>
    </row>
    <row r="33369" spans="1:1">
      <c r="A33369" s="56"/>
    </row>
    <row r="33370" spans="1:1">
      <c r="A33370" s="56"/>
    </row>
    <row r="33371" spans="1:1">
      <c r="A33371" s="56"/>
    </row>
    <row r="33372" spans="1:1">
      <c r="A33372" s="56"/>
    </row>
    <row r="33373" spans="1:1">
      <c r="A33373" s="56"/>
    </row>
    <row r="33374" spans="1:1">
      <c r="A33374" s="56"/>
    </row>
    <row r="33375" spans="1:1">
      <c r="A33375" s="56"/>
    </row>
    <row r="33376" spans="1:1">
      <c r="A33376" s="56"/>
    </row>
    <row r="33377" spans="1:1">
      <c r="A33377" s="56"/>
    </row>
    <row r="33378" spans="1:1">
      <c r="A33378" s="56"/>
    </row>
    <row r="33379" spans="1:1">
      <c r="A33379" s="56"/>
    </row>
    <row r="33380" spans="1:1">
      <c r="A33380" s="56"/>
    </row>
    <row r="33381" spans="1:1">
      <c r="A33381" s="56"/>
    </row>
    <row r="33382" spans="1:1">
      <c r="A33382" s="56"/>
    </row>
    <row r="33383" spans="1:1">
      <c r="A33383" s="56"/>
    </row>
    <row r="33384" spans="1:1">
      <c r="A33384" s="56"/>
    </row>
    <row r="33385" spans="1:1">
      <c r="A33385" s="56"/>
    </row>
    <row r="33386" spans="1:1">
      <c r="A33386" s="56"/>
    </row>
    <row r="33387" spans="1:1">
      <c r="A33387" s="56"/>
    </row>
    <row r="33388" spans="1:1">
      <c r="A33388" s="56"/>
    </row>
    <row r="33389" spans="1:1">
      <c r="A33389" s="56"/>
    </row>
    <row r="33390" spans="1:1">
      <c r="A33390" s="56"/>
    </row>
    <row r="33391" spans="1:1">
      <c r="A33391" s="56"/>
    </row>
    <row r="33392" spans="1:1">
      <c r="A33392" s="56"/>
    </row>
    <row r="33393" spans="1:1">
      <c r="A33393" s="56"/>
    </row>
    <row r="33394" spans="1:1">
      <c r="A33394" s="56"/>
    </row>
    <row r="33395" spans="1:1">
      <c r="A33395" s="56"/>
    </row>
    <row r="33396" spans="1:1">
      <c r="A33396" s="56"/>
    </row>
    <row r="33397" spans="1:1">
      <c r="A33397" s="56"/>
    </row>
    <row r="33398" spans="1:1">
      <c r="A33398" s="56"/>
    </row>
    <row r="33399" spans="1:1">
      <c r="A33399" s="56"/>
    </row>
    <row r="33400" spans="1:1">
      <c r="A33400" s="56"/>
    </row>
    <row r="33401" spans="1:1">
      <c r="A33401" s="56"/>
    </row>
    <row r="33402" spans="1:1">
      <c r="A33402" s="56"/>
    </row>
    <row r="33403" spans="1:1">
      <c r="A33403" s="56"/>
    </row>
    <row r="33404" spans="1:1">
      <c r="A33404" s="56"/>
    </row>
    <row r="33405" spans="1:1">
      <c r="A33405" s="56"/>
    </row>
    <row r="33406" spans="1:1">
      <c r="A33406" s="56"/>
    </row>
    <row r="33407" spans="1:1">
      <c r="A33407" s="56"/>
    </row>
    <row r="33408" spans="1:1">
      <c r="A33408" s="56"/>
    </row>
    <row r="33409" spans="1:1">
      <c r="A33409" s="56"/>
    </row>
    <row r="33410" spans="1:1">
      <c r="A33410" s="56"/>
    </row>
    <row r="33411" spans="1:1">
      <c r="A33411" s="56"/>
    </row>
    <row r="33412" spans="1:1">
      <c r="A33412" s="56"/>
    </row>
    <row r="33413" spans="1:1">
      <c r="A33413" s="56"/>
    </row>
    <row r="33414" spans="1:1">
      <c r="A33414" s="56"/>
    </row>
    <row r="33415" spans="1:1">
      <c r="A33415" s="56"/>
    </row>
    <row r="33416" spans="1:1">
      <c r="A33416" s="56"/>
    </row>
    <row r="33417" spans="1:1">
      <c r="A33417" s="56"/>
    </row>
    <row r="33418" spans="1:1">
      <c r="A33418" s="56"/>
    </row>
    <row r="33419" spans="1:1">
      <c r="A33419" s="56"/>
    </row>
    <row r="33420" spans="1:1">
      <c r="A33420" s="56"/>
    </row>
    <row r="33421" spans="1:1">
      <c r="A33421" s="56"/>
    </row>
    <row r="33422" spans="1:1">
      <c r="A33422" s="56"/>
    </row>
    <row r="33423" spans="1:1">
      <c r="A33423" s="56"/>
    </row>
    <row r="33424" spans="1:1">
      <c r="A33424" s="56"/>
    </row>
    <row r="33425" spans="1:1">
      <c r="A33425" s="56"/>
    </row>
    <row r="33426" spans="1:1">
      <c r="A33426" s="56"/>
    </row>
    <row r="33427" spans="1:1">
      <c r="A33427" s="56"/>
    </row>
    <row r="33428" spans="1:1">
      <c r="A33428" s="56"/>
    </row>
    <row r="33429" spans="1:1">
      <c r="A33429" s="56"/>
    </row>
    <row r="33430" spans="1:1">
      <c r="A33430" s="56"/>
    </row>
    <row r="33431" spans="1:1">
      <c r="A33431" s="56"/>
    </row>
    <row r="33432" spans="1:1">
      <c r="A33432" s="56"/>
    </row>
    <row r="33433" spans="1:1">
      <c r="A33433" s="56"/>
    </row>
    <row r="33434" spans="1:1">
      <c r="A33434" s="56"/>
    </row>
    <row r="33435" spans="1:1">
      <c r="A33435" s="56"/>
    </row>
    <row r="33436" spans="1:1">
      <c r="A33436" s="56"/>
    </row>
    <row r="33437" spans="1:1">
      <c r="A33437" s="56"/>
    </row>
    <row r="33438" spans="1:1">
      <c r="A33438" s="56"/>
    </row>
    <row r="33439" spans="1:1">
      <c r="A33439" s="56"/>
    </row>
    <row r="33440" spans="1:1">
      <c r="A33440" s="56"/>
    </row>
    <row r="33441" spans="1:1">
      <c r="A33441" s="56"/>
    </row>
    <row r="33442" spans="1:1">
      <c r="A33442" s="56"/>
    </row>
    <row r="33443" spans="1:1">
      <c r="A33443" s="56"/>
    </row>
    <row r="33444" spans="1:1">
      <c r="A33444" s="56"/>
    </row>
    <row r="33445" spans="1:1">
      <c r="A33445" s="56"/>
    </row>
    <row r="33446" spans="1:1">
      <c r="A33446" s="56"/>
    </row>
    <row r="33447" spans="1:1">
      <c r="A33447" s="56"/>
    </row>
    <row r="33448" spans="1:1">
      <c r="A33448" s="56"/>
    </row>
    <row r="33449" spans="1:1">
      <c r="A33449" s="56"/>
    </row>
    <row r="33450" spans="1:1">
      <c r="A33450" s="56"/>
    </row>
    <row r="33451" spans="1:1">
      <c r="A33451" s="56"/>
    </row>
    <row r="33452" spans="1:1">
      <c r="A33452" s="56"/>
    </row>
    <row r="33453" spans="1:1">
      <c r="A33453" s="56"/>
    </row>
    <row r="33454" spans="1:1">
      <c r="A33454" s="56"/>
    </row>
    <row r="33455" spans="1:1">
      <c r="A33455" s="56"/>
    </row>
    <row r="33456" spans="1:1">
      <c r="A33456" s="56"/>
    </row>
    <row r="33457" spans="1:1">
      <c r="A33457" s="56"/>
    </row>
    <row r="33458" spans="1:1">
      <c r="A33458" s="56"/>
    </row>
    <row r="33459" spans="1:1">
      <c r="A33459" s="56"/>
    </row>
    <row r="33460" spans="1:1">
      <c r="A33460" s="56"/>
    </row>
    <row r="33461" spans="1:1">
      <c r="A33461" s="56"/>
    </row>
    <row r="33462" spans="1:1">
      <c r="A33462" s="56"/>
    </row>
    <row r="33463" spans="1:1">
      <c r="A33463" s="56"/>
    </row>
    <row r="33464" spans="1:1">
      <c r="A33464" s="56"/>
    </row>
    <row r="33465" spans="1:1">
      <c r="A33465" s="56"/>
    </row>
    <row r="33466" spans="1:1">
      <c r="A33466" s="56"/>
    </row>
    <row r="33467" spans="1:1">
      <c r="A33467" s="56"/>
    </row>
    <row r="33468" spans="1:1">
      <c r="A33468" s="56"/>
    </row>
    <row r="33469" spans="1:1">
      <c r="A33469" s="56"/>
    </row>
    <row r="33470" spans="1:1">
      <c r="A33470" s="56"/>
    </row>
    <row r="33471" spans="1:1">
      <c r="A33471" s="56"/>
    </row>
    <row r="33472" spans="1:1">
      <c r="A33472" s="56"/>
    </row>
    <row r="33473" spans="1:1">
      <c r="A33473" s="56"/>
    </row>
    <row r="33474" spans="1:1">
      <c r="A33474" s="56"/>
    </row>
    <row r="33475" spans="1:1">
      <c r="A33475" s="56"/>
    </row>
    <row r="33476" spans="1:1">
      <c r="A33476" s="56"/>
    </row>
    <row r="33477" spans="1:1">
      <c r="A33477" s="56"/>
    </row>
    <row r="33478" spans="1:1">
      <c r="A33478" s="56"/>
    </row>
    <row r="33479" spans="1:1">
      <c r="A33479" s="56"/>
    </row>
    <row r="33480" spans="1:1">
      <c r="A33480" s="56"/>
    </row>
    <row r="33481" spans="1:1">
      <c r="A33481" s="56"/>
    </row>
    <row r="33482" spans="1:1">
      <c r="A33482" s="56"/>
    </row>
    <row r="33483" spans="1:1">
      <c r="A33483" s="56"/>
    </row>
    <row r="33484" spans="1:1">
      <c r="A33484" s="56"/>
    </row>
    <row r="33485" spans="1:1">
      <c r="A33485" s="56"/>
    </row>
    <row r="33486" spans="1:1">
      <c r="A33486" s="56"/>
    </row>
    <row r="33487" spans="1:1">
      <c r="A33487" s="56"/>
    </row>
    <row r="33488" spans="1:1">
      <c r="A33488" s="56"/>
    </row>
    <row r="33489" spans="1:1">
      <c r="A33489" s="56"/>
    </row>
    <row r="33490" spans="1:1">
      <c r="A33490" s="56"/>
    </row>
    <row r="33491" spans="1:1">
      <c r="A33491" s="56"/>
    </row>
    <row r="33492" spans="1:1">
      <c r="A33492" s="56"/>
    </row>
    <row r="33493" spans="1:1">
      <c r="A33493" s="56"/>
    </row>
    <row r="33494" spans="1:1">
      <c r="A33494" s="56"/>
    </row>
    <row r="33495" spans="1:1">
      <c r="A33495" s="56"/>
    </row>
    <row r="33496" spans="1:1">
      <c r="A33496" s="56"/>
    </row>
    <row r="33497" spans="1:1">
      <c r="A33497" s="56"/>
    </row>
    <row r="33498" spans="1:1">
      <c r="A33498" s="56"/>
    </row>
    <row r="33499" spans="1:1">
      <c r="A33499" s="56"/>
    </row>
    <row r="33500" spans="1:1">
      <c r="A33500" s="56"/>
    </row>
    <row r="33501" spans="1:1">
      <c r="A33501" s="56"/>
    </row>
    <row r="33502" spans="1:1">
      <c r="A33502" s="56"/>
    </row>
    <row r="33503" spans="1:1">
      <c r="A33503" s="56"/>
    </row>
    <row r="33504" spans="1:1">
      <c r="A33504" s="56"/>
    </row>
    <row r="33505" spans="1:1">
      <c r="A33505" s="56"/>
    </row>
    <row r="33506" spans="1:1">
      <c r="A33506" s="56"/>
    </row>
    <row r="33507" spans="1:1">
      <c r="A33507" s="56"/>
    </row>
    <row r="33508" spans="1:1">
      <c r="A33508" s="56"/>
    </row>
    <row r="33509" spans="1:1">
      <c r="A33509" s="56"/>
    </row>
    <row r="33510" spans="1:1">
      <c r="A33510" s="56"/>
    </row>
    <row r="33511" spans="1:1">
      <c r="A33511" s="56"/>
    </row>
    <row r="33512" spans="1:1">
      <c r="A33512" s="56"/>
    </row>
    <row r="33513" spans="1:1">
      <c r="A33513" s="56"/>
    </row>
    <row r="33514" spans="1:1">
      <c r="A33514" s="56"/>
    </row>
    <row r="33515" spans="1:1">
      <c r="A33515" s="56"/>
    </row>
    <row r="33516" spans="1:1">
      <c r="A33516" s="56"/>
    </row>
    <row r="33517" spans="1:1">
      <c r="A33517" s="56"/>
    </row>
    <row r="33518" spans="1:1">
      <c r="A33518" s="56"/>
    </row>
    <row r="33519" spans="1:1">
      <c r="A33519" s="56"/>
    </row>
    <row r="33520" spans="1:1">
      <c r="A33520" s="56"/>
    </row>
    <row r="33521" spans="1:1">
      <c r="A33521" s="56"/>
    </row>
    <row r="33522" spans="1:1">
      <c r="A33522" s="56"/>
    </row>
    <row r="33523" spans="1:1">
      <c r="A33523" s="56"/>
    </row>
    <row r="33524" spans="1:1">
      <c r="A33524" s="56"/>
    </row>
    <row r="33525" spans="1:1">
      <c r="A33525" s="56"/>
    </row>
    <row r="33526" spans="1:1">
      <c r="A33526" s="56"/>
    </row>
    <row r="33527" spans="1:1">
      <c r="A33527" s="56"/>
    </row>
    <row r="33528" spans="1:1">
      <c r="A33528" s="56"/>
    </row>
    <row r="33529" spans="1:1">
      <c r="A33529" s="56"/>
    </row>
    <row r="33530" spans="1:1">
      <c r="A33530" s="56"/>
    </row>
    <row r="33531" spans="1:1">
      <c r="A33531" s="56"/>
    </row>
    <row r="33532" spans="1:1">
      <c r="A33532" s="56"/>
    </row>
    <row r="33533" spans="1:1">
      <c r="A33533" s="56"/>
    </row>
    <row r="33534" spans="1:1">
      <c r="A33534" s="56"/>
    </row>
    <row r="33535" spans="1:1">
      <c r="A33535" s="56"/>
    </row>
    <row r="33536" spans="1:1">
      <c r="A33536" s="56"/>
    </row>
    <row r="33537" spans="1:1">
      <c r="A33537" s="56"/>
    </row>
    <row r="33538" spans="1:1">
      <c r="A33538" s="56"/>
    </row>
    <row r="33539" spans="1:1">
      <c r="A33539" s="56"/>
    </row>
    <row r="33540" spans="1:1">
      <c r="A33540" s="56"/>
    </row>
    <row r="33541" spans="1:1">
      <c r="A33541" s="56"/>
    </row>
    <row r="33542" spans="1:1">
      <c r="A33542" s="56"/>
    </row>
    <row r="33543" spans="1:1">
      <c r="A33543" s="56"/>
    </row>
    <row r="33544" spans="1:1">
      <c r="A33544" s="56"/>
    </row>
    <row r="33545" spans="1:1">
      <c r="A33545" s="56"/>
    </row>
    <row r="33546" spans="1:1">
      <c r="A33546" s="56"/>
    </row>
    <row r="33547" spans="1:1">
      <c r="A33547" s="56"/>
    </row>
    <row r="33548" spans="1:1">
      <c r="A33548" s="56"/>
    </row>
    <row r="33549" spans="1:1">
      <c r="A33549" s="56"/>
    </row>
    <row r="33550" spans="1:1">
      <c r="A33550" s="56"/>
    </row>
    <row r="33551" spans="1:1">
      <c r="A33551" s="56"/>
    </row>
    <row r="33552" spans="1:1">
      <c r="A33552" s="56"/>
    </row>
    <row r="33553" spans="1:1">
      <c r="A33553" s="56"/>
    </row>
    <row r="33554" spans="1:1">
      <c r="A33554" s="56"/>
    </row>
    <row r="33555" spans="1:1">
      <c r="A33555" s="56"/>
    </row>
    <row r="33556" spans="1:1">
      <c r="A33556" s="56"/>
    </row>
    <row r="33557" spans="1:1">
      <c r="A33557" s="56"/>
    </row>
    <row r="33558" spans="1:1">
      <c r="A33558" s="56"/>
    </row>
    <row r="33559" spans="1:1">
      <c r="A33559" s="56"/>
    </row>
    <row r="33560" spans="1:1">
      <c r="A33560" s="56"/>
    </row>
    <row r="33561" spans="1:1">
      <c r="A33561" s="56"/>
    </row>
    <row r="33562" spans="1:1">
      <c r="A33562" s="56"/>
    </row>
    <row r="33563" spans="1:1">
      <c r="A33563" s="56"/>
    </row>
    <row r="33564" spans="1:1">
      <c r="A33564" s="56"/>
    </row>
    <row r="33565" spans="1:1">
      <c r="A33565" s="56"/>
    </row>
    <row r="33566" spans="1:1">
      <c r="A33566" s="56"/>
    </row>
    <row r="33567" spans="1:1">
      <c r="A33567" s="56"/>
    </row>
    <row r="33568" spans="1:1">
      <c r="A33568" s="56"/>
    </row>
    <row r="33569" spans="1:1">
      <c r="A33569" s="56"/>
    </row>
    <row r="33570" spans="1:1">
      <c r="A33570" s="56"/>
    </row>
    <row r="33571" spans="1:1">
      <c r="A33571" s="56"/>
    </row>
    <row r="33572" spans="1:1">
      <c r="A33572" s="56"/>
    </row>
    <row r="33573" spans="1:1">
      <c r="A33573" s="56"/>
    </row>
    <row r="33574" spans="1:1">
      <c r="A33574" s="56"/>
    </row>
    <row r="33575" spans="1:1">
      <c r="A33575" s="56"/>
    </row>
    <row r="33576" spans="1:1">
      <c r="A33576" s="56"/>
    </row>
    <row r="33577" spans="1:1">
      <c r="A33577" s="56"/>
    </row>
    <row r="33578" spans="1:1">
      <c r="A33578" s="56"/>
    </row>
    <row r="33579" spans="1:1">
      <c r="A33579" s="56"/>
    </row>
    <row r="33580" spans="1:1">
      <c r="A33580" s="56"/>
    </row>
    <row r="33581" spans="1:1">
      <c r="A33581" s="56"/>
    </row>
    <row r="33582" spans="1:1">
      <c r="A33582" s="56"/>
    </row>
    <row r="33583" spans="1:1">
      <c r="A33583" s="56"/>
    </row>
    <row r="33584" spans="1:1">
      <c r="A33584" s="56"/>
    </row>
    <row r="33585" spans="1:1">
      <c r="A33585" s="56"/>
    </row>
    <row r="33586" spans="1:1">
      <c r="A33586" s="56"/>
    </row>
    <row r="33587" spans="1:1">
      <c r="A33587" s="56"/>
    </row>
    <row r="33588" spans="1:1">
      <c r="A33588" s="56"/>
    </row>
    <row r="33589" spans="1:1">
      <c r="A33589" s="56"/>
    </row>
    <row r="33590" spans="1:1">
      <c r="A33590" s="56"/>
    </row>
    <row r="33591" spans="1:1">
      <c r="A33591" s="56"/>
    </row>
    <row r="33592" spans="1:1">
      <c r="A33592" s="56"/>
    </row>
    <row r="33593" spans="1:1">
      <c r="A33593" s="56"/>
    </row>
    <row r="33594" spans="1:1">
      <c r="A33594" s="56"/>
    </row>
    <row r="33595" spans="1:1">
      <c r="A33595" s="56"/>
    </row>
    <row r="33596" spans="1:1">
      <c r="A33596" s="56"/>
    </row>
    <row r="33597" spans="1:1">
      <c r="A33597" s="56"/>
    </row>
    <row r="33598" spans="1:1">
      <c r="A33598" s="56"/>
    </row>
    <row r="33599" spans="1:1">
      <c r="A33599" s="56"/>
    </row>
    <row r="33600" spans="1:1">
      <c r="A33600" s="56"/>
    </row>
    <row r="33601" spans="1:1">
      <c r="A33601" s="56"/>
    </row>
    <row r="33602" spans="1:1">
      <c r="A33602" s="56"/>
    </row>
    <row r="33603" spans="1:1">
      <c r="A33603" s="56"/>
    </row>
    <row r="33604" spans="1:1">
      <c r="A33604" s="56"/>
    </row>
    <row r="33605" spans="1:1">
      <c r="A33605" s="56"/>
    </row>
    <row r="33606" spans="1:1">
      <c r="A33606" s="56"/>
    </row>
    <row r="33607" spans="1:1">
      <c r="A33607" s="56"/>
    </row>
    <row r="33608" spans="1:1">
      <c r="A33608" s="56"/>
    </row>
    <row r="33609" spans="1:1">
      <c r="A33609" s="56"/>
    </row>
    <row r="33610" spans="1:1">
      <c r="A33610" s="56"/>
    </row>
    <row r="33611" spans="1:1">
      <c r="A33611" s="56"/>
    </row>
    <row r="33612" spans="1:1">
      <c r="A33612" s="56"/>
    </row>
    <row r="33613" spans="1:1">
      <c r="A33613" s="56"/>
    </row>
    <row r="33614" spans="1:1">
      <c r="A33614" s="56"/>
    </row>
    <row r="33615" spans="1:1">
      <c r="A33615" s="56"/>
    </row>
    <row r="33616" spans="1:1">
      <c r="A33616" s="56"/>
    </row>
    <row r="33617" spans="1:1">
      <c r="A33617" s="56"/>
    </row>
    <row r="33618" spans="1:1">
      <c r="A33618" s="56"/>
    </row>
    <row r="33619" spans="1:1">
      <c r="A33619" s="56"/>
    </row>
    <row r="33620" spans="1:1">
      <c r="A33620" s="56"/>
    </row>
    <row r="33621" spans="1:1">
      <c r="A33621" s="56"/>
    </row>
    <row r="33622" spans="1:1">
      <c r="A33622" s="56"/>
    </row>
    <row r="33623" spans="1:1">
      <c r="A33623" s="56"/>
    </row>
    <row r="33624" spans="1:1">
      <c r="A33624" s="56"/>
    </row>
    <row r="33625" spans="1:1">
      <c r="A33625" s="56"/>
    </row>
    <row r="33626" spans="1:1">
      <c r="A33626" s="56"/>
    </row>
    <row r="33627" spans="1:1">
      <c r="A33627" s="56"/>
    </row>
    <row r="33628" spans="1:1">
      <c r="A33628" s="56"/>
    </row>
    <row r="33629" spans="1:1">
      <c r="A33629" s="56"/>
    </row>
    <row r="33630" spans="1:1">
      <c r="A33630" s="56"/>
    </row>
    <row r="33631" spans="1:1">
      <c r="A33631" s="56"/>
    </row>
    <row r="33632" spans="1:1">
      <c r="A33632" s="56"/>
    </row>
    <row r="33633" spans="1:1">
      <c r="A33633" s="56"/>
    </row>
    <row r="33634" spans="1:1">
      <c r="A33634" s="56"/>
    </row>
    <row r="33635" spans="1:1">
      <c r="A33635" s="56"/>
    </row>
    <row r="33636" spans="1:1">
      <c r="A33636" s="56"/>
    </row>
    <row r="33637" spans="1:1">
      <c r="A33637" s="56"/>
    </row>
    <row r="33638" spans="1:1">
      <c r="A33638" s="56"/>
    </row>
    <row r="33639" spans="1:1">
      <c r="A33639" s="56"/>
    </row>
    <row r="33640" spans="1:1">
      <c r="A33640" s="56"/>
    </row>
    <row r="33641" spans="1:1">
      <c r="A33641" s="56"/>
    </row>
    <row r="33642" spans="1:1">
      <c r="A33642" s="56"/>
    </row>
    <row r="33643" spans="1:1">
      <c r="A33643" s="56"/>
    </row>
    <row r="33644" spans="1:1">
      <c r="A33644" s="56"/>
    </row>
    <row r="33645" spans="1:1">
      <c r="A33645" s="56"/>
    </row>
    <row r="33646" spans="1:1">
      <c r="A33646" s="56"/>
    </row>
    <row r="33647" spans="1:1">
      <c r="A33647" s="56"/>
    </row>
    <row r="33648" spans="1:1">
      <c r="A33648" s="56"/>
    </row>
    <row r="33649" spans="1:1">
      <c r="A33649" s="56"/>
    </row>
    <row r="33650" spans="1:1">
      <c r="A33650" s="56"/>
    </row>
    <row r="33651" spans="1:1">
      <c r="A33651" s="56"/>
    </row>
    <row r="33652" spans="1:1">
      <c r="A33652" s="56"/>
    </row>
    <row r="33653" spans="1:1">
      <c r="A33653" s="56"/>
    </row>
    <row r="33654" spans="1:1">
      <c r="A33654" s="56"/>
    </row>
    <row r="33655" spans="1:1">
      <c r="A33655" s="56"/>
    </row>
    <row r="33656" spans="1:1">
      <c r="A33656" s="56"/>
    </row>
    <row r="33657" spans="1:1">
      <c r="A33657" s="56"/>
    </row>
    <row r="33658" spans="1:1">
      <c r="A33658" s="56"/>
    </row>
    <row r="33659" spans="1:1">
      <c r="A33659" s="56"/>
    </row>
    <row r="33660" spans="1:1">
      <c r="A33660" s="56"/>
    </row>
    <row r="33661" spans="1:1">
      <c r="A33661" s="56"/>
    </row>
    <row r="33662" spans="1:1">
      <c r="A33662" s="56"/>
    </row>
    <row r="33663" spans="1:1">
      <c r="A33663" s="56"/>
    </row>
    <row r="33664" spans="1:1">
      <c r="A33664" s="56"/>
    </row>
    <row r="33665" spans="1:1">
      <c r="A33665" s="56"/>
    </row>
    <row r="33666" spans="1:1">
      <c r="A33666" s="56"/>
    </row>
    <row r="33667" spans="1:1">
      <c r="A33667" s="56"/>
    </row>
    <row r="33668" spans="1:1">
      <c r="A33668" s="56"/>
    </row>
    <row r="33669" spans="1:1">
      <c r="A33669" s="56"/>
    </row>
    <row r="33670" spans="1:1">
      <c r="A33670" s="56"/>
    </row>
    <row r="33671" spans="1:1">
      <c r="A33671" s="56"/>
    </row>
    <row r="33672" spans="1:1">
      <c r="A33672" s="56"/>
    </row>
    <row r="33673" spans="1:1">
      <c r="A33673" s="56"/>
    </row>
    <row r="33674" spans="1:1">
      <c r="A33674" s="56"/>
    </row>
    <row r="33675" spans="1:1">
      <c r="A33675" s="56"/>
    </row>
    <row r="33676" spans="1:1">
      <c r="A33676" s="56"/>
    </row>
    <row r="33677" spans="1:1">
      <c r="A33677" s="56"/>
    </row>
    <row r="33678" spans="1:1">
      <c r="A33678" s="56"/>
    </row>
    <row r="33679" spans="1:1">
      <c r="A33679" s="56"/>
    </row>
    <row r="33680" spans="1:1">
      <c r="A33680" s="56"/>
    </row>
    <row r="33681" spans="1:1">
      <c r="A33681" s="56"/>
    </row>
    <row r="33682" spans="1:1">
      <c r="A33682" s="56"/>
    </row>
    <row r="33683" spans="1:1">
      <c r="A33683" s="56"/>
    </row>
    <row r="33684" spans="1:1">
      <c r="A33684" s="56"/>
    </row>
    <row r="33685" spans="1:1">
      <c r="A33685" s="56"/>
    </row>
    <row r="33686" spans="1:1">
      <c r="A33686" s="56"/>
    </row>
    <row r="33687" spans="1:1">
      <c r="A33687" s="56"/>
    </row>
    <row r="33688" spans="1:1">
      <c r="A33688" s="56"/>
    </row>
    <row r="33689" spans="1:1">
      <c r="A33689" s="56"/>
    </row>
    <row r="33690" spans="1:1">
      <c r="A33690" s="56"/>
    </row>
    <row r="33691" spans="1:1">
      <c r="A33691" s="56"/>
    </row>
    <row r="33692" spans="1:1">
      <c r="A33692" s="56"/>
    </row>
    <row r="33693" spans="1:1">
      <c r="A33693" s="56"/>
    </row>
    <row r="33694" spans="1:1">
      <c r="A33694" s="56"/>
    </row>
    <row r="33695" spans="1:1">
      <c r="A33695" s="56"/>
    </row>
    <row r="33696" spans="1:1">
      <c r="A33696" s="56"/>
    </row>
    <row r="33697" spans="1:1">
      <c r="A33697" s="56"/>
    </row>
    <row r="33698" spans="1:1">
      <c r="A33698" s="56"/>
    </row>
    <row r="33699" spans="1:1">
      <c r="A33699" s="56"/>
    </row>
    <row r="33700" spans="1:1">
      <c r="A33700" s="56"/>
    </row>
    <row r="33701" spans="1:1">
      <c r="A33701" s="56"/>
    </row>
    <row r="33702" spans="1:1">
      <c r="A33702" s="56"/>
    </row>
    <row r="33703" spans="1:1">
      <c r="A33703" s="56"/>
    </row>
    <row r="33704" spans="1:1">
      <c r="A33704" s="56"/>
    </row>
    <row r="33705" spans="1:1">
      <c r="A33705" s="56"/>
    </row>
    <row r="33706" spans="1:1">
      <c r="A33706" s="56"/>
    </row>
    <row r="33707" spans="1:1">
      <c r="A33707" s="56"/>
    </row>
    <row r="33708" spans="1:1">
      <c r="A33708" s="56"/>
    </row>
    <row r="33709" spans="1:1">
      <c r="A33709" s="56"/>
    </row>
    <row r="33710" spans="1:1">
      <c r="A33710" s="56"/>
    </row>
    <row r="33711" spans="1:1">
      <c r="A33711" s="56"/>
    </row>
    <row r="33712" spans="1:1">
      <c r="A33712" s="56"/>
    </row>
    <row r="33713" spans="1:1">
      <c r="A33713" s="56"/>
    </row>
    <row r="33714" spans="1:1">
      <c r="A33714" s="56"/>
    </row>
    <row r="33715" spans="1:1">
      <c r="A33715" s="56"/>
    </row>
    <row r="33716" spans="1:1">
      <c r="A33716" s="56"/>
    </row>
    <row r="33717" spans="1:1">
      <c r="A33717" s="56"/>
    </row>
    <row r="33718" spans="1:1">
      <c r="A33718" s="56"/>
    </row>
    <row r="33719" spans="1:1">
      <c r="A33719" s="56"/>
    </row>
    <row r="33720" spans="1:1">
      <c r="A33720" s="56"/>
    </row>
    <row r="33721" spans="1:1">
      <c r="A33721" s="56"/>
    </row>
    <row r="33722" spans="1:1">
      <c r="A33722" s="56"/>
    </row>
    <row r="33723" spans="1:1">
      <c r="A33723" s="56"/>
    </row>
    <row r="33724" spans="1:1">
      <c r="A33724" s="56"/>
    </row>
    <row r="33725" spans="1:1">
      <c r="A33725" s="56"/>
    </row>
    <row r="33726" spans="1:1">
      <c r="A33726" s="56"/>
    </row>
    <row r="33727" spans="1:1">
      <c r="A33727" s="56"/>
    </row>
    <row r="33728" spans="1:1">
      <c r="A33728" s="56"/>
    </row>
    <row r="33729" spans="1:1">
      <c r="A33729" s="56"/>
    </row>
    <row r="33730" spans="1:1">
      <c r="A33730" s="56"/>
    </row>
    <row r="33731" spans="1:1">
      <c r="A33731" s="56"/>
    </row>
    <row r="33732" spans="1:1">
      <c r="A33732" s="56"/>
    </row>
    <row r="33733" spans="1:1">
      <c r="A33733" s="56"/>
    </row>
    <row r="33734" spans="1:1">
      <c r="A33734" s="56"/>
    </row>
    <row r="33735" spans="1:1">
      <c r="A33735" s="56"/>
    </row>
    <row r="33736" spans="1:1">
      <c r="A33736" s="56"/>
    </row>
    <row r="33737" spans="1:1">
      <c r="A33737" s="56"/>
    </row>
    <row r="33738" spans="1:1">
      <c r="A33738" s="56"/>
    </row>
    <row r="33739" spans="1:1">
      <c r="A33739" s="56"/>
    </row>
    <row r="33740" spans="1:1">
      <c r="A33740" s="56"/>
    </row>
    <row r="33741" spans="1:1">
      <c r="A33741" s="56"/>
    </row>
    <row r="33742" spans="1:1">
      <c r="A33742" s="56"/>
    </row>
    <row r="33743" spans="1:1">
      <c r="A33743" s="56"/>
    </row>
    <row r="33744" spans="1:1">
      <c r="A33744" s="56"/>
    </row>
    <row r="33745" spans="1:1">
      <c r="A33745" s="56"/>
    </row>
    <row r="33746" spans="1:1">
      <c r="A33746" s="56"/>
    </row>
    <row r="33747" spans="1:1">
      <c r="A33747" s="56"/>
    </row>
    <row r="33748" spans="1:1">
      <c r="A33748" s="56"/>
    </row>
    <row r="33749" spans="1:1">
      <c r="A33749" s="56"/>
    </row>
    <row r="33750" spans="1:1">
      <c r="A33750" s="56"/>
    </row>
    <row r="33751" spans="1:1">
      <c r="A33751" s="56"/>
    </row>
    <row r="33752" spans="1:1">
      <c r="A33752" s="56"/>
    </row>
    <row r="33753" spans="1:1">
      <c r="A33753" s="56"/>
    </row>
    <row r="33754" spans="1:1">
      <c r="A33754" s="56"/>
    </row>
    <row r="33755" spans="1:1">
      <c r="A33755" s="56"/>
    </row>
    <row r="33756" spans="1:1">
      <c r="A33756" s="56"/>
    </row>
    <row r="33757" spans="1:1">
      <c r="A33757" s="56"/>
    </row>
    <row r="33758" spans="1:1">
      <c r="A33758" s="56"/>
    </row>
    <row r="33759" spans="1:1">
      <c r="A33759" s="56"/>
    </row>
    <row r="33760" spans="1:1">
      <c r="A33760" s="56"/>
    </row>
    <row r="33761" spans="1:1">
      <c r="A33761" s="56"/>
    </row>
    <row r="33762" spans="1:1">
      <c r="A33762" s="56"/>
    </row>
    <row r="33763" spans="1:1">
      <c r="A33763" s="56"/>
    </row>
    <row r="33764" spans="1:1">
      <c r="A33764" s="56"/>
    </row>
    <row r="33765" spans="1:1">
      <c r="A33765" s="56"/>
    </row>
    <row r="33766" spans="1:1">
      <c r="A33766" s="56"/>
    </row>
    <row r="33767" spans="1:1">
      <c r="A33767" s="56"/>
    </row>
    <row r="33768" spans="1:1">
      <c r="A33768" s="56"/>
    </row>
    <row r="33769" spans="1:1">
      <c r="A33769" s="56"/>
    </row>
    <row r="33770" spans="1:1">
      <c r="A33770" s="56"/>
    </row>
    <row r="33771" spans="1:1">
      <c r="A33771" s="56"/>
    </row>
    <row r="33772" spans="1:1">
      <c r="A33772" s="56"/>
    </row>
    <row r="33773" spans="1:1">
      <c r="A33773" s="56"/>
    </row>
    <row r="33774" spans="1:1">
      <c r="A33774" s="56"/>
    </row>
    <row r="33775" spans="1:1">
      <c r="A33775" s="56"/>
    </row>
    <row r="33776" spans="1:1">
      <c r="A33776" s="56"/>
    </row>
    <row r="33777" spans="1:1">
      <c r="A33777" s="56"/>
    </row>
    <row r="33778" spans="1:1">
      <c r="A33778" s="56"/>
    </row>
    <row r="33779" spans="1:1">
      <c r="A33779" s="56"/>
    </row>
    <row r="33780" spans="1:1">
      <c r="A33780" s="56"/>
    </row>
    <row r="33781" spans="1:1">
      <c r="A33781" s="56"/>
    </row>
    <row r="33782" spans="1:1">
      <c r="A33782" s="56"/>
    </row>
    <row r="33783" spans="1:1">
      <c r="A33783" s="56"/>
    </row>
    <row r="33784" spans="1:1">
      <c r="A33784" s="56"/>
    </row>
    <row r="33785" spans="1:1">
      <c r="A33785" s="56"/>
    </row>
    <row r="33786" spans="1:1">
      <c r="A33786" s="56"/>
    </row>
    <row r="33787" spans="1:1">
      <c r="A33787" s="56"/>
    </row>
    <row r="33788" spans="1:1">
      <c r="A33788" s="56"/>
    </row>
    <row r="33789" spans="1:1">
      <c r="A33789" s="56"/>
    </row>
    <row r="33790" spans="1:1">
      <c r="A33790" s="56"/>
    </row>
    <row r="33791" spans="1:1">
      <c r="A33791" s="56"/>
    </row>
    <row r="33792" spans="1:1">
      <c r="A33792" s="56"/>
    </row>
    <row r="33793" spans="1:1">
      <c r="A33793" s="56"/>
    </row>
    <row r="33794" spans="1:1">
      <c r="A33794" s="56"/>
    </row>
    <row r="33795" spans="1:1">
      <c r="A33795" s="56"/>
    </row>
    <row r="33796" spans="1:1">
      <c r="A33796" s="56"/>
    </row>
    <row r="33797" spans="1:1">
      <c r="A33797" s="56"/>
    </row>
    <row r="33798" spans="1:1">
      <c r="A33798" s="56"/>
    </row>
    <row r="33799" spans="1:1">
      <c r="A33799" s="56"/>
    </row>
    <row r="33800" spans="1:1">
      <c r="A33800" s="56"/>
    </row>
    <row r="33801" spans="1:1">
      <c r="A33801" s="56"/>
    </row>
    <row r="33802" spans="1:1">
      <c r="A33802" s="56"/>
    </row>
    <row r="33803" spans="1:1">
      <c r="A33803" s="56"/>
    </row>
    <row r="33804" spans="1:1">
      <c r="A33804" s="56"/>
    </row>
    <row r="33805" spans="1:1">
      <c r="A33805" s="56"/>
    </row>
    <row r="33806" spans="1:1">
      <c r="A33806" s="56"/>
    </row>
    <row r="33807" spans="1:1">
      <c r="A33807" s="56"/>
    </row>
    <row r="33808" spans="1:1">
      <c r="A33808" s="56"/>
    </row>
    <row r="33809" spans="1:1">
      <c r="A33809" s="56"/>
    </row>
    <row r="33810" spans="1:1">
      <c r="A33810" s="56"/>
    </row>
    <row r="33811" spans="1:1">
      <c r="A33811" s="56"/>
    </row>
    <row r="33812" spans="1:1">
      <c r="A33812" s="56"/>
    </row>
    <row r="33813" spans="1:1">
      <c r="A33813" s="56"/>
    </row>
    <row r="33814" spans="1:1">
      <c r="A33814" s="56"/>
    </row>
    <row r="33815" spans="1:1">
      <c r="A33815" s="56"/>
    </row>
    <row r="33816" spans="1:1">
      <c r="A33816" s="56"/>
    </row>
    <row r="33817" spans="1:1">
      <c r="A33817" s="56"/>
    </row>
    <row r="33818" spans="1:1">
      <c r="A33818" s="56"/>
    </row>
    <row r="33819" spans="1:1">
      <c r="A33819" s="56"/>
    </row>
    <row r="33820" spans="1:1">
      <c r="A33820" s="56"/>
    </row>
    <row r="33821" spans="1:1">
      <c r="A33821" s="56"/>
    </row>
    <row r="33822" spans="1:1">
      <c r="A33822" s="56"/>
    </row>
    <row r="33823" spans="1:1">
      <c r="A33823" s="56"/>
    </row>
    <row r="33824" spans="1:1">
      <c r="A33824" s="56"/>
    </row>
    <row r="33825" spans="1:1">
      <c r="A33825" s="56"/>
    </row>
    <row r="33826" spans="1:1">
      <c r="A33826" s="56"/>
    </row>
    <row r="33827" spans="1:1">
      <c r="A33827" s="56"/>
    </row>
    <row r="33828" spans="1:1">
      <c r="A33828" s="56"/>
    </row>
    <row r="33829" spans="1:1">
      <c r="A33829" s="56"/>
    </row>
    <row r="33830" spans="1:1">
      <c r="A33830" s="56"/>
    </row>
    <row r="33831" spans="1:1">
      <c r="A33831" s="56"/>
    </row>
    <row r="33832" spans="1:1">
      <c r="A33832" s="56"/>
    </row>
    <row r="33833" spans="1:1">
      <c r="A33833" s="56"/>
    </row>
    <row r="33834" spans="1:1">
      <c r="A33834" s="56"/>
    </row>
    <row r="33835" spans="1:1">
      <c r="A33835" s="56"/>
    </row>
    <row r="33836" spans="1:1">
      <c r="A33836" s="56"/>
    </row>
    <row r="33837" spans="1:1">
      <c r="A33837" s="56"/>
    </row>
    <row r="33838" spans="1:1">
      <c r="A33838" s="56"/>
    </row>
    <row r="33839" spans="1:1">
      <c r="A33839" s="56"/>
    </row>
    <row r="33840" spans="1:1">
      <c r="A33840" s="56"/>
    </row>
    <row r="33841" spans="1:1">
      <c r="A33841" s="56"/>
    </row>
    <row r="33842" spans="1:1">
      <c r="A33842" s="56"/>
    </row>
    <row r="33843" spans="1:1">
      <c r="A33843" s="56"/>
    </row>
    <row r="33844" spans="1:1">
      <c r="A33844" s="56"/>
    </row>
    <row r="33845" spans="1:1">
      <c r="A33845" s="56"/>
    </row>
    <row r="33846" spans="1:1">
      <c r="A33846" s="56"/>
    </row>
    <row r="33847" spans="1:1">
      <c r="A33847" s="56"/>
    </row>
    <row r="33848" spans="1:1">
      <c r="A33848" s="56"/>
    </row>
    <row r="33849" spans="1:1">
      <c r="A33849" s="56"/>
    </row>
    <row r="33850" spans="1:1">
      <c r="A33850" s="56"/>
    </row>
    <row r="33851" spans="1:1">
      <c r="A33851" s="56"/>
    </row>
    <row r="33852" spans="1:1">
      <c r="A33852" s="56"/>
    </row>
    <row r="33853" spans="1:1">
      <c r="A33853" s="56"/>
    </row>
    <row r="33854" spans="1:1">
      <c r="A33854" s="56"/>
    </row>
    <row r="33855" spans="1:1">
      <c r="A33855" s="56"/>
    </row>
    <row r="33856" spans="1:1">
      <c r="A33856" s="56"/>
    </row>
    <row r="33857" spans="1:1">
      <c r="A33857" s="56"/>
    </row>
    <row r="33858" spans="1:1">
      <c r="A33858" s="56"/>
    </row>
    <row r="33859" spans="1:1">
      <c r="A33859" s="56"/>
    </row>
    <row r="33860" spans="1:1">
      <c r="A33860" s="56"/>
    </row>
    <row r="33861" spans="1:1">
      <c r="A33861" s="56"/>
    </row>
    <row r="33862" spans="1:1">
      <c r="A33862" s="56"/>
    </row>
    <row r="33863" spans="1:1">
      <c r="A33863" s="56"/>
    </row>
    <row r="33864" spans="1:1">
      <c r="A33864" s="56"/>
    </row>
    <row r="33865" spans="1:1">
      <c r="A33865" s="56"/>
    </row>
    <row r="33866" spans="1:1">
      <c r="A33866" s="56"/>
    </row>
    <row r="33867" spans="1:1">
      <c r="A33867" s="56"/>
    </row>
    <row r="33868" spans="1:1">
      <c r="A33868" s="56"/>
    </row>
    <row r="33869" spans="1:1">
      <c r="A33869" s="56"/>
    </row>
    <row r="33870" spans="1:1">
      <c r="A33870" s="56"/>
    </row>
    <row r="33871" spans="1:1">
      <c r="A33871" s="56"/>
    </row>
    <row r="33872" spans="1:1">
      <c r="A33872" s="56"/>
    </row>
    <row r="33873" spans="1:1">
      <c r="A33873" s="56"/>
    </row>
    <row r="33874" spans="1:1">
      <c r="A33874" s="56"/>
    </row>
    <row r="33875" spans="1:1">
      <c r="A33875" s="56"/>
    </row>
    <row r="33876" spans="1:1">
      <c r="A33876" s="56"/>
    </row>
    <row r="33877" spans="1:1">
      <c r="A33877" s="56"/>
    </row>
    <row r="33878" spans="1:1">
      <c r="A33878" s="56"/>
    </row>
    <row r="33879" spans="1:1">
      <c r="A33879" s="56"/>
    </row>
    <row r="33880" spans="1:1">
      <c r="A33880" s="56"/>
    </row>
    <row r="33881" spans="1:1">
      <c r="A33881" s="56"/>
    </row>
    <row r="33882" spans="1:1">
      <c r="A33882" s="56"/>
    </row>
    <row r="33883" spans="1:1">
      <c r="A33883" s="56"/>
    </row>
    <row r="33884" spans="1:1">
      <c r="A33884" s="56"/>
    </row>
    <row r="33885" spans="1:1">
      <c r="A33885" s="56"/>
    </row>
    <row r="33886" spans="1:1">
      <c r="A33886" s="56"/>
    </row>
    <row r="33887" spans="1:1">
      <c r="A33887" s="56"/>
    </row>
    <row r="33888" spans="1:1">
      <c r="A33888" s="56"/>
    </row>
    <row r="33889" spans="1:1">
      <c r="A33889" s="56"/>
    </row>
    <row r="33890" spans="1:1">
      <c r="A33890" s="56"/>
    </row>
    <row r="33891" spans="1:1">
      <c r="A33891" s="56"/>
    </row>
    <row r="33892" spans="1:1">
      <c r="A33892" s="56"/>
    </row>
    <row r="33893" spans="1:1">
      <c r="A33893" s="56"/>
    </row>
    <row r="33894" spans="1:1">
      <c r="A33894" s="56"/>
    </row>
    <row r="33895" spans="1:1">
      <c r="A33895" s="56"/>
    </row>
    <row r="33896" spans="1:1">
      <c r="A33896" s="56"/>
    </row>
    <row r="33897" spans="1:1">
      <c r="A33897" s="56"/>
    </row>
    <row r="33898" spans="1:1">
      <c r="A33898" s="56"/>
    </row>
    <row r="33899" spans="1:1">
      <c r="A33899" s="56"/>
    </row>
    <row r="33900" spans="1:1">
      <c r="A33900" s="56"/>
    </row>
    <row r="33901" spans="1:1">
      <c r="A33901" s="56"/>
    </row>
    <row r="33902" spans="1:1">
      <c r="A33902" s="56"/>
    </row>
    <row r="33903" spans="1:1">
      <c r="A33903" s="56"/>
    </row>
    <row r="33904" spans="1:1">
      <c r="A33904" s="56"/>
    </row>
    <row r="33905" spans="1:1">
      <c r="A33905" s="56"/>
    </row>
    <row r="33906" spans="1:1">
      <c r="A33906" s="56"/>
    </row>
    <row r="33907" spans="1:1">
      <c r="A33907" s="56"/>
    </row>
    <row r="33908" spans="1:1">
      <c r="A33908" s="56"/>
    </row>
    <row r="33909" spans="1:1">
      <c r="A33909" s="56"/>
    </row>
    <row r="33910" spans="1:1">
      <c r="A33910" s="56"/>
    </row>
    <row r="33911" spans="1:1">
      <c r="A33911" s="56"/>
    </row>
    <row r="33912" spans="1:1">
      <c r="A33912" s="56"/>
    </row>
    <row r="33913" spans="1:1">
      <c r="A33913" s="56"/>
    </row>
    <row r="33914" spans="1:1">
      <c r="A33914" s="56"/>
    </row>
    <row r="33915" spans="1:1">
      <c r="A33915" s="56"/>
    </row>
    <row r="33916" spans="1:1">
      <c r="A33916" s="56"/>
    </row>
    <row r="33917" spans="1:1">
      <c r="A33917" s="56"/>
    </row>
    <row r="33918" spans="1:1">
      <c r="A33918" s="56"/>
    </row>
    <row r="33919" spans="1:1">
      <c r="A33919" s="56"/>
    </row>
    <row r="33920" spans="1:1">
      <c r="A33920" s="56"/>
    </row>
    <row r="33921" spans="1:1">
      <c r="A33921" s="56"/>
    </row>
    <row r="33922" spans="1:1">
      <c r="A33922" s="56"/>
    </row>
    <row r="33923" spans="1:1">
      <c r="A33923" s="56"/>
    </row>
    <row r="33924" spans="1:1">
      <c r="A33924" s="56"/>
    </row>
    <row r="33925" spans="1:1">
      <c r="A33925" s="56"/>
    </row>
    <row r="33926" spans="1:1">
      <c r="A33926" s="56"/>
    </row>
    <row r="33927" spans="1:1">
      <c r="A33927" s="56"/>
    </row>
    <row r="33928" spans="1:1">
      <c r="A33928" s="56"/>
    </row>
    <row r="33929" spans="1:1">
      <c r="A33929" s="56"/>
    </row>
    <row r="33930" spans="1:1">
      <c r="A33930" s="56"/>
    </row>
    <row r="33931" spans="1:1">
      <c r="A33931" s="56"/>
    </row>
    <row r="33932" spans="1:1">
      <c r="A33932" s="56"/>
    </row>
    <row r="33933" spans="1:1">
      <c r="A33933" s="56"/>
    </row>
    <row r="33934" spans="1:1">
      <c r="A33934" s="56"/>
    </row>
    <row r="33935" spans="1:1">
      <c r="A33935" s="56"/>
    </row>
    <row r="33936" spans="1:1">
      <c r="A33936" s="56"/>
    </row>
    <row r="33937" spans="1:1">
      <c r="A33937" s="56"/>
    </row>
    <row r="33938" spans="1:1">
      <c r="A33938" s="56"/>
    </row>
    <row r="33939" spans="1:1">
      <c r="A33939" s="56"/>
    </row>
    <row r="33940" spans="1:1">
      <c r="A33940" s="56"/>
    </row>
    <row r="33941" spans="1:1">
      <c r="A33941" s="56"/>
    </row>
    <row r="33942" spans="1:1">
      <c r="A33942" s="56"/>
    </row>
    <row r="33943" spans="1:1">
      <c r="A33943" s="56"/>
    </row>
    <row r="33944" spans="1:1">
      <c r="A33944" s="56"/>
    </row>
    <row r="33945" spans="1:1">
      <c r="A33945" s="56"/>
    </row>
    <row r="33946" spans="1:1">
      <c r="A33946" s="56"/>
    </row>
    <row r="33947" spans="1:1">
      <c r="A33947" s="56"/>
    </row>
    <row r="33948" spans="1:1">
      <c r="A33948" s="56"/>
    </row>
    <row r="33949" spans="1:1">
      <c r="A33949" s="56"/>
    </row>
    <row r="33950" spans="1:1">
      <c r="A33950" s="56"/>
    </row>
    <row r="33951" spans="1:1">
      <c r="A33951" s="56"/>
    </row>
    <row r="33952" spans="1:1">
      <c r="A33952" s="56"/>
    </row>
    <row r="33953" spans="1:1">
      <c r="A33953" s="56"/>
    </row>
    <row r="33954" spans="1:1">
      <c r="A33954" s="56"/>
    </row>
    <row r="33955" spans="1:1">
      <c r="A33955" s="56"/>
    </row>
    <row r="33956" spans="1:1">
      <c r="A33956" s="56"/>
    </row>
    <row r="33957" spans="1:1">
      <c r="A33957" s="56"/>
    </row>
    <row r="33958" spans="1:1">
      <c r="A33958" s="56"/>
    </row>
    <row r="33959" spans="1:1">
      <c r="A33959" s="56"/>
    </row>
    <row r="33960" spans="1:1">
      <c r="A33960" s="56"/>
    </row>
    <row r="33961" spans="1:1">
      <c r="A33961" s="56"/>
    </row>
    <row r="33962" spans="1:1">
      <c r="A33962" s="56"/>
    </row>
    <row r="33963" spans="1:1">
      <c r="A33963" s="56"/>
    </row>
    <row r="33964" spans="1:1">
      <c r="A33964" s="56"/>
    </row>
    <row r="33965" spans="1:1">
      <c r="A33965" s="56"/>
    </row>
    <row r="33966" spans="1:1">
      <c r="A33966" s="56"/>
    </row>
    <row r="33967" spans="1:1">
      <c r="A33967" s="56"/>
    </row>
    <row r="33968" spans="1:1">
      <c r="A33968" s="56"/>
    </row>
    <row r="33969" spans="1:1">
      <c r="A33969" s="56"/>
    </row>
    <row r="33970" spans="1:1">
      <c r="A33970" s="56"/>
    </row>
    <row r="33971" spans="1:1">
      <c r="A33971" s="56"/>
    </row>
    <row r="33972" spans="1:1">
      <c r="A33972" s="56"/>
    </row>
    <row r="33973" spans="1:1">
      <c r="A33973" s="56"/>
    </row>
    <row r="33974" spans="1:1">
      <c r="A33974" s="56"/>
    </row>
    <row r="33975" spans="1:1">
      <c r="A33975" s="56"/>
    </row>
    <row r="33976" spans="1:1">
      <c r="A33976" s="56"/>
    </row>
    <row r="33977" spans="1:1">
      <c r="A33977" s="56"/>
    </row>
    <row r="33978" spans="1:1">
      <c r="A33978" s="56"/>
    </row>
    <row r="33979" spans="1:1">
      <c r="A33979" s="56"/>
    </row>
    <row r="33980" spans="1:1">
      <c r="A33980" s="56"/>
    </row>
    <row r="33981" spans="1:1">
      <c r="A33981" s="56"/>
    </row>
    <row r="33982" spans="1:1">
      <c r="A33982" s="56"/>
    </row>
    <row r="33983" spans="1:1">
      <c r="A33983" s="56"/>
    </row>
    <row r="33984" spans="1:1">
      <c r="A33984" s="56"/>
    </row>
    <row r="33985" spans="1:1">
      <c r="A33985" s="56"/>
    </row>
    <row r="33986" spans="1:1">
      <c r="A33986" s="56"/>
    </row>
    <row r="33987" spans="1:1">
      <c r="A33987" s="56"/>
    </row>
    <row r="33988" spans="1:1">
      <c r="A33988" s="56"/>
    </row>
    <row r="33989" spans="1:1">
      <c r="A33989" s="56"/>
    </row>
    <row r="33990" spans="1:1">
      <c r="A33990" s="56"/>
    </row>
    <row r="33991" spans="1:1">
      <c r="A33991" s="56"/>
    </row>
    <row r="33992" spans="1:1">
      <c r="A33992" s="56"/>
    </row>
    <row r="33993" spans="1:1">
      <c r="A33993" s="56"/>
    </row>
    <row r="33994" spans="1:1">
      <c r="A33994" s="56"/>
    </row>
    <row r="33995" spans="1:1">
      <c r="A33995" s="56"/>
    </row>
    <row r="33996" spans="1:1">
      <c r="A33996" s="56"/>
    </row>
    <row r="33997" spans="1:1">
      <c r="A33997" s="56"/>
    </row>
    <row r="33998" spans="1:1">
      <c r="A33998" s="56"/>
    </row>
    <row r="33999" spans="1:1">
      <c r="A33999" s="56"/>
    </row>
    <row r="34000" spans="1:1">
      <c r="A34000" s="56"/>
    </row>
    <row r="34001" spans="1:1">
      <c r="A34001" s="56"/>
    </row>
    <row r="34002" spans="1:1">
      <c r="A34002" s="56"/>
    </row>
    <row r="34003" spans="1:1">
      <c r="A34003" s="56"/>
    </row>
    <row r="34004" spans="1:1">
      <c r="A34004" s="56"/>
    </row>
    <row r="34005" spans="1:1">
      <c r="A34005" s="56"/>
    </row>
    <row r="34006" spans="1:1">
      <c r="A34006" s="56"/>
    </row>
    <row r="34007" spans="1:1">
      <c r="A34007" s="56"/>
    </row>
    <row r="34008" spans="1:1">
      <c r="A34008" s="56"/>
    </row>
    <row r="34009" spans="1:1">
      <c r="A34009" s="56"/>
    </row>
    <row r="34010" spans="1:1">
      <c r="A34010" s="56"/>
    </row>
    <row r="34011" spans="1:1">
      <c r="A34011" s="56"/>
    </row>
    <row r="34012" spans="1:1">
      <c r="A34012" s="56"/>
    </row>
    <row r="34013" spans="1:1">
      <c r="A34013" s="56"/>
    </row>
    <row r="34014" spans="1:1">
      <c r="A34014" s="56"/>
    </row>
    <row r="34015" spans="1:1">
      <c r="A34015" s="56"/>
    </row>
    <row r="34016" spans="1:1">
      <c r="A34016" s="56"/>
    </row>
    <row r="34017" spans="1:1">
      <c r="A34017" s="56"/>
    </row>
    <row r="34018" spans="1:1">
      <c r="A34018" s="56"/>
    </row>
    <row r="34019" spans="1:1">
      <c r="A34019" s="56"/>
    </row>
    <row r="34020" spans="1:1">
      <c r="A34020" s="56"/>
    </row>
    <row r="34021" spans="1:1">
      <c r="A34021" s="56"/>
    </row>
    <row r="34022" spans="1:1">
      <c r="A34022" s="56"/>
    </row>
    <row r="34023" spans="1:1">
      <c r="A34023" s="56"/>
    </row>
    <row r="34024" spans="1:1">
      <c r="A34024" s="56"/>
    </row>
    <row r="34025" spans="1:1">
      <c r="A34025" s="56"/>
    </row>
    <row r="34026" spans="1:1">
      <c r="A34026" s="56"/>
    </row>
    <row r="34027" spans="1:1">
      <c r="A34027" s="56"/>
    </row>
    <row r="34028" spans="1:1">
      <c r="A34028" s="56"/>
    </row>
    <row r="34029" spans="1:1">
      <c r="A34029" s="56"/>
    </row>
    <row r="34030" spans="1:1">
      <c r="A34030" s="56"/>
    </row>
    <row r="34031" spans="1:1">
      <c r="A34031" s="56"/>
    </row>
    <row r="34032" spans="1:1">
      <c r="A34032" s="56"/>
    </row>
    <row r="34033" spans="1:1">
      <c r="A34033" s="56"/>
    </row>
    <row r="34034" spans="1:1">
      <c r="A34034" s="56"/>
    </row>
    <row r="34035" spans="1:1">
      <c r="A34035" s="56"/>
    </row>
    <row r="34036" spans="1:1">
      <c r="A34036" s="56"/>
    </row>
    <row r="34037" spans="1:1">
      <c r="A34037" s="56"/>
    </row>
    <row r="34038" spans="1:1">
      <c r="A34038" s="56"/>
    </row>
    <row r="34039" spans="1:1">
      <c r="A34039" s="56"/>
    </row>
    <row r="34040" spans="1:1">
      <c r="A34040" s="56"/>
    </row>
    <row r="34041" spans="1:1">
      <c r="A34041" s="56"/>
    </row>
    <row r="34042" spans="1:1">
      <c r="A34042" s="56"/>
    </row>
    <row r="34043" spans="1:1">
      <c r="A34043" s="56"/>
    </row>
    <row r="34044" spans="1:1">
      <c r="A34044" s="56"/>
    </row>
    <row r="34045" spans="1:1">
      <c r="A34045" s="56"/>
    </row>
    <row r="34046" spans="1:1">
      <c r="A34046" s="56"/>
    </row>
    <row r="34047" spans="1:1">
      <c r="A34047" s="56"/>
    </row>
    <row r="34048" spans="1:1">
      <c r="A34048" s="56"/>
    </row>
    <row r="34049" spans="1:1">
      <c r="A34049" s="56"/>
    </row>
    <row r="34050" spans="1:1">
      <c r="A34050" s="56"/>
    </row>
    <row r="34051" spans="1:1">
      <c r="A34051" s="56"/>
    </row>
    <row r="34052" spans="1:1">
      <c r="A34052" s="56"/>
    </row>
    <row r="34053" spans="1:1">
      <c r="A34053" s="56"/>
    </row>
    <row r="34054" spans="1:1">
      <c r="A34054" s="56"/>
    </row>
    <row r="34055" spans="1:1">
      <c r="A34055" s="56"/>
    </row>
    <row r="34056" spans="1:1">
      <c r="A34056" s="56"/>
    </row>
    <row r="34057" spans="1:1">
      <c r="A34057" s="56"/>
    </row>
    <row r="34058" spans="1:1">
      <c r="A34058" s="56"/>
    </row>
    <row r="34059" spans="1:1">
      <c r="A34059" s="56"/>
    </row>
    <row r="34060" spans="1:1">
      <c r="A34060" s="56"/>
    </row>
    <row r="34061" spans="1:1">
      <c r="A34061" s="56"/>
    </row>
    <row r="34062" spans="1:1">
      <c r="A34062" s="56"/>
    </row>
    <row r="34063" spans="1:1">
      <c r="A34063" s="56"/>
    </row>
    <row r="34064" spans="1:1">
      <c r="A34064" s="56"/>
    </row>
    <row r="34065" spans="1:1">
      <c r="A34065" s="56"/>
    </row>
    <row r="34066" spans="1:1">
      <c r="A34066" s="56"/>
    </row>
    <row r="34067" spans="1:1">
      <c r="A34067" s="56"/>
    </row>
    <row r="34068" spans="1:1">
      <c r="A34068" s="56"/>
    </row>
    <row r="34069" spans="1:1">
      <c r="A34069" s="56"/>
    </row>
    <row r="34070" spans="1:1">
      <c r="A34070" s="56"/>
    </row>
    <row r="34071" spans="1:1">
      <c r="A34071" s="56"/>
    </row>
    <row r="34072" spans="1:1">
      <c r="A34072" s="56"/>
    </row>
    <row r="34073" spans="1:1">
      <c r="A34073" s="56"/>
    </row>
    <row r="34074" spans="1:1">
      <c r="A34074" s="56"/>
    </row>
    <row r="34075" spans="1:1">
      <c r="A34075" s="56"/>
    </row>
    <row r="34076" spans="1:1">
      <c r="A34076" s="56"/>
    </row>
    <row r="34077" spans="1:1">
      <c r="A34077" s="56"/>
    </row>
    <row r="34078" spans="1:1">
      <c r="A34078" s="56"/>
    </row>
    <row r="34079" spans="1:1">
      <c r="A34079" s="56"/>
    </row>
    <row r="34080" spans="1:1">
      <c r="A34080" s="56"/>
    </row>
    <row r="34081" spans="1:1">
      <c r="A34081" s="56"/>
    </row>
    <row r="34082" spans="1:1">
      <c r="A34082" s="56"/>
    </row>
    <row r="34083" spans="1:1">
      <c r="A34083" s="56"/>
    </row>
    <row r="34084" spans="1:1">
      <c r="A34084" s="56"/>
    </row>
    <row r="34085" spans="1:1">
      <c r="A34085" s="56"/>
    </row>
    <row r="34086" spans="1:1">
      <c r="A34086" s="56"/>
    </row>
    <row r="34087" spans="1:1">
      <c r="A34087" s="56"/>
    </row>
    <row r="34088" spans="1:1">
      <c r="A34088" s="56"/>
    </row>
    <row r="34089" spans="1:1">
      <c r="A34089" s="56"/>
    </row>
    <row r="34090" spans="1:1">
      <c r="A34090" s="56"/>
    </row>
    <row r="34091" spans="1:1">
      <c r="A34091" s="56"/>
    </row>
    <row r="34092" spans="1:1">
      <c r="A34092" s="56"/>
    </row>
    <row r="34093" spans="1:1">
      <c r="A34093" s="56"/>
    </row>
    <row r="34094" spans="1:1">
      <c r="A34094" s="56"/>
    </row>
    <row r="34095" spans="1:1">
      <c r="A34095" s="56"/>
    </row>
    <row r="34096" spans="1:1">
      <c r="A34096" s="56"/>
    </row>
    <row r="34097" spans="1:1">
      <c r="A34097" s="56"/>
    </row>
    <row r="34098" spans="1:1">
      <c r="A34098" s="56"/>
    </row>
    <row r="34099" spans="1:1">
      <c r="A34099" s="56"/>
    </row>
    <row r="34100" spans="1:1">
      <c r="A34100" s="56"/>
    </row>
    <row r="34101" spans="1:1">
      <c r="A34101" s="56"/>
    </row>
    <row r="34102" spans="1:1">
      <c r="A34102" s="56"/>
    </row>
    <row r="34103" spans="1:1">
      <c r="A34103" s="56"/>
    </row>
    <row r="34104" spans="1:1">
      <c r="A34104" s="56"/>
    </row>
    <row r="34105" spans="1:1">
      <c r="A34105" s="56"/>
    </row>
    <row r="34106" spans="1:1">
      <c r="A34106" s="56"/>
    </row>
    <row r="34107" spans="1:1">
      <c r="A34107" s="56"/>
    </row>
    <row r="34108" spans="1:1">
      <c r="A34108" s="56"/>
    </row>
    <row r="34109" spans="1:1">
      <c r="A34109" s="56"/>
    </row>
    <row r="34110" spans="1:1">
      <c r="A34110" s="56"/>
    </row>
    <row r="34111" spans="1:1">
      <c r="A34111" s="56"/>
    </row>
    <row r="34112" spans="1:1">
      <c r="A34112" s="56"/>
    </row>
    <row r="34113" spans="1:1">
      <c r="A34113" s="56"/>
    </row>
    <row r="34114" spans="1:1">
      <c r="A34114" s="56"/>
    </row>
    <row r="34115" spans="1:1">
      <c r="A34115" s="56"/>
    </row>
    <row r="34116" spans="1:1">
      <c r="A34116" s="56"/>
    </row>
    <row r="34117" spans="1:1">
      <c r="A34117" s="56"/>
    </row>
    <row r="34118" spans="1:1">
      <c r="A34118" s="56"/>
    </row>
    <row r="34119" spans="1:1">
      <c r="A34119" s="56"/>
    </row>
    <row r="34120" spans="1:1">
      <c r="A34120" s="56"/>
    </row>
    <row r="34121" spans="1:1">
      <c r="A34121" s="56"/>
    </row>
    <row r="34122" spans="1:1">
      <c r="A34122" s="56"/>
    </row>
    <row r="34123" spans="1:1">
      <c r="A34123" s="56"/>
    </row>
    <row r="34124" spans="1:1">
      <c r="A34124" s="56"/>
    </row>
    <row r="34125" spans="1:1">
      <c r="A34125" s="56"/>
    </row>
    <row r="34126" spans="1:1">
      <c r="A34126" s="56"/>
    </row>
    <row r="34127" spans="1:1">
      <c r="A34127" s="56"/>
    </row>
    <row r="34128" spans="1:1">
      <c r="A34128" s="56"/>
    </row>
    <row r="34129" spans="1:1">
      <c r="A34129" s="56"/>
    </row>
    <row r="34130" spans="1:1">
      <c r="A34130" s="56"/>
    </row>
    <row r="34131" spans="1:1">
      <c r="A34131" s="56"/>
    </row>
    <row r="34132" spans="1:1">
      <c r="A34132" s="56"/>
    </row>
    <row r="34133" spans="1:1">
      <c r="A34133" s="56"/>
    </row>
    <row r="34134" spans="1:1">
      <c r="A34134" s="56"/>
    </row>
    <row r="34135" spans="1:1">
      <c r="A34135" s="56"/>
    </row>
    <row r="34136" spans="1:1">
      <c r="A34136" s="56"/>
    </row>
    <row r="34137" spans="1:1">
      <c r="A34137" s="56"/>
    </row>
    <row r="34138" spans="1:1">
      <c r="A34138" s="56"/>
    </row>
    <row r="34139" spans="1:1">
      <c r="A34139" s="56"/>
    </row>
    <row r="34140" spans="1:1">
      <c r="A34140" s="56"/>
    </row>
    <row r="34141" spans="1:1">
      <c r="A34141" s="56"/>
    </row>
    <row r="34142" spans="1:1">
      <c r="A34142" s="56"/>
    </row>
    <row r="34143" spans="1:1">
      <c r="A34143" s="56"/>
    </row>
    <row r="34144" spans="1:1">
      <c r="A34144" s="56"/>
    </row>
    <row r="34145" spans="1:1">
      <c r="A34145" s="56"/>
    </row>
    <row r="34146" spans="1:1">
      <c r="A34146" s="56"/>
    </row>
    <row r="34147" spans="1:1">
      <c r="A34147" s="56"/>
    </row>
    <row r="34148" spans="1:1">
      <c r="A34148" s="56"/>
    </row>
    <row r="34149" spans="1:1">
      <c r="A34149" s="56"/>
    </row>
    <row r="34150" spans="1:1">
      <c r="A34150" s="56"/>
    </row>
    <row r="34151" spans="1:1">
      <c r="A34151" s="56"/>
    </row>
    <row r="34152" spans="1:1">
      <c r="A34152" s="56"/>
    </row>
    <row r="34153" spans="1:1">
      <c r="A34153" s="56"/>
    </row>
    <row r="34154" spans="1:1">
      <c r="A34154" s="56"/>
    </row>
    <row r="34155" spans="1:1">
      <c r="A34155" s="56"/>
    </row>
    <row r="34156" spans="1:1">
      <c r="A34156" s="56"/>
    </row>
    <row r="34157" spans="1:1">
      <c r="A34157" s="56"/>
    </row>
    <row r="34158" spans="1:1">
      <c r="A34158" s="56"/>
    </row>
    <row r="34159" spans="1:1">
      <c r="A34159" s="56"/>
    </row>
    <row r="34160" spans="1:1">
      <c r="A34160" s="56"/>
    </row>
    <row r="34161" spans="1:1">
      <c r="A34161" s="56"/>
    </row>
    <row r="34162" spans="1:1">
      <c r="A34162" s="56"/>
    </row>
    <row r="34163" spans="1:1">
      <c r="A34163" s="56"/>
    </row>
    <row r="34164" spans="1:1">
      <c r="A34164" s="56"/>
    </row>
    <row r="34165" spans="1:1">
      <c r="A34165" s="56"/>
    </row>
    <row r="34166" spans="1:1">
      <c r="A34166" s="56"/>
    </row>
    <row r="34167" spans="1:1">
      <c r="A34167" s="56"/>
    </row>
    <row r="34168" spans="1:1">
      <c r="A34168" s="56"/>
    </row>
    <row r="34169" spans="1:1">
      <c r="A34169" s="56"/>
    </row>
    <row r="34170" spans="1:1">
      <c r="A34170" s="56"/>
    </row>
    <row r="34171" spans="1:1">
      <c r="A34171" s="56"/>
    </row>
    <row r="34172" spans="1:1">
      <c r="A34172" s="56"/>
    </row>
    <row r="34173" spans="1:1">
      <c r="A34173" s="56"/>
    </row>
    <row r="34174" spans="1:1">
      <c r="A34174" s="56"/>
    </row>
    <row r="34175" spans="1:1">
      <c r="A34175" s="56"/>
    </row>
    <row r="34176" spans="1:1">
      <c r="A34176" s="56"/>
    </row>
    <row r="34177" spans="1:1">
      <c r="A34177" s="56"/>
    </row>
    <row r="34178" spans="1:1">
      <c r="A34178" s="56"/>
    </row>
    <row r="34179" spans="1:1">
      <c r="A34179" s="56"/>
    </row>
    <row r="34180" spans="1:1">
      <c r="A34180" s="56"/>
    </row>
    <row r="34181" spans="1:1">
      <c r="A34181" s="56"/>
    </row>
    <row r="34182" spans="1:1">
      <c r="A34182" s="56"/>
    </row>
    <row r="34183" spans="1:1">
      <c r="A34183" s="56"/>
    </row>
    <row r="34184" spans="1:1">
      <c r="A34184" s="56"/>
    </row>
    <row r="34185" spans="1:1">
      <c r="A34185" s="56"/>
    </row>
    <row r="34186" spans="1:1">
      <c r="A34186" s="56"/>
    </row>
    <row r="34187" spans="1:1">
      <c r="A34187" s="56"/>
    </row>
    <row r="34188" spans="1:1">
      <c r="A34188" s="56"/>
    </row>
    <row r="34189" spans="1:1">
      <c r="A34189" s="56"/>
    </row>
    <row r="34190" spans="1:1">
      <c r="A34190" s="56"/>
    </row>
    <row r="34191" spans="1:1">
      <c r="A34191" s="56"/>
    </row>
    <row r="34192" spans="1:1">
      <c r="A34192" s="56"/>
    </row>
    <row r="34193" spans="1:1">
      <c r="A34193" s="56"/>
    </row>
    <row r="34194" spans="1:1">
      <c r="A34194" s="56"/>
    </row>
    <row r="34195" spans="1:1">
      <c r="A34195" s="56"/>
    </row>
    <row r="34196" spans="1:1">
      <c r="A34196" s="56"/>
    </row>
    <row r="34197" spans="1:1">
      <c r="A34197" s="56"/>
    </row>
    <row r="34198" spans="1:1">
      <c r="A34198" s="56"/>
    </row>
    <row r="34199" spans="1:1">
      <c r="A34199" s="56"/>
    </row>
    <row r="34200" spans="1:1">
      <c r="A34200" s="56"/>
    </row>
    <row r="34201" spans="1:1">
      <c r="A34201" s="56"/>
    </row>
    <row r="34202" spans="1:1">
      <c r="A34202" s="56"/>
    </row>
    <row r="34203" spans="1:1">
      <c r="A34203" s="56"/>
    </row>
    <row r="34204" spans="1:1">
      <c r="A34204" s="56"/>
    </row>
    <row r="34205" spans="1:1">
      <c r="A34205" s="56"/>
    </row>
    <row r="34206" spans="1:1">
      <c r="A34206" s="56"/>
    </row>
    <row r="34207" spans="1:1">
      <c r="A34207" s="56"/>
    </row>
    <row r="34208" spans="1:1">
      <c r="A34208" s="56"/>
    </row>
    <row r="34209" spans="1:1">
      <c r="A34209" s="56"/>
    </row>
    <row r="34210" spans="1:1">
      <c r="A34210" s="56"/>
    </row>
    <row r="34211" spans="1:1">
      <c r="A34211" s="56"/>
    </row>
    <row r="34212" spans="1:1">
      <c r="A34212" s="56"/>
    </row>
    <row r="34213" spans="1:1">
      <c r="A34213" s="56"/>
    </row>
    <row r="34214" spans="1:1">
      <c r="A34214" s="56"/>
    </row>
    <row r="34215" spans="1:1">
      <c r="A34215" s="56"/>
    </row>
    <row r="34216" spans="1:1">
      <c r="A34216" s="56"/>
    </row>
    <row r="34217" spans="1:1">
      <c r="A34217" s="56"/>
    </row>
    <row r="34218" spans="1:1">
      <c r="A34218" s="56"/>
    </row>
    <row r="34219" spans="1:1">
      <c r="A34219" s="56"/>
    </row>
    <row r="34220" spans="1:1">
      <c r="A34220" s="56"/>
    </row>
    <row r="34221" spans="1:1">
      <c r="A34221" s="56"/>
    </row>
    <row r="34222" spans="1:1">
      <c r="A34222" s="56"/>
    </row>
    <row r="34223" spans="1:1">
      <c r="A34223" s="56"/>
    </row>
    <row r="34224" spans="1:1">
      <c r="A34224" s="56"/>
    </row>
    <row r="34225" spans="1:1">
      <c r="A34225" s="56"/>
    </row>
    <row r="34226" spans="1:1">
      <c r="A34226" s="56"/>
    </row>
    <row r="34227" spans="1:1">
      <c r="A34227" s="56"/>
    </row>
    <row r="34228" spans="1:1">
      <c r="A34228" s="56"/>
    </row>
    <row r="34229" spans="1:1">
      <c r="A34229" s="56"/>
    </row>
    <row r="34230" spans="1:1">
      <c r="A34230" s="56"/>
    </row>
    <row r="34231" spans="1:1">
      <c r="A34231" s="56"/>
    </row>
    <row r="34232" spans="1:1">
      <c r="A34232" s="56"/>
    </row>
    <row r="34233" spans="1:1">
      <c r="A34233" s="56"/>
    </row>
    <row r="34234" spans="1:1">
      <c r="A34234" s="56"/>
    </row>
    <row r="34235" spans="1:1">
      <c r="A34235" s="56"/>
    </row>
    <row r="34236" spans="1:1">
      <c r="A34236" s="56"/>
    </row>
    <row r="34237" spans="1:1">
      <c r="A34237" s="56"/>
    </row>
    <row r="34238" spans="1:1">
      <c r="A34238" s="56"/>
    </row>
    <row r="34239" spans="1:1">
      <c r="A34239" s="56"/>
    </row>
    <row r="34240" spans="1:1">
      <c r="A34240" s="56"/>
    </row>
    <row r="34241" spans="1:1">
      <c r="A34241" s="56"/>
    </row>
    <row r="34242" spans="1:1">
      <c r="A34242" s="56"/>
    </row>
    <row r="34243" spans="1:1">
      <c r="A34243" s="56"/>
    </row>
    <row r="34244" spans="1:1">
      <c r="A34244" s="56"/>
    </row>
    <row r="34245" spans="1:1">
      <c r="A34245" s="56"/>
    </row>
    <row r="34246" spans="1:1">
      <c r="A34246" s="56"/>
    </row>
    <row r="34247" spans="1:1">
      <c r="A34247" s="56"/>
    </row>
    <row r="34248" spans="1:1">
      <c r="A34248" s="56"/>
    </row>
    <row r="34249" spans="1:1">
      <c r="A34249" s="56"/>
    </row>
    <row r="34250" spans="1:1">
      <c r="A34250" s="56"/>
    </row>
    <row r="34251" spans="1:1">
      <c r="A34251" s="56"/>
    </row>
    <row r="34252" spans="1:1">
      <c r="A34252" s="56"/>
    </row>
    <row r="34253" spans="1:1">
      <c r="A34253" s="56"/>
    </row>
    <row r="34254" spans="1:1">
      <c r="A34254" s="56"/>
    </row>
    <row r="34255" spans="1:1">
      <c r="A34255" s="56"/>
    </row>
    <row r="34256" spans="1:1">
      <c r="A34256" s="56"/>
    </row>
    <row r="34257" spans="1:1">
      <c r="A34257" s="56"/>
    </row>
    <row r="34258" spans="1:1">
      <c r="A34258" s="56"/>
    </row>
    <row r="34259" spans="1:1">
      <c r="A34259" s="56"/>
    </row>
    <row r="34260" spans="1:1">
      <c r="A34260" s="56"/>
    </row>
    <row r="34261" spans="1:1">
      <c r="A34261" s="56"/>
    </row>
    <row r="34262" spans="1:1">
      <c r="A34262" s="56"/>
    </row>
    <row r="34263" spans="1:1">
      <c r="A34263" s="56"/>
    </row>
    <row r="34264" spans="1:1">
      <c r="A34264" s="56"/>
    </row>
    <row r="34265" spans="1:1">
      <c r="A34265" s="56"/>
    </row>
    <row r="34266" spans="1:1">
      <c r="A34266" s="56"/>
    </row>
    <row r="34267" spans="1:1">
      <c r="A34267" s="56"/>
    </row>
    <row r="34268" spans="1:1">
      <c r="A34268" s="56"/>
    </row>
    <row r="34269" spans="1:1">
      <c r="A34269" s="56"/>
    </row>
    <row r="34270" spans="1:1">
      <c r="A34270" s="56"/>
    </row>
    <row r="34271" spans="1:1">
      <c r="A34271" s="56"/>
    </row>
    <row r="34272" spans="1:1">
      <c r="A34272" s="56"/>
    </row>
    <row r="34273" spans="1:1">
      <c r="A34273" s="56"/>
    </row>
    <row r="34274" spans="1:1">
      <c r="A34274" s="56"/>
    </row>
    <row r="34275" spans="1:1">
      <c r="A34275" s="56"/>
    </row>
    <row r="34276" spans="1:1">
      <c r="A34276" s="56"/>
    </row>
    <row r="34277" spans="1:1">
      <c r="A34277" s="56"/>
    </row>
    <row r="34278" spans="1:1">
      <c r="A34278" s="56"/>
    </row>
    <row r="34279" spans="1:1">
      <c r="A34279" s="56"/>
    </row>
    <row r="34280" spans="1:1">
      <c r="A34280" s="56"/>
    </row>
    <row r="34281" spans="1:1">
      <c r="A34281" s="56"/>
    </row>
    <row r="34282" spans="1:1">
      <c r="A34282" s="56"/>
    </row>
    <row r="34283" spans="1:1">
      <c r="A34283" s="56"/>
    </row>
    <row r="34284" spans="1:1">
      <c r="A34284" s="56"/>
    </row>
    <row r="34285" spans="1:1">
      <c r="A34285" s="56"/>
    </row>
    <row r="34286" spans="1:1">
      <c r="A34286" s="56"/>
    </row>
    <row r="34287" spans="1:1">
      <c r="A34287" s="56"/>
    </row>
    <row r="34288" spans="1:1">
      <c r="A34288" s="56"/>
    </row>
    <row r="34289" spans="1:1">
      <c r="A34289" s="56"/>
    </row>
    <row r="34290" spans="1:1">
      <c r="A34290" s="56"/>
    </row>
    <row r="34291" spans="1:1">
      <c r="A34291" s="56"/>
    </row>
    <row r="34292" spans="1:1">
      <c r="A34292" s="56"/>
    </row>
    <row r="34293" spans="1:1">
      <c r="A34293" s="56"/>
    </row>
    <row r="34294" spans="1:1">
      <c r="A34294" s="56"/>
    </row>
    <row r="34295" spans="1:1">
      <c r="A34295" s="56"/>
    </row>
    <row r="34296" spans="1:1">
      <c r="A34296" s="56"/>
    </row>
    <row r="34297" spans="1:1">
      <c r="A34297" s="56"/>
    </row>
    <row r="34298" spans="1:1">
      <c r="A34298" s="56"/>
    </row>
    <row r="34299" spans="1:1">
      <c r="A34299" s="56"/>
    </row>
    <row r="34300" spans="1:1">
      <c r="A34300" s="56"/>
    </row>
    <row r="34301" spans="1:1">
      <c r="A34301" s="56"/>
    </row>
    <row r="34302" spans="1:1">
      <c r="A34302" s="56"/>
    </row>
    <row r="34303" spans="1:1">
      <c r="A34303" s="56"/>
    </row>
    <row r="34304" spans="1:1">
      <c r="A34304" s="56"/>
    </row>
    <row r="34305" spans="1:1">
      <c r="A34305" s="56"/>
    </row>
    <row r="34306" spans="1:1">
      <c r="A34306" s="56"/>
    </row>
    <row r="34307" spans="1:1">
      <c r="A34307" s="56"/>
    </row>
    <row r="34308" spans="1:1">
      <c r="A34308" s="56"/>
    </row>
    <row r="34309" spans="1:1">
      <c r="A34309" s="56"/>
    </row>
    <row r="34310" spans="1:1">
      <c r="A34310" s="56"/>
    </row>
    <row r="34311" spans="1:1">
      <c r="A34311" s="56"/>
    </row>
    <row r="34312" spans="1:1">
      <c r="A34312" s="56"/>
    </row>
    <row r="34313" spans="1:1">
      <c r="A34313" s="56"/>
    </row>
    <row r="34314" spans="1:1">
      <c r="A34314" s="56"/>
    </row>
    <row r="34315" spans="1:1">
      <c r="A34315" s="56"/>
    </row>
    <row r="34316" spans="1:1">
      <c r="A34316" s="56"/>
    </row>
    <row r="34317" spans="1:1">
      <c r="A34317" s="56"/>
    </row>
    <row r="34318" spans="1:1">
      <c r="A34318" s="56"/>
    </row>
    <row r="34319" spans="1:1">
      <c r="A34319" s="56"/>
    </row>
    <row r="34320" spans="1:1">
      <c r="A34320" s="56"/>
    </row>
    <row r="34321" spans="1:1">
      <c r="A34321" s="56"/>
    </row>
    <row r="34322" spans="1:1">
      <c r="A34322" s="56"/>
    </row>
    <row r="34323" spans="1:1">
      <c r="A34323" s="56"/>
    </row>
    <row r="34324" spans="1:1">
      <c r="A34324" s="56"/>
    </row>
    <row r="34325" spans="1:1">
      <c r="A34325" s="56"/>
    </row>
    <row r="34326" spans="1:1">
      <c r="A34326" s="56"/>
    </row>
    <row r="34327" spans="1:1">
      <c r="A34327" s="56"/>
    </row>
    <row r="34328" spans="1:1">
      <c r="A34328" s="56"/>
    </row>
    <row r="34329" spans="1:1">
      <c r="A34329" s="56"/>
    </row>
    <row r="34330" spans="1:1">
      <c r="A34330" s="56"/>
    </row>
    <row r="34331" spans="1:1">
      <c r="A34331" s="56"/>
    </row>
    <row r="34332" spans="1:1">
      <c r="A34332" s="56"/>
    </row>
    <row r="34333" spans="1:1">
      <c r="A34333" s="56"/>
    </row>
    <row r="34334" spans="1:1">
      <c r="A34334" s="56"/>
    </row>
    <row r="34335" spans="1:1">
      <c r="A34335" s="56"/>
    </row>
    <row r="34336" spans="1:1">
      <c r="A34336" s="56"/>
    </row>
    <row r="34337" spans="1:1">
      <c r="A34337" s="56"/>
    </row>
    <row r="34338" spans="1:1">
      <c r="A34338" s="56"/>
    </row>
    <row r="34339" spans="1:1">
      <c r="A34339" s="56"/>
    </row>
    <row r="34340" spans="1:1">
      <c r="A34340" s="56"/>
    </row>
    <row r="34341" spans="1:1">
      <c r="A34341" s="56"/>
    </row>
    <row r="34342" spans="1:1">
      <c r="A34342" s="56"/>
    </row>
    <row r="34343" spans="1:1">
      <c r="A34343" s="56"/>
    </row>
    <row r="34344" spans="1:1">
      <c r="A34344" s="56"/>
    </row>
    <row r="34345" spans="1:1">
      <c r="A34345" s="56"/>
    </row>
    <row r="34346" spans="1:1">
      <c r="A34346" s="56"/>
    </row>
    <row r="34347" spans="1:1">
      <c r="A34347" s="56"/>
    </row>
    <row r="34348" spans="1:1">
      <c r="A34348" s="56"/>
    </row>
    <row r="34349" spans="1:1">
      <c r="A34349" s="56"/>
    </row>
    <row r="34350" spans="1:1">
      <c r="A34350" s="56"/>
    </row>
    <row r="34351" spans="1:1">
      <c r="A34351" s="56"/>
    </row>
    <row r="34352" spans="1:1">
      <c r="A34352" s="56"/>
    </row>
    <row r="34353" spans="1:1">
      <c r="A34353" s="56"/>
    </row>
    <row r="34354" spans="1:1">
      <c r="A34354" s="56"/>
    </row>
    <row r="34355" spans="1:1">
      <c r="A34355" s="56"/>
    </row>
    <row r="34356" spans="1:1">
      <c r="A34356" s="56"/>
    </row>
    <row r="34357" spans="1:1">
      <c r="A34357" s="56"/>
    </row>
    <row r="34358" spans="1:1">
      <c r="A34358" s="56"/>
    </row>
    <row r="34359" spans="1:1">
      <c r="A34359" s="56"/>
    </row>
    <row r="34360" spans="1:1">
      <c r="A34360" s="56"/>
    </row>
    <row r="34361" spans="1:1">
      <c r="A34361" s="56"/>
    </row>
    <row r="34362" spans="1:1">
      <c r="A34362" s="56"/>
    </row>
    <row r="34363" spans="1:1">
      <c r="A34363" s="56"/>
    </row>
    <row r="34364" spans="1:1">
      <c r="A34364" s="56"/>
    </row>
    <row r="34365" spans="1:1">
      <c r="A34365" s="56"/>
    </row>
    <row r="34366" spans="1:1">
      <c r="A34366" s="56"/>
    </row>
    <row r="34367" spans="1:1">
      <c r="A34367" s="56"/>
    </row>
    <row r="34368" spans="1:1">
      <c r="A34368" s="56"/>
    </row>
    <row r="34369" spans="1:1">
      <c r="A34369" s="56"/>
    </row>
    <row r="34370" spans="1:1">
      <c r="A34370" s="56"/>
    </row>
    <row r="34371" spans="1:1">
      <c r="A34371" s="56"/>
    </row>
    <row r="34372" spans="1:1">
      <c r="A34372" s="56"/>
    </row>
    <row r="34373" spans="1:1">
      <c r="A34373" s="56"/>
    </row>
    <row r="34374" spans="1:1">
      <c r="A34374" s="56"/>
    </row>
    <row r="34375" spans="1:1">
      <c r="A34375" s="56"/>
    </row>
    <row r="34376" spans="1:1">
      <c r="A34376" s="56"/>
    </row>
    <row r="34377" spans="1:1">
      <c r="A34377" s="56"/>
    </row>
    <row r="34378" spans="1:1">
      <c r="A34378" s="56"/>
    </row>
    <row r="34379" spans="1:1">
      <c r="A34379" s="56"/>
    </row>
    <row r="34380" spans="1:1">
      <c r="A34380" s="56"/>
    </row>
    <row r="34381" spans="1:1">
      <c r="A34381" s="56"/>
    </row>
    <row r="34382" spans="1:1">
      <c r="A34382" s="56"/>
    </row>
    <row r="34383" spans="1:1">
      <c r="A34383" s="56"/>
    </row>
    <row r="34384" spans="1:1">
      <c r="A34384" s="56"/>
    </row>
    <row r="34385" spans="1:1">
      <c r="A34385" s="56"/>
    </row>
    <row r="34386" spans="1:1">
      <c r="A34386" s="56"/>
    </row>
    <row r="34387" spans="1:1">
      <c r="A34387" s="56"/>
    </row>
    <row r="34388" spans="1:1">
      <c r="A34388" s="56"/>
    </row>
    <row r="34389" spans="1:1">
      <c r="A34389" s="56"/>
    </row>
    <row r="34390" spans="1:1">
      <c r="A34390" s="56"/>
    </row>
    <row r="34391" spans="1:1">
      <c r="A34391" s="56"/>
    </row>
    <row r="34392" spans="1:1">
      <c r="A34392" s="56"/>
    </row>
    <row r="34393" spans="1:1">
      <c r="A34393" s="56"/>
    </row>
    <row r="34394" spans="1:1">
      <c r="A34394" s="56"/>
    </row>
    <row r="34395" spans="1:1">
      <c r="A34395" s="56"/>
    </row>
    <row r="34396" spans="1:1">
      <c r="A34396" s="56"/>
    </row>
    <row r="34397" spans="1:1">
      <c r="A34397" s="56"/>
    </row>
    <row r="34398" spans="1:1">
      <c r="A34398" s="56"/>
    </row>
    <row r="34399" spans="1:1">
      <c r="A34399" s="56"/>
    </row>
    <row r="34400" spans="1:1">
      <c r="A34400" s="56"/>
    </row>
    <row r="34401" spans="1:1">
      <c r="A34401" s="56"/>
    </row>
    <row r="34402" spans="1:1">
      <c r="A34402" s="56"/>
    </row>
    <row r="34403" spans="1:1">
      <c r="A34403" s="56"/>
    </row>
    <row r="34404" spans="1:1">
      <c r="A34404" s="56"/>
    </row>
    <row r="34405" spans="1:1">
      <c r="A34405" s="56"/>
    </row>
    <row r="34406" spans="1:1">
      <c r="A34406" s="56"/>
    </row>
    <row r="34407" spans="1:1">
      <c r="A34407" s="56"/>
    </row>
    <row r="34408" spans="1:1">
      <c r="A34408" s="56"/>
    </row>
    <row r="34409" spans="1:1">
      <c r="A34409" s="56"/>
    </row>
    <row r="34410" spans="1:1">
      <c r="A34410" s="56"/>
    </row>
    <row r="34411" spans="1:1">
      <c r="A34411" s="56"/>
    </row>
    <row r="34412" spans="1:1">
      <c r="A34412" s="56"/>
    </row>
    <row r="34413" spans="1:1">
      <c r="A34413" s="56"/>
    </row>
    <row r="34414" spans="1:1">
      <c r="A34414" s="56"/>
    </row>
    <row r="34415" spans="1:1">
      <c r="A34415" s="56"/>
    </row>
    <row r="34416" spans="1:1">
      <c r="A34416" s="56"/>
    </row>
    <row r="34417" spans="1:1">
      <c r="A34417" s="56"/>
    </row>
    <row r="34418" spans="1:1">
      <c r="A34418" s="56"/>
    </row>
    <row r="34419" spans="1:1">
      <c r="A34419" s="56"/>
    </row>
    <row r="34420" spans="1:1">
      <c r="A34420" s="56"/>
    </row>
    <row r="34421" spans="1:1">
      <c r="A34421" s="56"/>
    </row>
    <row r="34422" spans="1:1">
      <c r="A34422" s="56"/>
    </row>
    <row r="34423" spans="1:1">
      <c r="A34423" s="56"/>
    </row>
    <row r="34424" spans="1:1">
      <c r="A34424" s="56"/>
    </row>
    <row r="34425" spans="1:1">
      <c r="A34425" s="56"/>
    </row>
    <row r="34426" spans="1:1">
      <c r="A34426" s="56"/>
    </row>
    <row r="34427" spans="1:1">
      <c r="A34427" s="56"/>
    </row>
    <row r="34428" spans="1:1">
      <c r="A34428" s="56"/>
    </row>
    <row r="34429" spans="1:1">
      <c r="A34429" s="56"/>
    </row>
    <row r="34430" spans="1:1">
      <c r="A34430" s="56"/>
    </row>
    <row r="34431" spans="1:1">
      <c r="A34431" s="56"/>
    </row>
    <row r="34432" spans="1:1">
      <c r="A34432" s="56"/>
    </row>
    <row r="34433" spans="1:1">
      <c r="A34433" s="56"/>
    </row>
    <row r="34434" spans="1:1">
      <c r="A34434" s="56"/>
    </row>
    <row r="34435" spans="1:1">
      <c r="A34435" s="56"/>
    </row>
    <row r="34436" spans="1:1">
      <c r="A34436" s="56"/>
    </row>
    <row r="34437" spans="1:1">
      <c r="A34437" s="56"/>
    </row>
    <row r="34438" spans="1:1">
      <c r="A34438" s="56"/>
    </row>
    <row r="34439" spans="1:1">
      <c r="A34439" s="56"/>
    </row>
    <row r="34440" spans="1:1">
      <c r="A34440" s="56"/>
    </row>
    <row r="34441" spans="1:1">
      <c r="A34441" s="56"/>
    </row>
    <row r="34442" spans="1:1">
      <c r="A34442" s="56"/>
    </row>
    <row r="34443" spans="1:1">
      <c r="A34443" s="56"/>
    </row>
    <row r="34444" spans="1:1">
      <c r="A34444" s="56"/>
    </row>
    <row r="34445" spans="1:1">
      <c r="A34445" s="56"/>
    </row>
    <row r="34446" spans="1:1">
      <c r="A34446" s="56"/>
    </row>
    <row r="34447" spans="1:1">
      <c r="A34447" s="56"/>
    </row>
    <row r="34448" spans="1:1">
      <c r="A34448" s="56"/>
    </row>
    <row r="34449" spans="1:1">
      <c r="A34449" s="56"/>
    </row>
    <row r="34450" spans="1:1">
      <c r="A34450" s="56"/>
    </row>
    <row r="34451" spans="1:1">
      <c r="A34451" s="56"/>
    </row>
    <row r="34452" spans="1:1">
      <c r="A34452" s="56"/>
    </row>
    <row r="34453" spans="1:1">
      <c r="A34453" s="56"/>
    </row>
    <row r="34454" spans="1:1">
      <c r="A34454" s="56"/>
    </row>
    <row r="34455" spans="1:1">
      <c r="A34455" s="56"/>
    </row>
    <row r="34456" spans="1:1">
      <c r="A34456" s="56"/>
    </row>
    <row r="34457" spans="1:1">
      <c r="A34457" s="56"/>
    </row>
    <row r="34458" spans="1:1">
      <c r="A34458" s="56"/>
    </row>
    <row r="34459" spans="1:1">
      <c r="A34459" s="56"/>
    </row>
    <row r="34460" spans="1:1">
      <c r="A34460" s="56"/>
    </row>
    <row r="34461" spans="1:1">
      <c r="A34461" s="56"/>
    </row>
    <row r="34462" spans="1:1">
      <c r="A34462" s="56"/>
    </row>
    <row r="34463" spans="1:1">
      <c r="A34463" s="56"/>
    </row>
    <row r="34464" spans="1:1">
      <c r="A34464" s="56"/>
    </row>
    <row r="34465" spans="1:1">
      <c r="A34465" s="56"/>
    </row>
    <row r="34466" spans="1:1">
      <c r="A34466" s="56"/>
    </row>
    <row r="34467" spans="1:1">
      <c r="A34467" s="56"/>
    </row>
    <row r="34468" spans="1:1">
      <c r="A34468" s="56"/>
    </row>
    <row r="34469" spans="1:1">
      <c r="A34469" s="56"/>
    </row>
    <row r="34470" spans="1:1">
      <c r="A34470" s="56"/>
    </row>
    <row r="34471" spans="1:1">
      <c r="A34471" s="56"/>
    </row>
    <row r="34472" spans="1:1">
      <c r="A34472" s="56"/>
    </row>
    <row r="34473" spans="1:1">
      <c r="A34473" s="56"/>
    </row>
    <row r="34474" spans="1:1">
      <c r="A34474" s="56"/>
    </row>
    <row r="34475" spans="1:1">
      <c r="A34475" s="56"/>
    </row>
    <row r="34476" spans="1:1">
      <c r="A34476" s="56"/>
    </row>
    <row r="34477" spans="1:1">
      <c r="A34477" s="56"/>
    </row>
    <row r="34478" spans="1:1">
      <c r="A34478" s="56"/>
    </row>
    <row r="34479" spans="1:1">
      <c r="A34479" s="56"/>
    </row>
    <row r="34480" spans="1:1">
      <c r="A34480" s="56"/>
    </row>
    <row r="34481" spans="1:1">
      <c r="A34481" s="56"/>
    </row>
    <row r="34482" spans="1:1">
      <c r="A34482" s="56"/>
    </row>
    <row r="34483" spans="1:1">
      <c r="A34483" s="56"/>
    </row>
    <row r="34484" spans="1:1">
      <c r="A34484" s="56"/>
    </row>
    <row r="34485" spans="1:1">
      <c r="A34485" s="56"/>
    </row>
    <row r="34486" spans="1:1">
      <c r="A34486" s="56"/>
    </row>
    <row r="34487" spans="1:1">
      <c r="A34487" s="56"/>
    </row>
    <row r="34488" spans="1:1">
      <c r="A34488" s="56"/>
    </row>
    <row r="34489" spans="1:1">
      <c r="A34489" s="56"/>
    </row>
    <row r="34490" spans="1:1">
      <c r="A34490" s="56"/>
    </row>
    <row r="34491" spans="1:1">
      <c r="A34491" s="56"/>
    </row>
    <row r="34492" spans="1:1">
      <c r="A34492" s="56"/>
    </row>
    <row r="34493" spans="1:1">
      <c r="A34493" s="56"/>
    </row>
    <row r="34494" spans="1:1">
      <c r="A34494" s="56"/>
    </row>
    <row r="34495" spans="1:1">
      <c r="A34495" s="56"/>
    </row>
    <row r="34496" spans="1:1">
      <c r="A34496" s="56"/>
    </row>
    <row r="34497" spans="1:1">
      <c r="A34497" s="56"/>
    </row>
    <row r="34498" spans="1:1">
      <c r="A34498" s="56"/>
    </row>
    <row r="34499" spans="1:1">
      <c r="A34499" s="56"/>
    </row>
    <row r="34500" spans="1:1">
      <c r="A34500" s="56"/>
    </row>
    <row r="34501" spans="1:1">
      <c r="A34501" s="56"/>
    </row>
    <row r="34502" spans="1:1">
      <c r="A34502" s="56"/>
    </row>
    <row r="34503" spans="1:1">
      <c r="A34503" s="56"/>
    </row>
    <row r="34504" spans="1:1">
      <c r="A34504" s="56"/>
    </row>
    <row r="34505" spans="1:1">
      <c r="A34505" s="56"/>
    </row>
    <row r="34506" spans="1:1">
      <c r="A34506" s="56"/>
    </row>
    <row r="34507" spans="1:1">
      <c r="A34507" s="56"/>
    </row>
    <row r="34508" spans="1:1">
      <c r="A34508" s="56"/>
    </row>
    <row r="34509" spans="1:1">
      <c r="A34509" s="56"/>
    </row>
    <row r="34510" spans="1:1">
      <c r="A34510" s="56"/>
    </row>
    <row r="34511" spans="1:1">
      <c r="A34511" s="56"/>
    </row>
    <row r="34512" spans="1:1">
      <c r="A34512" s="56"/>
    </row>
    <row r="34513" spans="1:1">
      <c r="A34513" s="56"/>
    </row>
    <row r="34514" spans="1:1">
      <c r="A34514" s="56"/>
    </row>
    <row r="34515" spans="1:1">
      <c r="A34515" s="56"/>
    </row>
    <row r="34516" spans="1:1">
      <c r="A34516" s="56"/>
    </row>
    <row r="34517" spans="1:1">
      <c r="A34517" s="56"/>
    </row>
    <row r="34518" spans="1:1">
      <c r="A34518" s="56"/>
    </row>
    <row r="34519" spans="1:1">
      <c r="A34519" s="56"/>
    </row>
    <row r="34520" spans="1:1">
      <c r="A34520" s="56"/>
    </row>
    <row r="34521" spans="1:1">
      <c r="A34521" s="56"/>
    </row>
    <row r="34522" spans="1:1">
      <c r="A34522" s="56"/>
    </row>
    <row r="34523" spans="1:1">
      <c r="A34523" s="56"/>
    </row>
    <row r="34524" spans="1:1">
      <c r="A34524" s="56"/>
    </row>
    <row r="34525" spans="1:1">
      <c r="A34525" s="56"/>
    </row>
    <row r="34526" spans="1:1">
      <c r="A34526" s="56"/>
    </row>
    <row r="34527" spans="1:1">
      <c r="A34527" s="56"/>
    </row>
    <row r="34528" spans="1:1">
      <c r="A34528" s="56"/>
    </row>
    <row r="34529" spans="1:1">
      <c r="A34529" s="56"/>
    </row>
    <row r="34530" spans="1:1">
      <c r="A34530" s="56"/>
    </row>
    <row r="34531" spans="1:1">
      <c r="A34531" s="56"/>
    </row>
    <row r="34532" spans="1:1">
      <c r="A34532" s="56"/>
    </row>
    <row r="34533" spans="1:1">
      <c r="A34533" s="56"/>
    </row>
    <row r="34534" spans="1:1">
      <c r="A34534" s="56"/>
    </row>
    <row r="34535" spans="1:1">
      <c r="A34535" s="56"/>
    </row>
    <row r="34536" spans="1:1">
      <c r="A34536" s="56"/>
    </row>
    <row r="34537" spans="1:1">
      <c r="A34537" s="56"/>
    </row>
    <row r="34538" spans="1:1">
      <c r="A34538" s="56"/>
    </row>
    <row r="34539" spans="1:1">
      <c r="A34539" s="56"/>
    </row>
    <row r="34540" spans="1:1">
      <c r="A34540" s="56"/>
    </row>
    <row r="34541" spans="1:1">
      <c r="A34541" s="56"/>
    </row>
    <row r="34542" spans="1:1">
      <c r="A34542" s="56"/>
    </row>
    <row r="34543" spans="1:1">
      <c r="A34543" s="56"/>
    </row>
    <row r="34544" spans="1:1">
      <c r="A34544" s="56"/>
    </row>
    <row r="34545" spans="1:1">
      <c r="A34545" s="56"/>
    </row>
    <row r="34546" spans="1:1">
      <c r="A34546" s="56"/>
    </row>
    <row r="34547" spans="1:1">
      <c r="A34547" s="56"/>
    </row>
    <row r="34548" spans="1:1">
      <c r="A34548" s="56"/>
    </row>
    <row r="34549" spans="1:1">
      <c r="A34549" s="56"/>
    </row>
    <row r="34550" spans="1:1">
      <c r="A34550" s="56"/>
    </row>
    <row r="34551" spans="1:1">
      <c r="A34551" s="56"/>
    </row>
    <row r="34552" spans="1:1">
      <c r="A34552" s="56"/>
    </row>
    <row r="34553" spans="1:1">
      <c r="A34553" s="56"/>
    </row>
    <row r="34554" spans="1:1">
      <c r="A34554" s="56"/>
    </row>
    <row r="34555" spans="1:1">
      <c r="A34555" s="56"/>
    </row>
    <row r="34556" spans="1:1">
      <c r="A34556" s="56"/>
    </row>
    <row r="34557" spans="1:1">
      <c r="A34557" s="56"/>
    </row>
    <row r="34558" spans="1:1">
      <c r="A34558" s="56"/>
    </row>
    <row r="34559" spans="1:1">
      <c r="A34559" s="56"/>
    </row>
    <row r="34560" spans="1:1">
      <c r="A34560" s="56"/>
    </row>
    <row r="34561" spans="1:1">
      <c r="A34561" s="56"/>
    </row>
    <row r="34562" spans="1:1">
      <c r="A34562" s="56"/>
    </row>
    <row r="34563" spans="1:1">
      <c r="A34563" s="56"/>
    </row>
    <row r="34564" spans="1:1">
      <c r="A34564" s="56"/>
    </row>
    <row r="34565" spans="1:1">
      <c r="A34565" s="56"/>
    </row>
    <row r="34566" spans="1:1">
      <c r="A34566" s="56"/>
    </row>
    <row r="34567" spans="1:1">
      <c r="A34567" s="56"/>
    </row>
    <row r="34568" spans="1:1">
      <c r="A34568" s="56"/>
    </row>
    <row r="34569" spans="1:1">
      <c r="A34569" s="56"/>
    </row>
    <row r="34570" spans="1:1">
      <c r="A34570" s="56"/>
    </row>
    <row r="34571" spans="1:1">
      <c r="A34571" s="56"/>
    </row>
    <row r="34572" spans="1:1">
      <c r="A34572" s="56"/>
    </row>
    <row r="34573" spans="1:1">
      <c r="A34573" s="56"/>
    </row>
    <row r="34574" spans="1:1">
      <c r="A34574" s="56"/>
    </row>
    <row r="34575" spans="1:1">
      <c r="A34575" s="56"/>
    </row>
    <row r="34576" spans="1:1">
      <c r="A34576" s="56"/>
    </row>
    <row r="34577" spans="1:1">
      <c r="A34577" s="56"/>
    </row>
    <row r="34578" spans="1:1">
      <c r="A34578" s="56"/>
    </row>
    <row r="34579" spans="1:1">
      <c r="A34579" s="56"/>
    </row>
    <row r="34580" spans="1:1">
      <c r="A34580" s="56"/>
    </row>
    <row r="34581" spans="1:1">
      <c r="A34581" s="56"/>
    </row>
    <row r="34582" spans="1:1">
      <c r="A34582" s="56"/>
    </row>
    <row r="34583" spans="1:1">
      <c r="A34583" s="56"/>
    </row>
    <row r="34584" spans="1:1">
      <c r="A34584" s="56"/>
    </row>
    <row r="34585" spans="1:1">
      <c r="A34585" s="56"/>
    </row>
    <row r="34586" spans="1:1">
      <c r="A34586" s="56"/>
    </row>
    <row r="34587" spans="1:1">
      <c r="A34587" s="56"/>
    </row>
    <row r="34588" spans="1:1">
      <c r="A34588" s="56"/>
    </row>
    <row r="34589" spans="1:1">
      <c r="A34589" s="56"/>
    </row>
    <row r="34590" spans="1:1">
      <c r="A34590" s="56"/>
    </row>
    <row r="34591" spans="1:1">
      <c r="A34591" s="56"/>
    </row>
    <row r="34592" spans="1:1">
      <c r="A34592" s="56"/>
    </row>
    <row r="34593" spans="1:1">
      <c r="A34593" s="56"/>
    </row>
    <row r="34594" spans="1:1">
      <c r="A34594" s="56"/>
    </row>
    <row r="34595" spans="1:1">
      <c r="A34595" s="56"/>
    </row>
    <row r="34596" spans="1:1">
      <c r="A34596" s="56"/>
    </row>
    <row r="34597" spans="1:1">
      <c r="A34597" s="56"/>
    </row>
    <row r="34598" spans="1:1">
      <c r="A34598" s="56"/>
    </row>
    <row r="34599" spans="1:1">
      <c r="A34599" s="56"/>
    </row>
    <row r="34600" spans="1:1">
      <c r="A34600" s="56"/>
    </row>
    <row r="34601" spans="1:1">
      <c r="A34601" s="56"/>
    </row>
    <row r="34602" spans="1:1">
      <c r="A34602" s="56"/>
    </row>
    <row r="34603" spans="1:1">
      <c r="A34603" s="56"/>
    </row>
    <row r="34604" spans="1:1">
      <c r="A34604" s="56"/>
    </row>
    <row r="34605" spans="1:1">
      <c r="A34605" s="56"/>
    </row>
    <row r="34606" spans="1:1">
      <c r="A34606" s="56"/>
    </row>
    <row r="34607" spans="1:1">
      <c r="A34607" s="56"/>
    </row>
    <row r="34608" spans="1:1">
      <c r="A34608" s="56"/>
    </row>
    <row r="34609" spans="1:1">
      <c r="A34609" s="56"/>
    </row>
    <row r="34610" spans="1:1">
      <c r="A34610" s="56"/>
    </row>
    <row r="34611" spans="1:1">
      <c r="A34611" s="56"/>
    </row>
    <row r="34612" spans="1:1">
      <c r="A34612" s="56"/>
    </row>
    <row r="34613" spans="1:1">
      <c r="A34613" s="56"/>
    </row>
    <row r="34614" spans="1:1">
      <c r="A34614" s="56"/>
    </row>
    <row r="34615" spans="1:1">
      <c r="A34615" s="56"/>
    </row>
    <row r="34616" spans="1:1">
      <c r="A34616" s="56"/>
    </row>
    <row r="34617" spans="1:1">
      <c r="A34617" s="56"/>
    </row>
    <row r="34618" spans="1:1">
      <c r="A34618" s="56"/>
    </row>
    <row r="34619" spans="1:1">
      <c r="A34619" s="56"/>
    </row>
    <row r="34620" spans="1:1">
      <c r="A34620" s="56"/>
    </row>
    <row r="34621" spans="1:1">
      <c r="A34621" s="56"/>
    </row>
    <row r="34622" spans="1:1">
      <c r="A34622" s="56"/>
    </row>
    <row r="34623" spans="1:1">
      <c r="A34623" s="56"/>
    </row>
    <row r="34624" spans="1:1">
      <c r="A34624" s="56"/>
    </row>
    <row r="34625" spans="1:1">
      <c r="A34625" s="56"/>
    </row>
    <row r="34626" spans="1:1">
      <c r="A34626" s="56"/>
    </row>
    <row r="34627" spans="1:1">
      <c r="A34627" s="56"/>
    </row>
    <row r="34628" spans="1:1">
      <c r="A34628" s="56"/>
    </row>
    <row r="34629" spans="1:1">
      <c r="A34629" s="56"/>
    </row>
    <row r="34630" spans="1:1">
      <c r="A34630" s="56"/>
    </row>
    <row r="34631" spans="1:1">
      <c r="A34631" s="56"/>
    </row>
    <row r="34632" spans="1:1">
      <c r="A34632" s="56"/>
    </row>
    <row r="34633" spans="1:1">
      <c r="A34633" s="56"/>
    </row>
    <row r="34634" spans="1:1">
      <c r="A34634" s="56"/>
    </row>
    <row r="34635" spans="1:1">
      <c r="A34635" s="56"/>
    </row>
    <row r="34636" spans="1:1">
      <c r="A34636" s="56"/>
    </row>
    <row r="34637" spans="1:1">
      <c r="A34637" s="56"/>
    </row>
    <row r="34638" spans="1:1">
      <c r="A34638" s="56"/>
    </row>
    <row r="34639" spans="1:1">
      <c r="A34639" s="56"/>
    </row>
    <row r="34640" spans="1:1">
      <c r="A34640" s="56"/>
    </row>
    <row r="34641" spans="1:1">
      <c r="A34641" s="56"/>
    </row>
    <row r="34642" spans="1:1">
      <c r="A34642" s="56"/>
    </row>
    <row r="34643" spans="1:1">
      <c r="A34643" s="56"/>
    </row>
    <row r="34644" spans="1:1">
      <c r="A34644" s="56"/>
    </row>
    <row r="34645" spans="1:1">
      <c r="A34645" s="56"/>
    </row>
    <row r="34646" spans="1:1">
      <c r="A34646" s="56"/>
    </row>
    <row r="34647" spans="1:1">
      <c r="A34647" s="56"/>
    </row>
    <row r="34648" spans="1:1">
      <c r="A34648" s="56"/>
    </row>
    <row r="34649" spans="1:1">
      <c r="A34649" s="56"/>
    </row>
    <row r="34650" spans="1:1">
      <c r="A34650" s="56"/>
    </row>
    <row r="34651" spans="1:1">
      <c r="A34651" s="56"/>
    </row>
    <row r="34652" spans="1:1">
      <c r="A34652" s="56"/>
    </row>
    <row r="34653" spans="1:1">
      <c r="A34653" s="56"/>
    </row>
    <row r="34654" spans="1:1">
      <c r="A34654" s="56"/>
    </row>
    <row r="34655" spans="1:1">
      <c r="A34655" s="56"/>
    </row>
    <row r="34656" spans="1:1">
      <c r="A34656" s="56"/>
    </row>
    <row r="34657" spans="1:1">
      <c r="A34657" s="56"/>
    </row>
    <row r="34658" spans="1:1">
      <c r="A34658" s="56"/>
    </row>
    <row r="34659" spans="1:1">
      <c r="A34659" s="56"/>
    </row>
    <row r="34660" spans="1:1">
      <c r="A34660" s="56"/>
    </row>
    <row r="34661" spans="1:1">
      <c r="A34661" s="56"/>
    </row>
    <row r="34662" spans="1:1">
      <c r="A34662" s="56"/>
    </row>
    <row r="34663" spans="1:1">
      <c r="A34663" s="56"/>
    </row>
    <row r="34664" spans="1:1">
      <c r="A34664" s="56"/>
    </row>
    <row r="34665" spans="1:1">
      <c r="A34665" s="56"/>
    </row>
    <row r="34666" spans="1:1">
      <c r="A34666" s="56"/>
    </row>
    <row r="34667" spans="1:1">
      <c r="A34667" s="56"/>
    </row>
    <row r="34668" spans="1:1">
      <c r="A34668" s="56"/>
    </row>
    <row r="34669" spans="1:1">
      <c r="A34669" s="56"/>
    </row>
    <row r="34670" spans="1:1">
      <c r="A34670" s="56"/>
    </row>
    <row r="34671" spans="1:1">
      <c r="A34671" s="56"/>
    </row>
    <row r="34672" spans="1:1">
      <c r="A34672" s="56"/>
    </row>
    <row r="34673" spans="1:1">
      <c r="A34673" s="56"/>
    </row>
    <row r="34674" spans="1:1">
      <c r="A34674" s="56"/>
    </row>
    <row r="34675" spans="1:1">
      <c r="A34675" s="56"/>
    </row>
    <row r="34676" spans="1:1">
      <c r="A34676" s="56"/>
    </row>
    <row r="34677" spans="1:1">
      <c r="A34677" s="56"/>
    </row>
    <row r="34678" spans="1:1">
      <c r="A34678" s="56"/>
    </row>
    <row r="34679" spans="1:1">
      <c r="A34679" s="56"/>
    </row>
    <row r="34680" spans="1:1">
      <c r="A34680" s="56"/>
    </row>
    <row r="34681" spans="1:1">
      <c r="A34681" s="56"/>
    </row>
    <row r="34682" spans="1:1">
      <c r="A34682" s="56"/>
    </row>
    <row r="34683" spans="1:1">
      <c r="A34683" s="56"/>
    </row>
    <row r="34684" spans="1:1">
      <c r="A34684" s="56"/>
    </row>
    <row r="34685" spans="1:1">
      <c r="A34685" s="56"/>
    </row>
    <row r="34686" spans="1:1">
      <c r="A34686" s="56"/>
    </row>
    <row r="34687" spans="1:1">
      <c r="A34687" s="56"/>
    </row>
    <row r="34688" spans="1:1">
      <c r="A34688" s="56"/>
    </row>
    <row r="34689" spans="1:1">
      <c r="A34689" s="56"/>
    </row>
    <row r="34690" spans="1:1">
      <c r="A34690" s="56"/>
    </row>
    <row r="34691" spans="1:1">
      <c r="A34691" s="56"/>
    </row>
    <row r="34692" spans="1:1">
      <c r="A34692" s="56"/>
    </row>
    <row r="34693" spans="1:1">
      <c r="A34693" s="56"/>
    </row>
    <row r="34694" spans="1:1">
      <c r="A34694" s="56"/>
    </row>
    <row r="34695" spans="1:1">
      <c r="A34695" s="56"/>
    </row>
    <row r="34696" spans="1:1">
      <c r="A34696" s="56"/>
    </row>
    <row r="34697" spans="1:1">
      <c r="A34697" s="56"/>
    </row>
    <row r="34698" spans="1:1">
      <c r="A34698" s="56"/>
    </row>
    <row r="34699" spans="1:1">
      <c r="A34699" s="56"/>
    </row>
    <row r="34700" spans="1:1">
      <c r="A34700" s="56"/>
    </row>
    <row r="34701" spans="1:1">
      <c r="A34701" s="56"/>
    </row>
    <row r="34702" spans="1:1">
      <c r="A34702" s="56"/>
    </row>
    <row r="34703" spans="1:1">
      <c r="A34703" s="56"/>
    </row>
    <row r="34704" spans="1:1">
      <c r="A34704" s="56"/>
    </row>
    <row r="34705" spans="1:1">
      <c r="A34705" s="56"/>
    </row>
    <row r="34706" spans="1:1">
      <c r="A34706" s="56"/>
    </row>
    <row r="34707" spans="1:1">
      <c r="A34707" s="56"/>
    </row>
    <row r="34708" spans="1:1">
      <c r="A34708" s="56"/>
    </row>
    <row r="34709" spans="1:1">
      <c r="A34709" s="56"/>
    </row>
    <row r="34710" spans="1:1">
      <c r="A34710" s="56"/>
    </row>
    <row r="34711" spans="1:1">
      <c r="A34711" s="56"/>
    </row>
    <row r="34712" spans="1:1">
      <c r="A34712" s="56"/>
    </row>
    <row r="34713" spans="1:1">
      <c r="A34713" s="56"/>
    </row>
    <row r="34714" spans="1:1">
      <c r="A34714" s="56"/>
    </row>
    <row r="34715" spans="1:1">
      <c r="A34715" s="56"/>
    </row>
    <row r="34716" spans="1:1">
      <c r="A34716" s="56"/>
    </row>
    <row r="34717" spans="1:1">
      <c r="A34717" s="56"/>
    </row>
    <row r="34718" spans="1:1">
      <c r="A34718" s="56"/>
    </row>
    <row r="34719" spans="1:1">
      <c r="A34719" s="56"/>
    </row>
    <row r="34720" spans="1:1">
      <c r="A34720" s="56"/>
    </row>
    <row r="34721" spans="1:1">
      <c r="A34721" s="56"/>
    </row>
    <row r="34722" spans="1:1">
      <c r="A34722" s="56"/>
    </row>
    <row r="34723" spans="1:1">
      <c r="A34723" s="56"/>
    </row>
    <row r="34724" spans="1:1">
      <c r="A34724" s="56"/>
    </row>
    <row r="34725" spans="1:1">
      <c r="A34725" s="56"/>
    </row>
    <row r="34726" spans="1:1">
      <c r="A34726" s="56"/>
    </row>
    <row r="34727" spans="1:1">
      <c r="A34727" s="56"/>
    </row>
    <row r="34728" spans="1:1">
      <c r="A34728" s="56"/>
    </row>
    <row r="34729" spans="1:1">
      <c r="A34729" s="56"/>
    </row>
    <row r="34730" spans="1:1">
      <c r="A34730" s="56"/>
    </row>
    <row r="34731" spans="1:1">
      <c r="A34731" s="56"/>
    </row>
    <row r="34732" spans="1:1">
      <c r="A34732" s="56"/>
    </row>
    <row r="34733" spans="1:1">
      <c r="A34733" s="56"/>
    </row>
    <row r="34734" spans="1:1">
      <c r="A34734" s="56"/>
    </row>
    <row r="34735" spans="1:1">
      <c r="A34735" s="56"/>
    </row>
    <row r="34736" spans="1:1">
      <c r="A34736" s="56"/>
    </row>
    <row r="34737" spans="1:1">
      <c r="A34737" s="56"/>
    </row>
    <row r="34738" spans="1:1">
      <c r="A34738" s="56"/>
    </row>
    <row r="34739" spans="1:1">
      <c r="A34739" s="56"/>
    </row>
    <row r="34740" spans="1:1">
      <c r="A34740" s="56"/>
    </row>
    <row r="34741" spans="1:1">
      <c r="A34741" s="56"/>
    </row>
    <row r="34742" spans="1:1">
      <c r="A34742" s="56"/>
    </row>
    <row r="34743" spans="1:1">
      <c r="A34743" s="56"/>
    </row>
    <row r="34744" spans="1:1">
      <c r="A34744" s="56"/>
    </row>
    <row r="34745" spans="1:1">
      <c r="A34745" s="56"/>
    </row>
    <row r="34746" spans="1:1">
      <c r="A34746" s="56"/>
    </row>
    <row r="34747" spans="1:1">
      <c r="A34747" s="56"/>
    </row>
    <row r="34748" spans="1:1">
      <c r="A34748" s="56"/>
    </row>
    <row r="34749" spans="1:1">
      <c r="A34749" s="56"/>
    </row>
    <row r="34750" spans="1:1">
      <c r="A34750" s="56"/>
    </row>
    <row r="34751" spans="1:1">
      <c r="A34751" s="56"/>
    </row>
    <row r="34752" spans="1:1">
      <c r="A34752" s="56"/>
    </row>
    <row r="34753" spans="1:1">
      <c r="A34753" s="56"/>
    </row>
    <row r="34754" spans="1:1">
      <c r="A34754" s="56"/>
    </row>
    <row r="34755" spans="1:1">
      <c r="A34755" s="56"/>
    </row>
    <row r="34756" spans="1:1">
      <c r="A34756" s="56"/>
    </row>
    <row r="34757" spans="1:1">
      <c r="A34757" s="56"/>
    </row>
    <row r="34758" spans="1:1">
      <c r="A34758" s="56"/>
    </row>
    <row r="34759" spans="1:1">
      <c r="A34759" s="56"/>
    </row>
    <row r="34760" spans="1:1">
      <c r="A34760" s="56"/>
    </row>
    <row r="34761" spans="1:1">
      <c r="A34761" s="56"/>
    </row>
    <row r="34762" spans="1:1">
      <c r="A34762" s="56"/>
    </row>
    <row r="34763" spans="1:1">
      <c r="A34763" s="56"/>
    </row>
    <row r="34764" spans="1:1">
      <c r="A34764" s="56"/>
    </row>
    <row r="34765" spans="1:1">
      <c r="A34765" s="56"/>
    </row>
    <row r="34766" spans="1:1">
      <c r="A34766" s="56"/>
    </row>
    <row r="34767" spans="1:1">
      <c r="A34767" s="56"/>
    </row>
    <row r="34768" spans="1:1">
      <c r="A34768" s="56"/>
    </row>
    <row r="34769" spans="1:1">
      <c r="A34769" s="56"/>
    </row>
    <row r="34770" spans="1:1">
      <c r="A34770" s="56"/>
    </row>
    <row r="34771" spans="1:1">
      <c r="A34771" s="56"/>
    </row>
    <row r="34772" spans="1:1">
      <c r="A34772" s="56"/>
    </row>
    <row r="34773" spans="1:1">
      <c r="A34773" s="56"/>
    </row>
    <row r="34774" spans="1:1">
      <c r="A34774" s="56"/>
    </row>
    <row r="34775" spans="1:1">
      <c r="A34775" s="56"/>
    </row>
    <row r="34776" spans="1:1">
      <c r="A34776" s="56"/>
    </row>
    <row r="34777" spans="1:1">
      <c r="A34777" s="56"/>
    </row>
    <row r="34778" spans="1:1">
      <c r="A34778" s="56"/>
    </row>
    <row r="34779" spans="1:1">
      <c r="A34779" s="56"/>
    </row>
    <row r="34780" spans="1:1">
      <c r="A34780" s="56"/>
    </row>
    <row r="34781" spans="1:1">
      <c r="A34781" s="56"/>
    </row>
    <row r="34782" spans="1:1">
      <c r="A34782" s="56"/>
    </row>
    <row r="34783" spans="1:1">
      <c r="A34783" s="56"/>
    </row>
    <row r="34784" spans="1:1">
      <c r="A34784" s="56"/>
    </row>
    <row r="34785" spans="1:1">
      <c r="A34785" s="56"/>
    </row>
    <row r="34786" spans="1:1">
      <c r="A34786" s="56"/>
    </row>
    <row r="34787" spans="1:1">
      <c r="A34787" s="56"/>
    </row>
    <row r="34788" spans="1:1">
      <c r="A34788" s="56"/>
    </row>
    <row r="34789" spans="1:1">
      <c r="A34789" s="56"/>
    </row>
    <row r="34790" spans="1:1">
      <c r="A34790" s="56"/>
    </row>
    <row r="34791" spans="1:1">
      <c r="A34791" s="56"/>
    </row>
    <row r="34792" spans="1:1">
      <c r="A34792" s="56"/>
    </row>
    <row r="34793" spans="1:1">
      <c r="A34793" s="56"/>
    </row>
    <row r="34794" spans="1:1">
      <c r="A34794" s="56"/>
    </row>
    <row r="34795" spans="1:1">
      <c r="A34795" s="56"/>
    </row>
    <row r="34796" spans="1:1">
      <c r="A34796" s="56"/>
    </row>
    <row r="34797" spans="1:1">
      <c r="A34797" s="56"/>
    </row>
    <row r="34798" spans="1:1">
      <c r="A34798" s="56"/>
    </row>
    <row r="34799" spans="1:1">
      <c r="A34799" s="56"/>
    </row>
    <row r="34800" spans="1:1">
      <c r="A34800" s="56"/>
    </row>
    <row r="34801" spans="1:1">
      <c r="A34801" s="56"/>
    </row>
    <row r="34802" spans="1:1">
      <c r="A34802" s="56"/>
    </row>
    <row r="34803" spans="1:1">
      <c r="A34803" s="56"/>
    </row>
    <row r="34804" spans="1:1">
      <c r="A34804" s="56"/>
    </row>
    <row r="34805" spans="1:1">
      <c r="A34805" s="56"/>
    </row>
    <row r="34806" spans="1:1">
      <c r="A34806" s="56"/>
    </row>
    <row r="34807" spans="1:1">
      <c r="A34807" s="56"/>
    </row>
    <row r="34808" spans="1:1">
      <c r="A34808" s="56"/>
    </row>
    <row r="34809" spans="1:1">
      <c r="A34809" s="56"/>
    </row>
    <row r="34810" spans="1:1">
      <c r="A34810" s="56"/>
    </row>
    <row r="34811" spans="1:1">
      <c r="A34811" s="56"/>
    </row>
    <row r="34812" spans="1:1">
      <c r="A34812" s="56"/>
    </row>
    <row r="34813" spans="1:1">
      <c r="A34813" s="56"/>
    </row>
    <row r="34814" spans="1:1">
      <c r="A34814" s="56"/>
    </row>
    <row r="34815" spans="1:1">
      <c r="A34815" s="56"/>
    </row>
    <row r="34816" spans="1:1">
      <c r="A34816" s="56"/>
    </row>
    <row r="34817" spans="1:1">
      <c r="A34817" s="56"/>
    </row>
    <row r="34818" spans="1:1">
      <c r="A34818" s="56"/>
    </row>
    <row r="34819" spans="1:1">
      <c r="A34819" s="56"/>
    </row>
    <row r="34820" spans="1:1">
      <c r="A34820" s="56"/>
    </row>
    <row r="34821" spans="1:1">
      <c r="A34821" s="56"/>
    </row>
    <row r="34822" spans="1:1">
      <c r="A34822" s="56"/>
    </row>
    <row r="34823" spans="1:1">
      <c r="A34823" s="56"/>
    </row>
    <row r="34824" spans="1:1">
      <c r="A34824" s="56"/>
    </row>
    <row r="34825" spans="1:1">
      <c r="A34825" s="56"/>
    </row>
    <row r="34826" spans="1:1">
      <c r="A34826" s="56"/>
    </row>
    <row r="34827" spans="1:1">
      <c r="A34827" s="56"/>
    </row>
    <row r="34828" spans="1:1">
      <c r="A34828" s="56"/>
    </row>
    <row r="34829" spans="1:1">
      <c r="A34829" s="56"/>
    </row>
    <row r="34830" spans="1:1">
      <c r="A34830" s="56"/>
    </row>
    <row r="34831" spans="1:1">
      <c r="A34831" s="56"/>
    </row>
    <row r="34832" spans="1:1">
      <c r="A34832" s="56"/>
    </row>
    <row r="34833" spans="1:1">
      <c r="A34833" s="56"/>
    </row>
    <row r="34834" spans="1:1">
      <c r="A34834" s="56"/>
    </row>
    <row r="34835" spans="1:1">
      <c r="A34835" s="56"/>
    </row>
    <row r="34836" spans="1:1">
      <c r="A34836" s="56"/>
    </row>
    <row r="34837" spans="1:1">
      <c r="A34837" s="56"/>
    </row>
    <row r="34838" spans="1:1">
      <c r="A34838" s="56"/>
    </row>
    <row r="34839" spans="1:1">
      <c r="A34839" s="56"/>
    </row>
    <row r="34840" spans="1:1">
      <c r="A34840" s="56"/>
    </row>
    <row r="34841" spans="1:1">
      <c r="A34841" s="56"/>
    </row>
    <row r="34842" spans="1:1">
      <c r="A34842" s="56"/>
    </row>
    <row r="34843" spans="1:1">
      <c r="A34843" s="56"/>
    </row>
    <row r="34844" spans="1:1">
      <c r="A34844" s="56"/>
    </row>
    <row r="34845" spans="1:1">
      <c r="A34845" s="56"/>
    </row>
    <row r="34846" spans="1:1">
      <c r="A34846" s="56"/>
    </row>
    <row r="34847" spans="1:1">
      <c r="A34847" s="56"/>
    </row>
    <row r="34848" spans="1:1">
      <c r="A34848" s="56"/>
    </row>
    <row r="34849" spans="1:1">
      <c r="A34849" s="56"/>
    </row>
    <row r="34850" spans="1:1">
      <c r="A34850" s="56"/>
    </row>
    <row r="34851" spans="1:1">
      <c r="A34851" s="56"/>
    </row>
    <row r="34852" spans="1:1">
      <c r="A34852" s="56"/>
    </row>
    <row r="34853" spans="1:1">
      <c r="A34853" s="56"/>
    </row>
    <row r="34854" spans="1:1">
      <c r="A34854" s="56"/>
    </row>
    <row r="34855" spans="1:1">
      <c r="A34855" s="56"/>
    </row>
    <row r="34856" spans="1:1">
      <c r="A34856" s="56"/>
    </row>
    <row r="34857" spans="1:1">
      <c r="A34857" s="56"/>
    </row>
    <row r="34858" spans="1:1">
      <c r="A34858" s="56"/>
    </row>
    <row r="34859" spans="1:1">
      <c r="A34859" s="56"/>
    </row>
    <row r="34860" spans="1:1">
      <c r="A34860" s="56"/>
    </row>
    <row r="34861" spans="1:1">
      <c r="A34861" s="56"/>
    </row>
    <row r="34862" spans="1:1">
      <c r="A34862" s="56"/>
    </row>
    <row r="34863" spans="1:1">
      <c r="A34863" s="56"/>
    </row>
    <row r="34864" spans="1:1">
      <c r="A34864" s="56"/>
    </row>
    <row r="34865" spans="1:1">
      <c r="A34865" s="56"/>
    </row>
    <row r="34866" spans="1:1">
      <c r="A34866" s="56"/>
    </row>
    <row r="34867" spans="1:1">
      <c r="A34867" s="56"/>
    </row>
    <row r="34868" spans="1:1">
      <c r="A34868" s="56"/>
    </row>
    <row r="34869" spans="1:1">
      <c r="A34869" s="56"/>
    </row>
    <row r="34870" spans="1:1">
      <c r="A34870" s="56"/>
    </row>
    <row r="34871" spans="1:1">
      <c r="A34871" s="56"/>
    </row>
    <row r="34872" spans="1:1">
      <c r="A34872" s="56"/>
    </row>
    <row r="34873" spans="1:1">
      <c r="A34873" s="56"/>
    </row>
    <row r="34874" spans="1:1">
      <c r="A34874" s="56"/>
    </row>
    <row r="34875" spans="1:1">
      <c r="A34875" s="56"/>
    </row>
    <row r="34876" spans="1:1">
      <c r="A34876" s="56"/>
    </row>
    <row r="34877" spans="1:1">
      <c r="A34877" s="56"/>
    </row>
    <row r="34878" spans="1:1">
      <c r="A34878" s="56"/>
    </row>
    <row r="34879" spans="1:1">
      <c r="A34879" s="56"/>
    </row>
    <row r="34880" spans="1:1">
      <c r="A34880" s="56"/>
    </row>
    <row r="34881" spans="1:1">
      <c r="A34881" s="56"/>
    </row>
    <row r="34882" spans="1:1">
      <c r="A34882" s="56"/>
    </row>
    <row r="34883" spans="1:1">
      <c r="A34883" s="56"/>
    </row>
    <row r="34884" spans="1:1">
      <c r="A34884" s="56"/>
    </row>
    <row r="34885" spans="1:1">
      <c r="A34885" s="56"/>
    </row>
    <row r="34886" spans="1:1">
      <c r="A34886" s="56"/>
    </row>
    <row r="34887" spans="1:1">
      <c r="A34887" s="56"/>
    </row>
    <row r="34888" spans="1:1">
      <c r="A34888" s="56"/>
    </row>
    <row r="34889" spans="1:1">
      <c r="A34889" s="56"/>
    </row>
    <row r="34890" spans="1:1">
      <c r="A34890" s="56"/>
    </row>
    <row r="34891" spans="1:1">
      <c r="A34891" s="56"/>
    </row>
    <row r="34892" spans="1:1">
      <c r="A34892" s="56"/>
    </row>
    <row r="34893" spans="1:1">
      <c r="A34893" s="56"/>
    </row>
    <row r="34894" spans="1:1">
      <c r="A34894" s="56"/>
    </row>
    <row r="34895" spans="1:1">
      <c r="A34895" s="56"/>
    </row>
    <row r="34896" spans="1:1">
      <c r="A34896" s="56"/>
    </row>
    <row r="34897" spans="1:1">
      <c r="A34897" s="56"/>
    </row>
    <row r="34898" spans="1:1">
      <c r="A34898" s="56"/>
    </row>
    <row r="34899" spans="1:1">
      <c r="A34899" s="56"/>
    </row>
    <row r="34900" spans="1:1">
      <c r="A34900" s="56"/>
    </row>
    <row r="34901" spans="1:1">
      <c r="A34901" s="56"/>
    </row>
    <row r="34902" spans="1:1">
      <c r="A34902" s="56"/>
    </row>
    <row r="34903" spans="1:1">
      <c r="A34903" s="56"/>
    </row>
    <row r="34904" spans="1:1">
      <c r="A34904" s="56"/>
    </row>
    <row r="34905" spans="1:1">
      <c r="A34905" s="56"/>
    </row>
    <row r="34906" spans="1:1">
      <c r="A34906" s="56"/>
    </row>
    <row r="34907" spans="1:1">
      <c r="A34907" s="56"/>
    </row>
    <row r="34908" spans="1:1">
      <c r="A34908" s="56"/>
    </row>
    <row r="34909" spans="1:1">
      <c r="A34909" s="56"/>
    </row>
    <row r="34910" spans="1:1">
      <c r="A34910" s="56"/>
    </row>
    <row r="34911" spans="1:1">
      <c r="A34911" s="56"/>
    </row>
    <row r="34912" spans="1:1">
      <c r="A34912" s="56"/>
    </row>
    <row r="34913" spans="1:1">
      <c r="A34913" s="56"/>
    </row>
    <row r="34914" spans="1:1">
      <c r="A34914" s="56"/>
    </row>
    <row r="34915" spans="1:1">
      <c r="A34915" s="56"/>
    </row>
    <row r="34916" spans="1:1">
      <c r="A34916" s="56"/>
    </row>
    <row r="34917" spans="1:1">
      <c r="A34917" s="56"/>
    </row>
    <row r="34918" spans="1:1">
      <c r="A34918" s="56"/>
    </row>
    <row r="34919" spans="1:1">
      <c r="A34919" s="56"/>
    </row>
    <row r="34920" spans="1:1">
      <c r="A34920" s="56"/>
    </row>
    <row r="34921" spans="1:1">
      <c r="A34921" s="56"/>
    </row>
    <row r="34922" spans="1:1">
      <c r="A34922" s="56"/>
    </row>
    <row r="34923" spans="1:1">
      <c r="A34923" s="56"/>
    </row>
    <row r="34924" spans="1:1">
      <c r="A34924" s="56"/>
    </row>
    <row r="34925" spans="1:1">
      <c r="A34925" s="56"/>
    </row>
    <row r="34926" spans="1:1">
      <c r="A34926" s="56"/>
    </row>
    <row r="34927" spans="1:1">
      <c r="A34927" s="56"/>
    </row>
    <row r="34928" spans="1:1">
      <c r="A34928" s="56"/>
    </row>
    <row r="34929" spans="1:1">
      <c r="A34929" s="56"/>
    </row>
    <row r="34930" spans="1:1">
      <c r="A34930" s="56"/>
    </row>
    <row r="34931" spans="1:1">
      <c r="A34931" s="56"/>
    </row>
    <row r="34932" spans="1:1">
      <c r="A34932" s="56"/>
    </row>
    <row r="34933" spans="1:1">
      <c r="A34933" s="56"/>
    </row>
    <row r="34934" spans="1:1">
      <c r="A34934" s="56"/>
    </row>
    <row r="34935" spans="1:1">
      <c r="A34935" s="56"/>
    </row>
    <row r="34936" spans="1:1">
      <c r="A34936" s="56"/>
    </row>
    <row r="34937" spans="1:1">
      <c r="A34937" s="56"/>
    </row>
    <row r="34938" spans="1:1">
      <c r="A34938" s="56"/>
    </row>
    <row r="34939" spans="1:1">
      <c r="A34939" s="56"/>
    </row>
    <row r="34940" spans="1:1">
      <c r="A34940" s="56"/>
    </row>
    <row r="34941" spans="1:1">
      <c r="A34941" s="56"/>
    </row>
    <row r="34942" spans="1:1">
      <c r="A34942" s="56"/>
    </row>
    <row r="34943" spans="1:1">
      <c r="A34943" s="56"/>
    </row>
    <row r="34944" spans="1:1">
      <c r="A34944" s="56"/>
    </row>
    <row r="34945" spans="1:1">
      <c r="A34945" s="56"/>
    </row>
    <row r="34946" spans="1:1">
      <c r="A34946" s="56"/>
    </row>
    <row r="34947" spans="1:1">
      <c r="A34947" s="56"/>
    </row>
    <row r="34948" spans="1:1">
      <c r="A34948" s="56"/>
    </row>
    <row r="34949" spans="1:1">
      <c r="A34949" s="56"/>
    </row>
    <row r="34950" spans="1:1">
      <c r="A34950" s="56"/>
    </row>
    <row r="34951" spans="1:1">
      <c r="A34951" s="56"/>
    </row>
    <row r="34952" spans="1:1">
      <c r="A34952" s="56"/>
    </row>
    <row r="34953" spans="1:1">
      <c r="A34953" s="56"/>
    </row>
    <row r="34954" spans="1:1">
      <c r="A34954" s="56"/>
    </row>
    <row r="34955" spans="1:1">
      <c r="A34955" s="56"/>
    </row>
    <row r="34956" spans="1:1">
      <c r="A34956" s="56"/>
    </row>
    <row r="34957" spans="1:1">
      <c r="A34957" s="56"/>
    </row>
    <row r="34958" spans="1:1">
      <c r="A34958" s="56"/>
    </row>
    <row r="34959" spans="1:1">
      <c r="A34959" s="56"/>
    </row>
    <row r="34960" spans="1:1">
      <c r="A34960" s="56"/>
    </row>
    <row r="34961" spans="1:1">
      <c r="A34961" s="56"/>
    </row>
    <row r="34962" spans="1:1">
      <c r="A34962" s="56"/>
    </row>
    <row r="34963" spans="1:1">
      <c r="A34963" s="56"/>
    </row>
    <row r="34964" spans="1:1">
      <c r="A34964" s="56"/>
    </row>
    <row r="34965" spans="1:1">
      <c r="A34965" s="56"/>
    </row>
    <row r="34966" spans="1:1">
      <c r="A34966" s="56"/>
    </row>
    <row r="34967" spans="1:1">
      <c r="A34967" s="56"/>
    </row>
    <row r="34968" spans="1:1">
      <c r="A34968" s="56"/>
    </row>
    <row r="34969" spans="1:1">
      <c r="A34969" s="56"/>
    </row>
    <row r="34970" spans="1:1">
      <c r="A34970" s="56"/>
    </row>
    <row r="34971" spans="1:1">
      <c r="A34971" s="56"/>
    </row>
    <row r="34972" spans="1:1">
      <c r="A34972" s="56"/>
    </row>
    <row r="34973" spans="1:1">
      <c r="A34973" s="56"/>
    </row>
    <row r="34974" spans="1:1">
      <c r="A34974" s="56"/>
    </row>
    <row r="34975" spans="1:1">
      <c r="A34975" s="56"/>
    </row>
    <row r="34976" spans="1:1">
      <c r="A34976" s="56"/>
    </row>
    <row r="34977" spans="1:1">
      <c r="A34977" s="56"/>
    </row>
    <row r="34978" spans="1:1">
      <c r="A34978" s="56"/>
    </row>
    <row r="34979" spans="1:1">
      <c r="A34979" s="56"/>
    </row>
    <row r="34980" spans="1:1">
      <c r="A34980" s="56"/>
    </row>
    <row r="34981" spans="1:1">
      <c r="A34981" s="56"/>
    </row>
    <row r="34982" spans="1:1">
      <c r="A34982" s="56"/>
    </row>
    <row r="34983" spans="1:1">
      <c r="A34983" s="56"/>
    </row>
    <row r="34984" spans="1:1">
      <c r="A34984" s="56"/>
    </row>
    <row r="34985" spans="1:1">
      <c r="A34985" s="56"/>
    </row>
    <row r="34986" spans="1:1">
      <c r="A34986" s="56"/>
    </row>
    <row r="34987" spans="1:1">
      <c r="A34987" s="56"/>
    </row>
    <row r="34988" spans="1:1">
      <c r="A34988" s="56"/>
    </row>
    <row r="34989" spans="1:1">
      <c r="A34989" s="56"/>
    </row>
    <row r="34990" spans="1:1">
      <c r="A34990" s="56"/>
    </row>
    <row r="34991" spans="1:1">
      <c r="A34991" s="56"/>
    </row>
    <row r="34992" spans="1:1">
      <c r="A34992" s="56"/>
    </row>
    <row r="34993" spans="1:1">
      <c r="A34993" s="56"/>
    </row>
    <row r="34994" spans="1:1">
      <c r="A34994" s="56"/>
    </row>
    <row r="34995" spans="1:1">
      <c r="A34995" s="56"/>
    </row>
    <row r="34996" spans="1:1">
      <c r="A34996" s="56"/>
    </row>
    <row r="34997" spans="1:1">
      <c r="A34997" s="56"/>
    </row>
    <row r="34998" spans="1:1">
      <c r="A34998" s="56"/>
    </row>
    <row r="34999" spans="1:1">
      <c r="A34999" s="56"/>
    </row>
    <row r="35000" spans="1:1">
      <c r="A35000" s="56"/>
    </row>
    <row r="35001" spans="1:1">
      <c r="A35001" s="56"/>
    </row>
    <row r="35002" spans="1:1">
      <c r="A35002" s="56"/>
    </row>
    <row r="35003" spans="1:1">
      <c r="A35003" s="56"/>
    </row>
    <row r="35004" spans="1:1">
      <c r="A35004" s="56"/>
    </row>
    <row r="35005" spans="1:1">
      <c r="A35005" s="56"/>
    </row>
    <row r="35006" spans="1:1">
      <c r="A35006" s="56"/>
    </row>
    <row r="35007" spans="1:1">
      <c r="A35007" s="56"/>
    </row>
    <row r="35008" spans="1:1">
      <c r="A35008" s="56"/>
    </row>
    <row r="35009" spans="1:1">
      <c r="A35009" s="56"/>
    </row>
    <row r="35010" spans="1:1">
      <c r="A35010" s="56"/>
    </row>
    <row r="35011" spans="1:1">
      <c r="A35011" s="56"/>
    </row>
    <row r="35012" spans="1:1">
      <c r="A35012" s="56"/>
    </row>
    <row r="35013" spans="1:1">
      <c r="A35013" s="56"/>
    </row>
    <row r="35014" spans="1:1">
      <c r="A35014" s="56"/>
    </row>
    <row r="35015" spans="1:1">
      <c r="A35015" s="56"/>
    </row>
    <row r="35016" spans="1:1">
      <c r="A35016" s="56"/>
    </row>
    <row r="35017" spans="1:1">
      <c r="A35017" s="56"/>
    </row>
    <row r="35018" spans="1:1">
      <c r="A35018" s="56"/>
    </row>
    <row r="35019" spans="1:1">
      <c r="A35019" s="56"/>
    </row>
    <row r="35020" spans="1:1">
      <c r="A35020" s="56"/>
    </row>
    <row r="35021" spans="1:1">
      <c r="A35021" s="56"/>
    </row>
    <row r="35022" spans="1:1">
      <c r="A35022" s="56"/>
    </row>
    <row r="35023" spans="1:1">
      <c r="A35023" s="56"/>
    </row>
    <row r="35024" spans="1:1">
      <c r="A35024" s="56"/>
    </row>
    <row r="35025" spans="1:1">
      <c r="A35025" s="56"/>
    </row>
    <row r="35026" spans="1:1">
      <c r="A35026" s="56"/>
    </row>
    <row r="35027" spans="1:1">
      <c r="A35027" s="56"/>
    </row>
    <row r="35028" spans="1:1">
      <c r="A35028" s="56"/>
    </row>
    <row r="35029" spans="1:1">
      <c r="A35029" s="56"/>
    </row>
    <row r="35030" spans="1:1">
      <c r="A35030" s="56"/>
    </row>
    <row r="35031" spans="1:1">
      <c r="A35031" s="56"/>
    </row>
    <row r="35032" spans="1:1">
      <c r="A35032" s="56"/>
    </row>
    <row r="35033" spans="1:1">
      <c r="A35033" s="56"/>
    </row>
    <row r="35034" spans="1:1">
      <c r="A35034" s="56"/>
    </row>
    <row r="35035" spans="1:1">
      <c r="A35035" s="56"/>
    </row>
    <row r="35036" spans="1:1">
      <c r="A35036" s="56"/>
    </row>
    <row r="35037" spans="1:1">
      <c r="A35037" s="56"/>
    </row>
    <row r="35038" spans="1:1">
      <c r="A35038" s="56"/>
    </row>
    <row r="35039" spans="1:1">
      <c r="A35039" s="56"/>
    </row>
    <row r="35040" spans="1:1">
      <c r="A35040" s="56"/>
    </row>
    <row r="35041" spans="1:1">
      <c r="A35041" s="56"/>
    </row>
    <row r="35042" spans="1:1">
      <c r="A35042" s="56"/>
    </row>
    <row r="35043" spans="1:1">
      <c r="A35043" s="56"/>
    </row>
    <row r="35044" spans="1:1">
      <c r="A35044" s="56"/>
    </row>
    <row r="35045" spans="1:1">
      <c r="A35045" s="56"/>
    </row>
    <row r="35046" spans="1:1">
      <c r="A35046" s="56"/>
    </row>
    <row r="35047" spans="1:1">
      <c r="A35047" s="56"/>
    </row>
    <row r="35048" spans="1:1">
      <c r="A35048" s="56"/>
    </row>
    <row r="35049" spans="1:1">
      <c r="A35049" s="56"/>
    </row>
    <row r="35050" spans="1:1">
      <c r="A35050" s="56"/>
    </row>
    <row r="35051" spans="1:1">
      <c r="A35051" s="56"/>
    </row>
    <row r="35052" spans="1:1">
      <c r="A35052" s="56"/>
    </row>
    <row r="35053" spans="1:1">
      <c r="A35053" s="56"/>
    </row>
    <row r="35054" spans="1:1">
      <c r="A35054" s="56"/>
    </row>
    <row r="35055" spans="1:1">
      <c r="A35055" s="56"/>
    </row>
    <row r="35056" spans="1:1">
      <c r="A35056" s="56"/>
    </row>
    <row r="35057" spans="1:1">
      <c r="A35057" s="56"/>
    </row>
    <row r="35058" spans="1:1">
      <c r="A35058" s="56"/>
    </row>
    <row r="35059" spans="1:1">
      <c r="A35059" s="56"/>
    </row>
    <row r="35060" spans="1:1">
      <c r="A35060" s="56"/>
    </row>
    <row r="35061" spans="1:1">
      <c r="A35061" s="56"/>
    </row>
    <row r="35062" spans="1:1">
      <c r="A35062" s="56"/>
    </row>
    <row r="35063" spans="1:1">
      <c r="A35063" s="56"/>
    </row>
    <row r="35064" spans="1:1">
      <c r="A35064" s="56"/>
    </row>
    <row r="35065" spans="1:1">
      <c r="A35065" s="56"/>
    </row>
    <row r="35066" spans="1:1">
      <c r="A35066" s="56"/>
    </row>
    <row r="35067" spans="1:1">
      <c r="A35067" s="56"/>
    </row>
    <row r="35068" spans="1:1">
      <c r="A35068" s="56"/>
    </row>
    <row r="35069" spans="1:1">
      <c r="A35069" s="56"/>
    </row>
    <row r="35070" spans="1:1">
      <c r="A35070" s="56"/>
    </row>
    <row r="35071" spans="1:1">
      <c r="A35071" s="56"/>
    </row>
    <row r="35072" spans="1:1">
      <c r="A35072" s="56"/>
    </row>
    <row r="35073" spans="1:1">
      <c r="A35073" s="56"/>
    </row>
    <row r="35074" spans="1:1">
      <c r="A35074" s="56"/>
    </row>
    <row r="35075" spans="1:1">
      <c r="A35075" s="56"/>
    </row>
    <row r="35076" spans="1:1">
      <c r="A35076" s="56"/>
    </row>
    <row r="35077" spans="1:1">
      <c r="A35077" s="56"/>
    </row>
    <row r="35078" spans="1:1">
      <c r="A35078" s="56"/>
    </row>
    <row r="35079" spans="1:1">
      <c r="A35079" s="56"/>
    </row>
    <row r="35080" spans="1:1">
      <c r="A35080" s="56"/>
    </row>
    <row r="35081" spans="1:1">
      <c r="A35081" s="56"/>
    </row>
    <row r="35082" spans="1:1">
      <c r="A35082" s="56"/>
    </row>
    <row r="35083" spans="1:1">
      <c r="A35083" s="56"/>
    </row>
    <row r="35084" spans="1:1">
      <c r="A35084" s="56"/>
    </row>
    <row r="35085" spans="1:1">
      <c r="A35085" s="56"/>
    </row>
    <row r="35086" spans="1:1">
      <c r="A35086" s="56"/>
    </row>
    <row r="35087" spans="1:1">
      <c r="A35087" s="56"/>
    </row>
    <row r="35088" spans="1:1">
      <c r="A35088" s="56"/>
    </row>
    <row r="35089" spans="1:1">
      <c r="A35089" s="56"/>
    </row>
    <row r="35090" spans="1:1">
      <c r="A35090" s="56"/>
    </row>
    <row r="35091" spans="1:1">
      <c r="A35091" s="56"/>
    </row>
    <row r="35092" spans="1:1">
      <c r="A35092" s="56"/>
    </row>
    <row r="35093" spans="1:1">
      <c r="A35093" s="56"/>
    </row>
    <row r="35094" spans="1:1">
      <c r="A35094" s="56"/>
    </row>
    <row r="35095" spans="1:1">
      <c r="A35095" s="56"/>
    </row>
    <row r="35096" spans="1:1">
      <c r="A35096" s="56"/>
    </row>
    <row r="35097" spans="1:1">
      <c r="A35097" s="56"/>
    </row>
    <row r="35098" spans="1:1">
      <c r="A35098" s="56"/>
    </row>
    <row r="35099" spans="1:1">
      <c r="A35099" s="56"/>
    </row>
    <row r="35100" spans="1:1">
      <c r="A35100" s="56"/>
    </row>
    <row r="35101" spans="1:1">
      <c r="A35101" s="56"/>
    </row>
    <row r="35102" spans="1:1">
      <c r="A35102" s="56"/>
    </row>
    <row r="35103" spans="1:1">
      <c r="A35103" s="56"/>
    </row>
    <row r="35104" spans="1:1">
      <c r="A35104" s="56"/>
    </row>
    <row r="35105" spans="1:1">
      <c r="A35105" s="56"/>
    </row>
    <row r="35106" spans="1:1">
      <c r="A35106" s="56"/>
    </row>
    <row r="35107" spans="1:1">
      <c r="A35107" s="56"/>
    </row>
    <row r="35108" spans="1:1">
      <c r="A35108" s="56"/>
    </row>
    <row r="35109" spans="1:1">
      <c r="A35109" s="56"/>
    </row>
    <row r="35110" spans="1:1">
      <c r="A35110" s="56"/>
    </row>
    <row r="35111" spans="1:1">
      <c r="A35111" s="56"/>
    </row>
    <row r="35112" spans="1:1">
      <c r="A35112" s="56"/>
    </row>
    <row r="35113" spans="1:1">
      <c r="A35113" s="56"/>
    </row>
    <row r="35114" spans="1:1">
      <c r="A35114" s="56"/>
    </row>
    <row r="35115" spans="1:1">
      <c r="A35115" s="56"/>
    </row>
    <row r="35116" spans="1:1">
      <c r="A35116" s="56"/>
    </row>
    <row r="35117" spans="1:1">
      <c r="A35117" s="56"/>
    </row>
    <row r="35118" spans="1:1">
      <c r="A35118" s="56"/>
    </row>
    <row r="35119" spans="1:1">
      <c r="A35119" s="56"/>
    </row>
    <row r="35120" spans="1:1">
      <c r="A35120" s="56"/>
    </row>
    <row r="35121" spans="1:1">
      <c r="A35121" s="56"/>
    </row>
    <row r="35122" spans="1:1">
      <c r="A35122" s="56"/>
    </row>
    <row r="35123" spans="1:1">
      <c r="A35123" s="56"/>
    </row>
    <row r="35124" spans="1:1">
      <c r="A35124" s="56"/>
    </row>
    <row r="35125" spans="1:1">
      <c r="A35125" s="56"/>
    </row>
    <row r="35126" spans="1:1">
      <c r="A35126" s="56"/>
    </row>
    <row r="35127" spans="1:1">
      <c r="A35127" s="56"/>
    </row>
    <row r="35128" spans="1:1">
      <c r="A35128" s="56"/>
    </row>
    <row r="35129" spans="1:1">
      <c r="A35129" s="56"/>
    </row>
    <row r="35130" spans="1:1">
      <c r="A35130" s="56"/>
    </row>
    <row r="35131" spans="1:1">
      <c r="A35131" s="56"/>
    </row>
    <row r="35132" spans="1:1">
      <c r="A35132" s="56"/>
    </row>
    <row r="35133" spans="1:1">
      <c r="A35133" s="56"/>
    </row>
    <row r="35134" spans="1:1">
      <c r="A35134" s="56"/>
    </row>
    <row r="35135" spans="1:1">
      <c r="A35135" s="56"/>
    </row>
    <row r="35136" spans="1:1">
      <c r="A35136" s="56"/>
    </row>
    <row r="35137" spans="1:1">
      <c r="A35137" s="56"/>
    </row>
    <row r="35138" spans="1:1">
      <c r="A35138" s="56"/>
    </row>
    <row r="35139" spans="1:1">
      <c r="A35139" s="56"/>
    </row>
    <row r="35140" spans="1:1">
      <c r="A35140" s="56"/>
    </row>
    <row r="35141" spans="1:1">
      <c r="A35141" s="56"/>
    </row>
    <row r="35142" spans="1:1">
      <c r="A35142" s="56"/>
    </row>
    <row r="35143" spans="1:1">
      <c r="A35143" s="56"/>
    </row>
    <row r="35144" spans="1:1">
      <c r="A35144" s="56"/>
    </row>
    <row r="35145" spans="1:1">
      <c r="A35145" s="56"/>
    </row>
    <row r="35146" spans="1:1">
      <c r="A35146" s="56"/>
    </row>
    <row r="35147" spans="1:1">
      <c r="A35147" s="56"/>
    </row>
    <row r="35148" spans="1:1">
      <c r="A35148" s="56"/>
    </row>
    <row r="35149" spans="1:1">
      <c r="A35149" s="56"/>
    </row>
    <row r="35150" spans="1:1">
      <c r="A35150" s="56"/>
    </row>
    <row r="35151" spans="1:1">
      <c r="A35151" s="56"/>
    </row>
    <row r="35152" spans="1:1">
      <c r="A35152" s="56"/>
    </row>
    <row r="35153" spans="1:1">
      <c r="A35153" s="56"/>
    </row>
    <row r="35154" spans="1:1">
      <c r="A35154" s="56"/>
    </row>
    <row r="35155" spans="1:1">
      <c r="A35155" s="56"/>
    </row>
    <row r="35156" spans="1:1">
      <c r="A35156" s="56"/>
    </row>
    <row r="35157" spans="1:1">
      <c r="A35157" s="56"/>
    </row>
    <row r="35158" spans="1:1">
      <c r="A35158" s="56"/>
    </row>
    <row r="35159" spans="1:1">
      <c r="A35159" s="56"/>
    </row>
    <row r="35160" spans="1:1">
      <c r="A35160" s="56"/>
    </row>
    <row r="35161" spans="1:1">
      <c r="A35161" s="56"/>
    </row>
    <row r="35162" spans="1:1">
      <c r="A35162" s="56"/>
    </row>
    <row r="35163" spans="1:1">
      <c r="A35163" s="56"/>
    </row>
    <row r="35164" spans="1:1">
      <c r="A35164" s="56"/>
    </row>
    <row r="35165" spans="1:1">
      <c r="A35165" s="56"/>
    </row>
    <row r="35166" spans="1:1">
      <c r="A35166" s="56"/>
    </row>
    <row r="35167" spans="1:1">
      <c r="A35167" s="56"/>
    </row>
    <row r="35168" spans="1:1">
      <c r="A35168" s="56"/>
    </row>
    <row r="35169" spans="1:1">
      <c r="A35169" s="56"/>
    </row>
    <row r="35170" spans="1:1">
      <c r="A35170" s="56"/>
    </row>
    <row r="35171" spans="1:1">
      <c r="A35171" s="56"/>
    </row>
    <row r="35172" spans="1:1">
      <c r="A35172" s="56"/>
    </row>
    <row r="35173" spans="1:1">
      <c r="A35173" s="56"/>
    </row>
    <row r="35174" spans="1:1">
      <c r="A35174" s="56"/>
    </row>
    <row r="35175" spans="1:1">
      <c r="A35175" s="56"/>
    </row>
    <row r="35176" spans="1:1">
      <c r="A35176" s="56"/>
    </row>
    <row r="35177" spans="1:1">
      <c r="A35177" s="56"/>
    </row>
    <row r="35178" spans="1:1">
      <c r="A35178" s="56"/>
    </row>
    <row r="35179" spans="1:1">
      <c r="A35179" s="56"/>
    </row>
    <row r="35180" spans="1:1">
      <c r="A35180" s="56"/>
    </row>
    <row r="35181" spans="1:1">
      <c r="A35181" s="56"/>
    </row>
    <row r="35182" spans="1:1">
      <c r="A35182" s="56"/>
    </row>
    <row r="35183" spans="1:1">
      <c r="A35183" s="56"/>
    </row>
    <row r="35184" spans="1:1">
      <c r="A35184" s="56"/>
    </row>
    <row r="35185" spans="1:1">
      <c r="A35185" s="56"/>
    </row>
    <row r="35186" spans="1:1">
      <c r="A35186" s="56"/>
    </row>
    <row r="35187" spans="1:1">
      <c r="A35187" s="56"/>
    </row>
    <row r="35188" spans="1:1">
      <c r="A35188" s="56"/>
    </row>
    <row r="35189" spans="1:1">
      <c r="A35189" s="56"/>
    </row>
    <row r="35190" spans="1:1">
      <c r="A35190" s="56"/>
    </row>
    <row r="35191" spans="1:1">
      <c r="A35191" s="56"/>
    </row>
    <row r="35192" spans="1:1">
      <c r="A35192" s="56"/>
    </row>
    <row r="35193" spans="1:1">
      <c r="A35193" s="56"/>
    </row>
    <row r="35194" spans="1:1">
      <c r="A35194" s="56"/>
    </row>
    <row r="35195" spans="1:1">
      <c r="A35195" s="56"/>
    </row>
    <row r="35196" spans="1:1">
      <c r="A35196" s="56"/>
    </row>
    <row r="35197" spans="1:1">
      <c r="A35197" s="56"/>
    </row>
    <row r="35198" spans="1:1">
      <c r="A35198" s="56"/>
    </row>
    <row r="35199" spans="1:1">
      <c r="A35199" s="56"/>
    </row>
    <row r="35200" spans="1:1">
      <c r="A35200" s="56"/>
    </row>
    <row r="35201" spans="1:1">
      <c r="A35201" s="56"/>
    </row>
    <row r="35202" spans="1:1">
      <c r="A35202" s="56"/>
    </row>
    <row r="35203" spans="1:1">
      <c r="A35203" s="56"/>
    </row>
    <row r="35204" spans="1:1">
      <c r="A35204" s="56"/>
    </row>
    <row r="35205" spans="1:1">
      <c r="A35205" s="56"/>
    </row>
    <row r="35206" spans="1:1">
      <c r="A35206" s="56"/>
    </row>
    <row r="35207" spans="1:1">
      <c r="A35207" s="56"/>
    </row>
    <row r="35208" spans="1:1">
      <c r="A35208" s="56"/>
    </row>
    <row r="35209" spans="1:1">
      <c r="A35209" s="56"/>
    </row>
    <row r="35210" spans="1:1">
      <c r="A35210" s="56"/>
    </row>
    <row r="35211" spans="1:1">
      <c r="A35211" s="56"/>
    </row>
    <row r="35212" spans="1:1">
      <c r="A35212" s="56"/>
    </row>
    <row r="35213" spans="1:1">
      <c r="A35213" s="56"/>
    </row>
    <row r="35214" spans="1:1">
      <c r="A35214" s="56"/>
    </row>
    <row r="35215" spans="1:1">
      <c r="A35215" s="56"/>
    </row>
    <row r="35216" spans="1:1">
      <c r="A35216" s="56"/>
    </row>
    <row r="35217" spans="1:1">
      <c r="A35217" s="56"/>
    </row>
    <row r="35218" spans="1:1">
      <c r="A35218" s="56"/>
    </row>
    <row r="35219" spans="1:1">
      <c r="A35219" s="56"/>
    </row>
    <row r="35220" spans="1:1">
      <c r="A35220" s="56"/>
    </row>
    <row r="35221" spans="1:1">
      <c r="A35221" s="56"/>
    </row>
    <row r="35222" spans="1:1">
      <c r="A35222" s="56"/>
    </row>
    <row r="35223" spans="1:1">
      <c r="A35223" s="56"/>
    </row>
    <row r="35224" spans="1:1">
      <c r="A35224" s="56"/>
    </row>
    <row r="35225" spans="1:1">
      <c r="A35225" s="56"/>
    </row>
    <row r="35226" spans="1:1">
      <c r="A35226" s="56"/>
    </row>
    <row r="35227" spans="1:1">
      <c r="A35227" s="56"/>
    </row>
    <row r="35228" spans="1:1">
      <c r="A35228" s="56"/>
    </row>
    <row r="35229" spans="1:1">
      <c r="A35229" s="56"/>
    </row>
    <row r="35230" spans="1:1">
      <c r="A35230" s="56"/>
    </row>
    <row r="35231" spans="1:1">
      <c r="A35231" s="56"/>
    </row>
    <row r="35232" spans="1:1">
      <c r="A35232" s="56"/>
    </row>
    <row r="35233" spans="1:1">
      <c r="A35233" s="56"/>
    </row>
    <row r="35234" spans="1:1">
      <c r="A35234" s="56"/>
    </row>
    <row r="35235" spans="1:1">
      <c r="A35235" s="56"/>
    </row>
    <row r="35236" spans="1:1">
      <c r="A35236" s="56"/>
    </row>
    <row r="35237" spans="1:1">
      <c r="A35237" s="56"/>
    </row>
    <row r="35238" spans="1:1">
      <c r="A35238" s="56"/>
    </row>
    <row r="35239" spans="1:1">
      <c r="A35239" s="56"/>
    </row>
    <row r="35240" spans="1:1">
      <c r="A35240" s="56"/>
    </row>
    <row r="35241" spans="1:1">
      <c r="A35241" s="56"/>
    </row>
    <row r="35242" spans="1:1">
      <c r="A35242" s="56"/>
    </row>
    <row r="35243" spans="1:1">
      <c r="A35243" s="56"/>
    </row>
    <row r="35244" spans="1:1">
      <c r="A35244" s="56"/>
    </row>
    <row r="35245" spans="1:1">
      <c r="A35245" s="56"/>
    </row>
    <row r="35246" spans="1:1">
      <c r="A35246" s="56"/>
    </row>
    <row r="35247" spans="1:1">
      <c r="A35247" s="56"/>
    </row>
    <row r="35248" spans="1:1">
      <c r="A35248" s="56"/>
    </row>
    <row r="35249" spans="1:1">
      <c r="A35249" s="56"/>
    </row>
    <row r="35250" spans="1:1">
      <c r="A35250" s="56"/>
    </row>
    <row r="35251" spans="1:1">
      <c r="A35251" s="56"/>
    </row>
    <row r="35252" spans="1:1">
      <c r="A35252" s="56"/>
    </row>
    <row r="35253" spans="1:1">
      <c r="A35253" s="56"/>
    </row>
    <row r="35254" spans="1:1">
      <c r="A35254" s="56"/>
    </row>
    <row r="35255" spans="1:1">
      <c r="A35255" s="56"/>
    </row>
    <row r="35256" spans="1:1">
      <c r="A35256" s="56"/>
    </row>
    <row r="35257" spans="1:1">
      <c r="A35257" s="56"/>
    </row>
    <row r="35258" spans="1:1">
      <c r="A35258" s="56"/>
    </row>
    <row r="35259" spans="1:1">
      <c r="A35259" s="56"/>
    </row>
    <row r="35260" spans="1:1">
      <c r="A35260" s="56"/>
    </row>
    <row r="35261" spans="1:1">
      <c r="A35261" s="56"/>
    </row>
    <row r="35262" spans="1:1">
      <c r="A35262" s="56"/>
    </row>
    <row r="35263" spans="1:1">
      <c r="A35263" s="56"/>
    </row>
    <row r="35264" spans="1:1">
      <c r="A35264" s="56"/>
    </row>
    <row r="35265" spans="1:1">
      <c r="A35265" s="56"/>
    </row>
    <row r="35266" spans="1:1">
      <c r="A35266" s="56"/>
    </row>
    <row r="35267" spans="1:1">
      <c r="A35267" s="56"/>
    </row>
    <row r="35268" spans="1:1">
      <c r="A35268" s="56"/>
    </row>
    <row r="35269" spans="1:1">
      <c r="A35269" s="56"/>
    </row>
    <row r="35270" spans="1:1">
      <c r="A35270" s="56"/>
    </row>
    <row r="35271" spans="1:1">
      <c r="A35271" s="56"/>
    </row>
    <row r="35272" spans="1:1">
      <c r="A35272" s="56"/>
    </row>
    <row r="35273" spans="1:1">
      <c r="A35273" s="56"/>
    </row>
    <row r="35274" spans="1:1">
      <c r="A35274" s="56"/>
    </row>
    <row r="35275" spans="1:1">
      <c r="A35275" s="56"/>
    </row>
    <row r="35276" spans="1:1">
      <c r="A35276" s="56"/>
    </row>
    <row r="35277" spans="1:1">
      <c r="A35277" s="56"/>
    </row>
    <row r="35278" spans="1:1">
      <c r="A35278" s="56"/>
    </row>
    <row r="35279" spans="1:1">
      <c r="A35279" s="56"/>
    </row>
    <row r="35280" spans="1:1">
      <c r="A35280" s="56"/>
    </row>
    <row r="35281" spans="1:1">
      <c r="A35281" s="56"/>
    </row>
    <row r="35282" spans="1:1">
      <c r="A35282" s="56"/>
    </row>
    <row r="35283" spans="1:1">
      <c r="A35283" s="56"/>
    </row>
    <row r="35284" spans="1:1">
      <c r="A35284" s="56"/>
    </row>
    <row r="35285" spans="1:1">
      <c r="A35285" s="56"/>
    </row>
    <row r="35286" spans="1:1">
      <c r="A35286" s="56"/>
    </row>
    <row r="35287" spans="1:1">
      <c r="A35287" s="56"/>
    </row>
    <row r="35288" spans="1:1">
      <c r="A35288" s="56"/>
    </row>
    <row r="35289" spans="1:1">
      <c r="A35289" s="56"/>
    </row>
    <row r="35290" spans="1:1">
      <c r="A35290" s="56"/>
    </row>
    <row r="35291" spans="1:1">
      <c r="A35291" s="56"/>
    </row>
    <row r="35292" spans="1:1">
      <c r="A35292" s="56"/>
    </row>
    <row r="35293" spans="1:1">
      <c r="A35293" s="56"/>
    </row>
    <row r="35294" spans="1:1">
      <c r="A35294" s="56"/>
    </row>
    <row r="35295" spans="1:1">
      <c r="A35295" s="56"/>
    </row>
    <row r="35296" spans="1:1">
      <c r="A35296" s="56"/>
    </row>
    <row r="35297" spans="1:1">
      <c r="A35297" s="56"/>
    </row>
    <row r="35298" spans="1:1">
      <c r="A35298" s="56"/>
    </row>
    <row r="35299" spans="1:1">
      <c r="A35299" s="56"/>
    </row>
    <row r="35300" spans="1:1">
      <c r="A35300" s="56"/>
    </row>
    <row r="35301" spans="1:1">
      <c r="A35301" s="56"/>
    </row>
    <row r="35302" spans="1:1">
      <c r="A35302" s="56"/>
    </row>
    <row r="35303" spans="1:1">
      <c r="A35303" s="56"/>
    </row>
    <row r="35304" spans="1:1">
      <c r="A35304" s="56"/>
    </row>
    <row r="35305" spans="1:1">
      <c r="A35305" s="56"/>
    </row>
    <row r="35306" spans="1:1">
      <c r="A35306" s="56"/>
    </row>
    <row r="35307" spans="1:1">
      <c r="A35307" s="56"/>
    </row>
    <row r="35308" spans="1:1">
      <c r="A35308" s="56"/>
    </row>
    <row r="35309" spans="1:1">
      <c r="A35309" s="56"/>
    </row>
    <row r="35310" spans="1:1">
      <c r="A35310" s="56"/>
    </row>
    <row r="35311" spans="1:1">
      <c r="A35311" s="56"/>
    </row>
    <row r="35312" spans="1:1">
      <c r="A35312" s="56"/>
    </row>
    <row r="35313" spans="1:1">
      <c r="A35313" s="56"/>
    </row>
    <row r="35314" spans="1:1">
      <c r="A35314" s="56"/>
    </row>
    <row r="35315" spans="1:1">
      <c r="A35315" s="56"/>
    </row>
    <row r="35316" spans="1:1">
      <c r="A35316" s="56"/>
    </row>
    <row r="35317" spans="1:1">
      <c r="A35317" s="56"/>
    </row>
    <row r="35318" spans="1:1">
      <c r="A35318" s="56"/>
    </row>
    <row r="35319" spans="1:1">
      <c r="A35319" s="56"/>
    </row>
    <row r="35320" spans="1:1">
      <c r="A35320" s="56"/>
    </row>
    <row r="35321" spans="1:1">
      <c r="A35321" s="56"/>
    </row>
    <row r="35322" spans="1:1">
      <c r="A35322" s="56"/>
    </row>
    <row r="35323" spans="1:1">
      <c r="A35323" s="56"/>
    </row>
    <row r="35324" spans="1:1">
      <c r="A35324" s="56"/>
    </row>
    <row r="35325" spans="1:1">
      <c r="A35325" s="56"/>
    </row>
    <row r="35326" spans="1:1">
      <c r="A35326" s="56"/>
    </row>
    <row r="35327" spans="1:1">
      <c r="A35327" s="56"/>
    </row>
    <row r="35328" spans="1:1">
      <c r="A35328" s="56"/>
    </row>
    <row r="35329" spans="1:1">
      <c r="A35329" s="56"/>
    </row>
    <row r="35330" spans="1:1">
      <c r="A35330" s="56"/>
    </row>
    <row r="35331" spans="1:1">
      <c r="A35331" s="56"/>
    </row>
    <row r="35332" spans="1:1">
      <c r="A35332" s="56"/>
    </row>
    <row r="35333" spans="1:1">
      <c r="A35333" s="56"/>
    </row>
    <row r="35334" spans="1:1">
      <c r="A35334" s="56"/>
    </row>
    <row r="35335" spans="1:1">
      <c r="A35335" s="56"/>
    </row>
    <row r="35336" spans="1:1">
      <c r="A35336" s="56"/>
    </row>
    <row r="35337" spans="1:1">
      <c r="A35337" s="56"/>
    </row>
    <row r="35338" spans="1:1">
      <c r="A35338" s="56"/>
    </row>
    <row r="35339" spans="1:1">
      <c r="A35339" s="56"/>
    </row>
    <row r="35340" spans="1:1">
      <c r="A35340" s="56"/>
    </row>
    <row r="35341" spans="1:1">
      <c r="A35341" s="56"/>
    </row>
    <row r="35342" spans="1:1">
      <c r="A35342" s="56"/>
    </row>
    <row r="35343" spans="1:1">
      <c r="A35343" s="56"/>
    </row>
    <row r="35344" spans="1:1">
      <c r="A35344" s="56"/>
    </row>
    <row r="35345" spans="1:1">
      <c r="A35345" s="56"/>
    </row>
    <row r="35346" spans="1:1">
      <c r="A35346" s="56"/>
    </row>
    <row r="35347" spans="1:1">
      <c r="A35347" s="56"/>
    </row>
    <row r="35348" spans="1:1">
      <c r="A35348" s="56"/>
    </row>
    <row r="35349" spans="1:1">
      <c r="A35349" s="56"/>
    </row>
    <row r="35350" spans="1:1">
      <c r="A35350" s="56"/>
    </row>
    <row r="35351" spans="1:1">
      <c r="A35351" s="56"/>
    </row>
    <row r="35352" spans="1:1">
      <c r="A35352" s="56"/>
    </row>
    <row r="35353" spans="1:1">
      <c r="A35353" s="56"/>
    </row>
    <row r="35354" spans="1:1">
      <c r="A35354" s="56"/>
    </row>
    <row r="35355" spans="1:1">
      <c r="A35355" s="56"/>
    </row>
    <row r="35356" spans="1:1">
      <c r="A35356" s="56"/>
    </row>
    <row r="35357" spans="1:1">
      <c r="A35357" s="56"/>
    </row>
    <row r="35358" spans="1:1">
      <c r="A35358" s="56"/>
    </row>
    <row r="35359" spans="1:1">
      <c r="A35359" s="56"/>
    </row>
    <row r="35360" spans="1:1">
      <c r="A35360" s="56"/>
    </row>
    <row r="35361" spans="1:1">
      <c r="A35361" s="56"/>
    </row>
    <row r="35362" spans="1:1">
      <c r="A35362" s="56"/>
    </row>
    <row r="35363" spans="1:1">
      <c r="A35363" s="56"/>
    </row>
    <row r="35364" spans="1:1">
      <c r="A35364" s="56"/>
    </row>
    <row r="35365" spans="1:1">
      <c r="A35365" s="56"/>
    </row>
    <row r="35366" spans="1:1">
      <c r="A35366" s="56"/>
    </row>
    <row r="35367" spans="1:1">
      <c r="A35367" s="56"/>
    </row>
    <row r="35368" spans="1:1">
      <c r="A35368" s="56"/>
    </row>
    <row r="35369" spans="1:1">
      <c r="A35369" s="56"/>
    </row>
    <row r="35370" spans="1:1">
      <c r="A35370" s="56"/>
    </row>
    <row r="35371" spans="1:1">
      <c r="A35371" s="56"/>
    </row>
    <row r="35372" spans="1:1">
      <c r="A35372" s="56"/>
    </row>
    <row r="35373" spans="1:1">
      <c r="A35373" s="56"/>
    </row>
    <row r="35374" spans="1:1">
      <c r="A35374" s="56"/>
    </row>
    <row r="35375" spans="1:1">
      <c r="A35375" s="56"/>
    </row>
    <row r="35376" spans="1:1">
      <c r="A35376" s="56"/>
    </row>
    <row r="35377" spans="1:1">
      <c r="A35377" s="56"/>
    </row>
    <row r="35378" spans="1:1">
      <c r="A35378" s="56"/>
    </row>
    <row r="35379" spans="1:1">
      <c r="A35379" s="56"/>
    </row>
    <row r="35380" spans="1:1">
      <c r="A35380" s="56"/>
    </row>
    <row r="35381" spans="1:1">
      <c r="A35381" s="56"/>
    </row>
    <row r="35382" spans="1:1">
      <c r="A35382" s="56"/>
    </row>
    <row r="35383" spans="1:1">
      <c r="A35383" s="56"/>
    </row>
    <row r="35384" spans="1:1">
      <c r="A35384" s="56"/>
    </row>
    <row r="35385" spans="1:1">
      <c r="A35385" s="56"/>
    </row>
    <row r="35386" spans="1:1">
      <c r="A35386" s="56"/>
    </row>
    <row r="35387" spans="1:1">
      <c r="A35387" s="56"/>
    </row>
    <row r="35388" spans="1:1">
      <c r="A35388" s="56"/>
    </row>
    <row r="35389" spans="1:1">
      <c r="A35389" s="56"/>
    </row>
    <row r="35390" spans="1:1">
      <c r="A35390" s="56"/>
    </row>
    <row r="35391" spans="1:1">
      <c r="A35391" s="56"/>
    </row>
    <row r="35392" spans="1:1">
      <c r="A35392" s="56"/>
    </row>
    <row r="35393" spans="1:1">
      <c r="A35393" s="56"/>
    </row>
    <row r="35394" spans="1:1">
      <c r="A35394" s="56"/>
    </row>
    <row r="35395" spans="1:1">
      <c r="A35395" s="56"/>
    </row>
    <row r="35396" spans="1:1">
      <c r="A35396" s="56"/>
    </row>
    <row r="35397" spans="1:1">
      <c r="A35397" s="56"/>
    </row>
    <row r="35398" spans="1:1">
      <c r="A35398" s="56"/>
    </row>
    <row r="35399" spans="1:1">
      <c r="A35399" s="56"/>
    </row>
    <row r="35400" spans="1:1">
      <c r="A35400" s="56"/>
    </row>
    <row r="35401" spans="1:1">
      <c r="A35401" s="56"/>
    </row>
    <row r="35402" spans="1:1">
      <c r="A35402" s="56"/>
    </row>
    <row r="35403" spans="1:1">
      <c r="A35403" s="56"/>
    </row>
    <row r="35404" spans="1:1">
      <c r="A35404" s="56"/>
    </row>
    <row r="35405" spans="1:1">
      <c r="A35405" s="56"/>
    </row>
    <row r="35406" spans="1:1">
      <c r="A35406" s="56"/>
    </row>
    <row r="35407" spans="1:1">
      <c r="A35407" s="56"/>
    </row>
    <row r="35408" spans="1:1">
      <c r="A35408" s="56"/>
    </row>
    <row r="35409" spans="1:1">
      <c r="A35409" s="56"/>
    </row>
    <row r="35410" spans="1:1">
      <c r="A35410" s="56"/>
    </row>
    <row r="35411" spans="1:1">
      <c r="A35411" s="56"/>
    </row>
    <row r="35412" spans="1:1">
      <c r="A35412" s="56"/>
    </row>
    <row r="35413" spans="1:1">
      <c r="A35413" s="56"/>
    </row>
    <row r="35414" spans="1:1">
      <c r="A35414" s="56"/>
    </row>
    <row r="35415" spans="1:1">
      <c r="A35415" s="56"/>
    </row>
    <row r="35416" spans="1:1">
      <c r="A35416" s="56"/>
    </row>
    <row r="35417" spans="1:1">
      <c r="A35417" s="56"/>
    </row>
    <row r="35418" spans="1:1">
      <c r="A35418" s="56"/>
    </row>
    <row r="35419" spans="1:1">
      <c r="A35419" s="56"/>
    </row>
    <row r="35420" spans="1:1">
      <c r="A35420" s="56"/>
    </row>
    <row r="35421" spans="1:1">
      <c r="A35421" s="56"/>
    </row>
    <row r="35422" spans="1:1">
      <c r="A35422" s="56"/>
    </row>
    <row r="35423" spans="1:1">
      <c r="A35423" s="56"/>
    </row>
    <row r="35424" spans="1:1">
      <c r="A35424" s="56"/>
    </row>
    <row r="35425" spans="1:1">
      <c r="A35425" s="56"/>
    </row>
    <row r="35426" spans="1:1">
      <c r="A35426" s="56"/>
    </row>
    <row r="35427" spans="1:1">
      <c r="A35427" s="56"/>
    </row>
    <row r="35428" spans="1:1">
      <c r="A35428" s="56"/>
    </row>
    <row r="35429" spans="1:1">
      <c r="A35429" s="56"/>
    </row>
    <row r="35430" spans="1:1">
      <c r="A35430" s="56"/>
    </row>
    <row r="35431" spans="1:1">
      <c r="A35431" s="56"/>
    </row>
    <row r="35432" spans="1:1">
      <c r="A35432" s="56"/>
    </row>
    <row r="35433" spans="1:1">
      <c r="A35433" s="56"/>
    </row>
    <row r="35434" spans="1:1">
      <c r="A35434" s="56"/>
    </row>
    <row r="35435" spans="1:1">
      <c r="A35435" s="56"/>
    </row>
    <row r="35436" spans="1:1">
      <c r="A35436" s="56"/>
    </row>
    <row r="35437" spans="1:1">
      <c r="A35437" s="56"/>
    </row>
    <row r="35438" spans="1:1">
      <c r="A35438" s="56"/>
    </row>
    <row r="35439" spans="1:1">
      <c r="A35439" s="56"/>
    </row>
    <row r="35440" spans="1:1">
      <c r="A35440" s="56"/>
    </row>
    <row r="35441" spans="1:1">
      <c r="A35441" s="56"/>
    </row>
    <row r="35442" spans="1:1">
      <c r="A35442" s="56"/>
    </row>
    <row r="35443" spans="1:1">
      <c r="A35443" s="56"/>
    </row>
    <row r="35444" spans="1:1">
      <c r="A35444" s="56"/>
    </row>
    <row r="35445" spans="1:1">
      <c r="A35445" s="56"/>
    </row>
    <row r="35446" spans="1:1">
      <c r="A35446" s="56"/>
    </row>
    <row r="35447" spans="1:1">
      <c r="A35447" s="56"/>
    </row>
    <row r="35448" spans="1:1">
      <c r="A35448" s="56"/>
    </row>
    <row r="35449" spans="1:1">
      <c r="A35449" s="56"/>
    </row>
    <row r="35450" spans="1:1">
      <c r="A35450" s="56"/>
    </row>
    <row r="35451" spans="1:1">
      <c r="A35451" s="56"/>
    </row>
    <row r="35452" spans="1:1">
      <c r="A35452" s="56"/>
    </row>
    <row r="35453" spans="1:1">
      <c r="A35453" s="56"/>
    </row>
    <row r="35454" spans="1:1">
      <c r="A35454" s="56"/>
    </row>
    <row r="35455" spans="1:1">
      <c r="A35455" s="56"/>
    </row>
    <row r="35456" spans="1:1">
      <c r="A35456" s="56"/>
    </row>
    <row r="35457" spans="1:1">
      <c r="A35457" s="56"/>
    </row>
    <row r="35458" spans="1:1">
      <c r="A35458" s="56"/>
    </row>
    <row r="35459" spans="1:1">
      <c r="A35459" s="56"/>
    </row>
    <row r="35460" spans="1:1">
      <c r="A35460" s="56"/>
    </row>
    <row r="35461" spans="1:1">
      <c r="A35461" s="56"/>
    </row>
    <row r="35462" spans="1:1">
      <c r="A35462" s="56"/>
    </row>
    <row r="35463" spans="1:1">
      <c r="A35463" s="56"/>
    </row>
    <row r="35464" spans="1:1">
      <c r="A35464" s="56"/>
    </row>
    <row r="35465" spans="1:1">
      <c r="A35465" s="56"/>
    </row>
    <row r="35466" spans="1:1">
      <c r="A35466" s="56"/>
    </row>
    <row r="35467" spans="1:1">
      <c r="A35467" s="56"/>
    </row>
    <row r="35468" spans="1:1">
      <c r="A35468" s="56"/>
    </row>
    <row r="35469" spans="1:1">
      <c r="A35469" s="56"/>
    </row>
    <row r="35470" spans="1:1">
      <c r="A35470" s="56"/>
    </row>
    <row r="35471" spans="1:1">
      <c r="A35471" s="56"/>
    </row>
    <row r="35472" spans="1:1">
      <c r="A35472" s="56"/>
    </row>
    <row r="35473" spans="1:1">
      <c r="A35473" s="56"/>
    </row>
    <row r="35474" spans="1:1">
      <c r="A35474" s="56"/>
    </row>
    <row r="35475" spans="1:1">
      <c r="A35475" s="56"/>
    </row>
    <row r="35476" spans="1:1">
      <c r="A35476" s="56"/>
    </row>
    <row r="35477" spans="1:1">
      <c r="A35477" s="56"/>
    </row>
    <row r="35478" spans="1:1">
      <c r="A35478" s="56"/>
    </row>
    <row r="35479" spans="1:1">
      <c r="A35479" s="56"/>
    </row>
    <row r="35480" spans="1:1">
      <c r="A35480" s="56"/>
    </row>
    <row r="35481" spans="1:1">
      <c r="A35481" s="56"/>
    </row>
    <row r="35482" spans="1:1">
      <c r="A35482" s="56"/>
    </row>
    <row r="35483" spans="1:1">
      <c r="A35483" s="56"/>
    </row>
    <row r="35484" spans="1:1">
      <c r="A35484" s="56"/>
    </row>
    <row r="35485" spans="1:1">
      <c r="A35485" s="56"/>
    </row>
    <row r="35486" spans="1:1">
      <c r="A35486" s="56"/>
    </row>
    <row r="35487" spans="1:1">
      <c r="A35487" s="56"/>
    </row>
    <row r="35488" spans="1:1">
      <c r="A35488" s="56"/>
    </row>
    <row r="35489" spans="1:1">
      <c r="A35489" s="56"/>
    </row>
    <row r="35490" spans="1:1">
      <c r="A35490" s="56"/>
    </row>
    <row r="35491" spans="1:1">
      <c r="A35491" s="56"/>
    </row>
    <row r="35492" spans="1:1">
      <c r="A35492" s="56"/>
    </row>
    <row r="35493" spans="1:1">
      <c r="A35493" s="56"/>
    </row>
    <row r="35494" spans="1:1">
      <c r="A35494" s="56"/>
    </row>
    <row r="35495" spans="1:1">
      <c r="A35495" s="56"/>
    </row>
    <row r="35496" spans="1:1">
      <c r="A35496" s="56"/>
    </row>
    <row r="35497" spans="1:1">
      <c r="A35497" s="56"/>
    </row>
    <row r="35498" spans="1:1">
      <c r="A35498" s="56"/>
    </row>
    <row r="35499" spans="1:1">
      <c r="A35499" s="56"/>
    </row>
    <row r="35500" spans="1:1">
      <c r="A35500" s="56"/>
    </row>
    <row r="35501" spans="1:1">
      <c r="A35501" s="56"/>
    </row>
    <row r="35502" spans="1:1">
      <c r="A35502" s="56"/>
    </row>
    <row r="35503" spans="1:1">
      <c r="A35503" s="56"/>
    </row>
    <row r="35504" spans="1:1">
      <c r="A35504" s="56"/>
    </row>
    <row r="35505" spans="1:1">
      <c r="A35505" s="56"/>
    </row>
    <row r="35506" spans="1:1">
      <c r="A35506" s="56"/>
    </row>
    <row r="35507" spans="1:1">
      <c r="A35507" s="56"/>
    </row>
    <row r="35508" spans="1:1">
      <c r="A35508" s="56"/>
    </row>
    <row r="35509" spans="1:1">
      <c r="A35509" s="56"/>
    </row>
    <row r="35510" spans="1:1">
      <c r="A35510" s="56"/>
    </row>
    <row r="35511" spans="1:1">
      <c r="A35511" s="56"/>
    </row>
    <row r="35512" spans="1:1">
      <c r="A35512" s="56"/>
    </row>
    <row r="35513" spans="1:1">
      <c r="A35513" s="56"/>
    </row>
    <row r="35514" spans="1:1">
      <c r="A35514" s="56"/>
    </row>
    <row r="35515" spans="1:1">
      <c r="A35515" s="56"/>
    </row>
    <row r="35516" spans="1:1">
      <c r="A35516" s="56"/>
    </row>
    <row r="35517" spans="1:1">
      <c r="A35517" s="56"/>
    </row>
    <row r="35518" spans="1:1">
      <c r="A35518" s="56"/>
    </row>
    <row r="35519" spans="1:1">
      <c r="A35519" s="56"/>
    </row>
    <row r="35520" spans="1:1">
      <c r="A35520" s="56"/>
    </row>
    <row r="35521" spans="1:1">
      <c r="A35521" s="56"/>
    </row>
    <row r="35522" spans="1:1">
      <c r="A35522" s="56"/>
    </row>
    <row r="35523" spans="1:1">
      <c r="A35523" s="56"/>
    </row>
    <row r="35524" spans="1:1">
      <c r="A35524" s="56"/>
    </row>
    <row r="35525" spans="1:1">
      <c r="A35525" s="56"/>
    </row>
    <row r="35526" spans="1:1">
      <c r="A35526" s="56"/>
    </row>
    <row r="35527" spans="1:1">
      <c r="A35527" s="56"/>
    </row>
    <row r="35528" spans="1:1">
      <c r="A35528" s="56"/>
    </row>
    <row r="35529" spans="1:1">
      <c r="A35529" s="56"/>
    </row>
    <row r="35530" spans="1:1">
      <c r="A35530" s="56"/>
    </row>
    <row r="35531" spans="1:1">
      <c r="A35531" s="56"/>
    </row>
    <row r="35532" spans="1:1">
      <c r="A35532" s="56"/>
    </row>
    <row r="35533" spans="1:1">
      <c r="A35533" s="56"/>
    </row>
    <row r="35534" spans="1:1">
      <c r="A35534" s="56"/>
    </row>
    <row r="35535" spans="1:1">
      <c r="A35535" s="56"/>
    </row>
    <row r="35536" spans="1:1">
      <c r="A35536" s="56"/>
    </row>
    <row r="35537" spans="1:1">
      <c r="A35537" s="56"/>
    </row>
    <row r="35538" spans="1:1">
      <c r="A35538" s="56"/>
    </row>
    <row r="35539" spans="1:1">
      <c r="A35539" s="56"/>
    </row>
    <row r="35540" spans="1:1">
      <c r="A35540" s="56"/>
    </row>
    <row r="35541" spans="1:1">
      <c r="A35541" s="56"/>
    </row>
    <row r="35542" spans="1:1">
      <c r="A35542" s="56"/>
    </row>
    <row r="35543" spans="1:1">
      <c r="A35543" s="56"/>
    </row>
    <row r="35544" spans="1:1">
      <c r="A35544" s="56"/>
    </row>
    <row r="35545" spans="1:1">
      <c r="A35545" s="56"/>
    </row>
    <row r="35546" spans="1:1">
      <c r="A35546" s="56"/>
    </row>
    <row r="35547" spans="1:1">
      <c r="A35547" s="56"/>
    </row>
    <row r="35548" spans="1:1">
      <c r="A35548" s="56"/>
    </row>
    <row r="35549" spans="1:1">
      <c r="A35549" s="56"/>
    </row>
    <row r="35550" spans="1:1">
      <c r="A35550" s="56"/>
    </row>
    <row r="35551" spans="1:1">
      <c r="A35551" s="56"/>
    </row>
    <row r="35552" spans="1:1">
      <c r="A35552" s="56"/>
    </row>
    <row r="35553" spans="1:1">
      <c r="A35553" s="56"/>
    </row>
    <row r="35554" spans="1:1">
      <c r="A35554" s="56"/>
    </row>
    <row r="35555" spans="1:1">
      <c r="A35555" s="56"/>
    </row>
    <row r="35556" spans="1:1">
      <c r="A35556" s="56"/>
    </row>
    <row r="35557" spans="1:1">
      <c r="A35557" s="56"/>
    </row>
    <row r="35558" spans="1:1">
      <c r="A35558" s="56"/>
    </row>
    <row r="35559" spans="1:1">
      <c r="A35559" s="56"/>
    </row>
    <row r="35560" spans="1:1">
      <c r="A35560" s="56"/>
    </row>
    <row r="35561" spans="1:1">
      <c r="A35561" s="56"/>
    </row>
    <row r="35562" spans="1:1">
      <c r="A35562" s="56"/>
    </row>
    <row r="35563" spans="1:1">
      <c r="A35563" s="56"/>
    </row>
    <row r="35564" spans="1:1">
      <c r="A35564" s="56"/>
    </row>
    <row r="35565" spans="1:1">
      <c r="A35565" s="56"/>
    </row>
    <row r="35566" spans="1:1">
      <c r="A35566" s="56"/>
    </row>
    <row r="35567" spans="1:1">
      <c r="A35567" s="56"/>
    </row>
    <row r="35568" spans="1:1">
      <c r="A35568" s="56"/>
    </row>
    <row r="35569" spans="1:1">
      <c r="A35569" s="56"/>
    </row>
    <row r="35570" spans="1:1">
      <c r="A35570" s="56"/>
    </row>
    <row r="35571" spans="1:1">
      <c r="A35571" s="56"/>
    </row>
    <row r="35572" spans="1:1">
      <c r="A35572" s="56"/>
    </row>
    <row r="35573" spans="1:1">
      <c r="A35573" s="56"/>
    </row>
    <row r="35574" spans="1:1">
      <c r="A35574" s="56"/>
    </row>
    <row r="35575" spans="1:1">
      <c r="A35575" s="56"/>
    </row>
    <row r="35576" spans="1:1">
      <c r="A35576" s="56"/>
    </row>
    <row r="35577" spans="1:1">
      <c r="A35577" s="56"/>
    </row>
    <row r="35578" spans="1:1">
      <c r="A35578" s="56"/>
    </row>
    <row r="35579" spans="1:1">
      <c r="A35579" s="56"/>
    </row>
    <row r="35580" spans="1:1">
      <c r="A35580" s="56"/>
    </row>
    <row r="35581" spans="1:1">
      <c r="A35581" s="56"/>
    </row>
    <row r="35582" spans="1:1">
      <c r="A35582" s="56"/>
    </row>
    <row r="35583" spans="1:1">
      <c r="A35583" s="56"/>
    </row>
    <row r="35584" spans="1:1">
      <c r="A35584" s="56"/>
    </row>
    <row r="35585" spans="1:1">
      <c r="A35585" s="56"/>
    </row>
    <row r="35586" spans="1:1">
      <c r="A35586" s="56"/>
    </row>
    <row r="35587" spans="1:1">
      <c r="A35587" s="56"/>
    </row>
    <row r="35588" spans="1:1">
      <c r="A35588" s="56"/>
    </row>
    <row r="35589" spans="1:1">
      <c r="A35589" s="56"/>
    </row>
    <row r="35590" spans="1:1">
      <c r="A35590" s="56"/>
    </row>
    <row r="35591" spans="1:1">
      <c r="A35591" s="56"/>
    </row>
    <row r="35592" spans="1:1">
      <c r="A35592" s="56"/>
    </row>
    <row r="35593" spans="1:1">
      <c r="A35593" s="56"/>
    </row>
    <row r="35594" spans="1:1">
      <c r="A35594" s="56"/>
    </row>
    <row r="35595" spans="1:1">
      <c r="A35595" s="56"/>
    </row>
    <row r="35596" spans="1:1">
      <c r="A35596" s="56"/>
    </row>
    <row r="35597" spans="1:1">
      <c r="A35597" s="56"/>
    </row>
    <row r="35598" spans="1:1">
      <c r="A35598" s="56"/>
    </row>
    <row r="35599" spans="1:1">
      <c r="A35599" s="56"/>
    </row>
    <row r="35600" spans="1:1">
      <c r="A35600" s="56"/>
    </row>
    <row r="35601" spans="1:1">
      <c r="A35601" s="56"/>
    </row>
    <row r="35602" spans="1:1">
      <c r="A35602" s="56"/>
    </row>
    <row r="35603" spans="1:1">
      <c r="A35603" s="56"/>
    </row>
    <row r="35604" spans="1:1">
      <c r="A35604" s="56"/>
    </row>
    <row r="35605" spans="1:1">
      <c r="A35605" s="56"/>
    </row>
    <row r="35606" spans="1:1">
      <c r="A35606" s="56"/>
    </row>
    <row r="35607" spans="1:1">
      <c r="A35607" s="56"/>
    </row>
    <row r="35608" spans="1:1">
      <c r="A35608" s="56"/>
    </row>
    <row r="35609" spans="1:1">
      <c r="A35609" s="56"/>
    </row>
    <row r="35610" spans="1:1">
      <c r="A35610" s="56"/>
    </row>
    <row r="35611" spans="1:1">
      <c r="A35611" s="56"/>
    </row>
    <row r="35612" spans="1:1">
      <c r="A35612" s="56"/>
    </row>
    <row r="35613" spans="1:1">
      <c r="A35613" s="56"/>
    </row>
    <row r="35614" spans="1:1">
      <c r="A35614" s="56"/>
    </row>
    <row r="35615" spans="1:1">
      <c r="A35615" s="56"/>
    </row>
    <row r="35616" spans="1:1">
      <c r="A35616" s="56"/>
    </row>
    <row r="35617" spans="1:1">
      <c r="A35617" s="56"/>
    </row>
    <row r="35618" spans="1:1">
      <c r="A35618" s="56"/>
    </row>
    <row r="35619" spans="1:1">
      <c r="A35619" s="56"/>
    </row>
    <row r="35620" spans="1:1">
      <c r="A35620" s="56"/>
    </row>
    <row r="35621" spans="1:1">
      <c r="A35621" s="56"/>
    </row>
    <row r="35622" spans="1:1">
      <c r="A35622" s="56"/>
    </row>
    <row r="35623" spans="1:1">
      <c r="A35623" s="56"/>
    </row>
    <row r="35624" spans="1:1">
      <c r="A35624" s="56"/>
    </row>
    <row r="35625" spans="1:1">
      <c r="A35625" s="56"/>
    </row>
    <row r="35626" spans="1:1">
      <c r="A35626" s="56"/>
    </row>
    <row r="35627" spans="1:1">
      <c r="A35627" s="56"/>
    </row>
    <row r="35628" spans="1:1">
      <c r="A35628" s="56"/>
    </row>
    <row r="35629" spans="1:1">
      <c r="A35629" s="56"/>
    </row>
    <row r="35630" spans="1:1">
      <c r="A35630" s="56"/>
    </row>
    <row r="35631" spans="1:1">
      <c r="A35631" s="56"/>
    </row>
    <row r="35632" spans="1:1">
      <c r="A35632" s="56"/>
    </row>
    <row r="35633" spans="1:1">
      <c r="A35633" s="56"/>
    </row>
    <row r="35634" spans="1:1">
      <c r="A35634" s="56"/>
    </row>
    <row r="35635" spans="1:1">
      <c r="A35635" s="56"/>
    </row>
    <row r="35636" spans="1:1">
      <c r="A35636" s="56"/>
    </row>
    <row r="35637" spans="1:1">
      <c r="A35637" s="56"/>
    </row>
    <row r="35638" spans="1:1">
      <c r="A35638" s="56"/>
    </row>
    <row r="35639" spans="1:1">
      <c r="A35639" s="56"/>
    </row>
    <row r="35640" spans="1:1">
      <c r="A35640" s="56"/>
    </row>
    <row r="35641" spans="1:1">
      <c r="A35641" s="56"/>
    </row>
    <row r="35642" spans="1:1">
      <c r="A35642" s="56"/>
    </row>
    <row r="35643" spans="1:1">
      <c r="A35643" s="56"/>
    </row>
    <row r="35644" spans="1:1">
      <c r="A35644" s="56"/>
    </row>
    <row r="35645" spans="1:1">
      <c r="A35645" s="56"/>
    </row>
    <row r="35646" spans="1:1">
      <c r="A35646" s="56"/>
    </row>
    <row r="35647" spans="1:1">
      <c r="A35647" s="56"/>
    </row>
    <row r="35648" spans="1:1">
      <c r="A35648" s="56"/>
    </row>
    <row r="35649" spans="1:1">
      <c r="A35649" s="56"/>
    </row>
    <row r="35650" spans="1:1">
      <c r="A35650" s="56"/>
    </row>
    <row r="35651" spans="1:1">
      <c r="A35651" s="56"/>
    </row>
    <row r="35652" spans="1:1">
      <c r="A35652" s="56"/>
    </row>
    <row r="35653" spans="1:1">
      <c r="A35653" s="56"/>
    </row>
    <row r="35654" spans="1:1">
      <c r="A35654" s="56"/>
    </row>
    <row r="35655" spans="1:1">
      <c r="A35655" s="56"/>
    </row>
    <row r="35656" spans="1:1">
      <c r="A35656" s="56"/>
    </row>
    <row r="35657" spans="1:1">
      <c r="A35657" s="56"/>
    </row>
    <row r="35658" spans="1:1">
      <c r="A35658" s="56"/>
    </row>
    <row r="35659" spans="1:1">
      <c r="A35659" s="56"/>
    </row>
    <row r="35660" spans="1:1">
      <c r="A35660" s="56"/>
    </row>
    <row r="35661" spans="1:1">
      <c r="A35661" s="56"/>
    </row>
    <row r="35662" spans="1:1">
      <c r="A35662" s="56"/>
    </row>
    <row r="35663" spans="1:1">
      <c r="A35663" s="56"/>
    </row>
    <row r="35664" spans="1:1">
      <c r="A35664" s="56"/>
    </row>
    <row r="35665" spans="1:1">
      <c r="A35665" s="56"/>
    </row>
    <row r="35666" spans="1:1">
      <c r="A35666" s="56"/>
    </row>
    <row r="35667" spans="1:1">
      <c r="A35667" s="56"/>
    </row>
    <row r="35668" spans="1:1">
      <c r="A35668" s="56"/>
    </row>
    <row r="35669" spans="1:1">
      <c r="A35669" s="56"/>
    </row>
    <row r="35670" spans="1:1">
      <c r="A35670" s="56"/>
    </row>
    <row r="35671" spans="1:1">
      <c r="A35671" s="56"/>
    </row>
    <row r="35672" spans="1:1">
      <c r="A35672" s="56"/>
    </row>
    <row r="35673" spans="1:1">
      <c r="A35673" s="56"/>
    </row>
    <row r="35674" spans="1:1">
      <c r="A35674" s="56"/>
    </row>
    <row r="35675" spans="1:1">
      <c r="A35675" s="56"/>
    </row>
    <row r="35676" spans="1:1">
      <c r="A35676" s="56"/>
    </row>
    <row r="35677" spans="1:1">
      <c r="A35677" s="56"/>
    </row>
    <row r="35678" spans="1:1">
      <c r="A35678" s="56"/>
    </row>
    <row r="35679" spans="1:1">
      <c r="A35679" s="56"/>
    </row>
    <row r="35680" spans="1:1">
      <c r="A35680" s="56"/>
    </row>
    <row r="35681" spans="1:1">
      <c r="A35681" s="56"/>
    </row>
    <row r="35682" spans="1:1">
      <c r="A35682" s="56"/>
    </row>
    <row r="35683" spans="1:1">
      <c r="A35683" s="56"/>
    </row>
    <row r="35684" spans="1:1">
      <c r="A35684" s="56"/>
    </row>
    <row r="35685" spans="1:1">
      <c r="A35685" s="56"/>
    </row>
    <row r="35686" spans="1:1">
      <c r="A35686" s="56"/>
    </row>
    <row r="35687" spans="1:1">
      <c r="A35687" s="56"/>
    </row>
    <row r="35688" spans="1:1">
      <c r="A35688" s="56"/>
    </row>
    <row r="35689" spans="1:1">
      <c r="A35689" s="56"/>
    </row>
    <row r="35690" spans="1:1">
      <c r="A35690" s="56"/>
    </row>
    <row r="35691" spans="1:1">
      <c r="A35691" s="56"/>
    </row>
    <row r="35692" spans="1:1">
      <c r="A35692" s="56"/>
    </row>
    <row r="35693" spans="1:1">
      <c r="A35693" s="56"/>
    </row>
    <row r="35694" spans="1:1">
      <c r="A35694" s="56"/>
    </row>
    <row r="35695" spans="1:1">
      <c r="A35695" s="56"/>
    </row>
    <row r="35696" spans="1:1">
      <c r="A35696" s="56"/>
    </row>
    <row r="35697" spans="1:1">
      <c r="A35697" s="56"/>
    </row>
    <row r="35698" spans="1:1">
      <c r="A35698" s="56"/>
    </row>
    <row r="35699" spans="1:1">
      <c r="A35699" s="56"/>
    </row>
    <row r="35700" spans="1:1">
      <c r="A35700" s="56"/>
    </row>
    <row r="35701" spans="1:1">
      <c r="A35701" s="56"/>
    </row>
    <row r="35702" spans="1:1">
      <c r="A35702" s="56"/>
    </row>
    <row r="35703" spans="1:1">
      <c r="A35703" s="56"/>
    </row>
    <row r="35704" spans="1:1">
      <c r="A35704" s="56"/>
    </row>
    <row r="35705" spans="1:1">
      <c r="A35705" s="56"/>
    </row>
    <row r="35706" spans="1:1">
      <c r="A35706" s="56"/>
    </row>
    <row r="35707" spans="1:1">
      <c r="A35707" s="56"/>
    </row>
    <row r="35708" spans="1:1">
      <c r="A35708" s="56"/>
    </row>
    <row r="35709" spans="1:1">
      <c r="A35709" s="56"/>
    </row>
    <row r="35710" spans="1:1">
      <c r="A35710" s="56"/>
    </row>
    <row r="35711" spans="1:1">
      <c r="A35711" s="56"/>
    </row>
    <row r="35712" spans="1:1">
      <c r="A35712" s="56"/>
    </row>
    <row r="35713" spans="1:1">
      <c r="A35713" s="56"/>
    </row>
    <row r="35714" spans="1:1">
      <c r="A35714" s="56"/>
    </row>
    <row r="35715" spans="1:1">
      <c r="A35715" s="56"/>
    </row>
    <row r="35716" spans="1:1">
      <c r="A35716" s="56"/>
    </row>
    <row r="35717" spans="1:1">
      <c r="A35717" s="56"/>
    </row>
    <row r="35718" spans="1:1">
      <c r="A35718" s="56"/>
    </row>
    <row r="35719" spans="1:1">
      <c r="A35719" s="56"/>
    </row>
    <row r="35720" spans="1:1">
      <c r="A35720" s="56"/>
    </row>
    <row r="35721" spans="1:1">
      <c r="A35721" s="56"/>
    </row>
    <row r="35722" spans="1:1">
      <c r="A35722" s="56"/>
    </row>
    <row r="35723" spans="1:1">
      <c r="A35723" s="56"/>
    </row>
    <row r="35724" spans="1:1">
      <c r="A35724" s="56"/>
    </row>
    <row r="35725" spans="1:1">
      <c r="A35725" s="56"/>
    </row>
    <row r="35726" spans="1:1">
      <c r="A35726" s="56"/>
    </row>
    <row r="35727" spans="1:1">
      <c r="A35727" s="56"/>
    </row>
    <row r="35728" spans="1:1">
      <c r="A35728" s="56"/>
    </row>
    <row r="35729" spans="1:1">
      <c r="A35729" s="56"/>
    </row>
    <row r="35730" spans="1:1">
      <c r="A35730" s="56"/>
    </row>
    <row r="35731" spans="1:1">
      <c r="A35731" s="56"/>
    </row>
    <row r="35732" spans="1:1">
      <c r="A35732" s="56"/>
    </row>
    <row r="35733" spans="1:1">
      <c r="A35733" s="56"/>
    </row>
    <row r="35734" spans="1:1">
      <c r="A35734" s="56"/>
    </row>
    <row r="35735" spans="1:1">
      <c r="A35735" s="56"/>
    </row>
    <row r="35736" spans="1:1">
      <c r="A35736" s="56"/>
    </row>
    <row r="35737" spans="1:1">
      <c r="A35737" s="56"/>
    </row>
    <row r="35738" spans="1:1">
      <c r="A35738" s="56"/>
    </row>
    <row r="35739" spans="1:1">
      <c r="A35739" s="56"/>
    </row>
    <row r="35740" spans="1:1">
      <c r="A35740" s="56"/>
    </row>
    <row r="35741" spans="1:1">
      <c r="A35741" s="56"/>
    </row>
    <row r="35742" spans="1:1">
      <c r="A35742" s="56"/>
    </row>
    <row r="35743" spans="1:1">
      <c r="A35743" s="56"/>
    </row>
    <row r="35744" spans="1:1">
      <c r="A35744" s="56"/>
    </row>
    <row r="35745" spans="1:1">
      <c r="A35745" s="56"/>
    </row>
    <row r="35746" spans="1:1">
      <c r="A35746" s="56"/>
    </row>
    <row r="35747" spans="1:1">
      <c r="A35747" s="56"/>
    </row>
    <row r="35748" spans="1:1">
      <c r="A35748" s="56"/>
    </row>
    <row r="35749" spans="1:1">
      <c r="A35749" s="56"/>
    </row>
    <row r="35750" spans="1:1">
      <c r="A35750" s="56"/>
    </row>
    <row r="35751" spans="1:1">
      <c r="A35751" s="56"/>
    </row>
    <row r="35752" spans="1:1">
      <c r="A35752" s="56"/>
    </row>
    <row r="35753" spans="1:1">
      <c r="A35753" s="56"/>
    </row>
    <row r="35754" spans="1:1">
      <c r="A35754" s="56"/>
    </row>
    <row r="35755" spans="1:1">
      <c r="A35755" s="56"/>
    </row>
    <row r="35756" spans="1:1">
      <c r="A35756" s="56"/>
    </row>
    <row r="35757" spans="1:1">
      <c r="A35757" s="56"/>
    </row>
    <row r="35758" spans="1:1">
      <c r="A35758" s="56"/>
    </row>
    <row r="35759" spans="1:1">
      <c r="A35759" s="56"/>
    </row>
    <row r="35760" spans="1:1">
      <c r="A35760" s="56"/>
    </row>
    <row r="35761" spans="1:1">
      <c r="A35761" s="56"/>
    </row>
    <row r="35762" spans="1:1">
      <c r="A35762" s="56"/>
    </row>
    <row r="35763" spans="1:1">
      <c r="A35763" s="56"/>
    </row>
    <row r="35764" spans="1:1">
      <c r="A35764" s="56"/>
    </row>
    <row r="35765" spans="1:1">
      <c r="A35765" s="56"/>
    </row>
    <row r="35766" spans="1:1">
      <c r="A35766" s="56"/>
    </row>
    <row r="35767" spans="1:1">
      <c r="A35767" s="56"/>
    </row>
    <row r="35768" spans="1:1">
      <c r="A35768" s="56"/>
    </row>
    <row r="35769" spans="1:1">
      <c r="A35769" s="56"/>
    </row>
    <row r="35770" spans="1:1">
      <c r="A35770" s="56"/>
    </row>
    <row r="35771" spans="1:1">
      <c r="A35771" s="56"/>
    </row>
    <row r="35772" spans="1:1">
      <c r="A35772" s="56"/>
    </row>
    <row r="35773" spans="1:1">
      <c r="A35773" s="56"/>
    </row>
    <row r="35774" spans="1:1">
      <c r="A35774" s="56"/>
    </row>
    <row r="35775" spans="1:1">
      <c r="A35775" s="56"/>
    </row>
    <row r="35776" spans="1:1">
      <c r="A35776" s="56"/>
    </row>
    <row r="35777" spans="1:1">
      <c r="A35777" s="56"/>
    </row>
    <row r="35778" spans="1:1">
      <c r="A35778" s="56"/>
    </row>
    <row r="35779" spans="1:1">
      <c r="A35779" s="56"/>
    </row>
    <row r="35780" spans="1:1">
      <c r="A35780" s="56"/>
    </row>
    <row r="35781" spans="1:1">
      <c r="A35781" s="56"/>
    </row>
    <row r="35782" spans="1:1">
      <c r="A35782" s="56"/>
    </row>
    <row r="35783" spans="1:1">
      <c r="A35783" s="56"/>
    </row>
    <row r="35784" spans="1:1">
      <c r="A35784" s="56"/>
    </row>
    <row r="35785" spans="1:1">
      <c r="A35785" s="56"/>
    </row>
    <row r="35786" spans="1:1">
      <c r="A35786" s="56"/>
    </row>
    <row r="35787" spans="1:1">
      <c r="A35787" s="56"/>
    </row>
    <row r="35788" spans="1:1">
      <c r="A35788" s="56"/>
    </row>
    <row r="35789" spans="1:1">
      <c r="A35789" s="56"/>
    </row>
    <row r="35790" spans="1:1">
      <c r="A35790" s="56"/>
    </row>
    <row r="35791" spans="1:1">
      <c r="A35791" s="56"/>
    </row>
    <row r="35792" spans="1:1">
      <c r="A35792" s="56"/>
    </row>
    <row r="35793" spans="1:1">
      <c r="A35793" s="56"/>
    </row>
    <row r="35794" spans="1:1">
      <c r="A35794" s="56"/>
    </row>
    <row r="35795" spans="1:1">
      <c r="A35795" s="56"/>
    </row>
    <row r="35796" spans="1:1">
      <c r="A35796" s="56"/>
    </row>
    <row r="35797" spans="1:1">
      <c r="A35797" s="56"/>
    </row>
    <row r="35798" spans="1:1">
      <c r="A35798" s="56"/>
    </row>
    <row r="35799" spans="1:1">
      <c r="A35799" s="56"/>
    </row>
    <row r="35800" spans="1:1">
      <c r="A35800" s="56"/>
    </row>
    <row r="35801" spans="1:1">
      <c r="A35801" s="56"/>
    </row>
    <row r="35802" spans="1:1">
      <c r="A35802" s="56"/>
    </row>
    <row r="35803" spans="1:1">
      <c r="A35803" s="56"/>
    </row>
    <row r="35804" spans="1:1">
      <c r="A35804" s="56"/>
    </row>
    <row r="35805" spans="1:1">
      <c r="A35805" s="56"/>
    </row>
    <row r="35806" spans="1:1">
      <c r="A35806" s="56"/>
    </row>
    <row r="35807" spans="1:1">
      <c r="A35807" s="56"/>
    </row>
    <row r="35808" spans="1:1">
      <c r="A35808" s="56"/>
    </row>
    <row r="35809" spans="1:1">
      <c r="A35809" s="56"/>
    </row>
    <row r="35810" spans="1:1">
      <c r="A35810" s="56"/>
    </row>
    <row r="35811" spans="1:1">
      <c r="A35811" s="56"/>
    </row>
    <row r="35812" spans="1:1">
      <c r="A35812" s="56"/>
    </row>
    <row r="35813" spans="1:1">
      <c r="A35813" s="56"/>
    </row>
    <row r="35814" spans="1:1">
      <c r="A35814" s="56"/>
    </row>
    <row r="35815" spans="1:1">
      <c r="A35815" s="56"/>
    </row>
    <row r="35816" spans="1:1">
      <c r="A35816" s="56"/>
    </row>
    <row r="35817" spans="1:1">
      <c r="A35817" s="56"/>
    </row>
    <row r="35818" spans="1:1">
      <c r="A35818" s="56"/>
    </row>
    <row r="35819" spans="1:1">
      <c r="A35819" s="56"/>
    </row>
    <row r="35820" spans="1:1">
      <c r="A35820" s="56"/>
    </row>
    <row r="35821" spans="1:1">
      <c r="A35821" s="56"/>
    </row>
    <row r="35822" spans="1:1">
      <c r="A35822" s="56"/>
    </row>
    <row r="35823" spans="1:1">
      <c r="A35823" s="56"/>
    </row>
    <row r="35824" spans="1:1">
      <c r="A35824" s="56"/>
    </row>
    <row r="35825" spans="1:1">
      <c r="A35825" s="56"/>
    </row>
    <row r="35826" spans="1:1">
      <c r="A35826" s="56"/>
    </row>
    <row r="35827" spans="1:1">
      <c r="A35827" s="56"/>
    </row>
    <row r="35828" spans="1:1">
      <c r="A35828" s="56"/>
    </row>
    <row r="35829" spans="1:1">
      <c r="A35829" s="56"/>
    </row>
    <row r="35830" spans="1:1">
      <c r="A35830" s="56"/>
    </row>
    <row r="35831" spans="1:1">
      <c r="A35831" s="56"/>
    </row>
    <row r="35832" spans="1:1">
      <c r="A35832" s="56"/>
    </row>
    <row r="35833" spans="1:1">
      <c r="A35833" s="56"/>
    </row>
    <row r="35834" spans="1:1">
      <c r="A35834" s="56"/>
    </row>
    <row r="35835" spans="1:1">
      <c r="A35835" s="56"/>
    </row>
    <row r="35836" spans="1:1">
      <c r="A35836" s="56"/>
    </row>
    <row r="35837" spans="1:1">
      <c r="A35837" s="56"/>
    </row>
    <row r="35838" spans="1:1">
      <c r="A35838" s="56"/>
    </row>
    <row r="35839" spans="1:1">
      <c r="A35839" s="56"/>
    </row>
    <row r="35840" spans="1:1">
      <c r="A35840" s="56"/>
    </row>
    <row r="35841" spans="1:1">
      <c r="A35841" s="56"/>
    </row>
    <row r="35842" spans="1:1">
      <c r="A35842" s="56"/>
    </row>
    <row r="35843" spans="1:1">
      <c r="A35843" s="56"/>
    </row>
    <row r="35844" spans="1:1">
      <c r="A35844" s="56"/>
    </row>
    <row r="35845" spans="1:1">
      <c r="A35845" s="56"/>
    </row>
    <row r="35846" spans="1:1">
      <c r="A35846" s="56"/>
    </row>
    <row r="35847" spans="1:1">
      <c r="A35847" s="56"/>
    </row>
    <row r="35848" spans="1:1">
      <c r="A35848" s="56"/>
    </row>
    <row r="35849" spans="1:1">
      <c r="A35849" s="56"/>
    </row>
    <row r="35850" spans="1:1">
      <c r="A35850" s="56"/>
    </row>
    <row r="35851" spans="1:1">
      <c r="A35851" s="56"/>
    </row>
    <row r="35852" spans="1:1">
      <c r="A35852" s="56"/>
    </row>
    <row r="35853" spans="1:1">
      <c r="A35853" s="56"/>
    </row>
    <row r="35854" spans="1:1">
      <c r="A35854" s="56"/>
    </row>
    <row r="35855" spans="1:1">
      <c r="A35855" s="56"/>
    </row>
    <row r="35856" spans="1:1">
      <c r="A35856" s="56"/>
    </row>
    <row r="35857" spans="1:1">
      <c r="A35857" s="56"/>
    </row>
    <row r="35858" spans="1:1">
      <c r="A35858" s="56"/>
    </row>
    <row r="35859" spans="1:1">
      <c r="A35859" s="56"/>
    </row>
    <row r="35860" spans="1:1">
      <c r="A35860" s="56"/>
    </row>
    <row r="35861" spans="1:1">
      <c r="A35861" s="56"/>
    </row>
    <row r="35862" spans="1:1">
      <c r="A35862" s="56"/>
    </row>
    <row r="35863" spans="1:1">
      <c r="A35863" s="56"/>
    </row>
    <row r="35864" spans="1:1">
      <c r="A35864" s="56"/>
    </row>
    <row r="35865" spans="1:1">
      <c r="A35865" s="56"/>
    </row>
    <row r="35866" spans="1:1">
      <c r="A35866" s="56"/>
    </row>
    <row r="35867" spans="1:1">
      <c r="A35867" s="56"/>
    </row>
    <row r="35868" spans="1:1">
      <c r="A35868" s="56"/>
    </row>
    <row r="35869" spans="1:1">
      <c r="A35869" s="56"/>
    </row>
    <row r="35870" spans="1:1">
      <c r="A35870" s="56"/>
    </row>
    <row r="35871" spans="1:1">
      <c r="A35871" s="56"/>
    </row>
    <row r="35872" spans="1:1">
      <c r="A35872" s="56"/>
    </row>
    <row r="35873" spans="1:1">
      <c r="A35873" s="56"/>
    </row>
    <row r="35874" spans="1:1">
      <c r="A35874" s="56"/>
    </row>
    <row r="35875" spans="1:1">
      <c r="A35875" s="56"/>
    </row>
    <row r="35876" spans="1:1">
      <c r="A35876" s="56"/>
    </row>
    <row r="35877" spans="1:1">
      <c r="A35877" s="56"/>
    </row>
    <row r="35878" spans="1:1">
      <c r="A35878" s="56"/>
    </row>
    <row r="35879" spans="1:1">
      <c r="A35879" s="56"/>
    </row>
    <row r="35880" spans="1:1">
      <c r="A35880" s="56"/>
    </row>
    <row r="35881" spans="1:1">
      <c r="A35881" s="56"/>
    </row>
    <row r="35882" spans="1:1">
      <c r="A35882" s="56"/>
    </row>
    <row r="35883" spans="1:1">
      <c r="A35883" s="56"/>
    </row>
    <row r="35884" spans="1:1">
      <c r="A35884" s="56"/>
    </row>
    <row r="35885" spans="1:1">
      <c r="A35885" s="56"/>
    </row>
    <row r="35886" spans="1:1">
      <c r="A35886" s="56"/>
    </row>
    <row r="35887" spans="1:1">
      <c r="A35887" s="56"/>
    </row>
    <row r="35888" spans="1:1">
      <c r="A35888" s="56"/>
    </row>
    <row r="35889" spans="1:1">
      <c r="A35889" s="56"/>
    </row>
    <row r="35890" spans="1:1">
      <c r="A35890" s="56"/>
    </row>
    <row r="35891" spans="1:1">
      <c r="A35891" s="56"/>
    </row>
    <row r="35892" spans="1:1">
      <c r="A35892" s="56"/>
    </row>
    <row r="35893" spans="1:1">
      <c r="A35893" s="56"/>
    </row>
    <row r="35894" spans="1:1">
      <c r="A35894" s="56"/>
    </row>
    <row r="35895" spans="1:1">
      <c r="A35895" s="56"/>
    </row>
    <row r="35896" spans="1:1">
      <c r="A35896" s="56"/>
    </row>
    <row r="35897" spans="1:1">
      <c r="A35897" s="56"/>
    </row>
    <row r="35898" spans="1:1">
      <c r="A35898" s="56"/>
    </row>
    <row r="35899" spans="1:1">
      <c r="A35899" s="56"/>
    </row>
    <row r="35900" spans="1:1">
      <c r="A35900" s="56"/>
    </row>
    <row r="35901" spans="1:1">
      <c r="A35901" s="56"/>
    </row>
    <row r="35902" spans="1:1">
      <c r="A35902" s="56"/>
    </row>
    <row r="35903" spans="1:1">
      <c r="A35903" s="56"/>
    </row>
    <row r="35904" spans="1:1">
      <c r="A35904" s="56"/>
    </row>
    <row r="35905" spans="1:1">
      <c r="A35905" s="56"/>
    </row>
    <row r="35906" spans="1:1">
      <c r="A35906" s="56"/>
    </row>
    <row r="35907" spans="1:1">
      <c r="A35907" s="56"/>
    </row>
    <row r="35908" spans="1:1">
      <c r="A35908" s="56"/>
    </row>
    <row r="35909" spans="1:1">
      <c r="A35909" s="56"/>
    </row>
    <row r="35910" spans="1:1">
      <c r="A35910" s="56"/>
    </row>
    <row r="35911" spans="1:1">
      <c r="A35911" s="56"/>
    </row>
    <row r="35912" spans="1:1">
      <c r="A35912" s="56"/>
    </row>
    <row r="35913" spans="1:1">
      <c r="A35913" s="56"/>
    </row>
    <row r="35914" spans="1:1">
      <c r="A35914" s="56"/>
    </row>
    <row r="35915" spans="1:1">
      <c r="A35915" s="56"/>
    </row>
    <row r="35916" spans="1:1">
      <c r="A35916" s="56"/>
    </row>
    <row r="35917" spans="1:1">
      <c r="A35917" s="56"/>
    </row>
    <row r="35918" spans="1:1">
      <c r="A35918" s="56"/>
    </row>
    <row r="35919" spans="1:1">
      <c r="A35919" s="56"/>
    </row>
    <row r="35920" spans="1:1">
      <c r="A35920" s="56"/>
    </row>
    <row r="35921" spans="1:1">
      <c r="A35921" s="56"/>
    </row>
    <row r="35922" spans="1:1">
      <c r="A35922" s="56"/>
    </row>
    <row r="35923" spans="1:1">
      <c r="A35923" s="56"/>
    </row>
    <row r="35924" spans="1:1">
      <c r="A35924" s="56"/>
    </row>
    <row r="35925" spans="1:1">
      <c r="A35925" s="56"/>
    </row>
    <row r="35926" spans="1:1">
      <c r="A35926" s="56"/>
    </row>
    <row r="35927" spans="1:1">
      <c r="A35927" s="56"/>
    </row>
    <row r="35928" spans="1:1">
      <c r="A35928" s="56"/>
    </row>
    <row r="35929" spans="1:1">
      <c r="A35929" s="56"/>
    </row>
    <row r="35930" spans="1:1">
      <c r="A35930" s="56"/>
    </row>
    <row r="35931" spans="1:1">
      <c r="A35931" s="56"/>
    </row>
    <row r="35932" spans="1:1">
      <c r="A35932" s="56"/>
    </row>
    <row r="35933" spans="1:1">
      <c r="A35933" s="56"/>
    </row>
    <row r="35934" spans="1:1">
      <c r="A35934" s="56"/>
    </row>
    <row r="35935" spans="1:1">
      <c r="A35935" s="56"/>
    </row>
    <row r="35936" spans="1:1">
      <c r="A35936" s="56"/>
    </row>
    <row r="35937" spans="1:1">
      <c r="A35937" s="56"/>
    </row>
    <row r="35938" spans="1:1">
      <c r="A35938" s="56"/>
    </row>
    <row r="35939" spans="1:1">
      <c r="A35939" s="56"/>
    </row>
    <row r="35940" spans="1:1">
      <c r="A35940" s="56"/>
    </row>
    <row r="35941" spans="1:1">
      <c r="A35941" s="56"/>
    </row>
    <row r="35942" spans="1:1">
      <c r="A35942" s="56"/>
    </row>
    <row r="35943" spans="1:1">
      <c r="A35943" s="56"/>
    </row>
    <row r="35944" spans="1:1">
      <c r="A35944" s="56"/>
    </row>
    <row r="35945" spans="1:1">
      <c r="A35945" s="56"/>
    </row>
    <row r="35946" spans="1:1">
      <c r="A35946" s="56"/>
    </row>
    <row r="35947" spans="1:1">
      <c r="A35947" s="56"/>
    </row>
    <row r="35948" spans="1:1">
      <c r="A35948" s="56"/>
    </row>
    <row r="35949" spans="1:1">
      <c r="A35949" s="56"/>
    </row>
    <row r="35950" spans="1:1">
      <c r="A35950" s="56"/>
    </row>
    <row r="35951" spans="1:1">
      <c r="A35951" s="56"/>
    </row>
    <row r="35952" spans="1:1">
      <c r="A35952" s="56"/>
    </row>
    <row r="35953" spans="1:1">
      <c r="A35953" s="56"/>
    </row>
    <row r="35954" spans="1:1">
      <c r="A35954" s="56"/>
    </row>
    <row r="35955" spans="1:1">
      <c r="A35955" s="56"/>
    </row>
    <row r="35956" spans="1:1">
      <c r="A35956" s="56"/>
    </row>
    <row r="35957" spans="1:1">
      <c r="A35957" s="56"/>
    </row>
    <row r="35958" spans="1:1">
      <c r="A35958" s="56"/>
    </row>
    <row r="35959" spans="1:1">
      <c r="A35959" s="56"/>
    </row>
    <row r="35960" spans="1:1">
      <c r="A35960" s="56"/>
    </row>
    <row r="35961" spans="1:1">
      <c r="A35961" s="56"/>
    </row>
    <row r="35962" spans="1:1">
      <c r="A35962" s="56"/>
    </row>
    <row r="35963" spans="1:1">
      <c r="A35963" s="56"/>
    </row>
    <row r="35964" spans="1:1">
      <c r="A35964" s="56"/>
    </row>
    <row r="35965" spans="1:1">
      <c r="A35965" s="56"/>
    </row>
    <row r="35966" spans="1:1">
      <c r="A35966" s="56"/>
    </row>
    <row r="35967" spans="1:1">
      <c r="A35967" s="56"/>
    </row>
    <row r="35968" spans="1:1">
      <c r="A35968" s="56"/>
    </row>
    <row r="35969" spans="1:1">
      <c r="A35969" s="56"/>
    </row>
    <row r="35970" spans="1:1">
      <c r="A35970" s="56"/>
    </row>
    <row r="35971" spans="1:1">
      <c r="A35971" s="56"/>
    </row>
    <row r="35972" spans="1:1">
      <c r="A35972" s="56"/>
    </row>
    <row r="35973" spans="1:1">
      <c r="A35973" s="56"/>
    </row>
    <row r="35974" spans="1:1">
      <c r="A35974" s="56"/>
    </row>
    <row r="35975" spans="1:1">
      <c r="A35975" s="56"/>
    </row>
    <row r="35976" spans="1:1">
      <c r="A35976" s="56"/>
    </row>
    <row r="35977" spans="1:1">
      <c r="A35977" s="56"/>
    </row>
    <row r="35978" spans="1:1">
      <c r="A35978" s="56"/>
    </row>
    <row r="35979" spans="1:1">
      <c r="A35979" s="56"/>
    </row>
    <row r="35980" spans="1:1">
      <c r="A35980" s="56"/>
    </row>
    <row r="35981" spans="1:1">
      <c r="A35981" s="56"/>
    </row>
    <row r="35982" spans="1:1">
      <c r="A35982" s="56"/>
    </row>
    <row r="35983" spans="1:1">
      <c r="A35983" s="56"/>
    </row>
    <row r="35984" spans="1:1">
      <c r="A35984" s="56"/>
    </row>
    <row r="35985" spans="1:1">
      <c r="A35985" s="56"/>
    </row>
    <row r="35986" spans="1:1">
      <c r="A35986" s="56"/>
    </row>
    <row r="35987" spans="1:1">
      <c r="A35987" s="56"/>
    </row>
    <row r="35988" spans="1:1">
      <c r="A35988" s="56"/>
    </row>
    <row r="35989" spans="1:1">
      <c r="A35989" s="56"/>
    </row>
    <row r="35990" spans="1:1">
      <c r="A35990" s="56"/>
    </row>
    <row r="35991" spans="1:1">
      <c r="A35991" s="56"/>
    </row>
    <row r="35992" spans="1:1">
      <c r="A35992" s="56"/>
    </row>
    <row r="35993" spans="1:1">
      <c r="A35993" s="56"/>
    </row>
    <row r="35994" spans="1:1">
      <c r="A35994" s="56"/>
    </row>
    <row r="35995" spans="1:1">
      <c r="A35995" s="56"/>
    </row>
    <row r="35996" spans="1:1">
      <c r="A35996" s="56"/>
    </row>
    <row r="35997" spans="1:1">
      <c r="A35997" s="56"/>
    </row>
    <row r="35998" spans="1:1">
      <c r="A35998" s="56"/>
    </row>
    <row r="35999" spans="1:1">
      <c r="A35999" s="56"/>
    </row>
    <row r="36000" spans="1:1">
      <c r="A36000" s="56"/>
    </row>
    <row r="36001" spans="1:1">
      <c r="A36001" s="56"/>
    </row>
    <row r="36002" spans="1:1">
      <c r="A36002" s="56"/>
    </row>
    <row r="36003" spans="1:1">
      <c r="A36003" s="56"/>
    </row>
    <row r="36004" spans="1:1">
      <c r="A36004" s="56"/>
    </row>
    <row r="36005" spans="1:1">
      <c r="A36005" s="56"/>
    </row>
    <row r="36006" spans="1:1">
      <c r="A36006" s="56"/>
    </row>
    <row r="36007" spans="1:1">
      <c r="A36007" s="56"/>
    </row>
    <row r="36008" spans="1:1">
      <c r="A36008" s="56"/>
    </row>
    <row r="36009" spans="1:1">
      <c r="A36009" s="56"/>
    </row>
    <row r="36010" spans="1:1">
      <c r="A36010" s="56"/>
    </row>
    <row r="36011" spans="1:1">
      <c r="A36011" s="56"/>
    </row>
    <row r="36012" spans="1:1">
      <c r="A36012" s="56"/>
    </row>
    <row r="36013" spans="1:1">
      <c r="A36013" s="56"/>
    </row>
    <row r="36014" spans="1:1">
      <c r="A36014" s="56"/>
    </row>
    <row r="36015" spans="1:1">
      <c r="A36015" s="56"/>
    </row>
    <row r="36016" spans="1:1">
      <c r="A36016" s="56"/>
    </row>
    <row r="36017" spans="1:1">
      <c r="A36017" s="56"/>
    </row>
    <row r="36018" spans="1:1">
      <c r="A36018" s="56"/>
    </row>
    <row r="36019" spans="1:1">
      <c r="A36019" s="56"/>
    </row>
    <row r="36020" spans="1:1">
      <c r="A36020" s="56"/>
    </row>
    <row r="36021" spans="1:1">
      <c r="A36021" s="56"/>
    </row>
    <row r="36022" spans="1:1">
      <c r="A36022" s="56"/>
    </row>
    <row r="36023" spans="1:1">
      <c r="A36023" s="56"/>
    </row>
    <row r="36024" spans="1:1">
      <c r="A36024" s="56"/>
    </row>
    <row r="36025" spans="1:1">
      <c r="A36025" s="56"/>
    </row>
    <row r="36026" spans="1:1">
      <c r="A36026" s="56"/>
    </row>
    <row r="36027" spans="1:1">
      <c r="A36027" s="56"/>
    </row>
    <row r="36028" spans="1:1">
      <c r="A36028" s="56"/>
    </row>
    <row r="36029" spans="1:1">
      <c r="A36029" s="56"/>
    </row>
    <row r="36030" spans="1:1">
      <c r="A36030" s="56"/>
    </row>
    <row r="36031" spans="1:1">
      <c r="A36031" s="56"/>
    </row>
    <row r="36032" spans="1:1">
      <c r="A36032" s="56"/>
    </row>
    <row r="36033" spans="1:1">
      <c r="A36033" s="56"/>
    </row>
    <row r="36034" spans="1:1">
      <c r="A36034" s="56"/>
    </row>
    <row r="36035" spans="1:1">
      <c r="A36035" s="56"/>
    </row>
    <row r="36036" spans="1:1">
      <c r="A36036" s="56"/>
    </row>
    <row r="36037" spans="1:1">
      <c r="A36037" s="56"/>
    </row>
    <row r="36038" spans="1:1">
      <c r="A36038" s="56"/>
    </row>
    <row r="36039" spans="1:1">
      <c r="A36039" s="56"/>
    </row>
    <row r="36040" spans="1:1">
      <c r="A36040" s="56"/>
    </row>
    <row r="36041" spans="1:1">
      <c r="A36041" s="56"/>
    </row>
    <row r="36042" spans="1:1">
      <c r="A36042" s="56"/>
    </row>
    <row r="36043" spans="1:1">
      <c r="A36043" s="56"/>
    </row>
    <row r="36044" spans="1:1">
      <c r="A36044" s="56"/>
    </row>
    <row r="36045" spans="1:1">
      <c r="A36045" s="56"/>
    </row>
    <row r="36046" spans="1:1">
      <c r="A36046" s="56"/>
    </row>
    <row r="36047" spans="1:1">
      <c r="A36047" s="56"/>
    </row>
    <row r="36048" spans="1:1">
      <c r="A36048" s="56"/>
    </row>
    <row r="36049" spans="1:1">
      <c r="A36049" s="56"/>
    </row>
    <row r="36050" spans="1:1">
      <c r="A36050" s="56"/>
    </row>
    <row r="36051" spans="1:1">
      <c r="A36051" s="56"/>
    </row>
    <row r="36052" spans="1:1">
      <c r="A36052" s="56"/>
    </row>
    <row r="36053" spans="1:1">
      <c r="A36053" s="56"/>
    </row>
    <row r="36054" spans="1:1">
      <c r="A36054" s="56"/>
    </row>
    <row r="36055" spans="1:1">
      <c r="A36055" s="56"/>
    </row>
    <row r="36056" spans="1:1">
      <c r="A36056" s="56"/>
    </row>
    <row r="36057" spans="1:1">
      <c r="A36057" s="56"/>
    </row>
    <row r="36058" spans="1:1">
      <c r="A36058" s="56"/>
    </row>
    <row r="36059" spans="1:1">
      <c r="A36059" s="56"/>
    </row>
    <row r="36060" spans="1:1">
      <c r="A36060" s="56"/>
    </row>
    <row r="36061" spans="1:1">
      <c r="A36061" s="56"/>
    </row>
    <row r="36062" spans="1:1">
      <c r="A36062" s="56"/>
    </row>
    <row r="36063" spans="1:1">
      <c r="A36063" s="56"/>
    </row>
    <row r="36064" spans="1:1">
      <c r="A36064" s="56"/>
    </row>
    <row r="36065" spans="1:1">
      <c r="A36065" s="56"/>
    </row>
    <row r="36066" spans="1:1">
      <c r="A36066" s="56"/>
    </row>
    <row r="36067" spans="1:1">
      <c r="A36067" s="56"/>
    </row>
    <row r="36068" spans="1:1">
      <c r="A36068" s="56"/>
    </row>
    <row r="36069" spans="1:1">
      <c r="A36069" s="56"/>
    </row>
    <row r="36070" spans="1:1">
      <c r="A36070" s="56"/>
    </row>
    <row r="36071" spans="1:1">
      <c r="A36071" s="56"/>
    </row>
    <row r="36072" spans="1:1">
      <c r="A36072" s="56"/>
    </row>
    <row r="36073" spans="1:1">
      <c r="A36073" s="56"/>
    </row>
    <row r="36074" spans="1:1">
      <c r="A36074" s="56"/>
    </row>
    <row r="36075" spans="1:1">
      <c r="A36075" s="56"/>
    </row>
    <row r="36076" spans="1:1">
      <c r="A36076" s="56"/>
    </row>
    <row r="36077" spans="1:1">
      <c r="A36077" s="56"/>
    </row>
    <row r="36078" spans="1:1">
      <c r="A36078" s="56"/>
    </row>
    <row r="36079" spans="1:1">
      <c r="A36079" s="56"/>
    </row>
    <row r="36080" spans="1:1">
      <c r="A36080" s="56"/>
    </row>
    <row r="36081" spans="1:1">
      <c r="A36081" s="56"/>
    </row>
    <row r="36082" spans="1:1">
      <c r="A36082" s="56"/>
    </row>
    <row r="36083" spans="1:1">
      <c r="A36083" s="56"/>
    </row>
    <row r="36084" spans="1:1">
      <c r="A36084" s="56"/>
    </row>
    <row r="36085" spans="1:1">
      <c r="A36085" s="56"/>
    </row>
    <row r="36086" spans="1:1">
      <c r="A36086" s="56"/>
    </row>
    <row r="36087" spans="1:1">
      <c r="A36087" s="56"/>
    </row>
    <row r="36088" spans="1:1">
      <c r="A36088" s="56"/>
    </row>
    <row r="36089" spans="1:1">
      <c r="A36089" s="56"/>
    </row>
    <row r="36090" spans="1:1">
      <c r="A36090" s="56"/>
    </row>
    <row r="36091" spans="1:1">
      <c r="A36091" s="56"/>
    </row>
    <row r="36092" spans="1:1">
      <c r="A36092" s="56"/>
    </row>
    <row r="36093" spans="1:1">
      <c r="A36093" s="56"/>
    </row>
    <row r="36094" spans="1:1">
      <c r="A36094" s="56"/>
    </row>
    <row r="36095" spans="1:1">
      <c r="A36095" s="56"/>
    </row>
    <row r="36096" spans="1:1">
      <c r="A36096" s="56"/>
    </row>
    <row r="36097" spans="1:1">
      <c r="A36097" s="56"/>
    </row>
    <row r="36098" spans="1:1">
      <c r="A36098" s="56"/>
    </row>
    <row r="36099" spans="1:1">
      <c r="A36099" s="56"/>
    </row>
    <row r="36100" spans="1:1">
      <c r="A36100" s="56"/>
    </row>
    <row r="36101" spans="1:1">
      <c r="A36101" s="56"/>
    </row>
    <row r="36102" spans="1:1">
      <c r="A36102" s="56"/>
    </row>
    <row r="36103" spans="1:1">
      <c r="A36103" s="56"/>
    </row>
    <row r="36104" spans="1:1">
      <c r="A36104" s="56"/>
    </row>
    <row r="36105" spans="1:1">
      <c r="A36105" s="56"/>
    </row>
    <row r="36106" spans="1:1">
      <c r="A36106" s="56"/>
    </row>
    <row r="36107" spans="1:1">
      <c r="A36107" s="56"/>
    </row>
    <row r="36108" spans="1:1">
      <c r="A36108" s="56"/>
    </row>
    <row r="36109" spans="1:1">
      <c r="A36109" s="56"/>
    </row>
    <row r="36110" spans="1:1">
      <c r="A36110" s="56"/>
    </row>
    <row r="36111" spans="1:1">
      <c r="A36111" s="56"/>
    </row>
    <row r="36112" spans="1:1">
      <c r="A36112" s="56"/>
    </row>
    <row r="36113" spans="1:1">
      <c r="A36113" s="56"/>
    </row>
    <row r="36114" spans="1:1">
      <c r="A36114" s="56"/>
    </row>
    <row r="36115" spans="1:1">
      <c r="A36115" s="56"/>
    </row>
    <row r="36116" spans="1:1">
      <c r="A36116" s="56"/>
    </row>
    <row r="36117" spans="1:1">
      <c r="A36117" s="56"/>
    </row>
    <row r="36118" spans="1:1">
      <c r="A36118" s="56"/>
    </row>
    <row r="36119" spans="1:1">
      <c r="A36119" s="56"/>
    </row>
    <row r="36120" spans="1:1">
      <c r="A36120" s="56"/>
    </row>
    <row r="36121" spans="1:1">
      <c r="A36121" s="56"/>
    </row>
    <row r="36122" spans="1:1">
      <c r="A36122" s="56"/>
    </row>
    <row r="36123" spans="1:1">
      <c r="A36123" s="56"/>
    </row>
    <row r="36124" spans="1:1">
      <c r="A36124" s="56"/>
    </row>
    <row r="36125" spans="1:1">
      <c r="A36125" s="56"/>
    </row>
    <row r="36126" spans="1:1">
      <c r="A36126" s="56"/>
    </row>
    <row r="36127" spans="1:1">
      <c r="A36127" s="56"/>
    </row>
    <row r="36128" spans="1:1">
      <c r="A36128" s="56"/>
    </row>
    <row r="36129" spans="1:1">
      <c r="A36129" s="56"/>
    </row>
    <row r="36130" spans="1:1">
      <c r="A36130" s="56"/>
    </row>
    <row r="36131" spans="1:1">
      <c r="A36131" s="56"/>
    </row>
    <row r="36132" spans="1:1">
      <c r="A36132" s="56"/>
    </row>
    <row r="36133" spans="1:1">
      <c r="A36133" s="56"/>
    </row>
    <row r="36134" spans="1:1">
      <c r="A36134" s="56"/>
    </row>
    <row r="36135" spans="1:1">
      <c r="A36135" s="56"/>
    </row>
    <row r="36136" spans="1:1">
      <c r="A36136" s="56"/>
    </row>
    <row r="36137" spans="1:1">
      <c r="A36137" s="56"/>
    </row>
    <row r="36138" spans="1:1">
      <c r="A36138" s="56"/>
    </row>
    <row r="36139" spans="1:1">
      <c r="A36139" s="56"/>
    </row>
    <row r="36140" spans="1:1">
      <c r="A36140" s="56"/>
    </row>
    <row r="36141" spans="1:1">
      <c r="A36141" s="56"/>
    </row>
    <row r="36142" spans="1:1">
      <c r="A36142" s="56"/>
    </row>
    <row r="36143" spans="1:1">
      <c r="A36143" s="56"/>
    </row>
    <row r="36144" spans="1:1">
      <c r="A36144" s="56"/>
    </row>
    <row r="36145" spans="1:1">
      <c r="A36145" s="56"/>
    </row>
    <row r="36146" spans="1:1">
      <c r="A36146" s="56"/>
    </row>
    <row r="36147" spans="1:1">
      <c r="A36147" s="56"/>
    </row>
    <row r="36148" spans="1:1">
      <c r="A36148" s="56"/>
    </row>
    <row r="36149" spans="1:1">
      <c r="A36149" s="56"/>
    </row>
    <row r="36150" spans="1:1">
      <c r="A36150" s="56"/>
    </row>
    <row r="36151" spans="1:1">
      <c r="A36151" s="56"/>
    </row>
    <row r="36152" spans="1:1">
      <c r="A36152" s="56"/>
    </row>
    <row r="36153" spans="1:1">
      <c r="A36153" s="56"/>
    </row>
    <row r="36154" spans="1:1">
      <c r="A36154" s="56"/>
    </row>
    <row r="36155" spans="1:1">
      <c r="A36155" s="56"/>
    </row>
    <row r="36156" spans="1:1">
      <c r="A36156" s="56"/>
    </row>
    <row r="36157" spans="1:1">
      <c r="A36157" s="56"/>
    </row>
    <row r="36158" spans="1:1">
      <c r="A36158" s="56"/>
    </row>
    <row r="36159" spans="1:1">
      <c r="A36159" s="56"/>
    </row>
    <row r="36160" spans="1:1">
      <c r="A36160" s="56"/>
    </row>
    <row r="36161" spans="1:1">
      <c r="A36161" s="56"/>
    </row>
    <row r="36162" spans="1:1">
      <c r="A36162" s="56"/>
    </row>
    <row r="36163" spans="1:1">
      <c r="A36163" s="56"/>
    </row>
    <row r="36164" spans="1:1">
      <c r="A36164" s="56"/>
    </row>
    <row r="36165" spans="1:1">
      <c r="A36165" s="56"/>
    </row>
    <row r="36166" spans="1:1">
      <c r="A36166" s="56"/>
    </row>
    <row r="36167" spans="1:1">
      <c r="A36167" s="56"/>
    </row>
    <row r="36168" spans="1:1">
      <c r="A36168" s="56"/>
    </row>
    <row r="36169" spans="1:1">
      <c r="A36169" s="56"/>
    </row>
    <row r="36170" spans="1:1">
      <c r="A36170" s="56"/>
    </row>
    <row r="36171" spans="1:1">
      <c r="A36171" s="56"/>
    </row>
    <row r="36172" spans="1:1">
      <c r="A36172" s="56"/>
    </row>
    <row r="36173" spans="1:1">
      <c r="A36173" s="56"/>
    </row>
    <row r="36174" spans="1:1">
      <c r="A36174" s="56"/>
    </row>
    <row r="36175" spans="1:1">
      <c r="A36175" s="56"/>
    </row>
    <row r="36176" spans="1:1">
      <c r="A36176" s="56"/>
    </row>
    <row r="36177" spans="1:1">
      <c r="A36177" s="56"/>
    </row>
    <row r="36178" spans="1:1">
      <c r="A36178" s="56"/>
    </row>
    <row r="36179" spans="1:1">
      <c r="A36179" s="56"/>
    </row>
    <row r="36180" spans="1:1">
      <c r="A36180" s="56"/>
    </row>
    <row r="36181" spans="1:1">
      <c r="A36181" s="56"/>
    </row>
    <row r="36182" spans="1:1">
      <c r="A36182" s="56"/>
    </row>
    <row r="36183" spans="1:1">
      <c r="A36183" s="56"/>
    </row>
    <row r="36184" spans="1:1">
      <c r="A36184" s="56"/>
    </row>
    <row r="36185" spans="1:1">
      <c r="A36185" s="56"/>
    </row>
    <row r="36186" spans="1:1">
      <c r="A36186" s="56"/>
    </row>
    <row r="36187" spans="1:1">
      <c r="A36187" s="56"/>
    </row>
    <row r="36188" spans="1:1">
      <c r="A36188" s="56"/>
    </row>
    <row r="36189" spans="1:1">
      <c r="A36189" s="56"/>
    </row>
    <row r="36190" spans="1:1">
      <c r="A36190" s="56"/>
    </row>
    <row r="36191" spans="1:1">
      <c r="A36191" s="56"/>
    </row>
    <row r="36192" spans="1:1">
      <c r="A36192" s="56"/>
    </row>
    <row r="36193" spans="1:1">
      <c r="A36193" s="56"/>
    </row>
    <row r="36194" spans="1:1">
      <c r="A36194" s="56"/>
    </row>
    <row r="36195" spans="1:1">
      <c r="A36195" s="56"/>
    </row>
    <row r="36196" spans="1:1">
      <c r="A36196" s="56"/>
    </row>
    <row r="36197" spans="1:1">
      <c r="A36197" s="56"/>
    </row>
    <row r="36198" spans="1:1">
      <c r="A36198" s="56"/>
    </row>
    <row r="36199" spans="1:1">
      <c r="A36199" s="56"/>
    </row>
    <row r="36200" spans="1:1">
      <c r="A36200" s="56"/>
    </row>
    <row r="36201" spans="1:1">
      <c r="A36201" s="56"/>
    </row>
    <row r="36202" spans="1:1">
      <c r="A36202" s="56"/>
    </row>
    <row r="36203" spans="1:1">
      <c r="A36203" s="56"/>
    </row>
    <row r="36204" spans="1:1">
      <c r="A36204" s="56"/>
    </row>
    <row r="36205" spans="1:1">
      <c r="A36205" s="56"/>
    </row>
    <row r="36206" spans="1:1">
      <c r="A36206" s="56"/>
    </row>
    <row r="36207" spans="1:1">
      <c r="A36207" s="56"/>
    </row>
    <row r="36208" spans="1:1">
      <c r="A36208" s="56"/>
    </row>
    <row r="36209" spans="1:1">
      <c r="A36209" s="56"/>
    </row>
    <row r="36210" spans="1:1">
      <c r="A36210" s="56"/>
    </row>
    <row r="36211" spans="1:1">
      <c r="A36211" s="56"/>
    </row>
    <row r="36212" spans="1:1">
      <c r="A36212" s="56"/>
    </row>
    <row r="36213" spans="1:1">
      <c r="A36213" s="56"/>
    </row>
    <row r="36214" spans="1:1">
      <c r="A36214" s="56"/>
    </row>
    <row r="36215" spans="1:1">
      <c r="A36215" s="56"/>
    </row>
    <row r="36216" spans="1:1">
      <c r="A36216" s="56"/>
    </row>
    <row r="36217" spans="1:1">
      <c r="A36217" s="56"/>
    </row>
    <row r="36218" spans="1:1">
      <c r="A36218" s="56"/>
    </row>
    <row r="36219" spans="1:1">
      <c r="A36219" s="56"/>
    </row>
    <row r="36220" spans="1:1">
      <c r="A36220" s="56"/>
    </row>
    <row r="36221" spans="1:1">
      <c r="A36221" s="56"/>
    </row>
    <row r="36222" spans="1:1">
      <c r="A36222" s="56"/>
    </row>
    <row r="36223" spans="1:1">
      <c r="A36223" s="56"/>
    </row>
    <row r="36224" spans="1:1">
      <c r="A36224" s="56"/>
    </row>
    <row r="36225" spans="1:1">
      <c r="A36225" s="56"/>
    </row>
    <row r="36226" spans="1:1">
      <c r="A36226" s="56"/>
    </row>
    <row r="36227" spans="1:1">
      <c r="A36227" s="56"/>
    </row>
    <row r="36228" spans="1:1">
      <c r="A36228" s="56"/>
    </row>
    <row r="36229" spans="1:1">
      <c r="A36229" s="56"/>
    </row>
    <row r="36230" spans="1:1">
      <c r="A36230" s="56"/>
    </row>
    <row r="36231" spans="1:1">
      <c r="A36231" s="56"/>
    </row>
    <row r="36232" spans="1:1">
      <c r="A36232" s="56"/>
    </row>
    <row r="36233" spans="1:1">
      <c r="A36233" s="56"/>
    </row>
    <row r="36234" spans="1:1">
      <c r="A36234" s="56"/>
    </row>
    <row r="36235" spans="1:1">
      <c r="A36235" s="56"/>
    </row>
    <row r="36236" spans="1:1">
      <c r="A36236" s="56"/>
    </row>
    <row r="36237" spans="1:1">
      <c r="A36237" s="56"/>
    </row>
    <row r="36238" spans="1:1">
      <c r="A36238" s="56"/>
    </row>
    <row r="36239" spans="1:1">
      <c r="A36239" s="56"/>
    </row>
    <row r="36240" spans="1:1">
      <c r="A36240" s="56"/>
    </row>
    <row r="36241" spans="1:1">
      <c r="A36241" s="56"/>
    </row>
    <row r="36242" spans="1:1">
      <c r="A36242" s="56"/>
    </row>
    <row r="36243" spans="1:1">
      <c r="A36243" s="56"/>
    </row>
    <row r="36244" spans="1:1">
      <c r="A36244" s="56"/>
    </row>
    <row r="36245" spans="1:1">
      <c r="A36245" s="56"/>
    </row>
    <row r="36246" spans="1:1">
      <c r="A36246" s="56"/>
    </row>
    <row r="36247" spans="1:1">
      <c r="A36247" s="56"/>
    </row>
    <row r="36248" spans="1:1">
      <c r="A36248" s="56"/>
    </row>
    <row r="36249" spans="1:1">
      <c r="A36249" s="56"/>
    </row>
    <row r="36250" spans="1:1">
      <c r="A36250" s="56"/>
    </row>
    <row r="36251" spans="1:1">
      <c r="A36251" s="56"/>
    </row>
    <row r="36252" spans="1:1">
      <c r="A36252" s="56"/>
    </row>
    <row r="36253" spans="1:1">
      <c r="A36253" s="56"/>
    </row>
    <row r="36254" spans="1:1">
      <c r="A36254" s="56"/>
    </row>
    <row r="36255" spans="1:1">
      <c r="A36255" s="56"/>
    </row>
    <row r="36256" spans="1:1">
      <c r="A36256" s="56"/>
    </row>
    <row r="36257" spans="1:1">
      <c r="A36257" s="56"/>
    </row>
    <row r="36258" spans="1:1">
      <c r="A36258" s="56"/>
    </row>
    <row r="36259" spans="1:1">
      <c r="A36259" s="56"/>
    </row>
    <row r="36260" spans="1:1">
      <c r="A36260" s="56"/>
    </row>
    <row r="36261" spans="1:1">
      <c r="A36261" s="56"/>
    </row>
    <row r="36262" spans="1:1">
      <c r="A36262" s="56"/>
    </row>
    <row r="36263" spans="1:1">
      <c r="A36263" s="56"/>
    </row>
    <row r="36264" spans="1:1">
      <c r="A36264" s="56"/>
    </row>
    <row r="36265" spans="1:1">
      <c r="A36265" s="56"/>
    </row>
    <row r="36266" spans="1:1">
      <c r="A36266" s="56"/>
    </row>
    <row r="36267" spans="1:1">
      <c r="A36267" s="56"/>
    </row>
    <row r="36268" spans="1:1">
      <c r="A36268" s="56"/>
    </row>
    <row r="36269" spans="1:1">
      <c r="A36269" s="56"/>
    </row>
    <row r="36270" spans="1:1">
      <c r="A36270" s="56"/>
    </row>
    <row r="36271" spans="1:1">
      <c r="A36271" s="56"/>
    </row>
    <row r="36272" spans="1:1">
      <c r="A36272" s="56"/>
    </row>
    <row r="36273" spans="1:1">
      <c r="A36273" s="56"/>
    </row>
    <row r="36274" spans="1:1">
      <c r="A36274" s="56"/>
    </row>
    <row r="36275" spans="1:1">
      <c r="A36275" s="56"/>
    </row>
    <row r="36276" spans="1:1">
      <c r="A36276" s="56"/>
    </row>
    <row r="36277" spans="1:1">
      <c r="A36277" s="56"/>
    </row>
    <row r="36278" spans="1:1">
      <c r="A36278" s="56"/>
    </row>
    <row r="36279" spans="1:1">
      <c r="A36279" s="56"/>
    </row>
    <row r="36280" spans="1:1">
      <c r="A36280" s="56"/>
    </row>
    <row r="36281" spans="1:1">
      <c r="A36281" s="56"/>
    </row>
    <row r="36282" spans="1:1">
      <c r="A36282" s="56"/>
    </row>
    <row r="36283" spans="1:1">
      <c r="A36283" s="56"/>
    </row>
    <row r="36284" spans="1:1">
      <c r="A36284" s="56"/>
    </row>
    <row r="36285" spans="1:1">
      <c r="A36285" s="56"/>
    </row>
    <row r="36286" spans="1:1">
      <c r="A36286" s="56"/>
    </row>
    <row r="36287" spans="1:1">
      <c r="A36287" s="56"/>
    </row>
    <row r="36288" spans="1:1">
      <c r="A36288" s="56"/>
    </row>
    <row r="36289" spans="1:1">
      <c r="A36289" s="56"/>
    </row>
    <row r="36290" spans="1:1">
      <c r="A36290" s="56"/>
    </row>
    <row r="36291" spans="1:1">
      <c r="A36291" s="56"/>
    </row>
    <row r="36292" spans="1:1">
      <c r="A36292" s="56"/>
    </row>
    <row r="36293" spans="1:1">
      <c r="A36293" s="56"/>
    </row>
    <row r="36294" spans="1:1">
      <c r="A36294" s="56"/>
    </row>
    <row r="36295" spans="1:1">
      <c r="A36295" s="56"/>
    </row>
    <row r="36296" spans="1:1">
      <c r="A36296" s="56"/>
    </row>
    <row r="36297" spans="1:1">
      <c r="A36297" s="56"/>
    </row>
    <row r="36298" spans="1:1">
      <c r="A36298" s="56"/>
    </row>
    <row r="36299" spans="1:1">
      <c r="A36299" s="56"/>
    </row>
    <row r="36300" spans="1:1">
      <c r="A36300" s="56"/>
    </row>
    <row r="36301" spans="1:1">
      <c r="A36301" s="56"/>
    </row>
    <row r="36302" spans="1:1">
      <c r="A36302" s="56"/>
    </row>
    <row r="36303" spans="1:1">
      <c r="A36303" s="56"/>
    </row>
    <row r="36304" spans="1:1">
      <c r="A36304" s="56"/>
    </row>
    <row r="36305" spans="1:1">
      <c r="A36305" s="56"/>
    </row>
    <row r="36306" spans="1:1">
      <c r="A36306" s="56"/>
    </row>
    <row r="36307" spans="1:1">
      <c r="A36307" s="56"/>
    </row>
    <row r="36308" spans="1:1">
      <c r="A36308" s="56"/>
    </row>
    <row r="36309" spans="1:1">
      <c r="A36309" s="56"/>
    </row>
    <row r="36310" spans="1:1">
      <c r="A36310" s="56"/>
    </row>
    <row r="36311" spans="1:1">
      <c r="A36311" s="56"/>
    </row>
    <row r="36312" spans="1:1">
      <c r="A36312" s="56"/>
    </row>
    <row r="36313" spans="1:1">
      <c r="A36313" s="56"/>
    </row>
    <row r="36314" spans="1:1">
      <c r="A36314" s="56"/>
    </row>
    <row r="36315" spans="1:1">
      <c r="A36315" s="56"/>
    </row>
    <row r="36316" spans="1:1">
      <c r="A36316" s="56"/>
    </row>
    <row r="36317" spans="1:1">
      <c r="A36317" s="56"/>
    </row>
    <row r="36318" spans="1:1">
      <c r="A36318" s="56"/>
    </row>
    <row r="36319" spans="1:1">
      <c r="A36319" s="56"/>
    </row>
    <row r="36320" spans="1:1">
      <c r="A36320" s="56"/>
    </row>
    <row r="36321" spans="1:1">
      <c r="A36321" s="56"/>
    </row>
    <row r="36322" spans="1:1">
      <c r="A36322" s="56"/>
    </row>
    <row r="36323" spans="1:1">
      <c r="A36323" s="56"/>
    </row>
    <row r="36324" spans="1:1">
      <c r="A36324" s="56"/>
    </row>
    <row r="36325" spans="1:1">
      <c r="A36325" s="56"/>
    </row>
    <row r="36326" spans="1:1">
      <c r="A36326" s="56"/>
    </row>
    <row r="36327" spans="1:1">
      <c r="A36327" s="56"/>
    </row>
    <row r="36328" spans="1:1">
      <c r="A36328" s="56"/>
    </row>
    <row r="36329" spans="1:1">
      <c r="A36329" s="56"/>
    </row>
    <row r="36330" spans="1:1">
      <c r="A36330" s="56"/>
    </row>
    <row r="36331" spans="1:1">
      <c r="A36331" s="56"/>
    </row>
    <row r="36332" spans="1:1">
      <c r="A36332" s="56"/>
    </row>
    <row r="36333" spans="1:1">
      <c r="A36333" s="56"/>
    </row>
    <row r="36334" spans="1:1">
      <c r="A36334" s="56"/>
    </row>
    <row r="36335" spans="1:1">
      <c r="A36335" s="56"/>
    </row>
    <row r="36336" spans="1:1">
      <c r="A36336" s="56"/>
    </row>
    <row r="36337" spans="1:1">
      <c r="A36337" s="56"/>
    </row>
    <row r="36338" spans="1:1">
      <c r="A36338" s="56"/>
    </row>
    <row r="36339" spans="1:1">
      <c r="A36339" s="56"/>
    </row>
    <row r="36340" spans="1:1">
      <c r="A36340" s="56"/>
    </row>
    <row r="36341" spans="1:1">
      <c r="A36341" s="56"/>
    </row>
    <row r="36342" spans="1:1">
      <c r="A36342" s="56"/>
    </row>
    <row r="36343" spans="1:1">
      <c r="A36343" s="56"/>
    </row>
    <row r="36344" spans="1:1">
      <c r="A36344" s="56"/>
    </row>
    <row r="36345" spans="1:1">
      <c r="A36345" s="56"/>
    </row>
    <row r="36346" spans="1:1">
      <c r="A36346" s="56"/>
    </row>
    <row r="36347" spans="1:1">
      <c r="A36347" s="56"/>
    </row>
    <row r="36348" spans="1:1">
      <c r="A36348" s="56"/>
    </row>
    <row r="36349" spans="1:1">
      <c r="A36349" s="56"/>
    </row>
    <row r="36350" spans="1:1">
      <c r="A36350" s="56"/>
    </row>
    <row r="36351" spans="1:1">
      <c r="A36351" s="56"/>
    </row>
    <row r="36352" spans="1:1">
      <c r="A36352" s="56"/>
    </row>
    <row r="36353" spans="1:1">
      <c r="A36353" s="56"/>
    </row>
    <row r="36354" spans="1:1">
      <c r="A36354" s="56"/>
    </row>
    <row r="36355" spans="1:1">
      <c r="A36355" s="56"/>
    </row>
    <row r="36356" spans="1:1">
      <c r="A36356" s="56"/>
    </row>
    <row r="36357" spans="1:1">
      <c r="A36357" s="56"/>
    </row>
    <row r="36358" spans="1:1">
      <c r="A36358" s="56"/>
    </row>
    <row r="36359" spans="1:1">
      <c r="A36359" s="56"/>
    </row>
    <row r="36360" spans="1:1">
      <c r="A36360" s="56"/>
    </row>
    <row r="36361" spans="1:1">
      <c r="A36361" s="56"/>
    </row>
    <row r="36362" spans="1:1">
      <c r="A36362" s="56"/>
    </row>
    <row r="36363" spans="1:1">
      <c r="A36363" s="56"/>
    </row>
    <row r="36364" spans="1:1">
      <c r="A36364" s="56"/>
    </row>
    <row r="36365" spans="1:1">
      <c r="A36365" s="56"/>
    </row>
    <row r="36366" spans="1:1">
      <c r="A36366" s="56"/>
    </row>
    <row r="36367" spans="1:1">
      <c r="A36367" s="56"/>
    </row>
    <row r="36368" spans="1:1">
      <c r="A36368" s="56"/>
    </row>
    <row r="36369" spans="1:1">
      <c r="A36369" s="56"/>
    </row>
    <row r="36370" spans="1:1">
      <c r="A36370" s="56"/>
    </row>
    <row r="36371" spans="1:1">
      <c r="A36371" s="56"/>
    </row>
    <row r="36372" spans="1:1">
      <c r="A36372" s="56"/>
    </row>
    <row r="36373" spans="1:1">
      <c r="A36373" s="56"/>
    </row>
    <row r="36374" spans="1:1">
      <c r="A36374" s="56"/>
    </row>
    <row r="36375" spans="1:1">
      <c r="A36375" s="56"/>
    </row>
    <row r="36376" spans="1:1">
      <c r="A36376" s="56"/>
    </row>
    <row r="36377" spans="1:1">
      <c r="A36377" s="56"/>
    </row>
    <row r="36378" spans="1:1">
      <c r="A36378" s="56"/>
    </row>
    <row r="36379" spans="1:1">
      <c r="A36379" s="56"/>
    </row>
    <row r="36380" spans="1:1">
      <c r="A36380" s="56"/>
    </row>
    <row r="36381" spans="1:1">
      <c r="A36381" s="56"/>
    </row>
    <row r="36382" spans="1:1">
      <c r="A36382" s="56"/>
    </row>
    <row r="36383" spans="1:1">
      <c r="A36383" s="56"/>
    </row>
    <row r="36384" spans="1:1">
      <c r="A36384" s="56"/>
    </row>
    <row r="36385" spans="1:1">
      <c r="A36385" s="56"/>
    </row>
    <row r="36386" spans="1:1">
      <c r="A36386" s="56"/>
    </row>
    <row r="36387" spans="1:1">
      <c r="A36387" s="56"/>
    </row>
    <row r="36388" spans="1:1">
      <c r="A36388" s="56"/>
    </row>
    <row r="36389" spans="1:1">
      <c r="A36389" s="56"/>
    </row>
    <row r="36390" spans="1:1">
      <c r="A36390" s="56"/>
    </row>
    <row r="36391" spans="1:1">
      <c r="A36391" s="56"/>
    </row>
    <row r="36392" spans="1:1">
      <c r="A36392" s="56"/>
    </row>
    <row r="36393" spans="1:1">
      <c r="A36393" s="56"/>
    </row>
    <row r="36394" spans="1:1">
      <c r="A36394" s="56"/>
    </row>
    <row r="36395" spans="1:1">
      <c r="A36395" s="56"/>
    </row>
    <row r="36396" spans="1:1">
      <c r="A36396" s="56"/>
    </row>
    <row r="36397" spans="1:1">
      <c r="A36397" s="56"/>
    </row>
    <row r="36398" spans="1:1">
      <c r="A36398" s="56"/>
    </row>
    <row r="36399" spans="1:1">
      <c r="A36399" s="56"/>
    </row>
    <row r="36400" spans="1:1">
      <c r="A36400" s="56"/>
    </row>
    <row r="36401" spans="1:1">
      <c r="A36401" s="56"/>
    </row>
    <row r="36402" spans="1:1">
      <c r="A36402" s="56"/>
    </row>
    <row r="36403" spans="1:1">
      <c r="A36403" s="56"/>
    </row>
    <row r="36404" spans="1:1">
      <c r="A36404" s="56"/>
    </row>
    <row r="36405" spans="1:1">
      <c r="A36405" s="56"/>
    </row>
    <row r="36406" spans="1:1">
      <c r="A36406" s="56"/>
    </row>
    <row r="36407" spans="1:1">
      <c r="A36407" s="56"/>
    </row>
    <row r="36408" spans="1:1">
      <c r="A36408" s="56"/>
    </row>
    <row r="36409" spans="1:1">
      <c r="A36409" s="56"/>
    </row>
    <row r="36410" spans="1:1">
      <c r="A36410" s="56"/>
    </row>
    <row r="36411" spans="1:1">
      <c r="A36411" s="56"/>
    </row>
    <row r="36412" spans="1:1">
      <c r="A36412" s="56"/>
    </row>
    <row r="36413" spans="1:1">
      <c r="A36413" s="56"/>
    </row>
    <row r="36414" spans="1:1">
      <c r="A36414" s="56"/>
    </row>
    <row r="36415" spans="1:1">
      <c r="A36415" s="56"/>
    </row>
    <row r="36416" spans="1:1">
      <c r="A36416" s="56"/>
    </row>
    <row r="36417" spans="1:1">
      <c r="A36417" s="56"/>
    </row>
    <row r="36418" spans="1:1">
      <c r="A36418" s="56"/>
    </row>
    <row r="36419" spans="1:1">
      <c r="A36419" s="56"/>
    </row>
    <row r="36420" spans="1:1">
      <c r="A36420" s="56"/>
    </row>
    <row r="36421" spans="1:1">
      <c r="A36421" s="56"/>
    </row>
    <row r="36422" spans="1:1">
      <c r="A36422" s="56"/>
    </row>
    <row r="36423" spans="1:1">
      <c r="A36423" s="56"/>
    </row>
    <row r="36424" spans="1:1">
      <c r="A36424" s="56"/>
    </row>
    <row r="36425" spans="1:1">
      <c r="A36425" s="56"/>
    </row>
    <row r="36426" spans="1:1">
      <c r="A36426" s="56"/>
    </row>
    <row r="36427" spans="1:1">
      <c r="A36427" s="56"/>
    </row>
    <row r="36428" spans="1:1">
      <c r="A36428" s="56"/>
    </row>
    <row r="36429" spans="1:1">
      <c r="A36429" s="56"/>
    </row>
    <row r="36430" spans="1:1">
      <c r="A36430" s="56"/>
    </row>
    <row r="36431" spans="1:1">
      <c r="A36431" s="56"/>
    </row>
    <row r="36432" spans="1:1">
      <c r="A36432" s="56"/>
    </row>
    <row r="36433" spans="1:1">
      <c r="A36433" s="56"/>
    </row>
    <row r="36434" spans="1:1">
      <c r="A36434" s="56"/>
    </row>
    <row r="36435" spans="1:1">
      <c r="A36435" s="56"/>
    </row>
    <row r="36436" spans="1:1">
      <c r="A36436" s="56"/>
    </row>
    <row r="36437" spans="1:1">
      <c r="A36437" s="56"/>
    </row>
    <row r="36438" spans="1:1">
      <c r="A36438" s="56"/>
    </row>
    <row r="36439" spans="1:1">
      <c r="A36439" s="56"/>
    </row>
    <row r="36440" spans="1:1">
      <c r="A36440" s="56"/>
    </row>
    <row r="36441" spans="1:1">
      <c r="A36441" s="56"/>
    </row>
    <row r="36442" spans="1:1">
      <c r="A36442" s="56"/>
    </row>
    <row r="36443" spans="1:1">
      <c r="A36443" s="56"/>
    </row>
    <row r="36444" spans="1:1">
      <c r="A36444" s="56"/>
    </row>
    <row r="36445" spans="1:1">
      <c r="A36445" s="56"/>
    </row>
    <row r="36446" spans="1:1">
      <c r="A36446" s="56"/>
    </row>
    <row r="36447" spans="1:1">
      <c r="A36447" s="56"/>
    </row>
    <row r="36448" spans="1:1">
      <c r="A36448" s="56"/>
    </row>
    <row r="36449" spans="1:1">
      <c r="A36449" s="56"/>
    </row>
    <row r="36450" spans="1:1">
      <c r="A36450" s="56"/>
    </row>
    <row r="36451" spans="1:1">
      <c r="A36451" s="56"/>
    </row>
    <row r="36452" spans="1:1">
      <c r="A36452" s="56"/>
    </row>
    <row r="36453" spans="1:1">
      <c r="A36453" s="56"/>
    </row>
    <row r="36454" spans="1:1">
      <c r="A36454" s="56"/>
    </row>
    <row r="36455" spans="1:1">
      <c r="A36455" s="56"/>
    </row>
    <row r="36456" spans="1:1">
      <c r="A36456" s="56"/>
    </row>
    <row r="36457" spans="1:1">
      <c r="A36457" s="56"/>
    </row>
    <row r="36458" spans="1:1">
      <c r="A36458" s="56"/>
    </row>
    <row r="36459" spans="1:1">
      <c r="A36459" s="56"/>
    </row>
    <row r="36460" spans="1:1">
      <c r="A36460" s="56"/>
    </row>
    <row r="36461" spans="1:1">
      <c r="A36461" s="56"/>
    </row>
    <row r="36462" spans="1:1">
      <c r="A36462" s="56"/>
    </row>
    <row r="36463" spans="1:1">
      <c r="A36463" s="56"/>
    </row>
    <row r="36464" spans="1:1">
      <c r="A36464" s="56"/>
    </row>
    <row r="36465" spans="1:1">
      <c r="A36465" s="56"/>
    </row>
    <row r="36466" spans="1:1">
      <c r="A36466" s="56"/>
    </row>
    <row r="36467" spans="1:1">
      <c r="A36467" s="56"/>
    </row>
    <row r="36468" spans="1:1">
      <c r="A36468" s="56"/>
    </row>
    <row r="36469" spans="1:1">
      <c r="A36469" s="56"/>
    </row>
    <row r="36470" spans="1:1">
      <c r="A36470" s="56"/>
    </row>
    <row r="36471" spans="1:1">
      <c r="A36471" s="56"/>
    </row>
    <row r="36472" spans="1:1">
      <c r="A36472" s="56"/>
    </row>
    <row r="36473" spans="1:1">
      <c r="A36473" s="56"/>
    </row>
    <row r="36474" spans="1:1">
      <c r="A36474" s="56"/>
    </row>
    <row r="36475" spans="1:1">
      <c r="A36475" s="56"/>
    </row>
    <row r="36476" spans="1:1">
      <c r="A36476" s="56"/>
    </row>
    <row r="36477" spans="1:1">
      <c r="A36477" s="56"/>
    </row>
    <row r="36478" spans="1:1">
      <c r="A36478" s="56"/>
    </row>
    <row r="36479" spans="1:1">
      <c r="A36479" s="56"/>
    </row>
    <row r="36480" spans="1:1">
      <c r="A36480" s="56"/>
    </row>
    <row r="36481" spans="1:1">
      <c r="A36481" s="56"/>
    </row>
    <row r="36482" spans="1:1">
      <c r="A36482" s="56"/>
    </row>
    <row r="36483" spans="1:1">
      <c r="A36483" s="56"/>
    </row>
    <row r="36484" spans="1:1">
      <c r="A36484" s="56"/>
    </row>
    <row r="36485" spans="1:1">
      <c r="A36485" s="56"/>
    </row>
    <row r="36486" spans="1:1">
      <c r="A36486" s="56"/>
    </row>
    <row r="36487" spans="1:1">
      <c r="A36487" s="56"/>
    </row>
    <row r="36488" spans="1:1">
      <c r="A36488" s="56"/>
    </row>
    <row r="36489" spans="1:1">
      <c r="A36489" s="56"/>
    </row>
    <row r="36490" spans="1:1">
      <c r="A36490" s="56"/>
    </row>
    <row r="36491" spans="1:1">
      <c r="A36491" s="56"/>
    </row>
    <row r="36492" spans="1:1">
      <c r="A36492" s="56"/>
    </row>
    <row r="36493" spans="1:1">
      <c r="A36493" s="56"/>
    </row>
    <row r="36494" spans="1:1">
      <c r="A36494" s="56"/>
    </row>
    <row r="36495" spans="1:1">
      <c r="A36495" s="56"/>
    </row>
    <row r="36496" spans="1:1">
      <c r="A36496" s="56"/>
    </row>
    <row r="36497" spans="1:1">
      <c r="A36497" s="56"/>
    </row>
    <row r="36498" spans="1:1">
      <c r="A36498" s="56"/>
    </row>
    <row r="36499" spans="1:1">
      <c r="A36499" s="56"/>
    </row>
    <row r="36500" spans="1:1">
      <c r="A36500" s="56"/>
    </row>
    <row r="36501" spans="1:1">
      <c r="A36501" s="56"/>
    </row>
    <row r="36502" spans="1:1">
      <c r="A36502" s="56"/>
    </row>
    <row r="36503" spans="1:1">
      <c r="A36503" s="56"/>
    </row>
    <row r="36504" spans="1:1">
      <c r="A36504" s="56"/>
    </row>
    <row r="36505" spans="1:1">
      <c r="A36505" s="56"/>
    </row>
    <row r="36506" spans="1:1">
      <c r="A36506" s="56"/>
    </row>
    <row r="36507" spans="1:1">
      <c r="A36507" s="56"/>
    </row>
    <row r="36508" spans="1:1">
      <c r="A36508" s="56"/>
    </row>
    <row r="36509" spans="1:1">
      <c r="A36509" s="56"/>
    </row>
    <row r="36510" spans="1:1">
      <c r="A36510" s="56"/>
    </row>
    <row r="36511" spans="1:1">
      <c r="A36511" s="56"/>
    </row>
    <row r="36512" spans="1:1">
      <c r="A36512" s="56"/>
    </row>
    <row r="36513" spans="1:1">
      <c r="A36513" s="56"/>
    </row>
    <row r="36514" spans="1:1">
      <c r="A36514" s="56"/>
    </row>
    <row r="36515" spans="1:1">
      <c r="A36515" s="56"/>
    </row>
    <row r="36516" spans="1:1">
      <c r="A36516" s="56"/>
    </row>
    <row r="36517" spans="1:1">
      <c r="A36517" s="56"/>
    </row>
    <row r="36518" spans="1:1">
      <c r="A36518" s="56"/>
    </row>
    <row r="36519" spans="1:1">
      <c r="A36519" s="56"/>
    </row>
    <row r="36520" spans="1:1">
      <c r="A36520" s="56"/>
    </row>
    <row r="36521" spans="1:1">
      <c r="A36521" s="56"/>
    </row>
    <row r="36522" spans="1:1">
      <c r="A36522" s="56"/>
    </row>
    <row r="36523" spans="1:1">
      <c r="A36523" s="56"/>
    </row>
    <row r="36524" spans="1:1">
      <c r="A36524" s="56"/>
    </row>
    <row r="36525" spans="1:1">
      <c r="A36525" s="56"/>
    </row>
    <row r="36526" spans="1:1">
      <c r="A36526" s="56"/>
    </row>
    <row r="36527" spans="1:1">
      <c r="A36527" s="56"/>
    </row>
    <row r="36528" spans="1:1">
      <c r="A36528" s="56"/>
    </row>
    <row r="36529" spans="1:1">
      <c r="A36529" s="56"/>
    </row>
    <row r="36530" spans="1:1">
      <c r="A36530" s="56"/>
    </row>
    <row r="36531" spans="1:1">
      <c r="A36531" s="56"/>
    </row>
    <row r="36532" spans="1:1">
      <c r="A36532" s="56"/>
    </row>
    <row r="36533" spans="1:1">
      <c r="A36533" s="56"/>
    </row>
    <row r="36534" spans="1:1">
      <c r="A36534" s="56"/>
    </row>
    <row r="36535" spans="1:1">
      <c r="A36535" s="56"/>
    </row>
    <row r="36536" spans="1:1">
      <c r="A36536" s="56"/>
    </row>
    <row r="36537" spans="1:1">
      <c r="A36537" s="56"/>
    </row>
    <row r="36538" spans="1:1">
      <c r="A36538" s="56"/>
    </row>
    <row r="36539" spans="1:1">
      <c r="A36539" s="56"/>
    </row>
    <row r="36540" spans="1:1">
      <c r="A36540" s="56"/>
    </row>
    <row r="36541" spans="1:1">
      <c r="A36541" s="56"/>
    </row>
    <row r="36542" spans="1:1">
      <c r="A36542" s="56"/>
    </row>
    <row r="36543" spans="1:1">
      <c r="A36543" s="56"/>
    </row>
    <row r="36544" spans="1:1">
      <c r="A36544" s="56"/>
    </row>
    <row r="36545" spans="1:1">
      <c r="A36545" s="56"/>
    </row>
    <row r="36546" spans="1:1">
      <c r="A36546" s="56"/>
    </row>
    <row r="36547" spans="1:1">
      <c r="A36547" s="56"/>
    </row>
    <row r="36548" spans="1:1">
      <c r="A36548" s="56"/>
    </row>
    <row r="36549" spans="1:1">
      <c r="A36549" s="56"/>
    </row>
    <row r="36550" spans="1:1">
      <c r="A36550" s="56"/>
    </row>
    <row r="36551" spans="1:1">
      <c r="A36551" s="56"/>
    </row>
    <row r="36552" spans="1:1">
      <c r="A36552" s="56"/>
    </row>
    <row r="36553" spans="1:1">
      <c r="A36553" s="56"/>
    </row>
    <row r="36554" spans="1:1">
      <c r="A36554" s="56"/>
    </row>
    <row r="36555" spans="1:1">
      <c r="A36555" s="56"/>
    </row>
    <row r="36556" spans="1:1">
      <c r="A36556" s="56"/>
    </row>
    <row r="36557" spans="1:1">
      <c r="A36557" s="56"/>
    </row>
    <row r="36558" spans="1:1">
      <c r="A36558" s="56"/>
    </row>
    <row r="36559" spans="1:1">
      <c r="A36559" s="56"/>
    </row>
    <row r="36560" spans="1:1">
      <c r="A36560" s="56"/>
    </row>
    <row r="36561" spans="1:1">
      <c r="A36561" s="56"/>
    </row>
    <row r="36562" spans="1:1">
      <c r="A36562" s="56"/>
    </row>
    <row r="36563" spans="1:1">
      <c r="A36563" s="56"/>
    </row>
    <row r="36564" spans="1:1">
      <c r="A36564" s="56"/>
    </row>
    <row r="36565" spans="1:1">
      <c r="A36565" s="56"/>
    </row>
    <row r="36566" spans="1:1">
      <c r="A36566" s="56"/>
    </row>
    <row r="36567" spans="1:1">
      <c r="A36567" s="56"/>
    </row>
    <row r="36568" spans="1:1">
      <c r="A36568" s="56"/>
    </row>
    <row r="36569" spans="1:1">
      <c r="A36569" s="56"/>
    </row>
    <row r="36570" spans="1:1">
      <c r="A36570" s="56"/>
    </row>
    <row r="36571" spans="1:1">
      <c r="A36571" s="56"/>
    </row>
    <row r="36572" spans="1:1">
      <c r="A36572" s="56"/>
    </row>
    <row r="36573" spans="1:1">
      <c r="A36573" s="56"/>
    </row>
    <row r="36574" spans="1:1">
      <c r="A36574" s="56"/>
    </row>
    <row r="36575" spans="1:1">
      <c r="A36575" s="56"/>
    </row>
    <row r="36576" spans="1:1">
      <c r="A36576" s="56"/>
    </row>
    <row r="36577" spans="1:1">
      <c r="A36577" s="56"/>
    </row>
    <row r="36578" spans="1:1">
      <c r="A36578" s="56"/>
    </row>
    <row r="36579" spans="1:1">
      <c r="A36579" s="56"/>
    </row>
    <row r="36580" spans="1:1">
      <c r="A36580" s="56"/>
    </row>
    <row r="36581" spans="1:1">
      <c r="A36581" s="56"/>
    </row>
    <row r="36582" spans="1:1">
      <c r="A36582" s="56"/>
    </row>
    <row r="36583" spans="1:1">
      <c r="A36583" s="56"/>
    </row>
    <row r="36584" spans="1:1">
      <c r="A36584" s="56"/>
    </row>
    <row r="36585" spans="1:1">
      <c r="A36585" s="56"/>
    </row>
    <row r="36586" spans="1:1">
      <c r="A36586" s="56"/>
    </row>
    <row r="36587" spans="1:1">
      <c r="A36587" s="56"/>
    </row>
    <row r="36588" spans="1:1">
      <c r="A36588" s="56"/>
    </row>
    <row r="36589" spans="1:1">
      <c r="A36589" s="56"/>
    </row>
    <row r="36590" spans="1:1">
      <c r="A36590" s="56"/>
    </row>
    <row r="36591" spans="1:1">
      <c r="A36591" s="56"/>
    </row>
    <row r="36592" spans="1:1">
      <c r="A36592" s="56"/>
    </row>
    <row r="36593" spans="1:1">
      <c r="A36593" s="56"/>
    </row>
    <row r="36594" spans="1:1">
      <c r="A36594" s="56"/>
    </row>
    <row r="36595" spans="1:1">
      <c r="A36595" s="56"/>
    </row>
    <row r="36596" spans="1:1">
      <c r="A36596" s="56"/>
    </row>
    <row r="36597" spans="1:1">
      <c r="A36597" s="56"/>
    </row>
    <row r="36598" spans="1:1">
      <c r="A36598" s="56"/>
    </row>
    <row r="36599" spans="1:1">
      <c r="A36599" s="56"/>
    </row>
    <row r="36600" spans="1:1">
      <c r="A36600" s="56"/>
    </row>
    <row r="36601" spans="1:1">
      <c r="A36601" s="56"/>
    </row>
    <row r="36602" spans="1:1">
      <c r="A36602" s="56"/>
    </row>
    <row r="36603" spans="1:1">
      <c r="A36603" s="56"/>
    </row>
    <row r="36604" spans="1:1">
      <c r="A36604" s="56"/>
    </row>
    <row r="36605" spans="1:1">
      <c r="A36605" s="56"/>
    </row>
    <row r="36606" spans="1:1">
      <c r="A36606" s="56"/>
    </row>
    <row r="36607" spans="1:1">
      <c r="A36607" s="56"/>
    </row>
    <row r="36608" spans="1:1">
      <c r="A36608" s="56"/>
    </row>
    <row r="36609" spans="1:1">
      <c r="A36609" s="56"/>
    </row>
    <row r="36610" spans="1:1">
      <c r="A36610" s="56"/>
    </row>
    <row r="36611" spans="1:1">
      <c r="A36611" s="56"/>
    </row>
    <row r="36612" spans="1:1">
      <c r="A36612" s="56"/>
    </row>
    <row r="36613" spans="1:1">
      <c r="A36613" s="56"/>
    </row>
    <row r="36614" spans="1:1">
      <c r="A36614" s="56"/>
    </row>
    <row r="36615" spans="1:1">
      <c r="A36615" s="56"/>
    </row>
    <row r="36616" spans="1:1">
      <c r="A36616" s="56"/>
    </row>
    <row r="36617" spans="1:1">
      <c r="A36617" s="56"/>
    </row>
    <row r="36618" spans="1:1">
      <c r="A36618" s="56"/>
    </row>
    <row r="36619" spans="1:1">
      <c r="A36619" s="56"/>
    </row>
    <row r="36620" spans="1:1">
      <c r="A36620" s="56"/>
    </row>
    <row r="36621" spans="1:1">
      <c r="A36621" s="56"/>
    </row>
    <row r="36622" spans="1:1">
      <c r="A36622" s="56"/>
    </row>
    <row r="36623" spans="1:1">
      <c r="A36623" s="56"/>
    </row>
    <row r="36624" spans="1:1">
      <c r="A36624" s="56"/>
    </row>
    <row r="36625" spans="1:1">
      <c r="A36625" s="56"/>
    </row>
    <row r="36626" spans="1:1">
      <c r="A36626" s="56"/>
    </row>
    <row r="36627" spans="1:1">
      <c r="A36627" s="56"/>
    </row>
    <row r="36628" spans="1:1">
      <c r="A36628" s="56"/>
    </row>
    <row r="36629" spans="1:1">
      <c r="A36629" s="56"/>
    </row>
    <row r="36630" spans="1:1">
      <c r="A36630" s="56"/>
    </row>
    <row r="36631" spans="1:1">
      <c r="A36631" s="56"/>
    </row>
    <row r="36632" spans="1:1">
      <c r="A36632" s="56"/>
    </row>
    <row r="36633" spans="1:1">
      <c r="A36633" s="56"/>
    </row>
    <row r="36634" spans="1:1">
      <c r="A36634" s="56"/>
    </row>
    <row r="36635" spans="1:1">
      <c r="A36635" s="56"/>
    </row>
    <row r="36636" spans="1:1">
      <c r="A36636" s="56"/>
    </row>
    <row r="36637" spans="1:1">
      <c r="A36637" s="56"/>
    </row>
    <row r="36638" spans="1:1">
      <c r="A36638" s="56"/>
    </row>
    <row r="36639" spans="1:1">
      <c r="A36639" s="56"/>
    </row>
    <row r="36640" spans="1:1">
      <c r="A36640" s="56"/>
    </row>
    <row r="36641" spans="1:1">
      <c r="A36641" s="56"/>
    </row>
    <row r="36642" spans="1:1">
      <c r="A36642" s="56"/>
    </row>
    <row r="36643" spans="1:1">
      <c r="A36643" s="56"/>
    </row>
    <row r="36644" spans="1:1">
      <c r="A36644" s="56"/>
    </row>
    <row r="36645" spans="1:1">
      <c r="A36645" s="56"/>
    </row>
    <row r="36646" spans="1:1">
      <c r="A36646" s="56"/>
    </row>
    <row r="36647" spans="1:1">
      <c r="A36647" s="56"/>
    </row>
    <row r="36648" spans="1:1">
      <c r="A36648" s="56"/>
    </row>
    <row r="36649" spans="1:1">
      <c r="A36649" s="56"/>
    </row>
    <row r="36650" spans="1:1">
      <c r="A36650" s="56"/>
    </row>
    <row r="36651" spans="1:1">
      <c r="A36651" s="56"/>
    </row>
    <row r="36652" spans="1:1">
      <c r="A36652" s="56"/>
    </row>
    <row r="36653" spans="1:1">
      <c r="A36653" s="56"/>
    </row>
    <row r="36654" spans="1:1">
      <c r="A36654" s="56"/>
    </row>
    <row r="36655" spans="1:1">
      <c r="A36655" s="56"/>
    </row>
    <row r="36656" spans="1:1">
      <c r="A36656" s="56"/>
    </row>
    <row r="36657" spans="1:1">
      <c r="A36657" s="56"/>
    </row>
    <row r="36658" spans="1:1">
      <c r="A36658" s="56"/>
    </row>
    <row r="36659" spans="1:1">
      <c r="A36659" s="56"/>
    </row>
    <row r="36660" spans="1:1">
      <c r="A36660" s="56"/>
    </row>
    <row r="36661" spans="1:1">
      <c r="A36661" s="56"/>
    </row>
    <row r="36662" spans="1:1">
      <c r="A36662" s="56"/>
    </row>
    <row r="36663" spans="1:1">
      <c r="A36663" s="56"/>
    </row>
    <row r="36664" spans="1:1">
      <c r="A36664" s="56"/>
    </row>
    <row r="36665" spans="1:1">
      <c r="A36665" s="56"/>
    </row>
    <row r="36666" spans="1:1">
      <c r="A36666" s="56"/>
    </row>
    <row r="36667" spans="1:1">
      <c r="A36667" s="56"/>
    </row>
    <row r="36668" spans="1:1">
      <c r="A36668" s="56"/>
    </row>
    <row r="36669" spans="1:1">
      <c r="A36669" s="56"/>
    </row>
    <row r="36670" spans="1:1">
      <c r="A36670" s="56"/>
    </row>
    <row r="36671" spans="1:1">
      <c r="A36671" s="56"/>
    </row>
    <row r="36672" spans="1:1">
      <c r="A36672" s="56"/>
    </row>
    <row r="36673" spans="1:1">
      <c r="A36673" s="56"/>
    </row>
    <row r="36674" spans="1:1">
      <c r="A36674" s="56"/>
    </row>
    <row r="36675" spans="1:1">
      <c r="A36675" s="56"/>
    </row>
    <row r="36676" spans="1:1">
      <c r="A36676" s="56"/>
    </row>
    <row r="36677" spans="1:1">
      <c r="A36677" s="56"/>
    </row>
    <row r="36678" spans="1:1">
      <c r="A36678" s="56"/>
    </row>
    <row r="36679" spans="1:1">
      <c r="A36679" s="56"/>
    </row>
    <row r="36680" spans="1:1">
      <c r="A36680" s="56"/>
    </row>
    <row r="36681" spans="1:1">
      <c r="A36681" s="56"/>
    </row>
    <row r="36682" spans="1:1">
      <c r="A36682" s="56"/>
    </row>
    <row r="36683" spans="1:1">
      <c r="A36683" s="56"/>
    </row>
    <row r="36684" spans="1:1">
      <c r="A36684" s="56"/>
    </row>
    <row r="36685" spans="1:1">
      <c r="A36685" s="56"/>
    </row>
    <row r="36686" spans="1:1">
      <c r="A36686" s="56"/>
    </row>
    <row r="36687" spans="1:1">
      <c r="A36687" s="56"/>
    </row>
    <row r="36688" spans="1:1">
      <c r="A36688" s="56"/>
    </row>
    <row r="36689" spans="1:1">
      <c r="A36689" s="56"/>
    </row>
    <row r="36690" spans="1:1">
      <c r="A36690" s="56"/>
    </row>
    <row r="36691" spans="1:1">
      <c r="A36691" s="56"/>
    </row>
    <row r="36692" spans="1:1">
      <c r="A36692" s="56"/>
    </row>
    <row r="36693" spans="1:1">
      <c r="A36693" s="56"/>
    </row>
    <row r="36694" spans="1:1">
      <c r="A36694" s="56"/>
    </row>
    <row r="36695" spans="1:1">
      <c r="A36695" s="56"/>
    </row>
    <row r="36696" spans="1:1">
      <c r="A36696" s="56"/>
    </row>
    <row r="36697" spans="1:1">
      <c r="A36697" s="56"/>
    </row>
    <row r="36698" spans="1:1">
      <c r="A36698" s="56"/>
    </row>
    <row r="36699" spans="1:1">
      <c r="A36699" s="56"/>
    </row>
    <row r="36700" spans="1:1">
      <c r="A36700" s="56"/>
    </row>
    <row r="36701" spans="1:1">
      <c r="A36701" s="56"/>
    </row>
    <row r="36702" spans="1:1">
      <c r="A36702" s="56"/>
    </row>
    <row r="36703" spans="1:1">
      <c r="A36703" s="56"/>
    </row>
    <row r="36704" spans="1:1">
      <c r="A36704" s="56"/>
    </row>
    <row r="36705" spans="1:1">
      <c r="A36705" s="56"/>
    </row>
    <row r="36706" spans="1:1">
      <c r="A36706" s="56"/>
    </row>
    <row r="36707" spans="1:1">
      <c r="A36707" s="56"/>
    </row>
    <row r="36708" spans="1:1">
      <c r="A36708" s="56"/>
    </row>
    <row r="36709" spans="1:1">
      <c r="A36709" s="56"/>
    </row>
    <row r="36710" spans="1:1">
      <c r="A36710" s="56"/>
    </row>
    <row r="36711" spans="1:1">
      <c r="A36711" s="56"/>
    </row>
    <row r="36712" spans="1:1">
      <c r="A36712" s="56"/>
    </row>
    <row r="36713" spans="1:1">
      <c r="A36713" s="56"/>
    </row>
    <row r="36714" spans="1:1">
      <c r="A36714" s="56"/>
    </row>
    <row r="36715" spans="1:1">
      <c r="A36715" s="56"/>
    </row>
    <row r="36716" spans="1:1">
      <c r="A36716" s="56"/>
    </row>
    <row r="36717" spans="1:1">
      <c r="A36717" s="56"/>
    </row>
    <row r="36718" spans="1:1">
      <c r="A36718" s="56"/>
    </row>
    <row r="36719" spans="1:1">
      <c r="A36719" s="56"/>
    </row>
    <row r="36720" spans="1:1">
      <c r="A36720" s="56"/>
    </row>
    <row r="36721" spans="1:1">
      <c r="A36721" s="56"/>
    </row>
    <row r="36722" spans="1:1">
      <c r="A36722" s="56"/>
    </row>
    <row r="36723" spans="1:1">
      <c r="A36723" s="56"/>
    </row>
    <row r="36724" spans="1:1">
      <c r="A36724" s="56"/>
    </row>
    <row r="36725" spans="1:1">
      <c r="A36725" s="56"/>
    </row>
    <row r="36726" spans="1:1">
      <c r="A36726" s="56"/>
    </row>
    <row r="36727" spans="1:1">
      <c r="A36727" s="56"/>
    </row>
    <row r="36728" spans="1:1">
      <c r="A36728" s="56"/>
    </row>
    <row r="36729" spans="1:1">
      <c r="A36729" s="56"/>
    </row>
    <row r="36730" spans="1:1">
      <c r="A36730" s="56"/>
    </row>
    <row r="36731" spans="1:1">
      <c r="A36731" s="56"/>
    </row>
    <row r="36732" spans="1:1">
      <c r="A36732" s="56"/>
    </row>
    <row r="36733" spans="1:1">
      <c r="A36733" s="56"/>
    </row>
    <row r="36734" spans="1:1">
      <c r="A36734" s="56"/>
    </row>
    <row r="36735" spans="1:1">
      <c r="A36735" s="56"/>
    </row>
    <row r="36736" spans="1:1">
      <c r="A36736" s="56"/>
    </row>
    <row r="36737" spans="1:1">
      <c r="A36737" s="56"/>
    </row>
    <row r="36738" spans="1:1">
      <c r="A36738" s="56"/>
    </row>
    <row r="36739" spans="1:1">
      <c r="A36739" s="56"/>
    </row>
    <row r="36740" spans="1:1">
      <c r="A36740" s="56"/>
    </row>
    <row r="36741" spans="1:1">
      <c r="A36741" s="56"/>
    </row>
    <row r="36742" spans="1:1">
      <c r="A36742" s="56"/>
    </row>
    <row r="36743" spans="1:1">
      <c r="A36743" s="56"/>
    </row>
    <row r="36744" spans="1:1">
      <c r="A36744" s="56"/>
    </row>
    <row r="36745" spans="1:1">
      <c r="A36745" s="56"/>
    </row>
    <row r="36746" spans="1:1">
      <c r="A36746" s="56"/>
    </row>
    <row r="36747" spans="1:1">
      <c r="A36747" s="56"/>
    </row>
    <row r="36748" spans="1:1">
      <c r="A36748" s="56"/>
    </row>
    <row r="36749" spans="1:1">
      <c r="A36749" s="56"/>
    </row>
    <row r="36750" spans="1:1">
      <c r="A36750" s="56"/>
    </row>
    <row r="36751" spans="1:1">
      <c r="A36751" s="56"/>
    </row>
    <row r="36752" spans="1:1">
      <c r="A36752" s="56"/>
    </row>
    <row r="36753" spans="1:1">
      <c r="A36753" s="56"/>
    </row>
    <row r="36754" spans="1:1">
      <c r="A36754" s="56"/>
    </row>
    <row r="36755" spans="1:1">
      <c r="A36755" s="56"/>
    </row>
    <row r="36756" spans="1:1">
      <c r="A36756" s="56"/>
    </row>
    <row r="36757" spans="1:1">
      <c r="A36757" s="56"/>
    </row>
    <row r="36758" spans="1:1">
      <c r="A36758" s="56"/>
    </row>
    <row r="36759" spans="1:1">
      <c r="A36759" s="56"/>
    </row>
    <row r="36760" spans="1:1">
      <c r="A36760" s="56"/>
    </row>
    <row r="36761" spans="1:1">
      <c r="A36761" s="56"/>
    </row>
    <row r="36762" spans="1:1">
      <c r="A36762" s="56"/>
    </row>
    <row r="36763" spans="1:1">
      <c r="A36763" s="56"/>
    </row>
    <row r="36764" spans="1:1">
      <c r="A36764" s="56"/>
    </row>
    <row r="36765" spans="1:1">
      <c r="A36765" s="56"/>
    </row>
    <row r="36766" spans="1:1">
      <c r="A36766" s="56"/>
    </row>
    <row r="36767" spans="1:1">
      <c r="A36767" s="56"/>
    </row>
    <row r="36768" spans="1:1">
      <c r="A36768" s="56"/>
    </row>
    <row r="36769" spans="1:1">
      <c r="A36769" s="56"/>
    </row>
    <row r="36770" spans="1:1">
      <c r="A36770" s="56"/>
    </row>
    <row r="36771" spans="1:1">
      <c r="A36771" s="56"/>
    </row>
    <row r="36772" spans="1:1">
      <c r="A36772" s="56"/>
    </row>
    <row r="36773" spans="1:1">
      <c r="A36773" s="56"/>
    </row>
    <row r="36774" spans="1:1">
      <c r="A36774" s="56"/>
    </row>
    <row r="36775" spans="1:1">
      <c r="A36775" s="56"/>
    </row>
    <row r="36776" spans="1:1">
      <c r="A36776" s="56"/>
    </row>
    <row r="36777" spans="1:1">
      <c r="A36777" s="56"/>
    </row>
    <row r="36778" spans="1:1">
      <c r="A36778" s="56"/>
    </row>
    <row r="36779" spans="1:1">
      <c r="A36779" s="56"/>
    </row>
    <row r="36780" spans="1:1">
      <c r="A36780" s="56"/>
    </row>
    <row r="36781" spans="1:1">
      <c r="A36781" s="56"/>
    </row>
    <row r="36782" spans="1:1">
      <c r="A36782" s="56"/>
    </row>
    <row r="36783" spans="1:1">
      <c r="A36783" s="56"/>
    </row>
    <row r="36784" spans="1:1">
      <c r="A36784" s="56"/>
    </row>
    <row r="36785" spans="1:1">
      <c r="A36785" s="56"/>
    </row>
    <row r="36786" spans="1:1">
      <c r="A36786" s="56"/>
    </row>
    <row r="36787" spans="1:1">
      <c r="A36787" s="56"/>
    </row>
    <row r="36788" spans="1:1">
      <c r="A36788" s="56"/>
    </row>
    <row r="36789" spans="1:1">
      <c r="A36789" s="56"/>
    </row>
    <row r="36790" spans="1:1">
      <c r="A36790" s="56"/>
    </row>
    <row r="36791" spans="1:1">
      <c r="A36791" s="56"/>
    </row>
    <row r="36792" spans="1:1">
      <c r="A36792" s="56"/>
    </row>
    <row r="36793" spans="1:1">
      <c r="A36793" s="56"/>
    </row>
    <row r="36794" spans="1:1">
      <c r="A36794" s="56"/>
    </row>
    <row r="36795" spans="1:1">
      <c r="A36795" s="56"/>
    </row>
    <row r="36796" spans="1:1">
      <c r="A36796" s="56"/>
    </row>
    <row r="36797" spans="1:1">
      <c r="A36797" s="56"/>
    </row>
    <row r="36798" spans="1:1">
      <c r="A36798" s="56"/>
    </row>
    <row r="36799" spans="1:1">
      <c r="A36799" s="56"/>
    </row>
    <row r="36800" spans="1:1">
      <c r="A36800" s="56"/>
    </row>
    <row r="36801" spans="1:1">
      <c r="A36801" s="56"/>
    </row>
    <row r="36802" spans="1:1">
      <c r="A36802" s="56"/>
    </row>
    <row r="36803" spans="1:1">
      <c r="A36803" s="56"/>
    </row>
    <row r="36804" spans="1:1">
      <c r="A36804" s="56"/>
    </row>
    <row r="36805" spans="1:1">
      <c r="A36805" s="56"/>
    </row>
    <row r="36806" spans="1:1">
      <c r="A36806" s="56"/>
    </row>
    <row r="36807" spans="1:1">
      <c r="A36807" s="56"/>
    </row>
    <row r="36808" spans="1:1">
      <c r="A36808" s="56"/>
    </row>
    <row r="36809" spans="1:1">
      <c r="A36809" s="56"/>
    </row>
    <row r="36810" spans="1:1">
      <c r="A36810" s="56"/>
    </row>
    <row r="36811" spans="1:1">
      <c r="A36811" s="56"/>
    </row>
    <row r="36812" spans="1:1">
      <c r="A36812" s="56"/>
    </row>
    <row r="36813" spans="1:1">
      <c r="A36813" s="56"/>
    </row>
    <row r="36814" spans="1:1">
      <c r="A36814" s="56"/>
    </row>
    <row r="36815" spans="1:1">
      <c r="A36815" s="56"/>
    </row>
    <row r="36816" spans="1:1">
      <c r="A36816" s="56"/>
    </row>
    <row r="36817" spans="1:1">
      <c r="A36817" s="56"/>
    </row>
    <row r="36818" spans="1:1">
      <c r="A36818" s="56"/>
    </row>
    <row r="36819" spans="1:1">
      <c r="A36819" s="56"/>
    </row>
    <row r="36820" spans="1:1">
      <c r="A36820" s="56"/>
    </row>
    <row r="36821" spans="1:1">
      <c r="A36821" s="56"/>
    </row>
    <row r="36822" spans="1:1">
      <c r="A36822" s="56"/>
    </row>
    <row r="36823" spans="1:1">
      <c r="A36823" s="56"/>
    </row>
    <row r="36824" spans="1:1">
      <c r="A36824" s="56"/>
    </row>
    <row r="36825" spans="1:1">
      <c r="A36825" s="56"/>
    </row>
    <row r="36826" spans="1:1">
      <c r="A36826" s="56"/>
    </row>
    <row r="36827" spans="1:1">
      <c r="A36827" s="56"/>
    </row>
    <row r="36828" spans="1:1">
      <c r="A36828" s="56"/>
    </row>
    <row r="36829" spans="1:1">
      <c r="A36829" s="56"/>
    </row>
    <row r="36830" spans="1:1">
      <c r="A36830" s="56"/>
    </row>
    <row r="36831" spans="1:1">
      <c r="A36831" s="56"/>
    </row>
    <row r="36832" spans="1:1">
      <c r="A36832" s="56"/>
    </row>
    <row r="36833" spans="1:1">
      <c r="A36833" s="56"/>
    </row>
    <row r="36834" spans="1:1">
      <c r="A36834" s="56"/>
    </row>
    <row r="36835" spans="1:1">
      <c r="A36835" s="56"/>
    </row>
    <row r="36836" spans="1:1">
      <c r="A36836" s="56"/>
    </row>
    <row r="36837" spans="1:1">
      <c r="A36837" s="56"/>
    </row>
    <row r="36838" spans="1:1">
      <c r="A36838" s="56"/>
    </row>
    <row r="36839" spans="1:1">
      <c r="A36839" s="56"/>
    </row>
    <row r="36840" spans="1:1">
      <c r="A36840" s="56"/>
    </row>
    <row r="36841" spans="1:1">
      <c r="A36841" s="56"/>
    </row>
    <row r="36842" spans="1:1">
      <c r="A36842" s="56"/>
    </row>
    <row r="36843" spans="1:1">
      <c r="A36843" s="56"/>
    </row>
    <row r="36844" spans="1:1">
      <c r="A36844" s="56"/>
    </row>
    <row r="36845" spans="1:1">
      <c r="A36845" s="56"/>
    </row>
    <row r="36846" spans="1:1">
      <c r="A36846" s="56"/>
    </row>
    <row r="36847" spans="1:1">
      <c r="A36847" s="56"/>
    </row>
    <row r="36848" spans="1:1">
      <c r="A36848" s="56"/>
    </row>
    <row r="36849" spans="1:1">
      <c r="A36849" s="56"/>
    </row>
    <row r="36850" spans="1:1">
      <c r="A36850" s="56"/>
    </row>
    <row r="36851" spans="1:1">
      <c r="A36851" s="56"/>
    </row>
    <row r="36852" spans="1:1">
      <c r="A36852" s="56"/>
    </row>
    <row r="36853" spans="1:1">
      <c r="A36853" s="56"/>
    </row>
    <row r="36854" spans="1:1">
      <c r="A36854" s="56"/>
    </row>
    <row r="36855" spans="1:1">
      <c r="A36855" s="56"/>
    </row>
    <row r="36856" spans="1:1">
      <c r="A36856" s="56"/>
    </row>
    <row r="36857" spans="1:1">
      <c r="A36857" s="56"/>
    </row>
    <row r="36858" spans="1:1">
      <c r="A36858" s="56"/>
    </row>
    <row r="36859" spans="1:1">
      <c r="A36859" s="56"/>
    </row>
    <row r="36860" spans="1:1">
      <c r="A36860" s="56"/>
    </row>
    <row r="36861" spans="1:1">
      <c r="A36861" s="56"/>
    </row>
    <row r="36862" spans="1:1">
      <c r="A36862" s="56"/>
    </row>
    <row r="36863" spans="1:1">
      <c r="A36863" s="56"/>
    </row>
    <row r="36864" spans="1:1">
      <c r="A36864" s="56"/>
    </row>
    <row r="36865" spans="1:1">
      <c r="A36865" s="56"/>
    </row>
    <row r="36866" spans="1:1">
      <c r="A36866" s="56"/>
    </row>
    <row r="36867" spans="1:1">
      <c r="A36867" s="56"/>
    </row>
    <row r="36868" spans="1:1">
      <c r="A36868" s="56"/>
    </row>
    <row r="36869" spans="1:1">
      <c r="A36869" s="56"/>
    </row>
    <row r="36870" spans="1:1">
      <c r="A36870" s="56"/>
    </row>
    <row r="36871" spans="1:1">
      <c r="A36871" s="56"/>
    </row>
    <row r="36872" spans="1:1">
      <c r="A36872" s="56"/>
    </row>
    <row r="36873" spans="1:1">
      <c r="A36873" s="56"/>
    </row>
    <row r="36874" spans="1:1">
      <c r="A36874" s="56"/>
    </row>
    <row r="36875" spans="1:1">
      <c r="A36875" s="56"/>
    </row>
    <row r="36876" spans="1:1">
      <c r="A36876" s="56"/>
    </row>
    <row r="36877" spans="1:1">
      <c r="A36877" s="56"/>
    </row>
    <row r="36878" spans="1:1">
      <c r="A36878" s="56"/>
    </row>
    <row r="36879" spans="1:1">
      <c r="A36879" s="56"/>
    </row>
    <row r="36880" spans="1:1">
      <c r="A36880" s="56"/>
    </row>
    <row r="36881" spans="1:1">
      <c r="A36881" s="56"/>
    </row>
    <row r="36882" spans="1:1">
      <c r="A36882" s="56"/>
    </row>
    <row r="36883" spans="1:1">
      <c r="A36883" s="56"/>
    </row>
    <row r="36884" spans="1:1">
      <c r="A36884" s="56"/>
    </row>
    <row r="36885" spans="1:1">
      <c r="A36885" s="56"/>
    </row>
    <row r="36886" spans="1:1">
      <c r="A36886" s="56"/>
    </row>
    <row r="36887" spans="1:1">
      <c r="A36887" s="56"/>
    </row>
    <row r="36888" spans="1:1">
      <c r="A36888" s="56"/>
    </row>
    <row r="36889" spans="1:1">
      <c r="A36889" s="56"/>
    </row>
    <row r="36890" spans="1:1">
      <c r="A36890" s="56"/>
    </row>
    <row r="36891" spans="1:1">
      <c r="A36891" s="56"/>
    </row>
    <row r="36892" spans="1:1">
      <c r="A36892" s="56"/>
    </row>
    <row r="36893" spans="1:1">
      <c r="A36893" s="56"/>
    </row>
    <row r="36894" spans="1:1">
      <c r="A36894" s="56"/>
    </row>
    <row r="36895" spans="1:1">
      <c r="A36895" s="56"/>
    </row>
    <row r="36896" spans="1:1">
      <c r="A36896" s="56"/>
    </row>
    <row r="36897" spans="1:1">
      <c r="A36897" s="56"/>
    </row>
    <row r="36898" spans="1:1">
      <c r="A36898" s="56"/>
    </row>
    <row r="36899" spans="1:1">
      <c r="A36899" s="56"/>
    </row>
    <row r="36900" spans="1:1">
      <c r="A36900" s="56"/>
    </row>
    <row r="36901" spans="1:1">
      <c r="A36901" s="56"/>
    </row>
    <row r="36902" spans="1:1">
      <c r="A36902" s="56"/>
    </row>
    <row r="36903" spans="1:1">
      <c r="A36903" s="56"/>
    </row>
    <row r="36904" spans="1:1">
      <c r="A36904" s="56"/>
    </row>
    <row r="36905" spans="1:1">
      <c r="A36905" s="56"/>
    </row>
    <row r="36906" spans="1:1">
      <c r="A36906" s="56"/>
    </row>
    <row r="36907" spans="1:1">
      <c r="A36907" s="56"/>
    </row>
    <row r="36908" spans="1:1">
      <c r="A36908" s="56"/>
    </row>
    <row r="36909" spans="1:1">
      <c r="A36909" s="56"/>
    </row>
    <row r="36910" spans="1:1">
      <c r="A36910" s="56"/>
    </row>
    <row r="36911" spans="1:1">
      <c r="A36911" s="56"/>
    </row>
    <row r="36912" spans="1:1">
      <c r="A36912" s="56"/>
    </row>
    <row r="36913" spans="1:1">
      <c r="A36913" s="56"/>
    </row>
    <row r="36914" spans="1:1">
      <c r="A36914" s="56"/>
    </row>
    <row r="36915" spans="1:1">
      <c r="A36915" s="56"/>
    </row>
    <row r="36916" spans="1:1">
      <c r="A36916" s="56"/>
    </row>
    <row r="36917" spans="1:1">
      <c r="A36917" s="56"/>
    </row>
    <row r="36918" spans="1:1">
      <c r="A36918" s="56"/>
    </row>
    <row r="36919" spans="1:1">
      <c r="A36919" s="56"/>
    </row>
    <row r="36920" spans="1:1">
      <c r="A36920" s="56"/>
    </row>
    <row r="36921" spans="1:1">
      <c r="A36921" s="56"/>
    </row>
    <row r="36922" spans="1:1">
      <c r="A36922" s="56"/>
    </row>
    <row r="36923" spans="1:1">
      <c r="A36923" s="56"/>
    </row>
    <row r="36924" spans="1:1">
      <c r="A36924" s="56"/>
    </row>
    <row r="36925" spans="1:1">
      <c r="A36925" s="56"/>
    </row>
    <row r="36926" spans="1:1">
      <c r="A36926" s="56"/>
    </row>
    <row r="36927" spans="1:1">
      <c r="A36927" s="56"/>
    </row>
    <row r="36928" spans="1:1">
      <c r="A36928" s="56"/>
    </row>
    <row r="36929" spans="1:1">
      <c r="A36929" s="56"/>
    </row>
    <row r="36930" spans="1:1">
      <c r="A36930" s="56"/>
    </row>
    <row r="36931" spans="1:1">
      <c r="A36931" s="56"/>
    </row>
    <row r="36932" spans="1:1">
      <c r="A36932" s="56"/>
    </row>
    <row r="36933" spans="1:1">
      <c r="A36933" s="56"/>
    </row>
    <row r="36934" spans="1:1">
      <c r="A36934" s="56"/>
    </row>
    <row r="36935" spans="1:1">
      <c r="A36935" s="56"/>
    </row>
    <row r="36936" spans="1:1">
      <c r="A36936" s="56"/>
    </row>
    <row r="36937" spans="1:1">
      <c r="A36937" s="56"/>
    </row>
    <row r="36938" spans="1:1">
      <c r="A36938" s="56"/>
    </row>
    <row r="36939" spans="1:1">
      <c r="A36939" s="56"/>
    </row>
    <row r="36940" spans="1:1">
      <c r="A36940" s="56"/>
    </row>
    <row r="36941" spans="1:1">
      <c r="A36941" s="56"/>
    </row>
    <row r="36942" spans="1:1">
      <c r="A36942" s="56"/>
    </row>
    <row r="36943" spans="1:1">
      <c r="A36943" s="56"/>
    </row>
    <row r="36944" spans="1:1">
      <c r="A36944" s="56"/>
    </row>
    <row r="36945" spans="1:1">
      <c r="A36945" s="56"/>
    </row>
    <row r="36946" spans="1:1">
      <c r="A36946" s="56"/>
    </row>
    <row r="36947" spans="1:1">
      <c r="A36947" s="56"/>
    </row>
    <row r="36948" spans="1:1">
      <c r="A36948" s="56"/>
    </row>
    <row r="36949" spans="1:1">
      <c r="A36949" s="56"/>
    </row>
    <row r="36950" spans="1:1">
      <c r="A36950" s="56"/>
    </row>
    <row r="36951" spans="1:1">
      <c r="A36951" s="56"/>
    </row>
    <row r="36952" spans="1:1">
      <c r="A36952" s="56"/>
    </row>
    <row r="36953" spans="1:1">
      <c r="A36953" s="56"/>
    </row>
    <row r="36954" spans="1:1">
      <c r="A36954" s="56"/>
    </row>
    <row r="36955" spans="1:1">
      <c r="A36955" s="56"/>
    </row>
    <row r="36956" spans="1:1">
      <c r="A36956" s="56"/>
    </row>
    <row r="36957" spans="1:1">
      <c r="A36957" s="56"/>
    </row>
    <row r="36958" spans="1:1">
      <c r="A36958" s="56"/>
    </row>
    <row r="36959" spans="1:1">
      <c r="A36959" s="56"/>
    </row>
    <row r="36960" spans="1:1">
      <c r="A36960" s="56"/>
    </row>
    <row r="36961" spans="1:1">
      <c r="A36961" s="56"/>
    </row>
    <row r="36962" spans="1:1">
      <c r="A36962" s="56"/>
    </row>
    <row r="36963" spans="1:1">
      <c r="A36963" s="56"/>
    </row>
    <row r="36964" spans="1:1">
      <c r="A36964" s="56"/>
    </row>
    <row r="36965" spans="1:1">
      <c r="A36965" s="56"/>
    </row>
    <row r="36966" spans="1:1">
      <c r="A36966" s="56"/>
    </row>
    <row r="36967" spans="1:1">
      <c r="A36967" s="56"/>
    </row>
    <row r="36968" spans="1:1">
      <c r="A36968" s="56"/>
    </row>
    <row r="36969" spans="1:1">
      <c r="A36969" s="56"/>
    </row>
    <row r="36970" spans="1:1">
      <c r="A36970" s="56"/>
    </row>
    <row r="36971" spans="1:1">
      <c r="A36971" s="56"/>
    </row>
    <row r="36972" spans="1:1">
      <c r="A36972" s="56"/>
    </row>
    <row r="36973" spans="1:1">
      <c r="A36973" s="56"/>
    </row>
    <row r="36974" spans="1:1">
      <c r="A36974" s="56"/>
    </row>
    <row r="36975" spans="1:1">
      <c r="A36975" s="56"/>
    </row>
    <row r="36976" spans="1:1">
      <c r="A36976" s="56"/>
    </row>
    <row r="36977" spans="1:1">
      <c r="A36977" s="56"/>
    </row>
    <row r="36978" spans="1:1">
      <c r="A36978" s="56"/>
    </row>
    <row r="36979" spans="1:1">
      <c r="A36979" s="56"/>
    </row>
    <row r="36980" spans="1:1">
      <c r="A36980" s="56"/>
    </row>
    <row r="36981" spans="1:1">
      <c r="A36981" s="56"/>
    </row>
    <row r="36982" spans="1:1">
      <c r="A36982" s="56"/>
    </row>
    <row r="36983" spans="1:1">
      <c r="A36983" s="56"/>
    </row>
    <row r="36984" spans="1:1">
      <c r="A36984" s="56"/>
    </row>
    <row r="36985" spans="1:1">
      <c r="A36985" s="56"/>
    </row>
    <row r="36986" spans="1:1">
      <c r="A36986" s="56"/>
    </row>
    <row r="36987" spans="1:1">
      <c r="A36987" s="56"/>
    </row>
    <row r="36988" spans="1:1">
      <c r="A36988" s="56"/>
    </row>
    <row r="36989" spans="1:1">
      <c r="A36989" s="56"/>
    </row>
    <row r="36990" spans="1:1">
      <c r="A36990" s="56"/>
    </row>
    <row r="36991" spans="1:1">
      <c r="A36991" s="56"/>
    </row>
    <row r="36992" spans="1:1">
      <c r="A36992" s="56"/>
    </row>
    <row r="36993" spans="1:1">
      <c r="A36993" s="56"/>
    </row>
    <row r="36994" spans="1:1">
      <c r="A36994" s="56"/>
    </row>
    <row r="36995" spans="1:1">
      <c r="A36995" s="56"/>
    </row>
    <row r="36996" spans="1:1">
      <c r="A36996" s="56"/>
    </row>
    <row r="36997" spans="1:1">
      <c r="A36997" s="56"/>
    </row>
    <row r="36998" spans="1:1">
      <c r="A36998" s="56"/>
    </row>
    <row r="36999" spans="1:1">
      <c r="A36999" s="56"/>
    </row>
    <row r="37000" spans="1:1">
      <c r="A37000" s="56"/>
    </row>
    <row r="37001" spans="1:1">
      <c r="A37001" s="56"/>
    </row>
    <row r="37002" spans="1:1">
      <c r="A37002" s="56"/>
    </row>
    <row r="37003" spans="1:1">
      <c r="A37003" s="56"/>
    </row>
    <row r="37004" spans="1:1">
      <c r="A37004" s="56"/>
    </row>
    <row r="37005" spans="1:1">
      <c r="A37005" s="56"/>
    </row>
    <row r="37006" spans="1:1">
      <c r="A37006" s="56"/>
    </row>
    <row r="37007" spans="1:1">
      <c r="A37007" s="56"/>
    </row>
    <row r="37008" spans="1:1">
      <c r="A37008" s="56"/>
    </row>
    <row r="37009" spans="1:1">
      <c r="A37009" s="56"/>
    </row>
    <row r="37010" spans="1:1">
      <c r="A37010" s="56"/>
    </row>
    <row r="37011" spans="1:1">
      <c r="A37011" s="56"/>
    </row>
    <row r="37012" spans="1:1">
      <c r="A37012" s="56"/>
    </row>
    <row r="37013" spans="1:1">
      <c r="A37013" s="56"/>
    </row>
    <row r="37014" spans="1:1">
      <c r="A37014" s="56"/>
    </row>
    <row r="37015" spans="1:1">
      <c r="A37015" s="56"/>
    </row>
    <row r="37016" spans="1:1">
      <c r="A37016" s="56"/>
    </row>
    <row r="37017" spans="1:1">
      <c r="A37017" s="56"/>
    </row>
    <row r="37018" spans="1:1">
      <c r="A37018" s="56"/>
    </row>
    <row r="37019" spans="1:1">
      <c r="A37019" s="56"/>
    </row>
    <row r="37020" spans="1:1">
      <c r="A37020" s="56"/>
    </row>
    <row r="37021" spans="1:1">
      <c r="A37021" s="56"/>
    </row>
    <row r="37022" spans="1:1">
      <c r="A37022" s="56"/>
    </row>
    <row r="37023" spans="1:1">
      <c r="A37023" s="56"/>
    </row>
    <row r="37024" spans="1:1">
      <c r="A37024" s="56"/>
    </row>
    <row r="37025" spans="1:1">
      <c r="A37025" s="56"/>
    </row>
    <row r="37026" spans="1:1">
      <c r="A37026" s="56"/>
    </row>
    <row r="37027" spans="1:1">
      <c r="A37027" s="56"/>
    </row>
    <row r="37028" spans="1:1">
      <c r="A37028" s="56"/>
    </row>
    <row r="37029" spans="1:1">
      <c r="A37029" s="56"/>
    </row>
    <row r="37030" spans="1:1">
      <c r="A37030" s="56"/>
    </row>
    <row r="37031" spans="1:1">
      <c r="A37031" s="56"/>
    </row>
    <row r="37032" spans="1:1">
      <c r="A37032" s="56"/>
    </row>
    <row r="37033" spans="1:1">
      <c r="A37033" s="56"/>
    </row>
    <row r="37034" spans="1:1">
      <c r="A37034" s="56"/>
    </row>
    <row r="37035" spans="1:1">
      <c r="A37035" s="56"/>
    </row>
    <row r="37036" spans="1:1">
      <c r="A37036" s="56"/>
    </row>
    <row r="37037" spans="1:1">
      <c r="A37037" s="56"/>
    </row>
    <row r="37038" spans="1:1">
      <c r="A37038" s="56"/>
    </row>
    <row r="37039" spans="1:1">
      <c r="A37039" s="56"/>
    </row>
    <row r="37040" spans="1:1">
      <c r="A37040" s="56"/>
    </row>
    <row r="37041" spans="1:1">
      <c r="A37041" s="56"/>
    </row>
    <row r="37042" spans="1:1">
      <c r="A37042" s="56"/>
    </row>
    <row r="37043" spans="1:1">
      <c r="A37043" s="56"/>
    </row>
    <row r="37044" spans="1:1">
      <c r="A37044" s="56"/>
    </row>
    <row r="37045" spans="1:1">
      <c r="A37045" s="56"/>
    </row>
    <row r="37046" spans="1:1">
      <c r="A37046" s="56"/>
    </row>
    <row r="37047" spans="1:1">
      <c r="A37047" s="56"/>
    </row>
    <row r="37048" spans="1:1">
      <c r="A37048" s="56"/>
    </row>
    <row r="37049" spans="1:1">
      <c r="A37049" s="56"/>
    </row>
    <row r="37050" spans="1:1">
      <c r="A37050" s="56"/>
    </row>
    <row r="37051" spans="1:1">
      <c r="A37051" s="56"/>
    </row>
    <row r="37052" spans="1:1">
      <c r="A37052" s="56"/>
    </row>
    <row r="37053" spans="1:1">
      <c r="A37053" s="56"/>
    </row>
    <row r="37054" spans="1:1">
      <c r="A37054" s="56"/>
    </row>
    <row r="37055" spans="1:1">
      <c r="A37055" s="56"/>
    </row>
    <row r="37056" spans="1:1">
      <c r="A37056" s="56"/>
    </row>
    <row r="37057" spans="1:1">
      <c r="A37057" s="56"/>
    </row>
    <row r="37058" spans="1:1">
      <c r="A37058" s="56"/>
    </row>
    <row r="37059" spans="1:1">
      <c r="A37059" s="56"/>
    </row>
    <row r="37060" spans="1:1">
      <c r="A37060" s="56"/>
    </row>
    <row r="37061" spans="1:1">
      <c r="A37061" s="56"/>
    </row>
    <row r="37062" spans="1:1">
      <c r="A37062" s="56"/>
    </row>
    <row r="37063" spans="1:1">
      <c r="A37063" s="56"/>
    </row>
    <row r="37064" spans="1:1">
      <c r="A37064" s="56"/>
    </row>
    <row r="37065" spans="1:1">
      <c r="A37065" s="56"/>
    </row>
    <row r="37066" spans="1:1">
      <c r="A37066" s="56"/>
    </row>
    <row r="37067" spans="1:1">
      <c r="A37067" s="56"/>
    </row>
    <row r="37068" spans="1:1">
      <c r="A37068" s="56"/>
    </row>
    <row r="37069" spans="1:1">
      <c r="A37069" s="56"/>
    </row>
    <row r="37070" spans="1:1">
      <c r="A37070" s="56"/>
    </row>
    <row r="37071" spans="1:1">
      <c r="A37071" s="56"/>
    </row>
    <row r="37072" spans="1:1">
      <c r="A37072" s="56"/>
    </row>
    <row r="37073" spans="1:1">
      <c r="A37073" s="56"/>
    </row>
    <row r="37074" spans="1:1">
      <c r="A37074" s="56"/>
    </row>
    <row r="37075" spans="1:1">
      <c r="A37075" s="56"/>
    </row>
    <row r="37076" spans="1:1">
      <c r="A37076" s="56"/>
    </row>
    <row r="37077" spans="1:1">
      <c r="A37077" s="56"/>
    </row>
    <row r="37078" spans="1:1">
      <c r="A37078" s="56"/>
    </row>
    <row r="37079" spans="1:1">
      <c r="A37079" s="56"/>
    </row>
    <row r="37080" spans="1:1">
      <c r="A37080" s="56"/>
    </row>
    <row r="37081" spans="1:1">
      <c r="A37081" s="56"/>
    </row>
    <row r="37082" spans="1:1">
      <c r="A37082" s="56"/>
    </row>
    <row r="37083" spans="1:1">
      <c r="A37083" s="56"/>
    </row>
    <row r="37084" spans="1:1">
      <c r="A37084" s="56"/>
    </row>
    <row r="37085" spans="1:1">
      <c r="A37085" s="56"/>
    </row>
    <row r="37086" spans="1:1">
      <c r="A37086" s="56"/>
    </row>
    <row r="37087" spans="1:1">
      <c r="A37087" s="56"/>
    </row>
    <row r="37088" spans="1:1">
      <c r="A37088" s="56"/>
    </row>
    <row r="37089" spans="1:1">
      <c r="A37089" s="56"/>
    </row>
    <row r="37090" spans="1:1">
      <c r="A37090" s="56"/>
    </row>
    <row r="37091" spans="1:1">
      <c r="A37091" s="56"/>
    </row>
    <row r="37092" spans="1:1">
      <c r="A37092" s="56"/>
    </row>
    <row r="37093" spans="1:1">
      <c r="A37093" s="56"/>
    </row>
    <row r="37094" spans="1:1">
      <c r="A37094" s="56"/>
    </row>
    <row r="37095" spans="1:1">
      <c r="A37095" s="56"/>
    </row>
    <row r="37096" spans="1:1">
      <c r="A37096" s="56"/>
    </row>
    <row r="37097" spans="1:1">
      <c r="A37097" s="56"/>
    </row>
    <row r="37098" spans="1:1">
      <c r="A37098" s="56"/>
    </row>
    <row r="37099" spans="1:1">
      <c r="A37099" s="56"/>
    </row>
    <row r="37100" spans="1:1">
      <c r="A37100" s="56"/>
    </row>
    <row r="37101" spans="1:1">
      <c r="A37101" s="56"/>
    </row>
    <row r="37102" spans="1:1">
      <c r="A37102" s="56"/>
    </row>
    <row r="37103" spans="1:1">
      <c r="A37103" s="56"/>
    </row>
    <row r="37104" spans="1:1">
      <c r="A37104" s="56"/>
    </row>
    <row r="37105" spans="1:1">
      <c r="A37105" s="56"/>
    </row>
    <row r="37106" spans="1:1">
      <c r="A37106" s="56"/>
    </row>
    <row r="37107" spans="1:1">
      <c r="A37107" s="56"/>
    </row>
    <row r="37108" spans="1:1">
      <c r="A37108" s="56"/>
    </row>
    <row r="37109" spans="1:1">
      <c r="A37109" s="56"/>
    </row>
    <row r="37110" spans="1:1">
      <c r="A37110" s="56"/>
    </row>
    <row r="37111" spans="1:1">
      <c r="A37111" s="56"/>
    </row>
    <row r="37112" spans="1:1">
      <c r="A37112" s="56"/>
    </row>
    <row r="37113" spans="1:1">
      <c r="A37113" s="56"/>
    </row>
    <row r="37114" spans="1:1">
      <c r="A37114" s="56"/>
    </row>
    <row r="37115" spans="1:1">
      <c r="A37115" s="56"/>
    </row>
    <row r="37116" spans="1:1">
      <c r="A37116" s="56"/>
    </row>
    <row r="37117" spans="1:1">
      <c r="A37117" s="56"/>
    </row>
    <row r="37118" spans="1:1">
      <c r="A37118" s="56"/>
    </row>
    <row r="37119" spans="1:1">
      <c r="A37119" s="56"/>
    </row>
    <row r="37120" spans="1:1">
      <c r="A37120" s="56"/>
    </row>
    <row r="37121" spans="1:1">
      <c r="A37121" s="56"/>
    </row>
    <row r="37122" spans="1:1">
      <c r="A37122" s="56"/>
    </row>
    <row r="37123" spans="1:1">
      <c r="A37123" s="56"/>
    </row>
    <row r="37124" spans="1:1">
      <c r="A37124" s="56"/>
    </row>
    <row r="37125" spans="1:1">
      <c r="A37125" s="56"/>
    </row>
    <row r="37126" spans="1:1">
      <c r="A37126" s="56"/>
    </row>
    <row r="37127" spans="1:1">
      <c r="A37127" s="56"/>
    </row>
    <row r="37128" spans="1:1">
      <c r="A37128" s="56"/>
    </row>
    <row r="37129" spans="1:1">
      <c r="A37129" s="56"/>
    </row>
    <row r="37130" spans="1:1">
      <c r="A37130" s="56"/>
    </row>
    <row r="37131" spans="1:1">
      <c r="A37131" s="56"/>
    </row>
    <row r="37132" spans="1:1">
      <c r="A37132" s="56"/>
    </row>
    <row r="37133" spans="1:1">
      <c r="A37133" s="56"/>
    </row>
    <row r="37134" spans="1:1">
      <c r="A37134" s="56"/>
    </row>
    <row r="37135" spans="1:1">
      <c r="A37135" s="56"/>
    </row>
    <row r="37136" spans="1:1">
      <c r="A37136" s="56"/>
    </row>
    <row r="37137" spans="1:1">
      <c r="A37137" s="56"/>
    </row>
    <row r="37138" spans="1:1">
      <c r="A37138" s="56"/>
    </row>
    <row r="37139" spans="1:1">
      <c r="A37139" s="56"/>
    </row>
    <row r="37140" spans="1:1">
      <c r="A37140" s="56"/>
    </row>
    <row r="37141" spans="1:1">
      <c r="A37141" s="56"/>
    </row>
    <row r="37142" spans="1:1">
      <c r="A37142" s="56"/>
    </row>
    <row r="37143" spans="1:1">
      <c r="A37143" s="56"/>
    </row>
    <row r="37144" spans="1:1">
      <c r="A37144" s="56"/>
    </row>
    <row r="37145" spans="1:1">
      <c r="A37145" s="56"/>
    </row>
    <row r="37146" spans="1:1">
      <c r="A37146" s="56"/>
    </row>
    <row r="37147" spans="1:1">
      <c r="A37147" s="56"/>
    </row>
    <row r="37148" spans="1:1">
      <c r="A37148" s="56"/>
    </row>
    <row r="37149" spans="1:1">
      <c r="A37149" s="56"/>
    </row>
    <row r="37150" spans="1:1">
      <c r="A37150" s="56"/>
    </row>
    <row r="37151" spans="1:1">
      <c r="A37151" s="56"/>
    </row>
    <row r="37152" spans="1:1">
      <c r="A37152" s="56"/>
    </row>
    <row r="37153" spans="1:1">
      <c r="A37153" s="56"/>
    </row>
    <row r="37154" spans="1:1">
      <c r="A37154" s="56"/>
    </row>
    <row r="37155" spans="1:1">
      <c r="A37155" s="56"/>
    </row>
    <row r="37156" spans="1:1">
      <c r="A37156" s="56"/>
    </row>
    <row r="37157" spans="1:1">
      <c r="A37157" s="56"/>
    </row>
    <row r="37158" spans="1:1">
      <c r="A37158" s="56"/>
    </row>
    <row r="37159" spans="1:1">
      <c r="A37159" s="56"/>
    </row>
    <row r="37160" spans="1:1">
      <c r="A37160" s="56"/>
    </row>
    <row r="37161" spans="1:1">
      <c r="A37161" s="56"/>
    </row>
    <row r="37162" spans="1:1">
      <c r="A37162" s="56"/>
    </row>
    <row r="37163" spans="1:1">
      <c r="A37163" s="56"/>
    </row>
    <row r="37164" spans="1:1">
      <c r="A37164" s="56"/>
    </row>
    <row r="37165" spans="1:1">
      <c r="A37165" s="56"/>
    </row>
    <row r="37166" spans="1:1">
      <c r="A37166" s="56"/>
    </row>
    <row r="37167" spans="1:1">
      <c r="A37167" s="56"/>
    </row>
    <row r="37168" spans="1:1">
      <c r="A37168" s="56"/>
    </row>
    <row r="37169" spans="1:1">
      <c r="A37169" s="56"/>
    </row>
    <row r="37170" spans="1:1">
      <c r="A37170" s="56"/>
    </row>
    <row r="37171" spans="1:1">
      <c r="A37171" s="56"/>
    </row>
    <row r="37172" spans="1:1">
      <c r="A37172" s="56"/>
    </row>
    <row r="37173" spans="1:1">
      <c r="A37173" s="56"/>
    </row>
    <row r="37174" spans="1:1">
      <c r="A37174" s="56"/>
    </row>
    <row r="37175" spans="1:1">
      <c r="A37175" s="56"/>
    </row>
    <row r="37176" spans="1:1">
      <c r="A37176" s="56"/>
    </row>
    <row r="37177" spans="1:1">
      <c r="A37177" s="56"/>
    </row>
    <row r="37178" spans="1:1">
      <c r="A37178" s="56"/>
    </row>
    <row r="37179" spans="1:1">
      <c r="A37179" s="56"/>
    </row>
    <row r="37180" spans="1:1">
      <c r="A37180" s="56"/>
    </row>
    <row r="37181" spans="1:1">
      <c r="A37181" s="56"/>
    </row>
    <row r="37182" spans="1:1">
      <c r="A37182" s="56"/>
    </row>
    <row r="37183" spans="1:1">
      <c r="A37183" s="56"/>
    </row>
    <row r="37184" spans="1:1">
      <c r="A37184" s="56"/>
    </row>
    <row r="37185" spans="1:1">
      <c r="A37185" s="56"/>
    </row>
    <row r="37186" spans="1:1">
      <c r="A37186" s="56"/>
    </row>
    <row r="37187" spans="1:1">
      <c r="A37187" s="56"/>
    </row>
    <row r="37188" spans="1:1">
      <c r="A37188" s="56"/>
    </row>
    <row r="37189" spans="1:1">
      <c r="A37189" s="56"/>
    </row>
    <row r="37190" spans="1:1">
      <c r="A37190" s="56"/>
    </row>
    <row r="37191" spans="1:1">
      <c r="A37191" s="56"/>
    </row>
    <row r="37192" spans="1:1">
      <c r="A37192" s="56"/>
    </row>
    <row r="37193" spans="1:1">
      <c r="A37193" s="56"/>
    </row>
    <row r="37194" spans="1:1">
      <c r="A37194" s="56"/>
    </row>
    <row r="37195" spans="1:1">
      <c r="A37195" s="56"/>
    </row>
    <row r="37196" spans="1:1">
      <c r="A37196" s="56"/>
    </row>
    <row r="37197" spans="1:1">
      <c r="A37197" s="56"/>
    </row>
    <row r="37198" spans="1:1">
      <c r="A37198" s="56"/>
    </row>
    <row r="37199" spans="1:1">
      <c r="A37199" s="56"/>
    </row>
    <row r="37200" spans="1:1">
      <c r="A37200" s="56"/>
    </row>
    <row r="37201" spans="1:1">
      <c r="A37201" s="56"/>
    </row>
    <row r="37202" spans="1:1">
      <c r="A37202" s="56"/>
    </row>
    <row r="37203" spans="1:1">
      <c r="A37203" s="56"/>
    </row>
    <row r="37204" spans="1:1">
      <c r="A37204" s="56"/>
    </row>
    <row r="37205" spans="1:1">
      <c r="A37205" s="56"/>
    </row>
    <row r="37206" spans="1:1">
      <c r="A37206" s="56"/>
    </row>
    <row r="37207" spans="1:1">
      <c r="A37207" s="56"/>
    </row>
    <row r="37208" spans="1:1">
      <c r="A37208" s="56"/>
    </row>
    <row r="37209" spans="1:1">
      <c r="A37209" s="56"/>
    </row>
    <row r="37210" spans="1:1">
      <c r="A37210" s="56"/>
    </row>
    <row r="37211" spans="1:1">
      <c r="A37211" s="56"/>
    </row>
    <row r="37212" spans="1:1">
      <c r="A37212" s="56"/>
    </row>
    <row r="37213" spans="1:1">
      <c r="A37213" s="56"/>
    </row>
    <row r="37214" spans="1:1">
      <c r="A37214" s="56"/>
    </row>
    <row r="37215" spans="1:1">
      <c r="A37215" s="56"/>
    </row>
    <row r="37216" spans="1:1">
      <c r="A37216" s="56"/>
    </row>
    <row r="37217" spans="1:1">
      <c r="A37217" s="56"/>
    </row>
    <row r="37218" spans="1:1">
      <c r="A37218" s="56"/>
    </row>
    <row r="37219" spans="1:1">
      <c r="A37219" s="56"/>
    </row>
    <row r="37220" spans="1:1">
      <c r="A37220" s="56"/>
    </row>
    <row r="37221" spans="1:1">
      <c r="A37221" s="56"/>
    </row>
    <row r="37222" spans="1:1">
      <c r="A37222" s="56"/>
    </row>
    <row r="37223" spans="1:1">
      <c r="A37223" s="56"/>
    </row>
    <row r="37224" spans="1:1">
      <c r="A37224" s="56"/>
    </row>
    <row r="37225" spans="1:1">
      <c r="A37225" s="56"/>
    </row>
    <row r="37226" spans="1:1">
      <c r="A37226" s="56"/>
    </row>
    <row r="37227" spans="1:1">
      <c r="A37227" s="56"/>
    </row>
    <row r="37228" spans="1:1">
      <c r="A37228" s="56"/>
    </row>
    <row r="37229" spans="1:1">
      <c r="A37229" s="56"/>
    </row>
    <row r="37230" spans="1:1">
      <c r="A37230" s="56"/>
    </row>
    <row r="37231" spans="1:1">
      <c r="A37231" s="56"/>
    </row>
    <row r="37232" spans="1:1">
      <c r="A37232" s="56"/>
    </row>
    <row r="37233" spans="1:1">
      <c r="A37233" s="56"/>
    </row>
    <row r="37234" spans="1:1">
      <c r="A37234" s="56"/>
    </row>
    <row r="37235" spans="1:1">
      <c r="A37235" s="56"/>
    </row>
    <row r="37236" spans="1:1">
      <c r="A37236" s="56"/>
    </row>
    <row r="37237" spans="1:1">
      <c r="A37237" s="56"/>
    </row>
    <row r="37238" spans="1:1">
      <c r="A37238" s="56"/>
    </row>
    <row r="37239" spans="1:1">
      <c r="A37239" s="56"/>
    </row>
    <row r="37240" spans="1:1">
      <c r="A37240" s="56"/>
    </row>
    <row r="37241" spans="1:1">
      <c r="A37241" s="56"/>
    </row>
    <row r="37242" spans="1:1">
      <c r="A37242" s="56"/>
    </row>
    <row r="37243" spans="1:1">
      <c r="A37243" s="56"/>
    </row>
    <row r="37244" spans="1:1">
      <c r="A37244" s="56"/>
    </row>
    <row r="37245" spans="1:1">
      <c r="A37245" s="56"/>
    </row>
    <row r="37246" spans="1:1">
      <c r="A37246" s="56"/>
    </row>
    <row r="37247" spans="1:1">
      <c r="A37247" s="56"/>
    </row>
    <row r="37248" spans="1:1">
      <c r="A37248" s="56"/>
    </row>
    <row r="37249" spans="1:1">
      <c r="A37249" s="56"/>
    </row>
    <row r="37250" spans="1:1">
      <c r="A37250" s="56"/>
    </row>
    <row r="37251" spans="1:1">
      <c r="A37251" s="56"/>
    </row>
    <row r="37252" spans="1:1">
      <c r="A37252" s="56"/>
    </row>
    <row r="37253" spans="1:1">
      <c r="A37253" s="56"/>
    </row>
    <row r="37254" spans="1:1">
      <c r="A37254" s="56"/>
    </row>
    <row r="37255" spans="1:1">
      <c r="A37255" s="56"/>
    </row>
    <row r="37256" spans="1:1">
      <c r="A37256" s="56"/>
    </row>
    <row r="37257" spans="1:1">
      <c r="A37257" s="56"/>
    </row>
    <row r="37258" spans="1:1">
      <c r="A37258" s="56"/>
    </row>
    <row r="37259" spans="1:1">
      <c r="A37259" s="56"/>
    </row>
    <row r="37260" spans="1:1">
      <c r="A37260" s="56"/>
    </row>
    <row r="37261" spans="1:1">
      <c r="A37261" s="56"/>
    </row>
    <row r="37262" spans="1:1">
      <c r="A37262" s="56"/>
    </row>
    <row r="37263" spans="1:1">
      <c r="A37263" s="56"/>
    </row>
    <row r="37264" spans="1:1">
      <c r="A37264" s="56"/>
    </row>
    <row r="37265" spans="1:1">
      <c r="A37265" s="56"/>
    </row>
    <row r="37266" spans="1:1">
      <c r="A37266" s="56"/>
    </row>
    <row r="37267" spans="1:1">
      <c r="A37267" s="56"/>
    </row>
    <row r="37268" spans="1:1">
      <c r="A37268" s="56"/>
    </row>
    <row r="37269" spans="1:1">
      <c r="A37269" s="56"/>
    </row>
    <row r="37270" spans="1:1">
      <c r="A37270" s="56"/>
    </row>
    <row r="37271" spans="1:1">
      <c r="A37271" s="56"/>
    </row>
    <row r="37272" spans="1:1">
      <c r="A37272" s="56"/>
    </row>
    <row r="37273" spans="1:1">
      <c r="A37273" s="56"/>
    </row>
    <row r="37274" spans="1:1">
      <c r="A37274" s="56"/>
    </row>
    <row r="37275" spans="1:1">
      <c r="A37275" s="56"/>
    </row>
    <row r="37276" spans="1:1">
      <c r="A37276" s="56"/>
    </row>
    <row r="37277" spans="1:1">
      <c r="A37277" s="56"/>
    </row>
    <row r="37278" spans="1:1">
      <c r="A37278" s="56"/>
    </row>
    <row r="37279" spans="1:1">
      <c r="A37279" s="56"/>
    </row>
    <row r="37280" spans="1:1">
      <c r="A37280" s="56"/>
    </row>
    <row r="37281" spans="1:1">
      <c r="A37281" s="56"/>
    </row>
    <row r="37282" spans="1:1">
      <c r="A37282" s="56"/>
    </row>
    <row r="37283" spans="1:1">
      <c r="A37283" s="56"/>
    </row>
    <row r="37284" spans="1:1">
      <c r="A37284" s="56"/>
    </row>
    <row r="37285" spans="1:1">
      <c r="A37285" s="56"/>
    </row>
    <row r="37286" spans="1:1">
      <c r="A37286" s="56"/>
    </row>
    <row r="37287" spans="1:1">
      <c r="A37287" s="56"/>
    </row>
    <row r="37288" spans="1:1">
      <c r="A37288" s="56"/>
    </row>
    <row r="37289" spans="1:1">
      <c r="A37289" s="56"/>
    </row>
    <row r="37290" spans="1:1">
      <c r="A37290" s="56"/>
    </row>
    <row r="37291" spans="1:1">
      <c r="A37291" s="56"/>
    </row>
    <row r="37292" spans="1:1">
      <c r="A37292" s="56"/>
    </row>
    <row r="37293" spans="1:1">
      <c r="A37293" s="56"/>
    </row>
    <row r="37294" spans="1:1">
      <c r="A37294" s="56"/>
    </row>
    <row r="37295" spans="1:1">
      <c r="A37295" s="56"/>
    </row>
    <row r="37296" spans="1:1">
      <c r="A37296" s="56"/>
    </row>
    <row r="37297" spans="1:1">
      <c r="A37297" s="56"/>
    </row>
    <row r="37298" spans="1:1">
      <c r="A37298" s="56"/>
    </row>
    <row r="37299" spans="1:1">
      <c r="A37299" s="56"/>
    </row>
    <row r="37300" spans="1:1">
      <c r="A37300" s="56"/>
    </row>
    <row r="37301" spans="1:1">
      <c r="A37301" s="56"/>
    </row>
    <row r="37302" spans="1:1">
      <c r="A37302" s="56"/>
    </row>
    <row r="37303" spans="1:1">
      <c r="A37303" s="56"/>
    </row>
    <row r="37304" spans="1:1">
      <c r="A37304" s="56"/>
    </row>
    <row r="37305" spans="1:1">
      <c r="A37305" s="56"/>
    </row>
    <row r="37306" spans="1:1">
      <c r="A37306" s="56"/>
    </row>
    <row r="37307" spans="1:1">
      <c r="A37307" s="56"/>
    </row>
    <row r="37308" spans="1:1">
      <c r="A37308" s="56"/>
    </row>
    <row r="37309" spans="1:1">
      <c r="A37309" s="56"/>
    </row>
    <row r="37310" spans="1:1">
      <c r="A37310" s="56"/>
    </row>
    <row r="37311" spans="1:1">
      <c r="A37311" s="56"/>
    </row>
    <row r="37312" spans="1:1">
      <c r="A37312" s="56"/>
    </row>
    <row r="37313" spans="1:1">
      <c r="A37313" s="56"/>
    </row>
    <row r="37314" spans="1:1">
      <c r="A37314" s="56"/>
    </row>
    <row r="37315" spans="1:1">
      <c r="A37315" s="56"/>
    </row>
    <row r="37316" spans="1:1">
      <c r="A37316" s="56"/>
    </row>
    <row r="37317" spans="1:1">
      <c r="A37317" s="56"/>
    </row>
    <row r="37318" spans="1:1">
      <c r="A37318" s="56"/>
    </row>
    <row r="37319" spans="1:1">
      <c r="A37319" s="56"/>
    </row>
    <row r="37320" spans="1:1">
      <c r="A37320" s="56"/>
    </row>
    <row r="37321" spans="1:1">
      <c r="A37321" s="56"/>
    </row>
    <row r="37322" spans="1:1">
      <c r="A37322" s="56"/>
    </row>
    <row r="37323" spans="1:1">
      <c r="A37323" s="56"/>
    </row>
    <row r="37324" spans="1:1">
      <c r="A37324" s="56"/>
    </row>
    <row r="37325" spans="1:1">
      <c r="A37325" s="56"/>
    </row>
    <row r="37326" spans="1:1">
      <c r="A37326" s="56"/>
    </row>
    <row r="37327" spans="1:1">
      <c r="A37327" s="56"/>
    </row>
    <row r="37328" spans="1:1">
      <c r="A37328" s="56"/>
    </row>
    <row r="37329" spans="1:1">
      <c r="A37329" s="56"/>
    </row>
    <row r="37330" spans="1:1">
      <c r="A37330" s="56"/>
    </row>
    <row r="37331" spans="1:1">
      <c r="A37331" s="56"/>
    </row>
    <row r="37332" spans="1:1">
      <c r="A37332" s="56"/>
    </row>
    <row r="37333" spans="1:1">
      <c r="A37333" s="56"/>
    </row>
    <row r="37334" spans="1:1">
      <c r="A37334" s="56"/>
    </row>
    <row r="37335" spans="1:1">
      <c r="A37335" s="56"/>
    </row>
    <row r="37336" spans="1:1">
      <c r="A37336" s="56"/>
    </row>
    <row r="37337" spans="1:1">
      <c r="A37337" s="56"/>
    </row>
    <row r="37338" spans="1:1">
      <c r="A37338" s="56"/>
    </row>
    <row r="37339" spans="1:1">
      <c r="A37339" s="56"/>
    </row>
    <row r="37340" spans="1:1">
      <c r="A37340" s="56"/>
    </row>
    <row r="37341" spans="1:1">
      <c r="A37341" s="56"/>
    </row>
    <row r="37342" spans="1:1">
      <c r="A37342" s="56"/>
    </row>
    <row r="37343" spans="1:1">
      <c r="A37343" s="56"/>
    </row>
    <row r="37344" spans="1:1">
      <c r="A37344" s="56"/>
    </row>
    <row r="37345" spans="1:1">
      <c r="A37345" s="56"/>
    </row>
    <row r="37346" spans="1:1">
      <c r="A37346" s="56"/>
    </row>
    <row r="37347" spans="1:1">
      <c r="A37347" s="56"/>
    </row>
    <row r="37348" spans="1:1">
      <c r="A37348" s="56"/>
    </row>
    <row r="37349" spans="1:1">
      <c r="A37349" s="56"/>
    </row>
    <row r="37350" spans="1:1">
      <c r="A37350" s="56"/>
    </row>
    <row r="37351" spans="1:1">
      <c r="A37351" s="56"/>
    </row>
    <row r="37352" spans="1:1">
      <c r="A37352" s="56"/>
    </row>
    <row r="37353" spans="1:1">
      <c r="A37353" s="56"/>
    </row>
    <row r="37354" spans="1:1">
      <c r="A37354" s="56"/>
    </row>
    <row r="37355" spans="1:1">
      <c r="A37355" s="56"/>
    </row>
    <row r="37356" spans="1:1">
      <c r="A37356" s="56"/>
    </row>
    <row r="37357" spans="1:1">
      <c r="A37357" s="56"/>
    </row>
    <row r="37358" spans="1:1">
      <c r="A37358" s="56"/>
    </row>
    <row r="37359" spans="1:1">
      <c r="A37359" s="56"/>
    </row>
    <row r="37360" spans="1:1">
      <c r="A37360" s="56"/>
    </row>
    <row r="37361" spans="1:1">
      <c r="A37361" s="56"/>
    </row>
    <row r="37362" spans="1:1">
      <c r="A37362" s="56"/>
    </row>
    <row r="37363" spans="1:1">
      <c r="A37363" s="56"/>
    </row>
    <row r="37364" spans="1:1">
      <c r="A37364" s="56"/>
    </row>
    <row r="37365" spans="1:1">
      <c r="A37365" s="56"/>
    </row>
    <row r="37366" spans="1:1">
      <c r="A37366" s="56"/>
    </row>
    <row r="37367" spans="1:1">
      <c r="A37367" s="56"/>
    </row>
    <row r="37368" spans="1:1">
      <c r="A37368" s="56"/>
    </row>
    <row r="37369" spans="1:1">
      <c r="A37369" s="56"/>
    </row>
    <row r="37370" spans="1:1">
      <c r="A37370" s="56"/>
    </row>
    <row r="37371" spans="1:1">
      <c r="A37371" s="56"/>
    </row>
    <row r="37372" spans="1:1">
      <c r="A37372" s="56"/>
    </row>
    <row r="37373" spans="1:1">
      <c r="A37373" s="56"/>
    </row>
    <row r="37374" spans="1:1">
      <c r="A37374" s="56"/>
    </row>
    <row r="37375" spans="1:1">
      <c r="A37375" s="56"/>
    </row>
    <row r="37376" spans="1:1">
      <c r="A37376" s="56"/>
    </row>
    <row r="37377" spans="1:1">
      <c r="A37377" s="56"/>
    </row>
    <row r="37378" spans="1:1">
      <c r="A37378" s="56"/>
    </row>
    <row r="37379" spans="1:1">
      <c r="A37379" s="56"/>
    </row>
    <row r="37380" spans="1:1">
      <c r="A37380" s="56"/>
    </row>
    <row r="37381" spans="1:1">
      <c r="A37381" s="56"/>
    </row>
    <row r="37382" spans="1:1">
      <c r="A37382" s="56"/>
    </row>
    <row r="37383" spans="1:1">
      <c r="A37383" s="56"/>
    </row>
    <row r="37384" spans="1:1">
      <c r="A37384" s="56"/>
    </row>
    <row r="37385" spans="1:1">
      <c r="A37385" s="56"/>
    </row>
    <row r="37386" spans="1:1">
      <c r="A37386" s="56"/>
    </row>
    <row r="37387" spans="1:1">
      <c r="A37387" s="56"/>
    </row>
    <row r="37388" spans="1:1">
      <c r="A37388" s="56"/>
    </row>
    <row r="37389" spans="1:1">
      <c r="A37389" s="56"/>
    </row>
    <row r="37390" spans="1:1">
      <c r="A37390" s="56"/>
    </row>
    <row r="37391" spans="1:1">
      <c r="A37391" s="56"/>
    </row>
    <row r="37392" spans="1:1">
      <c r="A37392" s="56"/>
    </row>
    <row r="37393" spans="1:1">
      <c r="A37393" s="56"/>
    </row>
    <row r="37394" spans="1:1">
      <c r="A37394" s="56"/>
    </row>
    <row r="37395" spans="1:1">
      <c r="A37395" s="56"/>
    </row>
    <row r="37396" spans="1:1">
      <c r="A37396" s="56"/>
    </row>
    <row r="37397" spans="1:1">
      <c r="A37397" s="56"/>
    </row>
    <row r="37398" spans="1:1">
      <c r="A37398" s="56"/>
    </row>
    <row r="37399" spans="1:1">
      <c r="A37399" s="56"/>
    </row>
    <row r="37400" spans="1:1">
      <c r="A37400" s="56"/>
    </row>
    <row r="37401" spans="1:1">
      <c r="A37401" s="56"/>
    </row>
    <row r="37402" spans="1:1">
      <c r="A37402" s="56"/>
    </row>
    <row r="37403" spans="1:1">
      <c r="A37403" s="56"/>
    </row>
    <row r="37404" spans="1:1">
      <c r="A37404" s="56"/>
    </row>
    <row r="37405" spans="1:1">
      <c r="A37405" s="56"/>
    </row>
    <row r="37406" spans="1:1">
      <c r="A37406" s="56"/>
    </row>
    <row r="37407" spans="1:1">
      <c r="A37407" s="56"/>
    </row>
    <row r="37408" spans="1:1">
      <c r="A37408" s="56"/>
    </row>
    <row r="37409" spans="1:1">
      <c r="A37409" s="56"/>
    </row>
    <row r="37410" spans="1:1">
      <c r="A37410" s="56"/>
    </row>
    <row r="37411" spans="1:1">
      <c r="A37411" s="56"/>
    </row>
    <row r="37412" spans="1:1">
      <c r="A37412" s="56"/>
    </row>
    <row r="37413" spans="1:1">
      <c r="A37413" s="56"/>
    </row>
    <row r="37414" spans="1:1">
      <c r="A37414" s="56"/>
    </row>
    <row r="37415" spans="1:1">
      <c r="A37415" s="56"/>
    </row>
    <row r="37416" spans="1:1">
      <c r="A37416" s="56"/>
    </row>
    <row r="37417" spans="1:1">
      <c r="A37417" s="56"/>
    </row>
    <row r="37418" spans="1:1">
      <c r="A37418" s="56"/>
    </row>
    <row r="37419" spans="1:1">
      <c r="A37419" s="56"/>
    </row>
    <row r="37420" spans="1:1">
      <c r="A37420" s="56"/>
    </row>
    <row r="37421" spans="1:1">
      <c r="A37421" s="56"/>
    </row>
    <row r="37422" spans="1:1">
      <c r="A37422" s="56"/>
    </row>
    <row r="37423" spans="1:1">
      <c r="A37423" s="56"/>
    </row>
    <row r="37424" spans="1:1">
      <c r="A37424" s="56"/>
    </row>
    <row r="37425" spans="1:1">
      <c r="A37425" s="56"/>
    </row>
    <row r="37426" spans="1:1">
      <c r="A37426" s="56"/>
    </row>
    <row r="37427" spans="1:1">
      <c r="A37427" s="56"/>
    </row>
    <row r="37428" spans="1:1">
      <c r="A37428" s="56"/>
    </row>
    <row r="37429" spans="1:1">
      <c r="A37429" s="56"/>
    </row>
    <row r="37430" spans="1:1">
      <c r="A37430" s="56"/>
    </row>
    <row r="37431" spans="1:1">
      <c r="A37431" s="56"/>
    </row>
    <row r="37432" spans="1:1">
      <c r="A37432" s="56"/>
    </row>
    <row r="37433" spans="1:1">
      <c r="A37433" s="56"/>
    </row>
    <row r="37434" spans="1:1">
      <c r="A37434" s="56"/>
    </row>
    <row r="37435" spans="1:1">
      <c r="A37435" s="56"/>
    </row>
    <row r="37436" spans="1:1">
      <c r="A37436" s="56"/>
    </row>
    <row r="37437" spans="1:1">
      <c r="A37437" s="56"/>
    </row>
    <row r="37438" spans="1:1">
      <c r="A37438" s="56"/>
    </row>
    <row r="37439" spans="1:1">
      <c r="A37439" s="56"/>
    </row>
    <row r="37440" spans="1:1">
      <c r="A37440" s="56"/>
    </row>
    <row r="37441" spans="1:1">
      <c r="A37441" s="56"/>
    </row>
    <row r="37442" spans="1:1">
      <c r="A37442" s="56"/>
    </row>
    <row r="37443" spans="1:1">
      <c r="A37443" s="56"/>
    </row>
    <row r="37444" spans="1:1">
      <c r="A37444" s="56"/>
    </row>
    <row r="37445" spans="1:1">
      <c r="A37445" s="56"/>
    </row>
    <row r="37446" spans="1:1">
      <c r="A37446" s="56"/>
    </row>
    <row r="37447" spans="1:1">
      <c r="A37447" s="56"/>
    </row>
    <row r="37448" spans="1:1">
      <c r="A37448" s="56"/>
    </row>
    <row r="37449" spans="1:1">
      <c r="A37449" s="56"/>
    </row>
    <row r="37450" spans="1:1">
      <c r="A37450" s="56"/>
    </row>
    <row r="37451" spans="1:1">
      <c r="A37451" s="56"/>
    </row>
    <row r="37452" spans="1:1">
      <c r="A37452" s="56"/>
    </row>
    <row r="37453" spans="1:1">
      <c r="A37453" s="56"/>
    </row>
    <row r="37454" spans="1:1">
      <c r="A37454" s="56"/>
    </row>
    <row r="37455" spans="1:1">
      <c r="A37455" s="56"/>
    </row>
    <row r="37456" spans="1:1">
      <c r="A37456" s="56"/>
    </row>
    <row r="37457" spans="1:1">
      <c r="A37457" s="56"/>
    </row>
    <row r="37458" spans="1:1">
      <c r="A37458" s="56"/>
    </row>
    <row r="37459" spans="1:1">
      <c r="A37459" s="56"/>
    </row>
    <row r="37460" spans="1:1">
      <c r="A37460" s="56"/>
    </row>
    <row r="37461" spans="1:1">
      <c r="A37461" s="56"/>
    </row>
    <row r="37462" spans="1:1">
      <c r="A37462" s="56"/>
    </row>
    <row r="37463" spans="1:1">
      <c r="A37463" s="56"/>
    </row>
    <row r="37464" spans="1:1">
      <c r="A37464" s="56"/>
    </row>
    <row r="37465" spans="1:1">
      <c r="A37465" s="56"/>
    </row>
    <row r="37466" spans="1:1">
      <c r="A37466" s="56"/>
    </row>
    <row r="37467" spans="1:1">
      <c r="A37467" s="56"/>
    </row>
    <row r="37468" spans="1:1">
      <c r="A37468" s="56"/>
    </row>
    <row r="37469" spans="1:1">
      <c r="A37469" s="56"/>
    </row>
    <row r="37470" spans="1:1">
      <c r="A37470" s="56"/>
    </row>
    <row r="37471" spans="1:1">
      <c r="A37471" s="56"/>
    </row>
    <row r="37472" spans="1:1">
      <c r="A37472" s="56"/>
    </row>
    <row r="37473" spans="1:1">
      <c r="A37473" s="56"/>
    </row>
    <row r="37474" spans="1:1">
      <c r="A37474" s="56"/>
    </row>
    <row r="37475" spans="1:1">
      <c r="A37475" s="56"/>
    </row>
    <row r="37476" spans="1:1">
      <c r="A37476" s="56"/>
    </row>
    <row r="37477" spans="1:1">
      <c r="A37477" s="56"/>
    </row>
    <row r="37478" spans="1:1">
      <c r="A37478" s="56"/>
    </row>
    <row r="37479" spans="1:1">
      <c r="A37479" s="56"/>
    </row>
    <row r="37480" spans="1:1">
      <c r="A37480" s="56"/>
    </row>
    <row r="37481" spans="1:1">
      <c r="A37481" s="56"/>
    </row>
    <row r="37482" spans="1:1">
      <c r="A37482" s="56"/>
    </row>
    <row r="37483" spans="1:1">
      <c r="A37483" s="56"/>
    </row>
    <row r="37484" spans="1:1">
      <c r="A37484" s="56"/>
    </row>
    <row r="37485" spans="1:1">
      <c r="A37485" s="56"/>
    </row>
    <row r="37486" spans="1:1">
      <c r="A37486" s="56"/>
    </row>
    <row r="37487" spans="1:1">
      <c r="A37487" s="56"/>
    </row>
    <row r="37488" spans="1:1">
      <c r="A37488" s="56"/>
    </row>
    <row r="37489" spans="1:1">
      <c r="A37489" s="56"/>
    </row>
    <row r="37490" spans="1:1">
      <c r="A37490" s="56"/>
    </row>
    <row r="37491" spans="1:1">
      <c r="A37491" s="56"/>
    </row>
    <row r="37492" spans="1:1">
      <c r="A37492" s="56"/>
    </row>
    <row r="37493" spans="1:1">
      <c r="A37493" s="56"/>
    </row>
    <row r="37494" spans="1:1">
      <c r="A37494" s="56"/>
    </row>
    <row r="37495" spans="1:1">
      <c r="A37495" s="56"/>
    </row>
    <row r="37496" spans="1:1">
      <c r="A37496" s="56"/>
    </row>
    <row r="37497" spans="1:1">
      <c r="A37497" s="56"/>
    </row>
    <row r="37498" spans="1:1">
      <c r="A37498" s="56"/>
    </row>
    <row r="37499" spans="1:1">
      <c r="A37499" s="56"/>
    </row>
    <row r="37500" spans="1:1">
      <c r="A37500" s="56"/>
    </row>
    <row r="37501" spans="1:1">
      <c r="A37501" s="56"/>
    </row>
    <row r="37502" spans="1:1">
      <c r="A37502" s="56"/>
    </row>
    <row r="37503" spans="1:1">
      <c r="A37503" s="56"/>
    </row>
    <row r="37504" spans="1:1">
      <c r="A37504" s="56"/>
    </row>
    <row r="37505" spans="1:1">
      <c r="A37505" s="56"/>
    </row>
    <row r="37506" spans="1:1">
      <c r="A37506" s="56"/>
    </row>
    <row r="37507" spans="1:1">
      <c r="A37507" s="56"/>
    </row>
    <row r="37508" spans="1:1">
      <c r="A37508" s="56"/>
    </row>
    <row r="37509" spans="1:1">
      <c r="A37509" s="56"/>
    </row>
    <row r="37510" spans="1:1">
      <c r="A37510" s="56"/>
    </row>
    <row r="37511" spans="1:1">
      <c r="A37511" s="56"/>
    </row>
    <row r="37512" spans="1:1">
      <c r="A37512" s="56"/>
    </row>
    <row r="37513" spans="1:1">
      <c r="A37513" s="56"/>
    </row>
    <row r="37514" spans="1:1">
      <c r="A37514" s="56"/>
    </row>
    <row r="37515" spans="1:1">
      <c r="A37515" s="56"/>
    </row>
    <row r="37516" spans="1:1">
      <c r="A37516" s="56"/>
    </row>
    <row r="37517" spans="1:1">
      <c r="A37517" s="56"/>
    </row>
    <row r="37518" spans="1:1">
      <c r="A37518" s="56"/>
    </row>
    <row r="37519" spans="1:1">
      <c r="A37519" s="56"/>
    </row>
    <row r="37520" spans="1:1">
      <c r="A37520" s="56"/>
    </row>
    <row r="37521" spans="1:1">
      <c r="A37521" s="56"/>
    </row>
    <row r="37522" spans="1:1">
      <c r="A37522" s="56"/>
    </row>
    <row r="37523" spans="1:1">
      <c r="A37523" s="56"/>
    </row>
    <row r="37524" spans="1:1">
      <c r="A37524" s="56"/>
    </row>
    <row r="37525" spans="1:1">
      <c r="A37525" s="56"/>
    </row>
    <row r="37526" spans="1:1">
      <c r="A37526" s="56"/>
    </row>
    <row r="37527" spans="1:1">
      <c r="A37527" s="56"/>
    </row>
    <row r="37528" spans="1:1">
      <c r="A37528" s="56"/>
    </row>
    <row r="37529" spans="1:1">
      <c r="A37529" s="56"/>
    </row>
    <row r="37530" spans="1:1">
      <c r="A37530" s="56"/>
    </row>
    <row r="37531" spans="1:1">
      <c r="A37531" s="56"/>
    </row>
    <row r="37532" spans="1:1">
      <c r="A37532" s="56"/>
    </row>
    <row r="37533" spans="1:1">
      <c r="A37533" s="56"/>
    </row>
    <row r="37534" spans="1:1">
      <c r="A37534" s="56"/>
    </row>
    <row r="37535" spans="1:1">
      <c r="A37535" s="56"/>
    </row>
    <row r="37536" spans="1:1">
      <c r="A37536" s="56"/>
    </row>
    <row r="37537" spans="1:1">
      <c r="A37537" s="56"/>
    </row>
    <row r="37538" spans="1:1">
      <c r="A37538" s="56"/>
    </row>
    <row r="37539" spans="1:1">
      <c r="A37539" s="56"/>
    </row>
    <row r="37540" spans="1:1">
      <c r="A37540" s="56"/>
    </row>
    <row r="37541" spans="1:1">
      <c r="A37541" s="56"/>
    </row>
    <row r="37542" spans="1:1">
      <c r="A37542" s="56"/>
    </row>
    <row r="37543" spans="1:1">
      <c r="A37543" s="56"/>
    </row>
    <row r="37544" spans="1:1">
      <c r="A37544" s="56"/>
    </row>
    <row r="37545" spans="1:1">
      <c r="A37545" s="56"/>
    </row>
    <row r="37546" spans="1:1">
      <c r="A37546" s="56"/>
    </row>
    <row r="37547" spans="1:1">
      <c r="A37547" s="56"/>
    </row>
    <row r="37548" spans="1:1">
      <c r="A37548" s="56"/>
    </row>
    <row r="37549" spans="1:1">
      <c r="A37549" s="56"/>
    </row>
    <row r="37550" spans="1:1">
      <c r="A37550" s="56"/>
    </row>
    <row r="37551" spans="1:1">
      <c r="A37551" s="56"/>
    </row>
    <row r="37552" spans="1:1">
      <c r="A37552" s="56"/>
    </row>
    <row r="37553" spans="1:1">
      <c r="A37553" s="56"/>
    </row>
    <row r="37554" spans="1:1">
      <c r="A37554" s="56"/>
    </row>
    <row r="37555" spans="1:1">
      <c r="A37555" s="56"/>
    </row>
    <row r="37556" spans="1:1">
      <c r="A37556" s="56"/>
    </row>
    <row r="37557" spans="1:1">
      <c r="A37557" s="56"/>
    </row>
    <row r="37558" spans="1:1">
      <c r="A37558" s="56"/>
    </row>
    <row r="37559" spans="1:1">
      <c r="A37559" s="56"/>
    </row>
    <row r="37560" spans="1:1">
      <c r="A37560" s="56"/>
    </row>
    <row r="37561" spans="1:1">
      <c r="A37561" s="56"/>
    </row>
    <row r="37562" spans="1:1">
      <c r="A37562" s="56"/>
    </row>
    <row r="37563" spans="1:1">
      <c r="A37563" s="56"/>
    </row>
    <row r="37564" spans="1:1">
      <c r="A37564" s="56"/>
    </row>
    <row r="37565" spans="1:1">
      <c r="A37565" s="56"/>
    </row>
    <row r="37566" spans="1:1">
      <c r="A37566" s="56"/>
    </row>
    <row r="37567" spans="1:1">
      <c r="A37567" s="56"/>
    </row>
    <row r="37568" spans="1:1">
      <c r="A37568" s="56"/>
    </row>
    <row r="37569" spans="1:1">
      <c r="A37569" s="56"/>
    </row>
    <row r="37570" spans="1:1">
      <c r="A37570" s="56"/>
    </row>
    <row r="37571" spans="1:1">
      <c r="A37571" s="56"/>
    </row>
    <row r="37572" spans="1:1">
      <c r="A37572" s="56"/>
    </row>
    <row r="37573" spans="1:1">
      <c r="A37573" s="56"/>
    </row>
    <row r="37574" spans="1:1">
      <c r="A37574" s="56"/>
    </row>
    <row r="37575" spans="1:1">
      <c r="A37575" s="56"/>
    </row>
    <row r="37576" spans="1:1">
      <c r="A37576" s="56"/>
    </row>
    <row r="37577" spans="1:1">
      <c r="A37577" s="56"/>
    </row>
    <row r="37578" spans="1:1">
      <c r="A37578" s="56"/>
    </row>
    <row r="37579" spans="1:1">
      <c r="A37579" s="56"/>
    </row>
    <row r="37580" spans="1:1">
      <c r="A37580" s="56"/>
    </row>
    <row r="37581" spans="1:1">
      <c r="A37581" s="56"/>
    </row>
    <row r="37582" spans="1:1">
      <c r="A37582" s="56"/>
    </row>
    <row r="37583" spans="1:1">
      <c r="A37583" s="56"/>
    </row>
    <row r="37584" spans="1:1">
      <c r="A37584" s="56"/>
    </row>
    <row r="37585" spans="1:1">
      <c r="A37585" s="56"/>
    </row>
    <row r="37586" spans="1:1">
      <c r="A37586" s="56"/>
    </row>
    <row r="37587" spans="1:1">
      <c r="A37587" s="56"/>
    </row>
    <row r="37588" spans="1:1">
      <c r="A37588" s="56"/>
    </row>
    <row r="37589" spans="1:1">
      <c r="A37589" s="56"/>
    </row>
    <row r="37590" spans="1:1">
      <c r="A37590" s="56"/>
    </row>
    <row r="37591" spans="1:1">
      <c r="A37591" s="56"/>
    </row>
    <row r="37592" spans="1:1">
      <c r="A37592" s="56"/>
    </row>
    <row r="37593" spans="1:1">
      <c r="A37593" s="56"/>
    </row>
    <row r="37594" spans="1:1">
      <c r="A37594" s="56"/>
    </row>
    <row r="37595" spans="1:1">
      <c r="A37595" s="56"/>
    </row>
    <row r="37596" spans="1:1">
      <c r="A37596" s="56"/>
    </row>
    <row r="37597" spans="1:1">
      <c r="A37597" s="56"/>
    </row>
    <row r="37598" spans="1:1">
      <c r="A37598" s="56"/>
    </row>
    <row r="37599" spans="1:1">
      <c r="A37599" s="56"/>
    </row>
    <row r="37600" spans="1:1">
      <c r="A37600" s="56"/>
    </row>
    <row r="37601" spans="1:1">
      <c r="A37601" s="56"/>
    </row>
    <row r="37602" spans="1:1">
      <c r="A37602" s="56"/>
    </row>
    <row r="37603" spans="1:1">
      <c r="A37603" s="56"/>
    </row>
    <row r="37604" spans="1:1">
      <c r="A37604" s="56"/>
    </row>
    <row r="37605" spans="1:1">
      <c r="A37605" s="56"/>
    </row>
    <row r="37606" spans="1:1">
      <c r="A37606" s="56"/>
    </row>
    <row r="37607" spans="1:1">
      <c r="A37607" s="56"/>
    </row>
    <row r="37608" spans="1:1">
      <c r="A37608" s="56"/>
    </row>
    <row r="37609" spans="1:1">
      <c r="A37609" s="56"/>
    </row>
    <row r="37610" spans="1:1">
      <c r="A37610" s="56"/>
    </row>
    <row r="37611" spans="1:1">
      <c r="A37611" s="56"/>
    </row>
    <row r="37612" spans="1:1">
      <c r="A37612" s="56"/>
    </row>
    <row r="37613" spans="1:1">
      <c r="A37613" s="56"/>
    </row>
    <row r="37614" spans="1:1">
      <c r="A37614" s="56"/>
    </row>
    <row r="37615" spans="1:1">
      <c r="A37615" s="56"/>
    </row>
    <row r="37616" spans="1:1">
      <c r="A37616" s="56"/>
    </row>
    <row r="37617" spans="1:1">
      <c r="A37617" s="56"/>
    </row>
    <row r="37618" spans="1:1">
      <c r="A37618" s="56"/>
    </row>
    <row r="37619" spans="1:1">
      <c r="A37619" s="56"/>
    </row>
    <row r="37620" spans="1:1">
      <c r="A37620" s="56"/>
    </row>
    <row r="37621" spans="1:1">
      <c r="A37621" s="56"/>
    </row>
    <row r="37622" spans="1:1">
      <c r="A37622" s="56"/>
    </row>
    <row r="37623" spans="1:1">
      <c r="A37623" s="56"/>
    </row>
    <row r="37624" spans="1:1">
      <c r="A37624" s="56"/>
    </row>
    <row r="37625" spans="1:1">
      <c r="A37625" s="56"/>
    </row>
    <row r="37626" spans="1:1">
      <c r="A37626" s="56"/>
    </row>
    <row r="37627" spans="1:1">
      <c r="A37627" s="56"/>
    </row>
    <row r="37628" spans="1:1">
      <c r="A37628" s="56"/>
    </row>
    <row r="37629" spans="1:1">
      <c r="A37629" s="56"/>
    </row>
    <row r="37630" spans="1:1">
      <c r="A37630" s="56"/>
    </row>
    <row r="37631" spans="1:1">
      <c r="A37631" s="56"/>
    </row>
    <row r="37632" spans="1:1">
      <c r="A37632" s="56"/>
    </row>
    <row r="37633" spans="1:1">
      <c r="A37633" s="56"/>
    </row>
    <row r="37634" spans="1:1">
      <c r="A37634" s="56"/>
    </row>
    <row r="37635" spans="1:1">
      <c r="A37635" s="56"/>
    </row>
    <row r="37636" spans="1:1">
      <c r="A37636" s="56"/>
    </row>
    <row r="37637" spans="1:1">
      <c r="A37637" s="56"/>
    </row>
    <row r="37638" spans="1:1">
      <c r="A37638" s="56"/>
    </row>
    <row r="37639" spans="1:1">
      <c r="A37639" s="56"/>
    </row>
    <row r="37640" spans="1:1">
      <c r="A37640" s="56"/>
    </row>
    <row r="37641" spans="1:1">
      <c r="A37641" s="56"/>
    </row>
    <row r="37642" spans="1:1">
      <c r="A37642" s="56"/>
    </row>
    <row r="37643" spans="1:1">
      <c r="A37643" s="56"/>
    </row>
    <row r="37644" spans="1:1">
      <c r="A37644" s="56"/>
    </row>
    <row r="37645" spans="1:1">
      <c r="A37645" s="56"/>
    </row>
    <row r="37646" spans="1:1">
      <c r="A37646" s="56"/>
    </row>
    <row r="37647" spans="1:1">
      <c r="A37647" s="56"/>
    </row>
    <row r="37648" spans="1:1">
      <c r="A37648" s="56"/>
    </row>
    <row r="37649" spans="1:1">
      <c r="A37649" s="56"/>
    </row>
    <row r="37650" spans="1:1">
      <c r="A37650" s="56"/>
    </row>
    <row r="37651" spans="1:1">
      <c r="A37651" s="56"/>
    </row>
    <row r="37652" spans="1:1">
      <c r="A37652" s="56"/>
    </row>
    <row r="37653" spans="1:1">
      <c r="A37653" s="56"/>
    </row>
    <row r="37654" spans="1:1">
      <c r="A37654" s="56"/>
    </row>
    <row r="37655" spans="1:1">
      <c r="A37655" s="56"/>
    </row>
    <row r="37656" spans="1:1">
      <c r="A37656" s="56"/>
    </row>
    <row r="37657" spans="1:1">
      <c r="A37657" s="56"/>
    </row>
    <row r="37658" spans="1:1">
      <c r="A37658" s="56"/>
    </row>
    <row r="37659" spans="1:1">
      <c r="A37659" s="56"/>
    </row>
    <row r="37660" spans="1:1">
      <c r="A37660" s="56"/>
    </row>
    <row r="37661" spans="1:1">
      <c r="A37661" s="56"/>
    </row>
    <row r="37662" spans="1:1">
      <c r="A37662" s="56"/>
    </row>
    <row r="37663" spans="1:1">
      <c r="A37663" s="56"/>
    </row>
    <row r="37664" spans="1:1">
      <c r="A37664" s="56"/>
    </row>
    <row r="37665" spans="1:1">
      <c r="A37665" s="56"/>
    </row>
    <row r="37666" spans="1:1">
      <c r="A37666" s="56"/>
    </row>
    <row r="37667" spans="1:1">
      <c r="A37667" s="56"/>
    </row>
    <row r="37668" spans="1:1">
      <c r="A37668" s="56"/>
    </row>
    <row r="37669" spans="1:1">
      <c r="A37669" s="56"/>
    </row>
    <row r="37670" spans="1:1">
      <c r="A37670" s="56"/>
    </row>
    <row r="37671" spans="1:1">
      <c r="A37671" s="56"/>
    </row>
    <row r="37672" spans="1:1">
      <c r="A37672" s="56"/>
    </row>
    <row r="37673" spans="1:1">
      <c r="A37673" s="56"/>
    </row>
    <row r="37674" spans="1:1">
      <c r="A37674" s="56"/>
    </row>
    <row r="37675" spans="1:1">
      <c r="A37675" s="56"/>
    </row>
    <row r="37676" spans="1:1">
      <c r="A37676" s="56"/>
    </row>
    <row r="37677" spans="1:1">
      <c r="A37677" s="56"/>
    </row>
    <row r="37678" spans="1:1">
      <c r="A37678" s="56"/>
    </row>
    <row r="37679" spans="1:1">
      <c r="A37679" s="56"/>
    </row>
    <row r="37680" spans="1:1">
      <c r="A37680" s="56"/>
    </row>
    <row r="37681" spans="1:1">
      <c r="A37681" s="56"/>
    </row>
    <row r="37682" spans="1:1">
      <c r="A37682" s="56"/>
    </row>
    <row r="37683" spans="1:1">
      <c r="A37683" s="56"/>
    </row>
    <row r="37684" spans="1:1">
      <c r="A37684" s="56"/>
    </row>
    <row r="37685" spans="1:1">
      <c r="A37685" s="56"/>
    </row>
    <row r="37686" spans="1:1">
      <c r="A37686" s="56"/>
    </row>
    <row r="37687" spans="1:1">
      <c r="A37687" s="56"/>
    </row>
    <row r="37688" spans="1:1">
      <c r="A37688" s="56"/>
    </row>
    <row r="37689" spans="1:1">
      <c r="A37689" s="56"/>
    </row>
    <row r="37690" spans="1:1">
      <c r="A37690" s="56"/>
    </row>
    <row r="37691" spans="1:1">
      <c r="A37691" s="56"/>
    </row>
    <row r="37692" spans="1:1">
      <c r="A37692" s="56"/>
    </row>
    <row r="37693" spans="1:1">
      <c r="A37693" s="56"/>
    </row>
    <row r="37694" spans="1:1">
      <c r="A37694" s="56"/>
    </row>
    <row r="37695" spans="1:1">
      <c r="A37695" s="56"/>
    </row>
    <row r="37696" spans="1:1">
      <c r="A37696" s="56"/>
    </row>
    <row r="37697" spans="1:1">
      <c r="A37697" s="56"/>
    </row>
    <row r="37698" spans="1:1">
      <c r="A37698" s="56"/>
    </row>
    <row r="37699" spans="1:1">
      <c r="A37699" s="56"/>
    </row>
    <row r="37700" spans="1:1">
      <c r="A37700" s="56"/>
    </row>
    <row r="37701" spans="1:1">
      <c r="A37701" s="56"/>
    </row>
    <row r="37702" spans="1:1">
      <c r="A37702" s="56"/>
    </row>
    <row r="37703" spans="1:1">
      <c r="A37703" s="56"/>
    </row>
    <row r="37704" spans="1:1">
      <c r="A37704" s="56"/>
    </row>
    <row r="37705" spans="1:1">
      <c r="A37705" s="56"/>
    </row>
    <row r="37706" spans="1:1">
      <c r="A37706" s="56"/>
    </row>
    <row r="37707" spans="1:1">
      <c r="A37707" s="56"/>
    </row>
    <row r="37708" spans="1:1">
      <c r="A37708" s="56"/>
    </row>
    <row r="37709" spans="1:1">
      <c r="A37709" s="56"/>
    </row>
    <row r="37710" spans="1:1">
      <c r="A37710" s="56"/>
    </row>
    <row r="37711" spans="1:1">
      <c r="A37711" s="56"/>
    </row>
    <row r="37712" spans="1:1">
      <c r="A37712" s="56"/>
    </row>
    <row r="37713" spans="1:1">
      <c r="A37713" s="56"/>
    </row>
    <row r="37714" spans="1:1">
      <c r="A37714" s="56"/>
    </row>
    <row r="37715" spans="1:1">
      <c r="A37715" s="56"/>
    </row>
    <row r="37716" spans="1:1">
      <c r="A37716" s="56"/>
    </row>
    <row r="37717" spans="1:1">
      <c r="A37717" s="56"/>
    </row>
    <row r="37718" spans="1:1">
      <c r="A37718" s="56"/>
    </row>
    <row r="37719" spans="1:1">
      <c r="A37719" s="56"/>
    </row>
    <row r="37720" spans="1:1">
      <c r="A37720" s="56"/>
    </row>
    <row r="37721" spans="1:1">
      <c r="A37721" s="56"/>
    </row>
    <row r="37722" spans="1:1">
      <c r="A37722" s="56"/>
    </row>
    <row r="37723" spans="1:1">
      <c r="A37723" s="56"/>
    </row>
    <row r="37724" spans="1:1">
      <c r="A37724" s="56"/>
    </row>
    <row r="37725" spans="1:1">
      <c r="A37725" s="56"/>
    </row>
    <row r="37726" spans="1:1">
      <c r="A37726" s="56"/>
    </row>
    <row r="37727" spans="1:1">
      <c r="A37727" s="56"/>
    </row>
    <row r="37728" spans="1:1">
      <c r="A37728" s="56"/>
    </row>
    <row r="37729" spans="1:1">
      <c r="A37729" s="56"/>
    </row>
    <row r="37730" spans="1:1">
      <c r="A37730" s="56"/>
    </row>
    <row r="37731" spans="1:1">
      <c r="A37731" s="56"/>
    </row>
    <row r="37732" spans="1:1">
      <c r="A37732" s="56"/>
    </row>
    <row r="37733" spans="1:1">
      <c r="A37733" s="56"/>
    </row>
    <row r="37734" spans="1:1">
      <c r="A37734" s="56"/>
    </row>
    <row r="37735" spans="1:1">
      <c r="A37735" s="56"/>
    </row>
    <row r="37736" spans="1:1">
      <c r="A37736" s="56"/>
    </row>
    <row r="37737" spans="1:1">
      <c r="A37737" s="56"/>
    </row>
    <row r="37738" spans="1:1">
      <c r="A37738" s="56"/>
    </row>
    <row r="37739" spans="1:1">
      <c r="A37739" s="56"/>
    </row>
    <row r="37740" spans="1:1">
      <c r="A37740" s="56"/>
    </row>
    <row r="37741" spans="1:1">
      <c r="A37741" s="56"/>
    </row>
    <row r="37742" spans="1:1">
      <c r="A37742" s="56"/>
    </row>
    <row r="37743" spans="1:1">
      <c r="A37743" s="56"/>
    </row>
    <row r="37744" spans="1:1">
      <c r="A37744" s="56"/>
    </row>
    <row r="37745" spans="1:1">
      <c r="A37745" s="56"/>
    </row>
    <row r="37746" spans="1:1">
      <c r="A37746" s="56"/>
    </row>
    <row r="37747" spans="1:1">
      <c r="A37747" s="56"/>
    </row>
    <row r="37748" spans="1:1">
      <c r="A37748" s="56"/>
    </row>
    <row r="37749" spans="1:1">
      <c r="A37749" s="56"/>
    </row>
    <row r="37750" spans="1:1">
      <c r="A37750" s="56"/>
    </row>
    <row r="37751" spans="1:1">
      <c r="A37751" s="56"/>
    </row>
    <row r="37752" spans="1:1">
      <c r="A37752" s="56"/>
    </row>
    <row r="37753" spans="1:1">
      <c r="A37753" s="56"/>
    </row>
    <row r="37754" spans="1:1">
      <c r="A37754" s="56"/>
    </row>
    <row r="37755" spans="1:1">
      <c r="A37755" s="56"/>
    </row>
    <row r="37756" spans="1:1">
      <c r="A37756" s="56"/>
    </row>
    <row r="37757" spans="1:1">
      <c r="A37757" s="56"/>
    </row>
    <row r="37758" spans="1:1">
      <c r="A37758" s="56"/>
    </row>
    <row r="37759" spans="1:1">
      <c r="A37759" s="56"/>
    </row>
    <row r="37760" spans="1:1">
      <c r="A37760" s="56"/>
    </row>
    <row r="37761" spans="1:1">
      <c r="A37761" s="56"/>
    </row>
    <row r="37762" spans="1:1">
      <c r="A37762" s="56"/>
    </row>
    <row r="37763" spans="1:1">
      <c r="A37763" s="56"/>
    </row>
    <row r="37764" spans="1:1">
      <c r="A37764" s="56"/>
    </row>
    <row r="37765" spans="1:1">
      <c r="A37765" s="56"/>
    </row>
    <row r="37766" spans="1:1">
      <c r="A37766" s="56"/>
    </row>
    <row r="37767" spans="1:1">
      <c r="A37767" s="56"/>
    </row>
    <row r="37768" spans="1:1">
      <c r="A37768" s="56"/>
    </row>
    <row r="37769" spans="1:1">
      <c r="A37769" s="56"/>
    </row>
    <row r="37770" spans="1:1">
      <c r="A37770" s="56"/>
    </row>
    <row r="37771" spans="1:1">
      <c r="A37771" s="56"/>
    </row>
    <row r="37772" spans="1:1">
      <c r="A37772" s="56"/>
    </row>
    <row r="37773" spans="1:1">
      <c r="A37773" s="56"/>
    </row>
    <row r="37774" spans="1:1">
      <c r="A37774" s="56"/>
    </row>
    <row r="37775" spans="1:1">
      <c r="A37775" s="56"/>
    </row>
    <row r="37776" spans="1:1">
      <c r="A37776" s="56"/>
    </row>
    <row r="37777" spans="1:1">
      <c r="A37777" s="56"/>
    </row>
    <row r="37778" spans="1:1">
      <c r="A37778" s="56"/>
    </row>
    <row r="37779" spans="1:1">
      <c r="A37779" s="56"/>
    </row>
    <row r="37780" spans="1:1">
      <c r="A37780" s="56"/>
    </row>
    <row r="37781" spans="1:1">
      <c r="A37781" s="56"/>
    </row>
    <row r="37782" spans="1:1">
      <c r="A37782" s="56"/>
    </row>
    <row r="37783" spans="1:1">
      <c r="A37783" s="56"/>
    </row>
    <row r="37784" spans="1:1">
      <c r="A37784" s="56"/>
    </row>
    <row r="37785" spans="1:1">
      <c r="A37785" s="56"/>
    </row>
    <row r="37786" spans="1:1">
      <c r="A37786" s="56"/>
    </row>
    <row r="37787" spans="1:1">
      <c r="A37787" s="56"/>
    </row>
    <row r="37788" spans="1:1">
      <c r="A37788" s="56"/>
    </row>
    <row r="37789" spans="1:1">
      <c r="A37789" s="56"/>
    </row>
    <row r="37790" spans="1:1">
      <c r="A37790" s="56"/>
    </row>
    <row r="37791" spans="1:1">
      <c r="A37791" s="56"/>
    </row>
    <row r="37792" spans="1:1">
      <c r="A37792" s="56"/>
    </row>
    <row r="37793" spans="1:1">
      <c r="A37793" s="56"/>
    </row>
    <row r="37794" spans="1:1">
      <c r="A37794" s="56"/>
    </row>
    <row r="37795" spans="1:1">
      <c r="A37795" s="56"/>
    </row>
    <row r="37796" spans="1:1">
      <c r="A37796" s="56"/>
    </row>
    <row r="37797" spans="1:1">
      <c r="A37797" s="56"/>
    </row>
    <row r="37798" spans="1:1">
      <c r="A37798" s="56"/>
    </row>
    <row r="37799" spans="1:1">
      <c r="A37799" s="56"/>
    </row>
    <row r="37800" spans="1:1">
      <c r="A37800" s="56"/>
    </row>
    <row r="37801" spans="1:1">
      <c r="A37801" s="56"/>
    </row>
    <row r="37802" spans="1:1">
      <c r="A37802" s="56"/>
    </row>
    <row r="37803" spans="1:1">
      <c r="A37803" s="56"/>
    </row>
    <row r="37804" spans="1:1">
      <c r="A37804" s="56"/>
    </row>
    <row r="37805" spans="1:1">
      <c r="A37805" s="56"/>
    </row>
    <row r="37806" spans="1:1">
      <c r="A37806" s="56"/>
    </row>
    <row r="37807" spans="1:1">
      <c r="A37807" s="56"/>
    </row>
    <row r="37808" spans="1:1">
      <c r="A37808" s="56"/>
    </row>
    <row r="37809" spans="1:1">
      <c r="A37809" s="56"/>
    </row>
    <row r="37810" spans="1:1">
      <c r="A37810" s="56"/>
    </row>
    <row r="37811" spans="1:1">
      <c r="A37811" s="56"/>
    </row>
    <row r="37812" spans="1:1">
      <c r="A37812" s="56"/>
    </row>
    <row r="37813" spans="1:1">
      <c r="A37813" s="56"/>
    </row>
    <row r="37814" spans="1:1">
      <c r="A37814" s="56"/>
    </row>
    <row r="37815" spans="1:1">
      <c r="A37815" s="56"/>
    </row>
    <row r="37816" spans="1:1">
      <c r="A37816" s="56"/>
    </row>
    <row r="37817" spans="1:1">
      <c r="A37817" s="56"/>
    </row>
    <row r="37818" spans="1:1">
      <c r="A37818" s="56"/>
    </row>
    <row r="37819" spans="1:1">
      <c r="A37819" s="56"/>
    </row>
    <row r="37820" spans="1:1">
      <c r="A37820" s="56"/>
    </row>
    <row r="37821" spans="1:1">
      <c r="A37821" s="56"/>
    </row>
    <row r="37822" spans="1:1">
      <c r="A37822" s="56"/>
    </row>
    <row r="37823" spans="1:1">
      <c r="A37823" s="56"/>
    </row>
    <row r="37824" spans="1:1">
      <c r="A37824" s="56"/>
    </row>
    <row r="37825" spans="1:1">
      <c r="A37825" s="56"/>
    </row>
    <row r="37826" spans="1:1">
      <c r="A37826" s="56"/>
    </row>
    <row r="37827" spans="1:1">
      <c r="A37827" s="56"/>
    </row>
    <row r="37828" spans="1:1">
      <c r="A37828" s="56"/>
    </row>
    <row r="37829" spans="1:1">
      <c r="A37829" s="56"/>
    </row>
    <row r="37830" spans="1:1">
      <c r="A37830" s="56"/>
    </row>
    <row r="37831" spans="1:1">
      <c r="A37831" s="56"/>
    </row>
    <row r="37832" spans="1:1">
      <c r="A37832" s="56"/>
    </row>
    <row r="37833" spans="1:1">
      <c r="A37833" s="56"/>
    </row>
    <row r="37834" spans="1:1">
      <c r="A37834" s="56"/>
    </row>
    <row r="37835" spans="1:1">
      <c r="A37835" s="56"/>
    </row>
    <row r="37836" spans="1:1">
      <c r="A37836" s="56"/>
    </row>
    <row r="37837" spans="1:1">
      <c r="A37837" s="56"/>
    </row>
    <row r="37838" spans="1:1">
      <c r="A37838" s="56"/>
    </row>
    <row r="37839" spans="1:1">
      <c r="A37839" s="56"/>
    </row>
    <row r="37840" spans="1:1">
      <c r="A37840" s="56"/>
    </row>
    <row r="37841" spans="1:1">
      <c r="A37841" s="56"/>
    </row>
    <row r="37842" spans="1:1">
      <c r="A37842" s="56"/>
    </row>
    <row r="37843" spans="1:1">
      <c r="A37843" s="56"/>
    </row>
    <row r="37844" spans="1:1">
      <c r="A37844" s="56"/>
    </row>
    <row r="37845" spans="1:1">
      <c r="A37845" s="56"/>
    </row>
    <row r="37846" spans="1:1">
      <c r="A37846" s="56"/>
    </row>
    <row r="37847" spans="1:1">
      <c r="A37847" s="56"/>
    </row>
    <row r="37848" spans="1:1">
      <c r="A37848" s="56"/>
    </row>
    <row r="37849" spans="1:1">
      <c r="A37849" s="56"/>
    </row>
    <row r="37850" spans="1:1">
      <c r="A37850" s="56"/>
    </row>
    <row r="37851" spans="1:1">
      <c r="A37851" s="56"/>
    </row>
    <row r="37852" spans="1:1">
      <c r="A37852" s="56"/>
    </row>
    <row r="37853" spans="1:1">
      <c r="A37853" s="56"/>
    </row>
    <row r="37854" spans="1:1">
      <c r="A37854" s="56"/>
    </row>
    <row r="37855" spans="1:1">
      <c r="A37855" s="56"/>
    </row>
    <row r="37856" spans="1:1">
      <c r="A37856" s="56"/>
    </row>
    <row r="37857" spans="1:1">
      <c r="A37857" s="56"/>
    </row>
    <row r="37858" spans="1:1">
      <c r="A37858" s="56"/>
    </row>
    <row r="37859" spans="1:1">
      <c r="A37859" s="56"/>
    </row>
    <row r="37860" spans="1:1">
      <c r="A37860" s="56"/>
    </row>
    <row r="37861" spans="1:1">
      <c r="A37861" s="56"/>
    </row>
    <row r="37862" spans="1:1">
      <c r="A37862" s="56"/>
    </row>
    <row r="37863" spans="1:1">
      <c r="A37863" s="56"/>
    </row>
    <row r="37864" spans="1:1">
      <c r="A37864" s="56"/>
    </row>
    <row r="37865" spans="1:1">
      <c r="A37865" s="56"/>
    </row>
    <row r="37866" spans="1:1">
      <c r="A37866" s="56"/>
    </row>
    <row r="37867" spans="1:1">
      <c r="A37867" s="56"/>
    </row>
    <row r="37868" spans="1:1">
      <c r="A37868" s="56"/>
    </row>
    <row r="37869" spans="1:1">
      <c r="A37869" s="56"/>
    </row>
    <row r="37870" spans="1:1">
      <c r="A37870" s="56"/>
    </row>
    <row r="37871" spans="1:1">
      <c r="A37871" s="56"/>
    </row>
    <row r="37872" spans="1:1">
      <c r="A37872" s="56"/>
    </row>
    <row r="37873" spans="1:1">
      <c r="A37873" s="56"/>
    </row>
    <row r="37874" spans="1:1">
      <c r="A37874" s="56"/>
    </row>
    <row r="37875" spans="1:1">
      <c r="A37875" s="56"/>
    </row>
    <row r="37876" spans="1:1">
      <c r="A37876" s="56"/>
    </row>
    <row r="37877" spans="1:1">
      <c r="A37877" s="56"/>
    </row>
    <row r="37878" spans="1:1">
      <c r="A37878" s="56"/>
    </row>
    <row r="37879" spans="1:1">
      <c r="A37879" s="56"/>
    </row>
    <row r="37880" spans="1:1">
      <c r="A37880" s="56"/>
    </row>
    <row r="37881" spans="1:1">
      <c r="A37881" s="56"/>
    </row>
    <row r="37882" spans="1:1">
      <c r="A37882" s="56"/>
    </row>
    <row r="37883" spans="1:1">
      <c r="A37883" s="56"/>
    </row>
    <row r="37884" spans="1:1">
      <c r="A37884" s="56"/>
    </row>
    <row r="37885" spans="1:1">
      <c r="A37885" s="56"/>
    </row>
    <row r="37886" spans="1:1">
      <c r="A37886" s="56"/>
    </row>
    <row r="37887" spans="1:1">
      <c r="A37887" s="56"/>
    </row>
    <row r="37888" spans="1:1">
      <c r="A37888" s="56"/>
    </row>
    <row r="37889" spans="1:1">
      <c r="A37889" s="56"/>
    </row>
    <row r="37890" spans="1:1">
      <c r="A37890" s="56"/>
    </row>
    <row r="37891" spans="1:1">
      <c r="A37891" s="56"/>
    </row>
    <row r="37892" spans="1:1">
      <c r="A37892" s="56"/>
    </row>
    <row r="37893" spans="1:1">
      <c r="A37893" s="56"/>
    </row>
    <row r="37894" spans="1:1">
      <c r="A37894" s="56"/>
    </row>
    <row r="37895" spans="1:1">
      <c r="A37895" s="56"/>
    </row>
    <row r="37896" spans="1:1">
      <c r="A37896" s="56"/>
    </row>
    <row r="37897" spans="1:1">
      <c r="A37897" s="56"/>
    </row>
    <row r="37898" spans="1:1">
      <c r="A37898" s="56"/>
    </row>
    <row r="37899" spans="1:1">
      <c r="A37899" s="56"/>
    </row>
    <row r="37900" spans="1:1">
      <c r="A37900" s="56"/>
    </row>
    <row r="37901" spans="1:1">
      <c r="A37901" s="56"/>
    </row>
    <row r="37902" spans="1:1">
      <c r="A37902" s="56"/>
    </row>
    <row r="37903" spans="1:1">
      <c r="A37903" s="56"/>
    </row>
    <row r="37904" spans="1:1">
      <c r="A37904" s="56"/>
    </row>
    <row r="37905" spans="1:1">
      <c r="A37905" s="56"/>
    </row>
    <row r="37906" spans="1:1">
      <c r="A37906" s="56"/>
    </row>
    <row r="37907" spans="1:1">
      <c r="A37907" s="56"/>
    </row>
    <row r="37908" spans="1:1">
      <c r="A37908" s="56"/>
    </row>
    <row r="37909" spans="1:1">
      <c r="A37909" s="56"/>
    </row>
    <row r="37910" spans="1:1">
      <c r="A37910" s="56"/>
    </row>
    <row r="37911" spans="1:1">
      <c r="A37911" s="56"/>
    </row>
    <row r="37912" spans="1:1">
      <c r="A37912" s="56"/>
    </row>
    <row r="37913" spans="1:1">
      <c r="A37913" s="56"/>
    </row>
    <row r="37914" spans="1:1">
      <c r="A37914" s="56"/>
    </row>
    <row r="37915" spans="1:1">
      <c r="A37915" s="56"/>
    </row>
    <row r="37916" spans="1:1">
      <c r="A37916" s="56"/>
    </row>
    <row r="37917" spans="1:1">
      <c r="A37917" s="56"/>
    </row>
    <row r="37918" spans="1:1">
      <c r="A37918" s="56"/>
    </row>
    <row r="37919" spans="1:1">
      <c r="A37919" s="56"/>
    </row>
    <row r="37920" spans="1:1">
      <c r="A37920" s="56"/>
    </row>
    <row r="37921" spans="1:1">
      <c r="A37921" s="56"/>
    </row>
    <row r="37922" spans="1:1">
      <c r="A37922" s="56"/>
    </row>
    <row r="37923" spans="1:1">
      <c r="A37923" s="56"/>
    </row>
    <row r="37924" spans="1:1">
      <c r="A37924" s="56"/>
    </row>
    <row r="37925" spans="1:1">
      <c r="A37925" s="56"/>
    </row>
    <row r="37926" spans="1:1">
      <c r="A37926" s="56"/>
    </row>
    <row r="37927" spans="1:1">
      <c r="A37927" s="56"/>
    </row>
    <row r="37928" spans="1:1">
      <c r="A37928" s="56"/>
    </row>
    <row r="37929" spans="1:1">
      <c r="A37929" s="56"/>
    </row>
    <row r="37930" spans="1:1">
      <c r="A37930" s="56"/>
    </row>
    <row r="37931" spans="1:1">
      <c r="A37931" s="56"/>
    </row>
    <row r="37932" spans="1:1">
      <c r="A37932" s="56"/>
    </row>
    <row r="37933" spans="1:1">
      <c r="A37933" s="56"/>
    </row>
    <row r="37934" spans="1:1">
      <c r="A37934" s="56"/>
    </row>
    <row r="37935" spans="1:1">
      <c r="A37935" s="56"/>
    </row>
    <row r="37936" spans="1:1">
      <c r="A37936" s="56"/>
    </row>
    <row r="37937" spans="1:1">
      <c r="A37937" s="56"/>
    </row>
    <row r="37938" spans="1:1">
      <c r="A37938" s="56"/>
    </row>
    <row r="37939" spans="1:1">
      <c r="A37939" s="56"/>
    </row>
    <row r="37940" spans="1:1">
      <c r="A37940" s="56"/>
    </row>
    <row r="37941" spans="1:1">
      <c r="A37941" s="56"/>
    </row>
    <row r="37942" spans="1:1">
      <c r="A37942" s="56"/>
    </row>
    <row r="37943" spans="1:1">
      <c r="A37943" s="56"/>
    </row>
    <row r="37944" spans="1:1">
      <c r="A37944" s="56"/>
    </row>
    <row r="37945" spans="1:1">
      <c r="A37945" s="56"/>
    </row>
    <row r="37946" spans="1:1">
      <c r="A37946" s="56"/>
    </row>
    <row r="37947" spans="1:1">
      <c r="A37947" s="56"/>
    </row>
    <row r="37948" spans="1:1">
      <c r="A37948" s="56"/>
    </row>
    <row r="37949" spans="1:1">
      <c r="A37949" s="56"/>
    </row>
    <row r="37950" spans="1:1">
      <c r="A37950" s="56"/>
    </row>
    <row r="37951" spans="1:1">
      <c r="A37951" s="56"/>
    </row>
    <row r="37952" spans="1:1">
      <c r="A37952" s="56"/>
    </row>
    <row r="37953" spans="1:1">
      <c r="A37953" s="56"/>
    </row>
    <row r="37954" spans="1:1">
      <c r="A37954" s="56"/>
    </row>
    <row r="37955" spans="1:1">
      <c r="A37955" s="56"/>
    </row>
    <row r="37956" spans="1:1">
      <c r="A37956" s="56"/>
    </row>
    <row r="37957" spans="1:1">
      <c r="A37957" s="56"/>
    </row>
    <row r="37958" spans="1:1">
      <c r="A37958" s="56"/>
    </row>
    <row r="37959" spans="1:1">
      <c r="A37959" s="56"/>
    </row>
    <row r="37960" spans="1:1">
      <c r="A37960" s="56"/>
    </row>
    <row r="37961" spans="1:1">
      <c r="A37961" s="56"/>
    </row>
    <row r="37962" spans="1:1">
      <c r="A37962" s="56"/>
    </row>
    <row r="37963" spans="1:1">
      <c r="A37963" s="56"/>
    </row>
    <row r="37964" spans="1:1">
      <c r="A37964" s="56"/>
    </row>
    <row r="37965" spans="1:1">
      <c r="A37965" s="56"/>
    </row>
    <row r="37966" spans="1:1">
      <c r="A37966" s="56"/>
    </row>
    <row r="37967" spans="1:1">
      <c r="A37967" s="56"/>
    </row>
    <row r="37968" spans="1:1">
      <c r="A37968" s="56"/>
    </row>
    <row r="37969" spans="1:1">
      <c r="A37969" s="56"/>
    </row>
    <row r="37970" spans="1:1">
      <c r="A37970" s="56"/>
    </row>
    <row r="37971" spans="1:1">
      <c r="A37971" s="56"/>
    </row>
    <row r="37972" spans="1:1">
      <c r="A37972" s="56"/>
    </row>
    <row r="37973" spans="1:1">
      <c r="A37973" s="56"/>
    </row>
    <row r="37974" spans="1:1">
      <c r="A37974" s="56"/>
    </row>
    <row r="37975" spans="1:1">
      <c r="A37975" s="56"/>
    </row>
    <row r="37976" spans="1:1">
      <c r="A37976" s="56"/>
    </row>
    <row r="37977" spans="1:1">
      <c r="A37977" s="56"/>
    </row>
    <row r="37978" spans="1:1">
      <c r="A37978" s="56"/>
    </row>
    <row r="37979" spans="1:1">
      <c r="A37979" s="56"/>
    </row>
    <row r="37980" spans="1:1">
      <c r="A37980" s="56"/>
    </row>
    <row r="37981" spans="1:1">
      <c r="A37981" s="56"/>
    </row>
    <row r="37982" spans="1:1">
      <c r="A37982" s="56"/>
    </row>
    <row r="37983" spans="1:1">
      <c r="A37983" s="56"/>
    </row>
    <row r="37984" spans="1:1">
      <c r="A37984" s="56"/>
    </row>
    <row r="37985" spans="1:1">
      <c r="A37985" s="56"/>
    </row>
    <row r="37986" spans="1:1">
      <c r="A37986" s="56"/>
    </row>
    <row r="37987" spans="1:1">
      <c r="A37987" s="56"/>
    </row>
    <row r="37988" spans="1:1">
      <c r="A37988" s="56"/>
    </row>
    <row r="37989" spans="1:1">
      <c r="A37989" s="56"/>
    </row>
    <row r="37990" spans="1:1">
      <c r="A37990" s="56"/>
    </row>
    <row r="37991" spans="1:1">
      <c r="A37991" s="56"/>
    </row>
    <row r="37992" spans="1:1">
      <c r="A37992" s="56"/>
    </row>
    <row r="37993" spans="1:1">
      <c r="A37993" s="56"/>
    </row>
    <row r="37994" spans="1:1">
      <c r="A37994" s="56"/>
    </row>
    <row r="37995" spans="1:1">
      <c r="A37995" s="56"/>
    </row>
    <row r="37996" spans="1:1">
      <c r="A37996" s="56"/>
    </row>
    <row r="37997" spans="1:1">
      <c r="A37997" s="56"/>
    </row>
    <row r="37998" spans="1:1">
      <c r="A37998" s="56"/>
    </row>
    <row r="37999" spans="1:1">
      <c r="A37999" s="56"/>
    </row>
    <row r="38000" spans="1:1">
      <c r="A38000" s="56"/>
    </row>
    <row r="38001" spans="1:1">
      <c r="A38001" s="56"/>
    </row>
    <row r="38002" spans="1:1">
      <c r="A38002" s="56"/>
    </row>
    <row r="38003" spans="1:1">
      <c r="A38003" s="56"/>
    </row>
    <row r="38004" spans="1:1">
      <c r="A38004" s="56"/>
    </row>
    <row r="38005" spans="1:1">
      <c r="A38005" s="56"/>
    </row>
    <row r="38006" spans="1:1">
      <c r="A38006" s="56"/>
    </row>
    <row r="38007" spans="1:1">
      <c r="A38007" s="56"/>
    </row>
    <row r="38008" spans="1:1">
      <c r="A38008" s="56"/>
    </row>
    <row r="38009" spans="1:1">
      <c r="A38009" s="56"/>
    </row>
    <row r="38010" spans="1:1">
      <c r="A38010" s="56"/>
    </row>
    <row r="38011" spans="1:1">
      <c r="A38011" s="56"/>
    </row>
    <row r="38012" spans="1:1">
      <c r="A38012" s="56"/>
    </row>
    <row r="38013" spans="1:1">
      <c r="A38013" s="56"/>
    </row>
    <row r="38014" spans="1:1">
      <c r="A38014" s="56"/>
    </row>
    <row r="38015" spans="1:1">
      <c r="A38015" s="56"/>
    </row>
    <row r="38016" spans="1:1">
      <c r="A38016" s="56"/>
    </row>
    <row r="38017" spans="1:1">
      <c r="A38017" s="56"/>
    </row>
    <row r="38018" spans="1:1">
      <c r="A38018" s="56"/>
    </row>
    <row r="38019" spans="1:1">
      <c r="A38019" s="56"/>
    </row>
    <row r="38020" spans="1:1">
      <c r="A38020" s="56"/>
    </row>
    <row r="38021" spans="1:1">
      <c r="A38021" s="56"/>
    </row>
    <row r="38022" spans="1:1">
      <c r="A38022" s="56"/>
    </row>
    <row r="38023" spans="1:1">
      <c r="A38023" s="56"/>
    </row>
    <row r="38024" spans="1:1">
      <c r="A38024" s="56"/>
    </row>
    <row r="38025" spans="1:1">
      <c r="A38025" s="56"/>
    </row>
    <row r="38026" spans="1:1">
      <c r="A38026" s="56"/>
    </row>
    <row r="38027" spans="1:1">
      <c r="A38027" s="56"/>
    </row>
    <row r="38028" spans="1:1">
      <c r="A38028" s="56"/>
    </row>
    <row r="38029" spans="1:1">
      <c r="A38029" s="56"/>
    </row>
    <row r="38030" spans="1:1">
      <c r="A38030" s="56"/>
    </row>
    <row r="38031" spans="1:1">
      <c r="A38031" s="56"/>
    </row>
    <row r="38032" spans="1:1">
      <c r="A38032" s="56"/>
    </row>
    <row r="38033" spans="1:1">
      <c r="A38033" s="56"/>
    </row>
    <row r="38034" spans="1:1">
      <c r="A38034" s="56"/>
    </row>
    <row r="38035" spans="1:1">
      <c r="A38035" s="56"/>
    </row>
    <row r="38036" spans="1:1">
      <c r="A38036" s="56"/>
    </row>
    <row r="38037" spans="1:1">
      <c r="A38037" s="56"/>
    </row>
    <row r="38038" spans="1:1">
      <c r="A38038" s="56"/>
    </row>
    <row r="38039" spans="1:1">
      <c r="A38039" s="56"/>
    </row>
    <row r="38040" spans="1:1">
      <c r="A38040" s="56"/>
    </row>
    <row r="38041" spans="1:1">
      <c r="A38041" s="56"/>
    </row>
    <row r="38042" spans="1:1">
      <c r="A38042" s="56"/>
    </row>
    <row r="38043" spans="1:1">
      <c r="A38043" s="56"/>
    </row>
    <row r="38044" spans="1:1">
      <c r="A38044" s="56"/>
    </row>
    <row r="38045" spans="1:1">
      <c r="A38045" s="56"/>
    </row>
    <row r="38046" spans="1:1">
      <c r="A38046" s="56"/>
    </row>
    <row r="38047" spans="1:1">
      <c r="A38047" s="56"/>
    </row>
    <row r="38048" spans="1:1">
      <c r="A38048" s="56"/>
    </row>
    <row r="38049" spans="1:1">
      <c r="A38049" s="56"/>
    </row>
    <row r="38050" spans="1:1">
      <c r="A38050" s="56"/>
    </row>
    <row r="38051" spans="1:1">
      <c r="A38051" s="56"/>
    </row>
    <row r="38052" spans="1:1">
      <c r="A38052" s="56"/>
    </row>
    <row r="38053" spans="1:1">
      <c r="A38053" s="56"/>
    </row>
    <row r="38054" spans="1:1">
      <c r="A38054" s="56"/>
    </row>
    <row r="38055" spans="1:1">
      <c r="A38055" s="56"/>
    </row>
    <row r="38056" spans="1:1">
      <c r="A38056" s="56"/>
    </row>
    <row r="38057" spans="1:1">
      <c r="A38057" s="56"/>
    </row>
    <row r="38058" spans="1:1">
      <c r="A38058" s="56"/>
    </row>
    <row r="38059" spans="1:1">
      <c r="A38059" s="56"/>
    </row>
    <row r="38060" spans="1:1">
      <c r="A38060" s="56"/>
    </row>
    <row r="38061" spans="1:1">
      <c r="A38061" s="56"/>
    </row>
    <row r="38062" spans="1:1">
      <c r="A38062" s="56"/>
    </row>
    <row r="38063" spans="1:1">
      <c r="A38063" s="56"/>
    </row>
    <row r="38064" spans="1:1">
      <c r="A38064" s="56"/>
    </row>
    <row r="38065" spans="1:1">
      <c r="A38065" s="56"/>
    </row>
    <row r="38066" spans="1:1">
      <c r="A38066" s="56"/>
    </row>
    <row r="38067" spans="1:1">
      <c r="A38067" s="56"/>
    </row>
    <row r="38068" spans="1:1">
      <c r="A38068" s="56"/>
    </row>
    <row r="38069" spans="1:1">
      <c r="A38069" s="56"/>
    </row>
    <row r="38070" spans="1:1">
      <c r="A38070" s="56"/>
    </row>
    <row r="38071" spans="1:1">
      <c r="A38071" s="56"/>
    </row>
    <row r="38072" spans="1:1">
      <c r="A38072" s="56"/>
    </row>
    <row r="38073" spans="1:1">
      <c r="A38073" s="56"/>
    </row>
    <row r="38074" spans="1:1">
      <c r="A38074" s="56"/>
    </row>
    <row r="38075" spans="1:1">
      <c r="A38075" s="56"/>
    </row>
    <row r="38076" spans="1:1">
      <c r="A38076" s="56"/>
    </row>
    <row r="38077" spans="1:1">
      <c r="A38077" s="56"/>
    </row>
    <row r="38078" spans="1:1">
      <c r="A38078" s="56"/>
    </row>
    <row r="38079" spans="1:1">
      <c r="A38079" s="56"/>
    </row>
    <row r="38080" spans="1:1">
      <c r="A38080" s="56"/>
    </row>
    <row r="38081" spans="1:1">
      <c r="A38081" s="56"/>
    </row>
    <row r="38082" spans="1:1">
      <c r="A38082" s="56"/>
    </row>
    <row r="38083" spans="1:1">
      <c r="A38083" s="56"/>
    </row>
    <row r="38084" spans="1:1">
      <c r="A38084" s="56"/>
    </row>
    <row r="38085" spans="1:1">
      <c r="A38085" s="56"/>
    </row>
    <row r="38086" spans="1:1">
      <c r="A38086" s="56"/>
    </row>
    <row r="38087" spans="1:1">
      <c r="A38087" s="56"/>
    </row>
    <row r="38088" spans="1:1">
      <c r="A38088" s="56"/>
    </row>
    <row r="38089" spans="1:1">
      <c r="A38089" s="56"/>
    </row>
    <row r="38090" spans="1:1">
      <c r="A38090" s="56"/>
    </row>
    <row r="38091" spans="1:1">
      <c r="A38091" s="56"/>
    </row>
    <row r="38092" spans="1:1">
      <c r="A38092" s="56"/>
    </row>
    <row r="38093" spans="1:1">
      <c r="A38093" s="56"/>
    </row>
    <row r="38094" spans="1:1">
      <c r="A38094" s="56"/>
    </row>
    <row r="38095" spans="1:1">
      <c r="A38095" s="56"/>
    </row>
    <row r="38096" spans="1:1">
      <c r="A38096" s="56"/>
    </row>
    <row r="38097" spans="1:1">
      <c r="A38097" s="56"/>
    </row>
    <row r="38098" spans="1:1">
      <c r="A38098" s="56"/>
    </row>
    <row r="38099" spans="1:1">
      <c r="A38099" s="56"/>
    </row>
    <row r="38100" spans="1:1">
      <c r="A38100" s="56"/>
    </row>
    <row r="38101" spans="1:1">
      <c r="A38101" s="56"/>
    </row>
    <row r="38102" spans="1:1">
      <c r="A38102" s="56"/>
    </row>
    <row r="38103" spans="1:1">
      <c r="A38103" s="56"/>
    </row>
    <row r="38104" spans="1:1">
      <c r="A38104" s="56"/>
    </row>
    <row r="38105" spans="1:1">
      <c r="A38105" s="56"/>
    </row>
    <row r="38106" spans="1:1">
      <c r="A38106" s="56"/>
    </row>
    <row r="38107" spans="1:1">
      <c r="A38107" s="56"/>
    </row>
    <row r="38108" spans="1:1">
      <c r="A38108" s="56"/>
    </row>
    <row r="38109" spans="1:1">
      <c r="A38109" s="56"/>
    </row>
    <row r="38110" spans="1:1">
      <c r="A38110" s="56"/>
    </row>
    <row r="38111" spans="1:1">
      <c r="A38111" s="56"/>
    </row>
    <row r="38112" spans="1:1">
      <c r="A38112" s="56"/>
    </row>
    <row r="38113" spans="1:1">
      <c r="A38113" s="56"/>
    </row>
    <row r="38114" spans="1:1">
      <c r="A38114" s="56"/>
    </row>
    <row r="38115" spans="1:1">
      <c r="A38115" s="56"/>
    </row>
    <row r="38116" spans="1:1">
      <c r="A38116" s="56"/>
    </row>
    <row r="38117" spans="1:1">
      <c r="A38117" s="56"/>
    </row>
    <row r="38118" spans="1:1">
      <c r="A38118" s="56"/>
    </row>
    <row r="38119" spans="1:1">
      <c r="A38119" s="56"/>
    </row>
    <row r="38120" spans="1:1">
      <c r="A38120" s="56"/>
    </row>
    <row r="38121" spans="1:1">
      <c r="A38121" s="56"/>
    </row>
    <row r="38122" spans="1:1">
      <c r="A38122" s="56"/>
    </row>
    <row r="38123" spans="1:1">
      <c r="A38123" s="56"/>
    </row>
    <row r="38124" spans="1:1">
      <c r="A38124" s="56"/>
    </row>
    <row r="38125" spans="1:1">
      <c r="A38125" s="56"/>
    </row>
    <row r="38126" spans="1:1">
      <c r="A38126" s="56"/>
    </row>
    <row r="38127" spans="1:1">
      <c r="A38127" s="56"/>
    </row>
    <row r="38128" spans="1:1">
      <c r="A38128" s="56"/>
    </row>
    <row r="38129" spans="1:1">
      <c r="A38129" s="56"/>
    </row>
    <row r="38130" spans="1:1">
      <c r="A38130" s="56"/>
    </row>
    <row r="38131" spans="1:1">
      <c r="A38131" s="56"/>
    </row>
    <row r="38132" spans="1:1">
      <c r="A38132" s="56"/>
    </row>
    <row r="38133" spans="1:1">
      <c r="A38133" s="56"/>
    </row>
    <row r="38134" spans="1:1">
      <c r="A38134" s="56"/>
    </row>
    <row r="38135" spans="1:1">
      <c r="A38135" s="56"/>
    </row>
    <row r="38136" spans="1:1">
      <c r="A38136" s="56"/>
    </row>
    <row r="38137" spans="1:1">
      <c r="A38137" s="56"/>
    </row>
    <row r="38138" spans="1:1">
      <c r="A38138" s="56"/>
    </row>
    <row r="38139" spans="1:1">
      <c r="A38139" s="56"/>
    </row>
    <row r="38140" spans="1:1">
      <c r="A38140" s="56"/>
    </row>
    <row r="38141" spans="1:1">
      <c r="A38141" s="56"/>
    </row>
    <row r="38142" spans="1:1">
      <c r="A38142" s="56"/>
    </row>
    <row r="38143" spans="1:1">
      <c r="A38143" s="56"/>
    </row>
    <row r="38144" spans="1:1">
      <c r="A38144" s="56"/>
    </row>
    <row r="38145" spans="1:1">
      <c r="A38145" s="56"/>
    </row>
    <row r="38146" spans="1:1">
      <c r="A38146" s="56"/>
    </row>
    <row r="38147" spans="1:1">
      <c r="A38147" s="56"/>
    </row>
    <row r="38148" spans="1:1">
      <c r="A38148" s="56"/>
    </row>
    <row r="38149" spans="1:1">
      <c r="A38149" s="56"/>
    </row>
    <row r="38150" spans="1:1">
      <c r="A38150" s="56"/>
    </row>
    <row r="38151" spans="1:1">
      <c r="A38151" s="56"/>
    </row>
    <row r="38152" spans="1:1">
      <c r="A38152" s="56"/>
    </row>
    <row r="38153" spans="1:1">
      <c r="A38153" s="56"/>
    </row>
    <row r="38154" spans="1:1">
      <c r="A38154" s="56"/>
    </row>
    <row r="38155" spans="1:1">
      <c r="A38155" s="56"/>
    </row>
    <row r="38156" spans="1:1">
      <c r="A38156" s="56"/>
    </row>
    <row r="38157" spans="1:1">
      <c r="A38157" s="56"/>
    </row>
    <row r="38158" spans="1:1">
      <c r="A38158" s="56"/>
    </row>
    <row r="38159" spans="1:1">
      <c r="A38159" s="56"/>
    </row>
    <row r="38160" spans="1:1">
      <c r="A38160" s="56"/>
    </row>
    <row r="38161" spans="1:1">
      <c r="A38161" s="56"/>
    </row>
    <row r="38162" spans="1:1">
      <c r="A38162" s="56"/>
    </row>
    <row r="38163" spans="1:1">
      <c r="A38163" s="56"/>
    </row>
    <row r="38164" spans="1:1">
      <c r="A38164" s="56"/>
    </row>
    <row r="38165" spans="1:1">
      <c r="A38165" s="56"/>
    </row>
    <row r="38166" spans="1:1">
      <c r="A38166" s="56"/>
    </row>
    <row r="38167" spans="1:1">
      <c r="A38167" s="56"/>
    </row>
    <row r="38168" spans="1:1">
      <c r="A38168" s="56"/>
    </row>
    <row r="38169" spans="1:1">
      <c r="A38169" s="56"/>
    </row>
    <row r="38170" spans="1:1">
      <c r="A38170" s="56"/>
    </row>
    <row r="38171" spans="1:1">
      <c r="A38171" s="56"/>
    </row>
    <row r="38172" spans="1:1">
      <c r="A38172" s="56"/>
    </row>
    <row r="38173" spans="1:1">
      <c r="A38173" s="56"/>
    </row>
    <row r="38174" spans="1:1">
      <c r="A38174" s="56"/>
    </row>
    <row r="38175" spans="1:1">
      <c r="A38175" s="56"/>
    </row>
    <row r="38176" spans="1:1">
      <c r="A38176" s="56"/>
    </row>
    <row r="38177" spans="1:1">
      <c r="A38177" s="56"/>
    </row>
    <row r="38178" spans="1:1">
      <c r="A38178" s="56"/>
    </row>
    <row r="38179" spans="1:1">
      <c r="A38179" s="56"/>
    </row>
    <row r="38180" spans="1:1">
      <c r="A38180" s="56"/>
    </row>
    <row r="38181" spans="1:1">
      <c r="A38181" s="56"/>
    </row>
    <row r="38182" spans="1:1">
      <c r="A38182" s="56"/>
    </row>
    <row r="38183" spans="1:1">
      <c r="A38183" s="56"/>
    </row>
    <row r="38184" spans="1:1">
      <c r="A38184" s="56"/>
    </row>
    <row r="38185" spans="1:1">
      <c r="A38185" s="56"/>
    </row>
    <row r="38186" spans="1:1">
      <c r="A38186" s="56"/>
    </row>
    <row r="38187" spans="1:1">
      <c r="A38187" s="56"/>
    </row>
    <row r="38188" spans="1:1">
      <c r="A38188" s="56"/>
    </row>
    <row r="38189" spans="1:1">
      <c r="A38189" s="56"/>
    </row>
    <row r="38190" spans="1:1">
      <c r="A38190" s="56"/>
    </row>
    <row r="38191" spans="1:1">
      <c r="A38191" s="56"/>
    </row>
    <row r="38192" spans="1:1">
      <c r="A38192" s="56"/>
    </row>
    <row r="38193" spans="1:1">
      <c r="A38193" s="56"/>
    </row>
    <row r="38194" spans="1:1">
      <c r="A38194" s="56"/>
    </row>
    <row r="38195" spans="1:1">
      <c r="A38195" s="56"/>
    </row>
    <row r="38196" spans="1:1">
      <c r="A38196" s="56"/>
    </row>
    <row r="38197" spans="1:1">
      <c r="A38197" s="56"/>
    </row>
    <row r="38198" spans="1:1">
      <c r="A38198" s="56"/>
    </row>
    <row r="38199" spans="1:1">
      <c r="A38199" s="56"/>
    </row>
    <row r="38200" spans="1:1">
      <c r="A38200" s="56"/>
    </row>
    <row r="38201" spans="1:1">
      <c r="A38201" s="56"/>
    </row>
    <row r="38202" spans="1:1">
      <c r="A38202" s="56"/>
    </row>
    <row r="38203" spans="1:1">
      <c r="A38203" s="56"/>
    </row>
    <row r="38204" spans="1:1">
      <c r="A38204" s="56"/>
    </row>
    <row r="38205" spans="1:1">
      <c r="A38205" s="56"/>
    </row>
    <row r="38206" spans="1:1">
      <c r="A38206" s="56"/>
    </row>
    <row r="38207" spans="1:1">
      <c r="A38207" s="56"/>
    </row>
    <row r="38208" spans="1:1">
      <c r="A38208" s="56"/>
    </row>
    <row r="38209" spans="1:1">
      <c r="A38209" s="56"/>
    </row>
    <row r="38210" spans="1:1">
      <c r="A38210" s="56"/>
    </row>
    <row r="38211" spans="1:1">
      <c r="A38211" s="56"/>
    </row>
    <row r="38212" spans="1:1">
      <c r="A38212" s="56"/>
    </row>
    <row r="38213" spans="1:1">
      <c r="A38213" s="56"/>
    </row>
    <row r="38214" spans="1:1">
      <c r="A38214" s="56"/>
    </row>
    <row r="38215" spans="1:1">
      <c r="A38215" s="56"/>
    </row>
    <row r="38216" spans="1:1">
      <c r="A38216" s="56"/>
    </row>
    <row r="38217" spans="1:1">
      <c r="A38217" s="56"/>
    </row>
    <row r="38218" spans="1:1">
      <c r="A38218" s="56"/>
    </row>
    <row r="38219" spans="1:1">
      <c r="A38219" s="56"/>
    </row>
    <row r="38220" spans="1:1">
      <c r="A38220" s="56"/>
    </row>
    <row r="38221" spans="1:1">
      <c r="A38221" s="56"/>
    </row>
    <row r="38222" spans="1:1">
      <c r="A38222" s="56"/>
    </row>
    <row r="38223" spans="1:1">
      <c r="A38223" s="56"/>
    </row>
    <row r="38224" spans="1:1">
      <c r="A38224" s="56"/>
    </row>
    <row r="38225" spans="1:1">
      <c r="A38225" s="56"/>
    </row>
    <row r="38226" spans="1:1">
      <c r="A38226" s="56"/>
    </row>
    <row r="38227" spans="1:1">
      <c r="A38227" s="56"/>
    </row>
    <row r="38228" spans="1:1">
      <c r="A38228" s="56"/>
    </row>
    <row r="38229" spans="1:1">
      <c r="A38229" s="56"/>
    </row>
    <row r="38230" spans="1:1">
      <c r="A38230" s="56"/>
    </row>
    <row r="38231" spans="1:1">
      <c r="A38231" s="56"/>
    </row>
    <row r="38232" spans="1:1">
      <c r="A38232" s="56"/>
    </row>
    <row r="38233" spans="1:1">
      <c r="A38233" s="56"/>
    </row>
    <row r="38234" spans="1:1">
      <c r="A38234" s="56"/>
    </row>
    <row r="38235" spans="1:1">
      <c r="A38235" s="56"/>
    </row>
    <row r="38236" spans="1:1">
      <c r="A38236" s="56"/>
    </row>
    <row r="38237" spans="1:1">
      <c r="A38237" s="56"/>
    </row>
    <row r="38238" spans="1:1">
      <c r="A38238" s="56"/>
    </row>
    <row r="38239" spans="1:1">
      <c r="A38239" s="56"/>
    </row>
    <row r="38240" spans="1:1">
      <c r="A38240" s="56"/>
    </row>
    <row r="38241" spans="1:1">
      <c r="A38241" s="56"/>
    </row>
    <row r="38242" spans="1:1">
      <c r="A38242" s="56"/>
    </row>
    <row r="38243" spans="1:1">
      <c r="A38243" s="56"/>
    </row>
    <row r="38244" spans="1:1">
      <c r="A38244" s="56"/>
    </row>
    <row r="38245" spans="1:1">
      <c r="A38245" s="56"/>
    </row>
    <row r="38246" spans="1:1">
      <c r="A38246" s="56"/>
    </row>
    <row r="38247" spans="1:1">
      <c r="A38247" s="56"/>
    </row>
    <row r="38248" spans="1:1">
      <c r="A38248" s="56"/>
    </row>
    <row r="38249" spans="1:1">
      <c r="A38249" s="56"/>
    </row>
    <row r="38250" spans="1:1">
      <c r="A38250" s="56"/>
    </row>
    <row r="38251" spans="1:1">
      <c r="A38251" s="56"/>
    </row>
    <row r="38252" spans="1:1">
      <c r="A38252" s="56"/>
    </row>
    <row r="38253" spans="1:1">
      <c r="A38253" s="56"/>
    </row>
    <row r="38254" spans="1:1">
      <c r="A38254" s="56"/>
    </row>
    <row r="38255" spans="1:1">
      <c r="A38255" s="56"/>
    </row>
    <row r="38256" spans="1:1">
      <c r="A38256" s="56"/>
    </row>
    <row r="38257" spans="1:1">
      <c r="A38257" s="56"/>
    </row>
    <row r="38258" spans="1:1">
      <c r="A38258" s="56"/>
    </row>
    <row r="38259" spans="1:1">
      <c r="A38259" s="56"/>
    </row>
    <row r="38260" spans="1:1">
      <c r="A38260" s="56"/>
    </row>
    <row r="38261" spans="1:1">
      <c r="A38261" s="56"/>
    </row>
    <row r="38262" spans="1:1">
      <c r="A38262" s="56"/>
    </row>
    <row r="38263" spans="1:1">
      <c r="A38263" s="56"/>
    </row>
    <row r="38264" spans="1:1">
      <c r="A38264" s="56"/>
    </row>
    <row r="38265" spans="1:1">
      <c r="A38265" s="56"/>
    </row>
    <row r="38266" spans="1:1">
      <c r="A38266" s="56"/>
    </row>
    <row r="38267" spans="1:1">
      <c r="A38267" s="56"/>
    </row>
    <row r="38268" spans="1:1">
      <c r="A38268" s="56"/>
    </row>
    <row r="38269" spans="1:1">
      <c r="A38269" s="56"/>
    </row>
    <row r="38270" spans="1:1">
      <c r="A38270" s="56"/>
    </row>
    <row r="38271" spans="1:1">
      <c r="A38271" s="56"/>
    </row>
    <row r="38272" spans="1:1">
      <c r="A38272" s="56"/>
    </row>
    <row r="38273" spans="1:1">
      <c r="A38273" s="56"/>
    </row>
    <row r="38274" spans="1:1">
      <c r="A38274" s="56"/>
    </row>
    <row r="38275" spans="1:1">
      <c r="A38275" s="56"/>
    </row>
    <row r="38276" spans="1:1">
      <c r="A38276" s="56"/>
    </row>
    <row r="38277" spans="1:1">
      <c r="A38277" s="56"/>
    </row>
    <row r="38278" spans="1:1">
      <c r="A38278" s="56"/>
    </row>
    <row r="38279" spans="1:1">
      <c r="A38279" s="56"/>
    </row>
    <row r="38280" spans="1:1">
      <c r="A38280" s="56"/>
    </row>
    <row r="38281" spans="1:1">
      <c r="A38281" s="56"/>
    </row>
    <row r="38282" spans="1:1">
      <c r="A38282" s="56"/>
    </row>
    <row r="38283" spans="1:1">
      <c r="A38283" s="56"/>
    </row>
    <row r="38284" spans="1:1">
      <c r="A38284" s="56"/>
    </row>
    <row r="38285" spans="1:1">
      <c r="A38285" s="56"/>
    </row>
    <row r="38286" spans="1:1">
      <c r="A38286" s="56"/>
    </row>
    <row r="38287" spans="1:1">
      <c r="A38287" s="56"/>
    </row>
    <row r="38288" spans="1:1">
      <c r="A38288" s="56"/>
    </row>
    <row r="38289" spans="1:1">
      <c r="A38289" s="56"/>
    </row>
    <row r="38290" spans="1:1">
      <c r="A38290" s="56"/>
    </row>
    <row r="38291" spans="1:1">
      <c r="A38291" s="56"/>
    </row>
    <row r="38292" spans="1:1">
      <c r="A38292" s="56"/>
    </row>
    <row r="38293" spans="1:1">
      <c r="A38293" s="56"/>
    </row>
    <row r="38294" spans="1:1">
      <c r="A38294" s="56"/>
    </row>
    <row r="38295" spans="1:1">
      <c r="A38295" s="56"/>
    </row>
    <row r="38296" spans="1:1">
      <c r="A38296" s="56"/>
    </row>
    <row r="38297" spans="1:1">
      <c r="A38297" s="56"/>
    </row>
    <row r="38298" spans="1:1">
      <c r="A38298" s="56"/>
    </row>
    <row r="38299" spans="1:1">
      <c r="A38299" s="56"/>
    </row>
    <row r="38300" spans="1:1">
      <c r="A38300" s="56"/>
    </row>
    <row r="38301" spans="1:1">
      <c r="A38301" s="56"/>
    </row>
    <row r="38302" spans="1:1">
      <c r="A38302" s="56"/>
    </row>
    <row r="38303" spans="1:1">
      <c r="A38303" s="56"/>
    </row>
    <row r="38304" spans="1:1">
      <c r="A38304" s="56"/>
    </row>
    <row r="38305" spans="1:1">
      <c r="A38305" s="56"/>
    </row>
    <row r="38306" spans="1:1">
      <c r="A38306" s="56"/>
    </row>
    <row r="38307" spans="1:1">
      <c r="A38307" s="56"/>
    </row>
    <row r="38308" spans="1:1">
      <c r="A38308" s="56"/>
    </row>
    <row r="38309" spans="1:1">
      <c r="A38309" s="56"/>
    </row>
    <row r="38310" spans="1:1">
      <c r="A38310" s="56"/>
    </row>
    <row r="38311" spans="1:1">
      <c r="A38311" s="56"/>
    </row>
    <row r="38312" spans="1:1">
      <c r="A38312" s="56"/>
    </row>
    <row r="38313" spans="1:1">
      <c r="A38313" s="56"/>
    </row>
    <row r="38314" spans="1:1">
      <c r="A38314" s="56"/>
    </row>
    <row r="38315" spans="1:1">
      <c r="A38315" s="56"/>
    </row>
    <row r="38316" spans="1:1">
      <c r="A38316" s="56"/>
    </row>
    <row r="38317" spans="1:1">
      <c r="A38317" s="56"/>
    </row>
    <row r="38318" spans="1:1">
      <c r="A38318" s="56"/>
    </row>
    <row r="38319" spans="1:1">
      <c r="A38319" s="56"/>
    </row>
    <row r="38320" spans="1:1">
      <c r="A38320" s="56"/>
    </row>
    <row r="38321" spans="1:1">
      <c r="A38321" s="56"/>
    </row>
    <row r="38322" spans="1:1">
      <c r="A38322" s="56"/>
    </row>
    <row r="38323" spans="1:1">
      <c r="A38323" s="56"/>
    </row>
    <row r="38324" spans="1:1">
      <c r="A38324" s="56"/>
    </row>
    <row r="38325" spans="1:1">
      <c r="A38325" s="56"/>
    </row>
    <row r="38326" spans="1:1">
      <c r="A38326" s="56"/>
    </row>
    <row r="38327" spans="1:1">
      <c r="A38327" s="56"/>
    </row>
    <row r="38328" spans="1:1">
      <c r="A38328" s="56"/>
    </row>
    <row r="38329" spans="1:1">
      <c r="A38329" s="56"/>
    </row>
    <row r="38330" spans="1:1">
      <c r="A38330" s="56"/>
    </row>
    <row r="38331" spans="1:1">
      <c r="A38331" s="56"/>
    </row>
    <row r="38332" spans="1:1">
      <c r="A38332" s="56"/>
    </row>
    <row r="38333" spans="1:1">
      <c r="A38333" s="56"/>
    </row>
    <row r="38334" spans="1:1">
      <c r="A38334" s="56"/>
    </row>
    <row r="38335" spans="1:1">
      <c r="A38335" s="56"/>
    </row>
    <row r="38336" spans="1:1">
      <c r="A38336" s="56"/>
    </row>
    <row r="38337" spans="1:1">
      <c r="A38337" s="56"/>
    </row>
    <row r="38338" spans="1:1">
      <c r="A38338" s="56"/>
    </row>
    <row r="38339" spans="1:1">
      <c r="A38339" s="56"/>
    </row>
    <row r="38340" spans="1:1">
      <c r="A38340" s="56"/>
    </row>
    <row r="38341" spans="1:1">
      <c r="A38341" s="56"/>
    </row>
    <row r="38342" spans="1:1">
      <c r="A38342" s="56"/>
    </row>
    <row r="38343" spans="1:1">
      <c r="A38343" s="56"/>
    </row>
    <row r="38344" spans="1:1">
      <c r="A38344" s="56"/>
    </row>
    <row r="38345" spans="1:1">
      <c r="A38345" s="56"/>
    </row>
    <row r="38346" spans="1:1">
      <c r="A38346" s="56"/>
    </row>
    <row r="38347" spans="1:1">
      <c r="A38347" s="56"/>
    </row>
    <row r="38348" spans="1:1">
      <c r="A38348" s="56"/>
    </row>
    <row r="38349" spans="1:1">
      <c r="A38349" s="56"/>
    </row>
    <row r="38350" spans="1:1">
      <c r="A38350" s="56"/>
    </row>
    <row r="38351" spans="1:1">
      <c r="A38351" s="56"/>
    </row>
    <row r="38352" spans="1:1">
      <c r="A38352" s="56"/>
    </row>
    <row r="38353" spans="1:1">
      <c r="A38353" s="56"/>
    </row>
    <row r="38354" spans="1:1">
      <c r="A38354" s="56"/>
    </row>
    <row r="38355" spans="1:1">
      <c r="A38355" s="56"/>
    </row>
    <row r="38356" spans="1:1">
      <c r="A38356" s="56"/>
    </row>
    <row r="38357" spans="1:1">
      <c r="A38357" s="56"/>
    </row>
    <row r="38358" spans="1:1">
      <c r="A38358" s="56"/>
    </row>
    <row r="38359" spans="1:1">
      <c r="A38359" s="56"/>
    </row>
    <row r="38360" spans="1:1">
      <c r="A38360" s="56"/>
    </row>
    <row r="38361" spans="1:1">
      <c r="A38361" s="56"/>
    </row>
    <row r="38362" spans="1:1">
      <c r="A38362" s="56"/>
    </row>
    <row r="38363" spans="1:1">
      <c r="A38363" s="56"/>
    </row>
    <row r="38364" spans="1:1">
      <c r="A38364" s="56"/>
    </row>
    <row r="38365" spans="1:1">
      <c r="A38365" s="56"/>
    </row>
    <row r="38366" spans="1:1">
      <c r="A38366" s="56"/>
    </row>
    <row r="38367" spans="1:1">
      <c r="A38367" s="56"/>
    </row>
    <row r="38368" spans="1:1">
      <c r="A38368" s="56"/>
    </row>
    <row r="38369" spans="1:1">
      <c r="A38369" s="56"/>
    </row>
    <row r="38370" spans="1:1">
      <c r="A38370" s="56"/>
    </row>
    <row r="38371" spans="1:1">
      <c r="A38371" s="56"/>
    </row>
    <row r="38372" spans="1:1">
      <c r="A38372" s="56"/>
    </row>
    <row r="38373" spans="1:1">
      <c r="A38373" s="56"/>
    </row>
    <row r="38374" spans="1:1">
      <c r="A38374" s="56"/>
    </row>
    <row r="38375" spans="1:1">
      <c r="A38375" s="56"/>
    </row>
    <row r="38376" spans="1:1">
      <c r="A38376" s="56"/>
    </row>
    <row r="38377" spans="1:1">
      <c r="A38377" s="56"/>
    </row>
    <row r="38378" spans="1:1">
      <c r="A38378" s="56"/>
    </row>
    <row r="38379" spans="1:1">
      <c r="A38379" s="56"/>
    </row>
    <row r="38380" spans="1:1">
      <c r="A38380" s="56"/>
    </row>
    <row r="38381" spans="1:1">
      <c r="A38381" s="56"/>
    </row>
    <row r="38382" spans="1:1">
      <c r="A38382" s="56"/>
    </row>
    <row r="38383" spans="1:1">
      <c r="A38383" s="56"/>
    </row>
    <row r="38384" spans="1:1">
      <c r="A38384" s="56"/>
    </row>
    <row r="38385" spans="1:1">
      <c r="A38385" s="56"/>
    </row>
    <row r="38386" spans="1:1">
      <c r="A38386" s="56"/>
    </row>
    <row r="38387" spans="1:1">
      <c r="A38387" s="56"/>
    </row>
    <row r="38388" spans="1:1">
      <c r="A38388" s="56"/>
    </row>
    <row r="38389" spans="1:1">
      <c r="A38389" s="56"/>
    </row>
    <row r="38390" spans="1:1">
      <c r="A38390" s="56"/>
    </row>
    <row r="38391" spans="1:1">
      <c r="A38391" s="56"/>
    </row>
    <row r="38392" spans="1:1">
      <c r="A38392" s="56"/>
    </row>
    <row r="38393" spans="1:1">
      <c r="A38393" s="56"/>
    </row>
    <row r="38394" spans="1:1">
      <c r="A38394" s="56"/>
    </row>
    <row r="38395" spans="1:1">
      <c r="A38395" s="56"/>
    </row>
    <row r="38396" spans="1:1">
      <c r="A38396" s="56"/>
    </row>
    <row r="38397" spans="1:1">
      <c r="A38397" s="56"/>
    </row>
    <row r="38398" spans="1:1">
      <c r="A38398" s="56"/>
    </row>
    <row r="38399" spans="1:1">
      <c r="A38399" s="56"/>
    </row>
    <row r="38400" spans="1:1">
      <c r="A38400" s="56"/>
    </row>
    <row r="38401" spans="1:1">
      <c r="A38401" s="56"/>
    </row>
    <row r="38402" spans="1:1">
      <c r="A38402" s="56"/>
    </row>
    <row r="38403" spans="1:1">
      <c r="A38403" s="56"/>
    </row>
    <row r="38404" spans="1:1">
      <c r="A38404" s="56"/>
    </row>
    <row r="38405" spans="1:1">
      <c r="A38405" s="56"/>
    </row>
    <row r="38406" spans="1:1">
      <c r="A38406" s="56"/>
    </row>
    <row r="38407" spans="1:1">
      <c r="A38407" s="56"/>
    </row>
    <row r="38408" spans="1:1">
      <c r="A38408" s="56"/>
    </row>
    <row r="38409" spans="1:1">
      <c r="A38409" s="56"/>
    </row>
    <row r="38410" spans="1:1">
      <c r="A38410" s="56"/>
    </row>
    <row r="38411" spans="1:1">
      <c r="A38411" s="56"/>
    </row>
    <row r="38412" spans="1:1">
      <c r="A38412" s="56"/>
    </row>
    <row r="38413" spans="1:1">
      <c r="A38413" s="56"/>
    </row>
    <row r="38414" spans="1:1">
      <c r="A38414" s="56"/>
    </row>
    <row r="38415" spans="1:1">
      <c r="A38415" s="56"/>
    </row>
    <row r="38416" spans="1:1">
      <c r="A38416" s="56"/>
    </row>
    <row r="38417" spans="1:1">
      <c r="A38417" s="56"/>
    </row>
    <row r="38418" spans="1:1">
      <c r="A38418" s="56"/>
    </row>
    <row r="38419" spans="1:1">
      <c r="A38419" s="56"/>
    </row>
    <row r="38420" spans="1:1">
      <c r="A38420" s="56"/>
    </row>
    <row r="38421" spans="1:1">
      <c r="A38421" s="56"/>
    </row>
    <row r="38422" spans="1:1">
      <c r="A38422" s="56"/>
    </row>
    <row r="38423" spans="1:1">
      <c r="A38423" s="56"/>
    </row>
    <row r="38424" spans="1:1">
      <c r="A38424" s="56"/>
    </row>
    <row r="38425" spans="1:1">
      <c r="A38425" s="56"/>
    </row>
    <row r="38426" spans="1:1">
      <c r="A38426" s="56"/>
    </row>
    <row r="38427" spans="1:1">
      <c r="A38427" s="56"/>
    </row>
    <row r="38428" spans="1:1">
      <c r="A38428" s="56"/>
    </row>
    <row r="38429" spans="1:1">
      <c r="A38429" s="56"/>
    </row>
    <row r="38430" spans="1:1">
      <c r="A38430" s="56"/>
    </row>
    <row r="38431" spans="1:1">
      <c r="A38431" s="56"/>
    </row>
    <row r="38432" spans="1:1">
      <c r="A38432" s="56"/>
    </row>
    <row r="38433" spans="1:1">
      <c r="A38433" s="56"/>
    </row>
    <row r="38434" spans="1:1">
      <c r="A38434" s="56"/>
    </row>
    <row r="38435" spans="1:1">
      <c r="A38435" s="56"/>
    </row>
    <row r="38436" spans="1:1">
      <c r="A38436" s="56"/>
    </row>
    <row r="38437" spans="1:1">
      <c r="A38437" s="56"/>
    </row>
    <row r="38438" spans="1:1">
      <c r="A38438" s="56"/>
    </row>
    <row r="38439" spans="1:1">
      <c r="A38439" s="56"/>
    </row>
    <row r="38440" spans="1:1">
      <c r="A38440" s="56"/>
    </row>
    <row r="38441" spans="1:1">
      <c r="A38441" s="56"/>
    </row>
    <row r="38442" spans="1:1">
      <c r="A38442" s="56"/>
    </row>
    <row r="38443" spans="1:1">
      <c r="A38443" s="56"/>
    </row>
    <row r="38444" spans="1:1">
      <c r="A38444" s="56"/>
    </row>
    <row r="38445" spans="1:1">
      <c r="A38445" s="56"/>
    </row>
    <row r="38446" spans="1:1">
      <c r="A38446" s="56"/>
    </row>
    <row r="38447" spans="1:1">
      <c r="A38447" s="56"/>
    </row>
    <row r="38448" spans="1:1">
      <c r="A38448" s="56"/>
    </row>
    <row r="38449" spans="1:1">
      <c r="A38449" s="56"/>
    </row>
    <row r="38450" spans="1:1">
      <c r="A38450" s="56"/>
    </row>
    <row r="38451" spans="1:1">
      <c r="A38451" s="56"/>
    </row>
    <row r="38452" spans="1:1">
      <c r="A38452" s="56"/>
    </row>
    <row r="38453" spans="1:1">
      <c r="A38453" s="56"/>
    </row>
    <row r="38454" spans="1:1">
      <c r="A38454" s="56"/>
    </row>
    <row r="38455" spans="1:1">
      <c r="A38455" s="56"/>
    </row>
    <row r="38456" spans="1:1">
      <c r="A38456" s="56"/>
    </row>
    <row r="38457" spans="1:1">
      <c r="A38457" s="56"/>
    </row>
    <row r="38458" spans="1:1">
      <c r="A38458" s="56"/>
    </row>
    <row r="38459" spans="1:1">
      <c r="A38459" s="56"/>
    </row>
    <row r="38460" spans="1:1">
      <c r="A38460" s="56"/>
    </row>
    <row r="38461" spans="1:1">
      <c r="A38461" s="56"/>
    </row>
    <row r="38462" spans="1:1">
      <c r="A38462" s="56"/>
    </row>
    <row r="38463" spans="1:1">
      <c r="A38463" s="56"/>
    </row>
    <row r="38464" spans="1:1">
      <c r="A38464" s="56"/>
    </row>
    <row r="38465" spans="1:1">
      <c r="A38465" s="56"/>
    </row>
    <row r="38466" spans="1:1">
      <c r="A38466" s="56"/>
    </row>
    <row r="38467" spans="1:1">
      <c r="A38467" s="56"/>
    </row>
    <row r="38468" spans="1:1">
      <c r="A38468" s="56"/>
    </row>
    <row r="38469" spans="1:1">
      <c r="A38469" s="56"/>
    </row>
    <row r="38470" spans="1:1">
      <c r="A38470" s="56"/>
    </row>
    <row r="38471" spans="1:1">
      <c r="A38471" s="56"/>
    </row>
    <row r="38472" spans="1:1">
      <c r="A38472" s="56"/>
    </row>
    <row r="38473" spans="1:1">
      <c r="A38473" s="56"/>
    </row>
    <row r="38474" spans="1:1">
      <c r="A38474" s="56"/>
    </row>
    <row r="38475" spans="1:1">
      <c r="A38475" s="56"/>
    </row>
    <row r="38476" spans="1:1">
      <c r="A38476" s="56"/>
    </row>
    <row r="38477" spans="1:1">
      <c r="A38477" s="56"/>
    </row>
    <row r="38478" spans="1:1">
      <c r="A38478" s="56"/>
    </row>
    <row r="38479" spans="1:1">
      <c r="A38479" s="56"/>
    </row>
    <row r="38480" spans="1:1">
      <c r="A38480" s="56"/>
    </row>
    <row r="38481" spans="1:1">
      <c r="A38481" s="56"/>
    </row>
    <row r="38482" spans="1:1">
      <c r="A38482" s="56"/>
    </row>
    <row r="38483" spans="1:1">
      <c r="A38483" s="56"/>
    </row>
    <row r="38484" spans="1:1">
      <c r="A38484" s="56"/>
    </row>
    <row r="38485" spans="1:1">
      <c r="A38485" s="56"/>
    </row>
    <row r="38486" spans="1:1">
      <c r="A38486" s="56"/>
    </row>
    <row r="38487" spans="1:1">
      <c r="A38487" s="56"/>
    </row>
    <row r="38488" spans="1:1">
      <c r="A38488" s="56"/>
    </row>
    <row r="38489" spans="1:1">
      <c r="A38489" s="56"/>
    </row>
    <row r="38490" spans="1:1">
      <c r="A38490" s="56"/>
    </row>
    <row r="38491" spans="1:1">
      <c r="A38491" s="56"/>
    </row>
    <row r="38492" spans="1:1">
      <c r="A38492" s="56"/>
    </row>
    <row r="38493" spans="1:1">
      <c r="A38493" s="56"/>
    </row>
    <row r="38494" spans="1:1">
      <c r="A38494" s="56"/>
    </row>
    <row r="38495" spans="1:1">
      <c r="A38495" s="56"/>
    </row>
    <row r="38496" spans="1:1">
      <c r="A38496" s="56"/>
    </row>
    <row r="38497" spans="1:1">
      <c r="A38497" s="56"/>
    </row>
    <row r="38498" spans="1:1">
      <c r="A38498" s="56"/>
    </row>
    <row r="38499" spans="1:1">
      <c r="A38499" s="56"/>
    </row>
    <row r="38500" spans="1:1">
      <c r="A38500" s="56"/>
    </row>
    <row r="38501" spans="1:1">
      <c r="A38501" s="56"/>
    </row>
    <row r="38502" spans="1:1">
      <c r="A38502" s="56"/>
    </row>
    <row r="38503" spans="1:1">
      <c r="A38503" s="56"/>
    </row>
    <row r="38504" spans="1:1">
      <c r="A38504" s="56"/>
    </row>
    <row r="38505" spans="1:1">
      <c r="A38505" s="56"/>
    </row>
    <row r="38506" spans="1:1">
      <c r="A38506" s="56"/>
    </row>
    <row r="38507" spans="1:1">
      <c r="A38507" s="56"/>
    </row>
    <row r="38508" spans="1:1">
      <c r="A38508" s="56"/>
    </row>
    <row r="38509" spans="1:1">
      <c r="A38509" s="56"/>
    </row>
    <row r="38510" spans="1:1">
      <c r="A38510" s="56"/>
    </row>
    <row r="38511" spans="1:1">
      <c r="A38511" s="56"/>
    </row>
    <row r="38512" spans="1:1">
      <c r="A38512" s="56"/>
    </row>
    <row r="38513" spans="1:1">
      <c r="A38513" s="56"/>
    </row>
    <row r="38514" spans="1:1">
      <c r="A38514" s="56"/>
    </row>
    <row r="38515" spans="1:1">
      <c r="A38515" s="56"/>
    </row>
    <row r="38516" spans="1:1">
      <c r="A38516" s="56"/>
    </row>
    <row r="38517" spans="1:1">
      <c r="A38517" s="56"/>
    </row>
    <row r="38518" spans="1:1">
      <c r="A38518" s="56"/>
    </row>
    <row r="38519" spans="1:1">
      <c r="A38519" s="56"/>
    </row>
    <row r="38520" spans="1:1">
      <c r="A38520" s="56"/>
    </row>
    <row r="38521" spans="1:1">
      <c r="A38521" s="56"/>
    </row>
    <row r="38522" spans="1:1">
      <c r="A38522" s="56"/>
    </row>
    <row r="38523" spans="1:1">
      <c r="A38523" s="56"/>
    </row>
    <row r="38524" spans="1:1">
      <c r="A38524" s="56"/>
    </row>
    <row r="38525" spans="1:1">
      <c r="A38525" s="56"/>
    </row>
    <row r="38526" spans="1:1">
      <c r="A38526" s="56"/>
    </row>
    <row r="38527" spans="1:1">
      <c r="A38527" s="56"/>
    </row>
    <row r="38528" spans="1:1">
      <c r="A38528" s="56"/>
    </row>
    <row r="38529" spans="1:1">
      <c r="A38529" s="56"/>
    </row>
    <row r="38530" spans="1:1">
      <c r="A38530" s="56"/>
    </row>
    <row r="38531" spans="1:1">
      <c r="A38531" s="56"/>
    </row>
    <row r="38532" spans="1:1">
      <c r="A38532" s="56"/>
    </row>
    <row r="38533" spans="1:1">
      <c r="A38533" s="56"/>
    </row>
    <row r="38534" spans="1:1">
      <c r="A38534" s="56"/>
    </row>
    <row r="38535" spans="1:1">
      <c r="A38535" s="56"/>
    </row>
    <row r="38536" spans="1:1">
      <c r="A38536" s="56"/>
    </row>
    <row r="38537" spans="1:1">
      <c r="A38537" s="56"/>
    </row>
    <row r="38538" spans="1:1">
      <c r="A38538" s="56"/>
    </row>
    <row r="38539" spans="1:1">
      <c r="A38539" s="56"/>
    </row>
    <row r="38540" spans="1:1">
      <c r="A38540" s="56"/>
    </row>
    <row r="38541" spans="1:1">
      <c r="A38541" s="56"/>
    </row>
    <row r="38542" spans="1:1">
      <c r="A38542" s="56"/>
    </row>
    <row r="38543" spans="1:1">
      <c r="A38543" s="56"/>
    </row>
    <row r="38544" spans="1:1">
      <c r="A38544" s="56"/>
    </row>
    <row r="38545" spans="1:1">
      <c r="A38545" s="56"/>
    </row>
    <row r="38546" spans="1:1">
      <c r="A38546" s="56"/>
    </row>
    <row r="38547" spans="1:1">
      <c r="A38547" s="56"/>
    </row>
    <row r="38548" spans="1:1">
      <c r="A38548" s="56"/>
    </row>
    <row r="38549" spans="1:1">
      <c r="A38549" s="56"/>
    </row>
    <row r="38550" spans="1:1">
      <c r="A38550" s="56"/>
    </row>
    <row r="38551" spans="1:1">
      <c r="A38551" s="56"/>
    </row>
    <row r="38552" spans="1:1">
      <c r="A38552" s="56"/>
    </row>
    <row r="38553" spans="1:1">
      <c r="A38553" s="56"/>
    </row>
    <row r="38554" spans="1:1">
      <c r="A38554" s="56"/>
    </row>
    <row r="38555" spans="1:1">
      <c r="A38555" s="56"/>
    </row>
    <row r="38556" spans="1:1">
      <c r="A38556" s="56"/>
    </row>
    <row r="38557" spans="1:1">
      <c r="A38557" s="56"/>
    </row>
    <row r="38558" spans="1:1">
      <c r="A38558" s="56"/>
    </row>
    <row r="38559" spans="1:1">
      <c r="A38559" s="56"/>
    </row>
    <row r="38560" spans="1:1">
      <c r="A38560" s="56"/>
    </row>
    <row r="38561" spans="1:1">
      <c r="A38561" s="56"/>
    </row>
    <row r="38562" spans="1:1">
      <c r="A38562" s="56"/>
    </row>
    <row r="38563" spans="1:1">
      <c r="A38563" s="56"/>
    </row>
    <row r="38564" spans="1:1">
      <c r="A38564" s="56"/>
    </row>
    <row r="38565" spans="1:1">
      <c r="A38565" s="56"/>
    </row>
    <row r="38566" spans="1:1">
      <c r="A38566" s="56"/>
    </row>
    <row r="38567" spans="1:1">
      <c r="A38567" s="56"/>
    </row>
    <row r="38568" spans="1:1">
      <c r="A38568" s="56"/>
    </row>
    <row r="38569" spans="1:1">
      <c r="A38569" s="56"/>
    </row>
    <row r="38570" spans="1:1">
      <c r="A38570" s="56"/>
    </row>
    <row r="38571" spans="1:1">
      <c r="A38571" s="56"/>
    </row>
    <row r="38572" spans="1:1">
      <c r="A38572" s="56"/>
    </row>
    <row r="38573" spans="1:1">
      <c r="A38573" s="56"/>
    </row>
    <row r="38574" spans="1:1">
      <c r="A38574" s="56"/>
    </row>
    <row r="38575" spans="1:1">
      <c r="A38575" s="56"/>
    </row>
    <row r="38576" spans="1:1">
      <c r="A38576" s="56"/>
    </row>
    <row r="38577" spans="1:1">
      <c r="A38577" s="56"/>
    </row>
    <row r="38578" spans="1:1">
      <c r="A38578" s="56"/>
    </row>
    <row r="38579" spans="1:1">
      <c r="A38579" s="56"/>
    </row>
    <row r="38580" spans="1:1">
      <c r="A38580" s="56"/>
    </row>
    <row r="38581" spans="1:1">
      <c r="A38581" s="56"/>
    </row>
    <row r="38582" spans="1:1">
      <c r="A38582" s="56"/>
    </row>
    <row r="38583" spans="1:1">
      <c r="A38583" s="56"/>
    </row>
    <row r="38584" spans="1:1">
      <c r="A38584" s="56"/>
    </row>
    <row r="38585" spans="1:1">
      <c r="A38585" s="56"/>
    </row>
    <row r="38586" spans="1:1">
      <c r="A38586" s="56"/>
    </row>
    <row r="38587" spans="1:1">
      <c r="A38587" s="56"/>
    </row>
    <row r="38588" spans="1:1">
      <c r="A38588" s="56"/>
    </row>
    <row r="38589" spans="1:1">
      <c r="A38589" s="56"/>
    </row>
    <row r="38590" spans="1:1">
      <c r="A38590" s="56"/>
    </row>
    <row r="38591" spans="1:1">
      <c r="A38591" s="56"/>
    </row>
    <row r="38592" spans="1:1">
      <c r="A38592" s="56"/>
    </row>
    <row r="38593" spans="1:1">
      <c r="A38593" s="56"/>
    </row>
    <row r="38594" spans="1:1">
      <c r="A38594" s="56"/>
    </row>
    <row r="38595" spans="1:1">
      <c r="A38595" s="56"/>
    </row>
    <row r="38596" spans="1:1">
      <c r="A38596" s="56"/>
    </row>
    <row r="38597" spans="1:1">
      <c r="A38597" s="56"/>
    </row>
    <row r="38598" spans="1:1">
      <c r="A38598" s="56"/>
    </row>
    <row r="38599" spans="1:1">
      <c r="A38599" s="56"/>
    </row>
    <row r="38600" spans="1:1">
      <c r="A38600" s="56"/>
    </row>
    <row r="38601" spans="1:1">
      <c r="A38601" s="56"/>
    </row>
    <row r="38602" spans="1:1">
      <c r="A38602" s="56"/>
    </row>
    <row r="38603" spans="1:1">
      <c r="A38603" s="56"/>
    </row>
    <row r="38604" spans="1:1">
      <c r="A38604" s="56"/>
    </row>
    <row r="38605" spans="1:1">
      <c r="A38605" s="56"/>
    </row>
    <row r="38606" spans="1:1">
      <c r="A38606" s="56"/>
    </row>
    <row r="38607" spans="1:1">
      <c r="A38607" s="56"/>
    </row>
    <row r="38608" spans="1:1">
      <c r="A38608" s="56"/>
    </row>
    <row r="38609" spans="1:1">
      <c r="A38609" s="56"/>
    </row>
    <row r="38610" spans="1:1">
      <c r="A38610" s="56"/>
    </row>
    <row r="38611" spans="1:1">
      <c r="A38611" s="56"/>
    </row>
    <row r="38612" spans="1:1">
      <c r="A38612" s="56"/>
    </row>
    <row r="38613" spans="1:1">
      <c r="A38613" s="56"/>
    </row>
    <row r="38614" spans="1:1">
      <c r="A38614" s="56"/>
    </row>
    <row r="38615" spans="1:1">
      <c r="A38615" s="56"/>
    </row>
    <row r="38616" spans="1:1">
      <c r="A38616" s="56"/>
    </row>
    <row r="38617" spans="1:1">
      <c r="A38617" s="56"/>
    </row>
    <row r="38618" spans="1:1">
      <c r="A38618" s="56"/>
    </row>
    <row r="38619" spans="1:1">
      <c r="A38619" s="56"/>
    </row>
    <row r="38620" spans="1:1">
      <c r="A38620" s="56"/>
    </row>
    <row r="38621" spans="1:1">
      <c r="A38621" s="56"/>
    </row>
    <row r="38622" spans="1:1">
      <c r="A38622" s="56"/>
    </row>
    <row r="38623" spans="1:1">
      <c r="A38623" s="56"/>
    </row>
    <row r="38624" spans="1:1">
      <c r="A38624" s="56"/>
    </row>
    <row r="38625" spans="1:1">
      <c r="A38625" s="56"/>
    </row>
    <row r="38626" spans="1:1">
      <c r="A38626" s="56"/>
    </row>
    <row r="38627" spans="1:1">
      <c r="A38627" s="56"/>
    </row>
    <row r="38628" spans="1:1">
      <c r="A38628" s="56"/>
    </row>
    <row r="38629" spans="1:1">
      <c r="A38629" s="56"/>
    </row>
    <row r="38630" spans="1:1">
      <c r="A38630" s="56"/>
    </row>
    <row r="38631" spans="1:1">
      <c r="A38631" s="56"/>
    </row>
    <row r="38632" spans="1:1">
      <c r="A38632" s="56"/>
    </row>
    <row r="38633" spans="1:1">
      <c r="A38633" s="56"/>
    </row>
    <row r="38634" spans="1:1">
      <c r="A38634" s="56"/>
    </row>
    <row r="38635" spans="1:1">
      <c r="A38635" s="56"/>
    </row>
    <row r="38636" spans="1:1">
      <c r="A38636" s="56"/>
    </row>
    <row r="38637" spans="1:1">
      <c r="A38637" s="56"/>
    </row>
    <row r="38638" spans="1:1">
      <c r="A38638" s="56"/>
    </row>
    <row r="38639" spans="1:1">
      <c r="A38639" s="56"/>
    </row>
    <row r="38640" spans="1:1">
      <c r="A38640" s="56"/>
    </row>
    <row r="38641" spans="1:1">
      <c r="A38641" s="56"/>
    </row>
    <row r="38642" spans="1:1">
      <c r="A38642" s="56"/>
    </row>
    <row r="38643" spans="1:1">
      <c r="A38643" s="56"/>
    </row>
    <row r="38644" spans="1:1">
      <c r="A38644" s="56"/>
    </row>
    <row r="38645" spans="1:1">
      <c r="A38645" s="56"/>
    </row>
    <row r="38646" spans="1:1">
      <c r="A38646" s="56"/>
    </row>
    <row r="38647" spans="1:1">
      <c r="A38647" s="56"/>
    </row>
    <row r="38648" spans="1:1">
      <c r="A38648" s="56"/>
    </row>
    <row r="38649" spans="1:1">
      <c r="A38649" s="56"/>
    </row>
    <row r="38650" spans="1:1">
      <c r="A38650" s="56"/>
    </row>
    <row r="38651" spans="1:1">
      <c r="A38651" s="56"/>
    </row>
    <row r="38652" spans="1:1">
      <c r="A38652" s="56"/>
    </row>
    <row r="38653" spans="1:1">
      <c r="A38653" s="56"/>
    </row>
    <row r="38654" spans="1:1">
      <c r="A38654" s="56"/>
    </row>
    <row r="38655" spans="1:1">
      <c r="A38655" s="56"/>
    </row>
    <row r="38656" spans="1:1">
      <c r="A38656" s="56"/>
    </row>
    <row r="38657" spans="1:1">
      <c r="A38657" s="56"/>
    </row>
    <row r="38658" spans="1:1">
      <c r="A38658" s="56"/>
    </row>
    <row r="38659" spans="1:1">
      <c r="A38659" s="56"/>
    </row>
    <row r="38660" spans="1:1">
      <c r="A38660" s="56"/>
    </row>
    <row r="38661" spans="1:1">
      <c r="A38661" s="56"/>
    </row>
    <row r="38662" spans="1:1">
      <c r="A38662" s="56"/>
    </row>
    <row r="38663" spans="1:1">
      <c r="A38663" s="56"/>
    </row>
    <row r="38664" spans="1:1">
      <c r="A38664" s="56"/>
    </row>
    <row r="38665" spans="1:1">
      <c r="A38665" s="56"/>
    </row>
    <row r="38666" spans="1:1">
      <c r="A38666" s="56"/>
    </row>
    <row r="38667" spans="1:1">
      <c r="A38667" s="56"/>
    </row>
    <row r="38668" spans="1:1">
      <c r="A38668" s="56"/>
    </row>
    <row r="38669" spans="1:1">
      <c r="A38669" s="56"/>
    </row>
    <row r="38670" spans="1:1">
      <c r="A38670" s="56"/>
    </row>
    <row r="38671" spans="1:1">
      <c r="A38671" s="56"/>
    </row>
    <row r="38672" spans="1:1">
      <c r="A38672" s="56"/>
    </row>
    <row r="38673" spans="1:1">
      <c r="A38673" s="56"/>
    </row>
    <row r="38674" spans="1:1">
      <c r="A38674" s="56"/>
    </row>
    <row r="38675" spans="1:1">
      <c r="A38675" s="56"/>
    </row>
    <row r="38676" spans="1:1">
      <c r="A38676" s="56"/>
    </row>
    <row r="38677" spans="1:1">
      <c r="A38677" s="56"/>
    </row>
    <row r="38678" spans="1:1">
      <c r="A38678" s="56"/>
    </row>
    <row r="38679" spans="1:1">
      <c r="A38679" s="56"/>
    </row>
    <row r="38680" spans="1:1">
      <c r="A38680" s="56"/>
    </row>
    <row r="38681" spans="1:1">
      <c r="A38681" s="56"/>
    </row>
    <row r="38682" spans="1:1">
      <c r="A38682" s="56"/>
    </row>
    <row r="38683" spans="1:1">
      <c r="A38683" s="56"/>
    </row>
    <row r="38684" spans="1:1">
      <c r="A38684" s="56"/>
    </row>
    <row r="38685" spans="1:1">
      <c r="A38685" s="56"/>
    </row>
    <row r="38686" spans="1:1">
      <c r="A38686" s="56"/>
    </row>
    <row r="38687" spans="1:1">
      <c r="A38687" s="56"/>
    </row>
    <row r="38688" spans="1:1">
      <c r="A38688" s="56"/>
    </row>
    <row r="38689" spans="1:1">
      <c r="A38689" s="56"/>
    </row>
    <row r="38690" spans="1:1">
      <c r="A38690" s="56"/>
    </row>
    <row r="38691" spans="1:1">
      <c r="A38691" s="56"/>
    </row>
    <row r="38692" spans="1:1">
      <c r="A38692" s="56"/>
    </row>
    <row r="38693" spans="1:1">
      <c r="A38693" s="56"/>
    </row>
    <row r="38694" spans="1:1">
      <c r="A38694" s="56"/>
    </row>
    <row r="38695" spans="1:1">
      <c r="A38695" s="56"/>
    </row>
    <row r="38696" spans="1:1">
      <c r="A38696" s="56"/>
    </row>
    <row r="38697" spans="1:1">
      <c r="A38697" s="56"/>
    </row>
    <row r="38698" spans="1:1">
      <c r="A38698" s="56"/>
    </row>
    <row r="38699" spans="1:1">
      <c r="A38699" s="56"/>
    </row>
    <row r="38700" spans="1:1">
      <c r="A38700" s="56"/>
    </row>
    <row r="38701" spans="1:1">
      <c r="A38701" s="56"/>
    </row>
    <row r="38702" spans="1:1">
      <c r="A38702" s="56"/>
    </row>
    <row r="38703" spans="1:1">
      <c r="A38703" s="56"/>
    </row>
    <row r="38704" spans="1:1">
      <c r="A38704" s="56"/>
    </row>
    <row r="38705" spans="1:1">
      <c r="A38705" s="56"/>
    </row>
    <row r="38706" spans="1:1">
      <c r="A38706" s="56"/>
    </row>
    <row r="38707" spans="1:1">
      <c r="A38707" s="56"/>
    </row>
    <row r="38708" spans="1:1">
      <c r="A38708" s="56"/>
    </row>
    <row r="38709" spans="1:1">
      <c r="A38709" s="56"/>
    </row>
    <row r="38710" spans="1:1">
      <c r="A38710" s="56"/>
    </row>
    <row r="38711" spans="1:1">
      <c r="A38711" s="56"/>
    </row>
    <row r="38712" spans="1:1">
      <c r="A38712" s="56"/>
    </row>
    <row r="38713" spans="1:1">
      <c r="A38713" s="56"/>
    </row>
    <row r="38714" spans="1:1">
      <c r="A38714" s="56"/>
    </row>
    <row r="38715" spans="1:1">
      <c r="A38715" s="56"/>
    </row>
    <row r="38716" spans="1:1">
      <c r="A38716" s="56"/>
    </row>
    <row r="38717" spans="1:1">
      <c r="A38717" s="56"/>
    </row>
    <row r="38718" spans="1:1">
      <c r="A38718" s="56"/>
    </row>
    <row r="38719" spans="1:1">
      <c r="A38719" s="56"/>
    </row>
    <row r="38720" spans="1:1">
      <c r="A38720" s="56"/>
    </row>
    <row r="38721" spans="1:1">
      <c r="A38721" s="56"/>
    </row>
    <row r="38722" spans="1:1">
      <c r="A38722" s="56"/>
    </row>
    <row r="38723" spans="1:1">
      <c r="A38723" s="56"/>
    </row>
    <row r="38724" spans="1:1">
      <c r="A38724" s="56"/>
    </row>
    <row r="38725" spans="1:1">
      <c r="A38725" s="56"/>
    </row>
    <row r="38726" spans="1:1">
      <c r="A38726" s="56"/>
    </row>
    <row r="38727" spans="1:1">
      <c r="A38727" s="56"/>
    </row>
    <row r="38728" spans="1:1">
      <c r="A38728" s="56"/>
    </row>
    <row r="38729" spans="1:1">
      <c r="A38729" s="56"/>
    </row>
    <row r="38730" spans="1:1">
      <c r="A38730" s="56"/>
    </row>
    <row r="38731" spans="1:1">
      <c r="A38731" s="56"/>
    </row>
    <row r="38732" spans="1:1">
      <c r="A38732" s="56"/>
    </row>
    <row r="38733" spans="1:1">
      <c r="A38733" s="56"/>
    </row>
    <row r="38734" spans="1:1">
      <c r="A38734" s="56"/>
    </row>
    <row r="38735" spans="1:1">
      <c r="A38735" s="56"/>
    </row>
    <row r="38736" spans="1:1">
      <c r="A38736" s="56"/>
    </row>
    <row r="38737" spans="1:1">
      <c r="A38737" s="56"/>
    </row>
    <row r="38738" spans="1:1">
      <c r="A38738" s="56"/>
    </row>
    <row r="38739" spans="1:1">
      <c r="A38739" s="56"/>
    </row>
    <row r="38740" spans="1:1">
      <c r="A38740" s="56"/>
    </row>
    <row r="38741" spans="1:1">
      <c r="A38741" s="56"/>
    </row>
    <row r="38742" spans="1:1">
      <c r="A38742" s="56"/>
    </row>
    <row r="38743" spans="1:1">
      <c r="A38743" s="56"/>
    </row>
    <row r="38744" spans="1:1">
      <c r="A38744" s="56"/>
    </row>
    <row r="38745" spans="1:1">
      <c r="A38745" s="56"/>
    </row>
    <row r="38746" spans="1:1">
      <c r="A38746" s="56"/>
    </row>
    <row r="38747" spans="1:1">
      <c r="A38747" s="56"/>
    </row>
    <row r="38748" spans="1:1">
      <c r="A38748" s="56"/>
    </row>
    <row r="38749" spans="1:1">
      <c r="A38749" s="56"/>
    </row>
    <row r="38750" spans="1:1">
      <c r="A38750" s="56"/>
    </row>
    <row r="38751" spans="1:1">
      <c r="A38751" s="56"/>
    </row>
    <row r="38752" spans="1:1">
      <c r="A38752" s="56"/>
    </row>
    <row r="38753" spans="1:1">
      <c r="A38753" s="56"/>
    </row>
    <row r="38754" spans="1:1">
      <c r="A38754" s="56"/>
    </row>
    <row r="38755" spans="1:1">
      <c r="A38755" s="56"/>
    </row>
    <row r="38756" spans="1:1">
      <c r="A38756" s="56"/>
    </row>
    <row r="38757" spans="1:1">
      <c r="A38757" s="56"/>
    </row>
    <row r="38758" spans="1:1">
      <c r="A38758" s="56"/>
    </row>
    <row r="38759" spans="1:1">
      <c r="A38759" s="56"/>
    </row>
    <row r="38760" spans="1:1">
      <c r="A38760" s="56"/>
    </row>
    <row r="38761" spans="1:1">
      <c r="A38761" s="56"/>
    </row>
    <row r="38762" spans="1:1">
      <c r="A38762" s="56"/>
    </row>
    <row r="38763" spans="1:1">
      <c r="A38763" s="56"/>
    </row>
    <row r="38764" spans="1:1">
      <c r="A38764" s="56"/>
    </row>
    <row r="38765" spans="1:1">
      <c r="A38765" s="56"/>
    </row>
    <row r="38766" spans="1:1">
      <c r="A38766" s="56"/>
    </row>
    <row r="38767" spans="1:1">
      <c r="A38767" s="56"/>
    </row>
    <row r="38768" spans="1:1">
      <c r="A38768" s="56"/>
    </row>
    <row r="38769" spans="1:1">
      <c r="A38769" s="56"/>
    </row>
    <row r="38770" spans="1:1">
      <c r="A38770" s="56"/>
    </row>
    <row r="38771" spans="1:1">
      <c r="A38771" s="56"/>
    </row>
    <row r="38772" spans="1:1">
      <c r="A38772" s="56"/>
    </row>
    <row r="38773" spans="1:1">
      <c r="A38773" s="56"/>
    </row>
    <row r="38774" spans="1:1">
      <c r="A38774" s="56"/>
    </row>
    <row r="38775" spans="1:1">
      <c r="A38775" s="56"/>
    </row>
    <row r="38776" spans="1:1">
      <c r="A38776" s="56"/>
    </row>
    <row r="38777" spans="1:1">
      <c r="A38777" s="56"/>
    </row>
    <row r="38778" spans="1:1">
      <c r="A38778" s="56"/>
    </row>
    <row r="38779" spans="1:1">
      <c r="A38779" s="56"/>
    </row>
    <row r="38780" spans="1:1">
      <c r="A38780" s="56"/>
    </row>
    <row r="38781" spans="1:1">
      <c r="A38781" s="56"/>
    </row>
    <row r="38782" spans="1:1">
      <c r="A38782" s="56"/>
    </row>
    <row r="38783" spans="1:1">
      <c r="A38783" s="56"/>
    </row>
    <row r="38784" spans="1:1">
      <c r="A38784" s="56"/>
    </row>
    <row r="38785" spans="1:1">
      <c r="A38785" s="56"/>
    </row>
    <row r="38786" spans="1:1">
      <c r="A38786" s="56"/>
    </row>
    <row r="38787" spans="1:1">
      <c r="A38787" s="56"/>
    </row>
    <row r="38788" spans="1:1">
      <c r="A38788" s="56"/>
    </row>
    <row r="38789" spans="1:1">
      <c r="A38789" s="56"/>
    </row>
    <row r="38790" spans="1:1">
      <c r="A38790" s="56"/>
    </row>
    <row r="38791" spans="1:1">
      <c r="A38791" s="56"/>
    </row>
    <row r="38792" spans="1:1">
      <c r="A38792" s="56"/>
    </row>
    <row r="38793" spans="1:1">
      <c r="A38793" s="56"/>
    </row>
    <row r="38794" spans="1:1">
      <c r="A38794" s="56"/>
    </row>
    <row r="38795" spans="1:1">
      <c r="A38795" s="56"/>
    </row>
    <row r="38796" spans="1:1">
      <c r="A38796" s="56"/>
    </row>
    <row r="38797" spans="1:1">
      <c r="A38797" s="56"/>
    </row>
    <row r="38798" spans="1:1">
      <c r="A38798" s="56"/>
    </row>
    <row r="38799" spans="1:1">
      <c r="A38799" s="56"/>
    </row>
    <row r="38800" spans="1:1">
      <c r="A38800" s="56"/>
    </row>
    <row r="38801" spans="1:1">
      <c r="A38801" s="56"/>
    </row>
    <row r="38802" spans="1:1">
      <c r="A38802" s="56"/>
    </row>
    <row r="38803" spans="1:1">
      <c r="A38803" s="56"/>
    </row>
    <row r="38804" spans="1:1">
      <c r="A38804" s="56"/>
    </row>
    <row r="38805" spans="1:1">
      <c r="A38805" s="56"/>
    </row>
    <row r="38806" spans="1:1">
      <c r="A38806" s="56"/>
    </row>
    <row r="38807" spans="1:1">
      <c r="A38807" s="56"/>
    </row>
    <row r="38808" spans="1:1">
      <c r="A38808" s="56"/>
    </row>
    <row r="38809" spans="1:1">
      <c r="A38809" s="56"/>
    </row>
    <row r="38810" spans="1:1">
      <c r="A38810" s="56"/>
    </row>
    <row r="38811" spans="1:1">
      <c r="A38811" s="56"/>
    </row>
    <row r="38812" spans="1:1">
      <c r="A38812" s="56"/>
    </row>
    <row r="38813" spans="1:1">
      <c r="A38813" s="56"/>
    </row>
    <row r="38814" spans="1:1">
      <c r="A38814" s="56"/>
    </row>
    <row r="38815" spans="1:1">
      <c r="A38815" s="56"/>
    </row>
    <row r="38816" spans="1:1">
      <c r="A38816" s="56"/>
    </row>
    <row r="38817" spans="1:1">
      <c r="A38817" s="56"/>
    </row>
    <row r="38818" spans="1:1">
      <c r="A38818" s="56"/>
    </row>
    <row r="38819" spans="1:1">
      <c r="A38819" s="56"/>
    </row>
    <row r="38820" spans="1:1">
      <c r="A38820" s="56"/>
    </row>
    <row r="38821" spans="1:1">
      <c r="A38821" s="56"/>
    </row>
    <row r="38822" spans="1:1">
      <c r="A38822" s="56"/>
    </row>
    <row r="38823" spans="1:1">
      <c r="A38823" s="56"/>
    </row>
    <row r="38824" spans="1:1">
      <c r="A38824" s="56"/>
    </row>
    <row r="38825" spans="1:1">
      <c r="A38825" s="56"/>
    </row>
    <row r="38826" spans="1:1">
      <c r="A38826" s="56"/>
    </row>
    <row r="38827" spans="1:1">
      <c r="A38827" s="56"/>
    </row>
    <row r="38828" spans="1:1">
      <c r="A38828" s="56"/>
    </row>
    <row r="38829" spans="1:1">
      <c r="A38829" s="56"/>
    </row>
    <row r="38830" spans="1:1">
      <c r="A38830" s="56"/>
    </row>
    <row r="38831" spans="1:1">
      <c r="A38831" s="56"/>
    </row>
    <row r="38832" spans="1:1">
      <c r="A38832" s="56"/>
    </row>
    <row r="38833" spans="1:1">
      <c r="A38833" s="56"/>
    </row>
    <row r="38834" spans="1:1">
      <c r="A38834" s="56"/>
    </row>
    <row r="38835" spans="1:1">
      <c r="A38835" s="56"/>
    </row>
    <row r="38836" spans="1:1">
      <c r="A38836" s="56"/>
    </row>
    <row r="38837" spans="1:1">
      <c r="A38837" s="56"/>
    </row>
    <row r="38838" spans="1:1">
      <c r="A38838" s="56"/>
    </row>
    <row r="38839" spans="1:1">
      <c r="A38839" s="56"/>
    </row>
    <row r="38840" spans="1:1">
      <c r="A38840" s="56"/>
    </row>
    <row r="38841" spans="1:1">
      <c r="A38841" s="56"/>
    </row>
    <row r="38842" spans="1:1">
      <c r="A38842" s="56"/>
    </row>
    <row r="38843" spans="1:1">
      <c r="A38843" s="56"/>
    </row>
    <row r="38844" spans="1:1">
      <c r="A38844" s="56"/>
    </row>
    <row r="38845" spans="1:1">
      <c r="A38845" s="56"/>
    </row>
    <row r="38846" spans="1:1">
      <c r="A38846" s="56"/>
    </row>
    <row r="38847" spans="1:1">
      <c r="A38847" s="56"/>
    </row>
    <row r="38848" spans="1:1">
      <c r="A38848" s="56"/>
    </row>
    <row r="38849" spans="1:1">
      <c r="A38849" s="56"/>
    </row>
    <row r="38850" spans="1:1">
      <c r="A38850" s="56"/>
    </row>
    <row r="38851" spans="1:1">
      <c r="A38851" s="56"/>
    </row>
    <row r="38852" spans="1:1">
      <c r="A38852" s="56"/>
    </row>
    <row r="38853" spans="1:1">
      <c r="A38853" s="56"/>
    </row>
    <row r="38854" spans="1:1">
      <c r="A38854" s="56"/>
    </row>
    <row r="38855" spans="1:1">
      <c r="A38855" s="56"/>
    </row>
    <row r="38856" spans="1:1">
      <c r="A38856" s="56"/>
    </row>
    <row r="38857" spans="1:1">
      <c r="A38857" s="56"/>
    </row>
    <row r="38858" spans="1:1">
      <c r="A38858" s="56"/>
    </row>
    <row r="38859" spans="1:1">
      <c r="A38859" s="56"/>
    </row>
    <row r="38860" spans="1:1">
      <c r="A38860" s="56"/>
    </row>
    <row r="38861" spans="1:1">
      <c r="A38861" s="56"/>
    </row>
    <row r="38862" spans="1:1">
      <c r="A38862" s="56"/>
    </row>
    <row r="38863" spans="1:1">
      <c r="A38863" s="56"/>
    </row>
    <row r="38864" spans="1:1">
      <c r="A38864" s="56"/>
    </row>
    <row r="38865" spans="1:1">
      <c r="A38865" s="56"/>
    </row>
    <row r="38866" spans="1:1">
      <c r="A38866" s="56"/>
    </row>
    <row r="38867" spans="1:1">
      <c r="A38867" s="56"/>
    </row>
    <row r="38868" spans="1:1">
      <c r="A38868" s="56"/>
    </row>
    <row r="38869" spans="1:1">
      <c r="A38869" s="56"/>
    </row>
    <row r="38870" spans="1:1">
      <c r="A38870" s="56"/>
    </row>
    <row r="38871" spans="1:1">
      <c r="A38871" s="56"/>
    </row>
    <row r="38872" spans="1:1">
      <c r="A38872" s="56"/>
    </row>
    <row r="38873" spans="1:1">
      <c r="A38873" s="56"/>
    </row>
    <row r="38874" spans="1:1">
      <c r="A38874" s="56"/>
    </row>
    <row r="38875" spans="1:1">
      <c r="A38875" s="56"/>
    </row>
    <row r="38876" spans="1:1">
      <c r="A38876" s="56"/>
    </row>
    <row r="38877" spans="1:1">
      <c r="A38877" s="56"/>
    </row>
    <row r="38878" spans="1:1">
      <c r="A38878" s="56"/>
    </row>
    <row r="38879" spans="1:1">
      <c r="A38879" s="56"/>
    </row>
    <row r="38880" spans="1:1">
      <c r="A38880" s="56"/>
    </row>
    <row r="38881" spans="1:1">
      <c r="A38881" s="56"/>
    </row>
    <row r="38882" spans="1:1">
      <c r="A38882" s="56"/>
    </row>
    <row r="38883" spans="1:1">
      <c r="A38883" s="56"/>
    </row>
    <row r="38884" spans="1:1">
      <c r="A38884" s="56"/>
    </row>
    <row r="38885" spans="1:1">
      <c r="A38885" s="56"/>
    </row>
    <row r="38886" spans="1:1">
      <c r="A38886" s="56"/>
    </row>
    <row r="38887" spans="1:1">
      <c r="A38887" s="56"/>
    </row>
    <row r="38888" spans="1:1">
      <c r="A38888" s="56"/>
    </row>
    <row r="38889" spans="1:1">
      <c r="A38889" s="56"/>
    </row>
    <row r="38890" spans="1:1">
      <c r="A38890" s="56"/>
    </row>
    <row r="38891" spans="1:1">
      <c r="A38891" s="56"/>
    </row>
    <row r="38892" spans="1:1">
      <c r="A38892" s="56"/>
    </row>
    <row r="38893" spans="1:1">
      <c r="A38893" s="56"/>
    </row>
    <row r="38894" spans="1:1">
      <c r="A38894" s="56"/>
    </row>
    <row r="38895" spans="1:1">
      <c r="A38895" s="56"/>
    </row>
    <row r="38896" spans="1:1">
      <c r="A38896" s="56"/>
    </row>
    <row r="38897" spans="1:1">
      <c r="A38897" s="56"/>
    </row>
    <row r="38898" spans="1:1">
      <c r="A38898" s="56"/>
    </row>
    <row r="38899" spans="1:1">
      <c r="A38899" s="56"/>
    </row>
    <row r="38900" spans="1:1">
      <c r="A38900" s="56"/>
    </row>
    <row r="38901" spans="1:1">
      <c r="A38901" s="56"/>
    </row>
    <row r="38902" spans="1:1">
      <c r="A38902" s="56"/>
    </row>
    <row r="38903" spans="1:1">
      <c r="A38903" s="56"/>
    </row>
    <row r="38904" spans="1:1">
      <c r="A38904" s="56"/>
    </row>
    <row r="38905" spans="1:1">
      <c r="A38905" s="56"/>
    </row>
    <row r="38906" spans="1:1">
      <c r="A38906" s="56"/>
    </row>
    <row r="38907" spans="1:1">
      <c r="A38907" s="56"/>
    </row>
    <row r="38908" spans="1:1">
      <c r="A38908" s="56"/>
    </row>
    <row r="38909" spans="1:1">
      <c r="A38909" s="56"/>
    </row>
    <row r="38910" spans="1:1">
      <c r="A38910" s="56"/>
    </row>
    <row r="38911" spans="1:1">
      <c r="A38911" s="56"/>
    </row>
    <row r="38912" spans="1:1">
      <c r="A38912" s="56"/>
    </row>
    <row r="38913" spans="1:1">
      <c r="A38913" s="56"/>
    </row>
    <row r="38914" spans="1:1">
      <c r="A38914" s="56"/>
    </row>
    <row r="38915" spans="1:1">
      <c r="A38915" s="56"/>
    </row>
    <row r="38916" spans="1:1">
      <c r="A38916" s="56"/>
    </row>
    <row r="38917" spans="1:1">
      <c r="A38917" s="56"/>
    </row>
    <row r="38918" spans="1:1">
      <c r="A38918" s="56"/>
    </row>
    <row r="38919" spans="1:1">
      <c r="A38919" s="56"/>
    </row>
    <row r="38920" spans="1:1">
      <c r="A38920" s="56"/>
    </row>
    <row r="38921" spans="1:1">
      <c r="A38921" s="56"/>
    </row>
    <row r="38922" spans="1:1">
      <c r="A38922" s="56"/>
    </row>
    <row r="38923" spans="1:1">
      <c r="A38923" s="56"/>
    </row>
    <row r="38924" spans="1:1">
      <c r="A38924" s="56"/>
    </row>
    <row r="38925" spans="1:1">
      <c r="A38925" s="56"/>
    </row>
    <row r="38926" spans="1:1">
      <c r="A38926" s="56"/>
    </row>
    <row r="38927" spans="1:1">
      <c r="A38927" s="56"/>
    </row>
    <row r="38928" spans="1:1">
      <c r="A38928" s="56"/>
    </row>
    <row r="38929" spans="1:1">
      <c r="A38929" s="56"/>
    </row>
    <row r="38930" spans="1:1">
      <c r="A38930" s="56"/>
    </row>
    <row r="38931" spans="1:1">
      <c r="A38931" s="56"/>
    </row>
    <row r="38932" spans="1:1">
      <c r="A38932" s="56"/>
    </row>
    <row r="38933" spans="1:1">
      <c r="A38933" s="56"/>
    </row>
    <row r="38934" spans="1:1">
      <c r="A38934" s="56"/>
    </row>
    <row r="38935" spans="1:1">
      <c r="A38935" s="56"/>
    </row>
    <row r="38936" spans="1:1">
      <c r="A38936" s="56"/>
    </row>
    <row r="38937" spans="1:1">
      <c r="A38937" s="56"/>
    </row>
    <row r="38938" spans="1:1">
      <c r="A38938" s="56"/>
    </row>
    <row r="38939" spans="1:1">
      <c r="A38939" s="56"/>
    </row>
    <row r="38940" spans="1:1">
      <c r="A38940" s="56"/>
    </row>
    <row r="38941" spans="1:1">
      <c r="A38941" s="56"/>
    </row>
    <row r="38942" spans="1:1">
      <c r="A38942" s="56"/>
    </row>
    <row r="38943" spans="1:1">
      <c r="A38943" s="56"/>
    </row>
    <row r="38944" spans="1:1">
      <c r="A38944" s="56"/>
    </row>
    <row r="38945" spans="1:1">
      <c r="A38945" s="56"/>
    </row>
    <row r="38946" spans="1:1">
      <c r="A38946" s="56"/>
    </row>
    <row r="38947" spans="1:1">
      <c r="A38947" s="56"/>
    </row>
    <row r="38948" spans="1:1">
      <c r="A38948" s="56"/>
    </row>
    <row r="38949" spans="1:1">
      <c r="A38949" s="56"/>
    </row>
    <row r="38950" spans="1:1">
      <c r="A38950" s="56"/>
    </row>
    <row r="38951" spans="1:1">
      <c r="A38951" s="56"/>
    </row>
    <row r="38952" spans="1:1">
      <c r="A38952" s="56"/>
    </row>
    <row r="38953" spans="1:1">
      <c r="A38953" s="56"/>
    </row>
    <row r="38954" spans="1:1">
      <c r="A38954" s="56"/>
    </row>
    <row r="38955" spans="1:1">
      <c r="A38955" s="56"/>
    </row>
    <row r="38956" spans="1:1">
      <c r="A38956" s="56"/>
    </row>
    <row r="38957" spans="1:1">
      <c r="A38957" s="56"/>
    </row>
    <row r="38958" spans="1:1">
      <c r="A38958" s="56"/>
    </row>
    <row r="38959" spans="1:1">
      <c r="A38959" s="56"/>
    </row>
    <row r="38960" spans="1:1">
      <c r="A38960" s="56"/>
    </row>
    <row r="38961" spans="1:1">
      <c r="A38961" s="56"/>
    </row>
    <row r="38962" spans="1:1">
      <c r="A38962" s="56"/>
    </row>
    <row r="38963" spans="1:1">
      <c r="A38963" s="56"/>
    </row>
    <row r="38964" spans="1:1">
      <c r="A38964" s="56"/>
    </row>
    <row r="38965" spans="1:1">
      <c r="A38965" s="56"/>
    </row>
    <row r="38966" spans="1:1">
      <c r="A38966" s="56"/>
    </row>
    <row r="38967" spans="1:1">
      <c r="A38967" s="56"/>
    </row>
    <row r="38968" spans="1:1">
      <c r="A38968" s="56"/>
    </row>
    <row r="38969" spans="1:1">
      <c r="A38969" s="56"/>
    </row>
    <row r="38970" spans="1:1">
      <c r="A38970" s="56"/>
    </row>
    <row r="38971" spans="1:1">
      <c r="A38971" s="56"/>
    </row>
    <row r="38972" spans="1:1">
      <c r="A38972" s="56"/>
    </row>
    <row r="38973" spans="1:1">
      <c r="A38973" s="56"/>
    </row>
    <row r="38974" spans="1:1">
      <c r="A38974" s="56"/>
    </row>
    <row r="38975" spans="1:1">
      <c r="A38975" s="56"/>
    </row>
    <row r="38976" spans="1:1">
      <c r="A38976" s="56"/>
    </row>
    <row r="38977" spans="1:1">
      <c r="A38977" s="56"/>
    </row>
    <row r="38978" spans="1:1">
      <c r="A38978" s="56"/>
    </row>
    <row r="38979" spans="1:1">
      <c r="A38979" s="56"/>
    </row>
    <row r="38980" spans="1:1">
      <c r="A38980" s="56"/>
    </row>
    <row r="38981" spans="1:1">
      <c r="A38981" s="56"/>
    </row>
    <row r="38982" spans="1:1">
      <c r="A38982" s="56"/>
    </row>
    <row r="38983" spans="1:1">
      <c r="A38983" s="56"/>
    </row>
    <row r="38984" spans="1:1">
      <c r="A38984" s="56"/>
    </row>
    <row r="38985" spans="1:1">
      <c r="A38985" s="56"/>
    </row>
    <row r="38986" spans="1:1">
      <c r="A38986" s="56"/>
    </row>
    <row r="38987" spans="1:1">
      <c r="A38987" s="56"/>
    </row>
    <row r="38988" spans="1:1">
      <c r="A38988" s="56"/>
    </row>
    <row r="38989" spans="1:1">
      <c r="A38989" s="56"/>
    </row>
    <row r="38990" spans="1:1">
      <c r="A38990" s="56"/>
    </row>
    <row r="38991" spans="1:1">
      <c r="A38991" s="56"/>
    </row>
    <row r="38992" spans="1:1">
      <c r="A38992" s="56"/>
    </row>
    <row r="38993" spans="1:1">
      <c r="A38993" s="56"/>
    </row>
    <row r="38994" spans="1:1">
      <c r="A38994" s="56"/>
    </row>
    <row r="38995" spans="1:1">
      <c r="A38995" s="56"/>
    </row>
    <row r="38996" spans="1:1">
      <c r="A38996" s="56"/>
    </row>
    <row r="38997" spans="1:1">
      <c r="A38997" s="56"/>
    </row>
    <row r="38998" spans="1:1">
      <c r="A38998" s="56"/>
    </row>
    <row r="38999" spans="1:1">
      <c r="A38999" s="56"/>
    </row>
    <row r="39000" spans="1:1">
      <c r="A39000" s="56"/>
    </row>
    <row r="39001" spans="1:1">
      <c r="A39001" s="56"/>
    </row>
    <row r="39002" spans="1:1">
      <c r="A39002" s="56"/>
    </row>
    <row r="39003" spans="1:1">
      <c r="A39003" s="56"/>
    </row>
    <row r="39004" spans="1:1">
      <c r="A39004" s="56"/>
    </row>
    <row r="39005" spans="1:1">
      <c r="A39005" s="56"/>
    </row>
    <row r="39006" spans="1:1">
      <c r="A39006" s="56"/>
    </row>
    <row r="39007" spans="1:1">
      <c r="A39007" s="56"/>
    </row>
    <row r="39008" spans="1:1">
      <c r="A39008" s="56"/>
    </row>
    <row r="39009" spans="1:1">
      <c r="A39009" s="56"/>
    </row>
    <row r="39010" spans="1:1">
      <c r="A39010" s="56"/>
    </row>
    <row r="39011" spans="1:1">
      <c r="A39011" s="56"/>
    </row>
    <row r="39012" spans="1:1">
      <c r="A39012" s="56"/>
    </row>
    <row r="39013" spans="1:1">
      <c r="A39013" s="56"/>
    </row>
    <row r="39014" spans="1:1">
      <c r="A39014" s="56"/>
    </row>
    <row r="39015" spans="1:1">
      <c r="A39015" s="56"/>
    </row>
    <row r="39016" spans="1:1">
      <c r="A39016" s="56"/>
    </row>
    <row r="39017" spans="1:1">
      <c r="A39017" s="56"/>
    </row>
    <row r="39018" spans="1:1">
      <c r="A39018" s="56"/>
    </row>
    <row r="39019" spans="1:1">
      <c r="A39019" s="56"/>
    </row>
    <row r="39020" spans="1:1">
      <c r="A39020" s="56"/>
    </row>
    <row r="39021" spans="1:1">
      <c r="A39021" s="56"/>
    </row>
    <row r="39022" spans="1:1">
      <c r="A39022" s="56"/>
    </row>
    <row r="39023" spans="1:1">
      <c r="A39023" s="56"/>
    </row>
    <row r="39024" spans="1:1">
      <c r="A39024" s="56"/>
    </row>
    <row r="39025" spans="1:1">
      <c r="A39025" s="56"/>
    </row>
    <row r="39026" spans="1:1">
      <c r="A39026" s="56"/>
    </row>
    <row r="39027" spans="1:1">
      <c r="A39027" s="56"/>
    </row>
    <row r="39028" spans="1:1">
      <c r="A39028" s="56"/>
    </row>
    <row r="39029" spans="1:1">
      <c r="A39029" s="56"/>
    </row>
    <row r="39030" spans="1:1">
      <c r="A39030" s="56"/>
    </row>
    <row r="39031" spans="1:1">
      <c r="A39031" s="56"/>
    </row>
    <row r="39032" spans="1:1">
      <c r="A39032" s="56"/>
    </row>
    <row r="39033" spans="1:1">
      <c r="A39033" s="56"/>
    </row>
    <row r="39034" spans="1:1">
      <c r="A39034" s="56"/>
    </row>
    <row r="39035" spans="1:1">
      <c r="A39035" s="56"/>
    </row>
    <row r="39036" spans="1:1">
      <c r="A39036" s="56"/>
    </row>
    <row r="39037" spans="1:1">
      <c r="A39037" s="56"/>
    </row>
    <row r="39038" spans="1:1">
      <c r="A39038" s="56"/>
    </row>
    <row r="39039" spans="1:1">
      <c r="A39039" s="56"/>
    </row>
    <row r="39040" spans="1:1">
      <c r="A39040" s="56"/>
    </row>
    <row r="39041" spans="1:1">
      <c r="A39041" s="56"/>
    </row>
    <row r="39042" spans="1:1">
      <c r="A39042" s="56"/>
    </row>
    <row r="39043" spans="1:1">
      <c r="A39043" s="56"/>
    </row>
    <row r="39044" spans="1:1">
      <c r="A39044" s="56"/>
    </row>
    <row r="39045" spans="1:1">
      <c r="A39045" s="56"/>
    </row>
    <row r="39046" spans="1:1">
      <c r="A39046" s="56"/>
    </row>
    <row r="39047" spans="1:1">
      <c r="A39047" s="56"/>
    </row>
    <row r="39048" spans="1:1">
      <c r="A39048" s="56"/>
    </row>
    <row r="39049" spans="1:1">
      <c r="A39049" s="56"/>
    </row>
    <row r="39050" spans="1:1">
      <c r="A39050" s="56"/>
    </row>
    <row r="39051" spans="1:1">
      <c r="A39051" s="56"/>
    </row>
    <row r="39052" spans="1:1">
      <c r="A39052" s="56"/>
    </row>
    <row r="39053" spans="1:1">
      <c r="A39053" s="56"/>
    </row>
    <row r="39054" spans="1:1">
      <c r="A39054" s="56"/>
    </row>
    <row r="39055" spans="1:1">
      <c r="A39055" s="56"/>
    </row>
    <row r="39056" spans="1:1">
      <c r="A39056" s="56"/>
    </row>
    <row r="39057" spans="1:1">
      <c r="A39057" s="56"/>
    </row>
    <row r="39058" spans="1:1">
      <c r="A39058" s="56"/>
    </row>
    <row r="39059" spans="1:1">
      <c r="A39059" s="56"/>
    </row>
    <row r="39060" spans="1:1">
      <c r="A39060" s="56"/>
    </row>
    <row r="39061" spans="1:1">
      <c r="A39061" s="56"/>
    </row>
    <row r="39062" spans="1:1">
      <c r="A39062" s="56"/>
    </row>
    <row r="39063" spans="1:1">
      <c r="A39063" s="56"/>
    </row>
    <row r="39064" spans="1:1">
      <c r="A39064" s="56"/>
    </row>
    <row r="39065" spans="1:1">
      <c r="A39065" s="56"/>
    </row>
    <row r="39066" spans="1:1">
      <c r="A39066" s="56"/>
    </row>
    <row r="39067" spans="1:1">
      <c r="A39067" s="56"/>
    </row>
    <row r="39068" spans="1:1">
      <c r="A39068" s="56"/>
    </row>
    <row r="39069" spans="1:1">
      <c r="A39069" s="56"/>
    </row>
    <row r="39070" spans="1:1">
      <c r="A39070" s="56"/>
    </row>
    <row r="39071" spans="1:1">
      <c r="A39071" s="56"/>
    </row>
    <row r="39072" spans="1:1">
      <c r="A39072" s="56"/>
    </row>
    <row r="39073" spans="1:1">
      <c r="A39073" s="56"/>
    </row>
    <row r="39074" spans="1:1">
      <c r="A39074" s="56"/>
    </row>
    <row r="39075" spans="1:1">
      <c r="A39075" s="56"/>
    </row>
    <row r="39076" spans="1:1">
      <c r="A39076" s="56"/>
    </row>
    <row r="39077" spans="1:1">
      <c r="A39077" s="56"/>
    </row>
    <row r="39078" spans="1:1">
      <c r="A39078" s="56"/>
    </row>
    <row r="39079" spans="1:1">
      <c r="A39079" s="56"/>
    </row>
    <row r="39080" spans="1:1">
      <c r="A39080" s="56"/>
    </row>
    <row r="39081" spans="1:1">
      <c r="A39081" s="56"/>
    </row>
    <row r="39082" spans="1:1">
      <c r="A39082" s="56"/>
    </row>
    <row r="39083" spans="1:1">
      <c r="A39083" s="56"/>
    </row>
    <row r="39084" spans="1:1">
      <c r="A39084" s="56"/>
    </row>
    <row r="39085" spans="1:1">
      <c r="A39085" s="56"/>
    </row>
    <row r="39086" spans="1:1">
      <c r="A39086" s="56"/>
    </row>
    <row r="39087" spans="1:1">
      <c r="A39087" s="56"/>
    </row>
    <row r="39088" spans="1:1">
      <c r="A39088" s="56"/>
    </row>
    <row r="39089" spans="1:1">
      <c r="A39089" s="56"/>
    </row>
    <row r="39090" spans="1:1">
      <c r="A39090" s="56"/>
    </row>
    <row r="39091" spans="1:1">
      <c r="A39091" s="56"/>
    </row>
    <row r="39092" spans="1:1">
      <c r="A39092" s="56"/>
    </row>
    <row r="39093" spans="1:1">
      <c r="A39093" s="56"/>
    </row>
    <row r="39094" spans="1:1">
      <c r="A39094" s="56"/>
    </row>
    <row r="39095" spans="1:1">
      <c r="A39095" s="56"/>
    </row>
    <row r="39096" spans="1:1">
      <c r="A39096" s="56"/>
    </row>
    <row r="39097" spans="1:1">
      <c r="A39097" s="56"/>
    </row>
    <row r="39098" spans="1:1">
      <c r="A39098" s="56"/>
    </row>
    <row r="39099" spans="1:1">
      <c r="A39099" s="56"/>
    </row>
    <row r="39100" spans="1:1">
      <c r="A39100" s="56"/>
    </row>
    <row r="39101" spans="1:1">
      <c r="A39101" s="56"/>
    </row>
    <row r="39102" spans="1:1">
      <c r="A39102" s="56"/>
    </row>
    <row r="39103" spans="1:1">
      <c r="A39103" s="56"/>
    </row>
    <row r="39104" spans="1:1">
      <c r="A39104" s="56"/>
    </row>
    <row r="39105" spans="1:1">
      <c r="A39105" s="56"/>
    </row>
    <row r="39106" spans="1:1">
      <c r="A39106" s="56"/>
    </row>
    <row r="39107" spans="1:1">
      <c r="A39107" s="56"/>
    </row>
    <row r="39108" spans="1:1">
      <c r="A39108" s="56"/>
    </row>
    <row r="39109" spans="1:1">
      <c r="A39109" s="56"/>
    </row>
    <row r="39110" spans="1:1">
      <c r="A39110" s="56"/>
    </row>
    <row r="39111" spans="1:1">
      <c r="A39111" s="56"/>
    </row>
    <row r="39112" spans="1:1">
      <c r="A39112" s="56"/>
    </row>
    <row r="39113" spans="1:1">
      <c r="A39113" s="56"/>
    </row>
    <row r="39114" spans="1:1">
      <c r="A39114" s="56"/>
    </row>
    <row r="39115" spans="1:1">
      <c r="A39115" s="56"/>
    </row>
    <row r="39116" spans="1:1">
      <c r="A39116" s="56"/>
    </row>
    <row r="39117" spans="1:1">
      <c r="A39117" s="56"/>
    </row>
    <row r="39118" spans="1:1">
      <c r="A39118" s="56"/>
    </row>
    <row r="39119" spans="1:1">
      <c r="A39119" s="56"/>
    </row>
    <row r="39120" spans="1:1">
      <c r="A39120" s="56"/>
    </row>
    <row r="39121" spans="1:1">
      <c r="A39121" s="56"/>
    </row>
    <row r="39122" spans="1:1">
      <c r="A39122" s="56"/>
    </row>
    <row r="39123" spans="1:1">
      <c r="A39123" s="56"/>
    </row>
    <row r="39124" spans="1:1">
      <c r="A39124" s="56"/>
    </row>
    <row r="39125" spans="1:1">
      <c r="A39125" s="56"/>
    </row>
    <row r="39126" spans="1:1">
      <c r="A39126" s="56"/>
    </row>
    <row r="39127" spans="1:1">
      <c r="A39127" s="56"/>
    </row>
    <row r="39128" spans="1:1">
      <c r="A39128" s="56"/>
    </row>
    <row r="39129" spans="1:1">
      <c r="A39129" s="56"/>
    </row>
    <row r="39130" spans="1:1">
      <c r="A39130" s="56"/>
    </row>
    <row r="39131" spans="1:1">
      <c r="A39131" s="56"/>
    </row>
    <row r="39132" spans="1:1">
      <c r="A39132" s="56"/>
    </row>
    <row r="39133" spans="1:1">
      <c r="A39133" s="56"/>
    </row>
    <row r="39134" spans="1:1">
      <c r="A39134" s="56"/>
    </row>
    <row r="39135" spans="1:1">
      <c r="A39135" s="56"/>
    </row>
    <row r="39136" spans="1:1">
      <c r="A39136" s="56"/>
    </row>
    <row r="39137" spans="1:1">
      <c r="A39137" s="56"/>
    </row>
    <row r="39138" spans="1:1">
      <c r="A39138" s="56"/>
    </row>
    <row r="39139" spans="1:1">
      <c r="A39139" s="56"/>
    </row>
    <row r="39140" spans="1:1">
      <c r="A39140" s="56"/>
    </row>
    <row r="39141" spans="1:1">
      <c r="A39141" s="56"/>
    </row>
    <row r="39142" spans="1:1">
      <c r="A39142" s="56"/>
    </row>
    <row r="39143" spans="1:1">
      <c r="A39143" s="56"/>
    </row>
    <row r="39144" spans="1:1">
      <c r="A39144" s="56"/>
    </row>
    <row r="39145" spans="1:1">
      <c r="A39145" s="56"/>
    </row>
    <row r="39146" spans="1:1">
      <c r="A39146" s="56"/>
    </row>
    <row r="39147" spans="1:1">
      <c r="A39147" s="56"/>
    </row>
    <row r="39148" spans="1:1">
      <c r="A39148" s="56"/>
    </row>
    <row r="39149" spans="1:1">
      <c r="A39149" s="56"/>
    </row>
    <row r="39150" spans="1:1">
      <c r="A39150" s="56"/>
    </row>
    <row r="39151" spans="1:1">
      <c r="A39151" s="56"/>
    </row>
    <row r="39152" spans="1:1">
      <c r="A39152" s="56"/>
    </row>
    <row r="39153" spans="1:1">
      <c r="A39153" s="56"/>
    </row>
    <row r="39154" spans="1:1">
      <c r="A39154" s="56"/>
    </row>
    <row r="39155" spans="1:1">
      <c r="A39155" s="56"/>
    </row>
    <row r="39156" spans="1:1">
      <c r="A39156" s="56"/>
    </row>
    <row r="39157" spans="1:1">
      <c r="A39157" s="56"/>
    </row>
    <row r="39158" spans="1:1">
      <c r="A39158" s="56"/>
    </row>
    <row r="39159" spans="1:1">
      <c r="A39159" s="56"/>
    </row>
    <row r="39160" spans="1:1">
      <c r="A39160" s="56"/>
    </row>
    <row r="39161" spans="1:1">
      <c r="A39161" s="56"/>
    </row>
    <row r="39162" spans="1:1">
      <c r="A39162" s="56"/>
    </row>
    <row r="39163" spans="1:1">
      <c r="A39163" s="56"/>
    </row>
    <row r="39164" spans="1:1">
      <c r="A39164" s="56"/>
    </row>
    <row r="39165" spans="1:1">
      <c r="A39165" s="56"/>
    </row>
    <row r="39166" spans="1:1">
      <c r="A39166" s="56"/>
    </row>
    <row r="39167" spans="1:1">
      <c r="A39167" s="56"/>
    </row>
    <row r="39168" spans="1:1">
      <c r="A39168" s="56"/>
    </row>
    <row r="39169" spans="1:1">
      <c r="A39169" s="56"/>
    </row>
    <row r="39170" spans="1:1">
      <c r="A39170" s="56"/>
    </row>
    <row r="39171" spans="1:1">
      <c r="A39171" s="56"/>
    </row>
    <row r="39172" spans="1:1">
      <c r="A39172" s="56"/>
    </row>
    <row r="39173" spans="1:1">
      <c r="A39173" s="56"/>
    </row>
    <row r="39174" spans="1:1">
      <c r="A39174" s="56"/>
    </row>
    <row r="39175" spans="1:1">
      <c r="A39175" s="56"/>
    </row>
    <row r="39176" spans="1:1">
      <c r="A39176" s="56"/>
    </row>
    <row r="39177" spans="1:1">
      <c r="A39177" s="56"/>
    </row>
    <row r="39178" spans="1:1">
      <c r="A39178" s="56"/>
    </row>
    <row r="39179" spans="1:1">
      <c r="A39179" s="56"/>
    </row>
    <row r="39180" spans="1:1">
      <c r="A39180" s="56"/>
    </row>
    <row r="39181" spans="1:1">
      <c r="A39181" s="56"/>
    </row>
    <row r="39182" spans="1:1">
      <c r="A39182" s="56"/>
    </row>
    <row r="39183" spans="1:1">
      <c r="A39183" s="56"/>
    </row>
    <row r="39184" spans="1:1">
      <c r="A39184" s="56"/>
    </row>
    <row r="39185" spans="1:1">
      <c r="A39185" s="56"/>
    </row>
    <row r="39186" spans="1:1">
      <c r="A39186" s="56"/>
    </row>
    <row r="39187" spans="1:1">
      <c r="A39187" s="56"/>
    </row>
    <row r="39188" spans="1:1">
      <c r="A39188" s="56"/>
    </row>
    <row r="39189" spans="1:1">
      <c r="A39189" s="56"/>
    </row>
    <row r="39190" spans="1:1">
      <c r="A39190" s="56"/>
    </row>
    <row r="39191" spans="1:1">
      <c r="A39191" s="56"/>
    </row>
    <row r="39192" spans="1:1">
      <c r="A39192" s="56"/>
    </row>
    <row r="39193" spans="1:1">
      <c r="A39193" s="56"/>
    </row>
    <row r="39194" spans="1:1">
      <c r="A39194" s="56"/>
    </row>
    <row r="39195" spans="1:1">
      <c r="A39195" s="56"/>
    </row>
    <row r="39196" spans="1:1">
      <c r="A39196" s="56"/>
    </row>
    <row r="39197" spans="1:1">
      <c r="A39197" s="56"/>
    </row>
    <row r="39198" spans="1:1">
      <c r="A39198" s="56"/>
    </row>
    <row r="39199" spans="1:1">
      <c r="A39199" s="56"/>
    </row>
    <row r="39200" spans="1:1">
      <c r="A39200" s="56"/>
    </row>
    <row r="39201" spans="1:1">
      <c r="A39201" s="56"/>
    </row>
    <row r="39202" spans="1:1">
      <c r="A39202" s="56"/>
    </row>
    <row r="39203" spans="1:1">
      <c r="A39203" s="56"/>
    </row>
    <row r="39204" spans="1:1">
      <c r="A39204" s="56"/>
    </row>
    <row r="39205" spans="1:1">
      <c r="A39205" s="56"/>
    </row>
    <row r="39206" spans="1:1">
      <c r="A39206" s="56"/>
    </row>
    <row r="39207" spans="1:1">
      <c r="A39207" s="56"/>
    </row>
    <row r="39208" spans="1:1">
      <c r="A39208" s="56"/>
    </row>
    <row r="39209" spans="1:1">
      <c r="A39209" s="56"/>
    </row>
    <row r="39210" spans="1:1">
      <c r="A39210" s="56"/>
    </row>
    <row r="39211" spans="1:1">
      <c r="A39211" s="56"/>
    </row>
    <row r="39212" spans="1:1">
      <c r="A39212" s="56"/>
    </row>
    <row r="39213" spans="1:1">
      <c r="A39213" s="56"/>
    </row>
    <row r="39214" spans="1:1">
      <c r="A39214" s="56"/>
    </row>
    <row r="39215" spans="1:1">
      <c r="A39215" s="56"/>
    </row>
    <row r="39216" spans="1:1">
      <c r="A39216" s="56"/>
    </row>
    <row r="39217" spans="1:1">
      <c r="A39217" s="56"/>
    </row>
    <row r="39218" spans="1:1">
      <c r="A39218" s="56"/>
    </row>
    <row r="39219" spans="1:1">
      <c r="A39219" s="56"/>
    </row>
    <row r="39220" spans="1:1">
      <c r="A39220" s="56"/>
    </row>
    <row r="39221" spans="1:1">
      <c r="A39221" s="56"/>
    </row>
    <row r="39222" spans="1:1">
      <c r="A39222" s="56"/>
    </row>
    <row r="39223" spans="1:1">
      <c r="A39223" s="56"/>
    </row>
    <row r="39224" spans="1:1">
      <c r="A39224" s="56"/>
    </row>
    <row r="39225" spans="1:1">
      <c r="A39225" s="56"/>
    </row>
    <row r="39226" spans="1:1">
      <c r="A39226" s="56"/>
    </row>
    <row r="39227" spans="1:1">
      <c r="A39227" s="56"/>
    </row>
    <row r="39228" spans="1:1">
      <c r="A39228" s="56"/>
    </row>
    <row r="39229" spans="1:1">
      <c r="A39229" s="56"/>
    </row>
    <row r="39230" spans="1:1">
      <c r="A39230" s="56"/>
    </row>
    <row r="39231" spans="1:1">
      <c r="A39231" s="56"/>
    </row>
    <row r="39232" spans="1:1">
      <c r="A39232" s="56"/>
    </row>
    <row r="39233" spans="1:1">
      <c r="A39233" s="56"/>
    </row>
    <row r="39234" spans="1:1">
      <c r="A39234" s="56"/>
    </row>
    <row r="39235" spans="1:1">
      <c r="A39235" s="56"/>
    </row>
    <row r="39236" spans="1:1">
      <c r="A39236" s="56"/>
    </row>
    <row r="39237" spans="1:1">
      <c r="A39237" s="56"/>
    </row>
    <row r="39238" spans="1:1">
      <c r="A39238" s="56"/>
    </row>
    <row r="39239" spans="1:1">
      <c r="A39239" s="56"/>
    </row>
    <row r="39240" spans="1:1">
      <c r="A39240" s="56"/>
    </row>
    <row r="39241" spans="1:1">
      <c r="A39241" s="56"/>
    </row>
    <row r="39242" spans="1:1">
      <c r="A39242" s="56"/>
    </row>
    <row r="39243" spans="1:1">
      <c r="A39243" s="56"/>
    </row>
    <row r="39244" spans="1:1">
      <c r="A39244" s="56"/>
    </row>
    <row r="39245" spans="1:1">
      <c r="A39245" s="56"/>
    </row>
    <row r="39246" spans="1:1">
      <c r="A39246" s="56"/>
    </row>
    <row r="39247" spans="1:1">
      <c r="A39247" s="56"/>
    </row>
    <row r="39248" spans="1:1">
      <c r="A39248" s="56"/>
    </row>
    <row r="39249" spans="1:1">
      <c r="A39249" s="56"/>
    </row>
    <row r="39250" spans="1:1">
      <c r="A39250" s="56"/>
    </row>
    <row r="39251" spans="1:1">
      <c r="A39251" s="56"/>
    </row>
    <row r="39252" spans="1:1">
      <c r="A39252" s="56"/>
    </row>
    <row r="39253" spans="1:1">
      <c r="A39253" s="56"/>
    </row>
    <row r="39254" spans="1:1">
      <c r="A39254" s="56"/>
    </row>
    <row r="39255" spans="1:1">
      <c r="A39255" s="56"/>
    </row>
    <row r="39256" spans="1:1">
      <c r="A39256" s="56"/>
    </row>
    <row r="39257" spans="1:1">
      <c r="A39257" s="56"/>
    </row>
    <row r="39258" spans="1:1">
      <c r="A39258" s="56"/>
    </row>
    <row r="39259" spans="1:1">
      <c r="A39259" s="56"/>
    </row>
    <row r="39260" spans="1:1">
      <c r="A39260" s="56"/>
    </row>
    <row r="39261" spans="1:1">
      <c r="A39261" s="56"/>
    </row>
    <row r="39262" spans="1:1">
      <c r="A39262" s="56"/>
    </row>
    <row r="39263" spans="1:1">
      <c r="A39263" s="56"/>
    </row>
    <row r="39264" spans="1:1">
      <c r="A39264" s="56"/>
    </row>
    <row r="39265" spans="1:1">
      <c r="A39265" s="56"/>
    </row>
    <row r="39266" spans="1:1">
      <c r="A39266" s="56"/>
    </row>
    <row r="39267" spans="1:1">
      <c r="A39267" s="56"/>
    </row>
    <row r="39268" spans="1:1">
      <c r="A39268" s="56"/>
    </row>
    <row r="39269" spans="1:1">
      <c r="A39269" s="56"/>
    </row>
    <row r="39270" spans="1:1">
      <c r="A39270" s="56"/>
    </row>
    <row r="39271" spans="1:1">
      <c r="A39271" s="56"/>
    </row>
    <row r="39272" spans="1:1">
      <c r="A39272" s="56"/>
    </row>
    <row r="39273" spans="1:1">
      <c r="A39273" s="56"/>
    </row>
    <row r="39274" spans="1:1">
      <c r="A39274" s="56"/>
    </row>
    <row r="39275" spans="1:1">
      <c r="A39275" s="56"/>
    </row>
    <row r="39276" spans="1:1">
      <c r="A39276" s="56"/>
    </row>
    <row r="39277" spans="1:1">
      <c r="A39277" s="56"/>
    </row>
    <row r="39278" spans="1:1">
      <c r="A39278" s="56"/>
    </row>
    <row r="39279" spans="1:1">
      <c r="A39279" s="56"/>
    </row>
    <row r="39280" spans="1:1">
      <c r="A39280" s="56"/>
    </row>
    <row r="39281" spans="1:1">
      <c r="A39281" s="56"/>
    </row>
    <row r="39282" spans="1:1">
      <c r="A39282" s="56"/>
    </row>
    <row r="39283" spans="1:1">
      <c r="A39283" s="56"/>
    </row>
    <row r="39284" spans="1:1">
      <c r="A39284" s="56"/>
    </row>
    <row r="39285" spans="1:1">
      <c r="A39285" s="56"/>
    </row>
    <row r="39286" spans="1:1">
      <c r="A39286" s="56"/>
    </row>
    <row r="39287" spans="1:1">
      <c r="A39287" s="56"/>
    </row>
    <row r="39288" spans="1:1">
      <c r="A39288" s="56"/>
    </row>
    <row r="39289" spans="1:1">
      <c r="A39289" s="56"/>
    </row>
    <row r="39290" spans="1:1">
      <c r="A39290" s="56"/>
    </row>
    <row r="39291" spans="1:1">
      <c r="A39291" s="56"/>
    </row>
    <row r="39292" spans="1:1">
      <c r="A39292" s="56"/>
    </row>
    <row r="39293" spans="1:1">
      <c r="A39293" s="56"/>
    </row>
    <row r="39294" spans="1:1">
      <c r="A39294" s="56"/>
    </row>
    <row r="39295" spans="1:1">
      <c r="A39295" s="56"/>
    </row>
    <row r="39296" spans="1:1">
      <c r="A39296" s="56"/>
    </row>
    <row r="39297" spans="1:1">
      <c r="A39297" s="56"/>
    </row>
    <row r="39298" spans="1:1">
      <c r="A39298" s="56"/>
    </row>
    <row r="39299" spans="1:1">
      <c r="A39299" s="56"/>
    </row>
    <row r="39300" spans="1:1">
      <c r="A39300" s="56"/>
    </row>
    <row r="39301" spans="1:1">
      <c r="A39301" s="56"/>
    </row>
    <row r="39302" spans="1:1">
      <c r="A39302" s="56"/>
    </row>
    <row r="39303" spans="1:1">
      <c r="A39303" s="56"/>
    </row>
    <row r="39304" spans="1:1">
      <c r="A39304" s="56"/>
    </row>
    <row r="39305" spans="1:1">
      <c r="A39305" s="56"/>
    </row>
    <row r="39306" spans="1:1">
      <c r="A39306" s="56"/>
    </row>
    <row r="39307" spans="1:1">
      <c r="A39307" s="56"/>
    </row>
    <row r="39308" spans="1:1">
      <c r="A39308" s="56"/>
    </row>
    <row r="39309" spans="1:1">
      <c r="A39309" s="56"/>
    </row>
    <row r="39310" spans="1:1">
      <c r="A39310" s="56"/>
    </row>
    <row r="39311" spans="1:1">
      <c r="A39311" s="56"/>
    </row>
    <row r="39312" spans="1:1">
      <c r="A39312" s="56"/>
    </row>
    <row r="39313" spans="1:1">
      <c r="A39313" s="56"/>
    </row>
    <row r="39314" spans="1:1">
      <c r="A39314" s="56"/>
    </row>
    <row r="39315" spans="1:1">
      <c r="A39315" s="56"/>
    </row>
    <row r="39316" spans="1:1">
      <c r="A39316" s="56"/>
    </row>
    <row r="39317" spans="1:1">
      <c r="A39317" s="56"/>
    </row>
    <row r="39318" spans="1:1">
      <c r="A39318" s="56"/>
    </row>
    <row r="39319" spans="1:1">
      <c r="A39319" s="56"/>
    </row>
    <row r="39320" spans="1:1">
      <c r="A39320" s="56"/>
    </row>
    <row r="39321" spans="1:1">
      <c r="A39321" s="56"/>
    </row>
    <row r="39322" spans="1:1">
      <c r="A39322" s="56"/>
    </row>
    <row r="39323" spans="1:1">
      <c r="A39323" s="56"/>
    </row>
    <row r="39324" spans="1:1">
      <c r="A39324" s="56"/>
    </row>
    <row r="39325" spans="1:1">
      <c r="A39325" s="56"/>
    </row>
    <row r="39326" spans="1:1">
      <c r="A39326" s="56"/>
    </row>
    <row r="39327" spans="1:1">
      <c r="A39327" s="56"/>
    </row>
    <row r="39328" spans="1:1">
      <c r="A39328" s="56"/>
    </row>
    <row r="39329" spans="1:1">
      <c r="A39329" s="56"/>
    </row>
    <row r="39330" spans="1:1">
      <c r="A39330" s="56"/>
    </row>
    <row r="39331" spans="1:1">
      <c r="A39331" s="56"/>
    </row>
    <row r="39332" spans="1:1">
      <c r="A39332" s="56"/>
    </row>
    <row r="39333" spans="1:1">
      <c r="A39333" s="56"/>
    </row>
    <row r="39334" spans="1:1">
      <c r="A39334" s="56"/>
    </row>
    <row r="39335" spans="1:1">
      <c r="A39335" s="56"/>
    </row>
    <row r="39336" spans="1:1">
      <c r="A39336" s="56"/>
    </row>
    <row r="39337" spans="1:1">
      <c r="A39337" s="56"/>
    </row>
    <row r="39338" spans="1:1">
      <c r="A39338" s="56"/>
    </row>
    <row r="39339" spans="1:1">
      <c r="A39339" s="56"/>
    </row>
    <row r="39340" spans="1:1">
      <c r="A39340" s="56"/>
    </row>
    <row r="39341" spans="1:1">
      <c r="A39341" s="56"/>
    </row>
    <row r="39342" spans="1:1">
      <c r="A39342" s="56"/>
    </row>
    <row r="39343" spans="1:1">
      <c r="A39343" s="56"/>
    </row>
    <row r="39344" spans="1:1">
      <c r="A39344" s="56"/>
    </row>
    <row r="39345" spans="1:1">
      <c r="A39345" s="56"/>
    </row>
    <row r="39346" spans="1:1">
      <c r="A39346" s="56"/>
    </row>
    <row r="39347" spans="1:1">
      <c r="A39347" s="56"/>
    </row>
    <row r="39348" spans="1:1">
      <c r="A39348" s="56"/>
    </row>
    <row r="39349" spans="1:1">
      <c r="A39349" s="56"/>
    </row>
    <row r="39350" spans="1:1">
      <c r="A39350" s="56"/>
    </row>
    <row r="39351" spans="1:1">
      <c r="A39351" s="56"/>
    </row>
    <row r="39352" spans="1:1">
      <c r="A39352" s="56"/>
    </row>
    <row r="39353" spans="1:1">
      <c r="A39353" s="56"/>
    </row>
    <row r="39354" spans="1:1">
      <c r="A39354" s="56"/>
    </row>
    <row r="39355" spans="1:1">
      <c r="A39355" s="56"/>
    </row>
    <row r="39356" spans="1:1">
      <c r="A39356" s="56"/>
    </row>
    <row r="39357" spans="1:1">
      <c r="A39357" s="56"/>
    </row>
    <row r="39358" spans="1:1">
      <c r="A39358" s="56"/>
    </row>
    <row r="39359" spans="1:1">
      <c r="A39359" s="56"/>
    </row>
    <row r="39360" spans="1:1">
      <c r="A39360" s="56"/>
    </row>
    <row r="39361" spans="1:1">
      <c r="A39361" s="56"/>
    </row>
    <row r="39362" spans="1:1">
      <c r="A39362" s="56"/>
    </row>
    <row r="39363" spans="1:1">
      <c r="A39363" s="56"/>
    </row>
    <row r="39364" spans="1:1">
      <c r="A39364" s="56"/>
    </row>
    <row r="39365" spans="1:1">
      <c r="A39365" s="56"/>
    </row>
    <row r="39366" spans="1:1">
      <c r="A39366" s="56"/>
    </row>
    <row r="39367" spans="1:1">
      <c r="A39367" s="56"/>
    </row>
    <row r="39368" spans="1:1">
      <c r="A39368" s="56"/>
    </row>
    <row r="39369" spans="1:1">
      <c r="A39369" s="56"/>
    </row>
    <row r="39370" spans="1:1">
      <c r="A39370" s="56"/>
    </row>
    <row r="39371" spans="1:1">
      <c r="A39371" s="56"/>
    </row>
    <row r="39372" spans="1:1">
      <c r="A39372" s="56"/>
    </row>
    <row r="39373" spans="1:1">
      <c r="A39373" s="56"/>
    </row>
    <row r="39374" spans="1:1">
      <c r="A39374" s="56"/>
    </row>
    <row r="39375" spans="1:1">
      <c r="A39375" s="56"/>
    </row>
    <row r="39376" spans="1:1">
      <c r="A39376" s="56"/>
    </row>
    <row r="39377" spans="1:1">
      <c r="A39377" s="56"/>
    </row>
    <row r="39378" spans="1:1">
      <c r="A39378" s="56"/>
    </row>
    <row r="39379" spans="1:1">
      <c r="A39379" s="56"/>
    </row>
    <row r="39380" spans="1:1">
      <c r="A39380" s="56"/>
    </row>
    <row r="39381" spans="1:1">
      <c r="A39381" s="56"/>
    </row>
    <row r="39382" spans="1:1">
      <c r="A39382" s="56"/>
    </row>
    <row r="39383" spans="1:1">
      <c r="A39383" s="56"/>
    </row>
    <row r="39384" spans="1:1">
      <c r="A39384" s="56"/>
    </row>
    <row r="39385" spans="1:1">
      <c r="A39385" s="56"/>
    </row>
    <row r="39386" spans="1:1">
      <c r="A39386" s="56"/>
    </row>
    <row r="39387" spans="1:1">
      <c r="A39387" s="56"/>
    </row>
    <row r="39388" spans="1:1">
      <c r="A39388" s="56"/>
    </row>
    <row r="39389" spans="1:1">
      <c r="A39389" s="56"/>
    </row>
    <row r="39390" spans="1:1">
      <c r="A39390" s="56"/>
    </row>
    <row r="39391" spans="1:1">
      <c r="A39391" s="56"/>
    </row>
    <row r="39392" spans="1:1">
      <c r="A39392" s="56"/>
    </row>
    <row r="39393" spans="1:1">
      <c r="A39393" s="56"/>
    </row>
    <row r="39394" spans="1:1">
      <c r="A39394" s="56"/>
    </row>
    <row r="39395" spans="1:1">
      <c r="A39395" s="56"/>
    </row>
    <row r="39396" spans="1:1">
      <c r="A39396" s="56"/>
    </row>
    <row r="39397" spans="1:1">
      <c r="A39397" s="56"/>
    </row>
    <row r="39398" spans="1:1">
      <c r="A39398" s="56"/>
    </row>
    <row r="39399" spans="1:1">
      <c r="A39399" s="56"/>
    </row>
    <row r="39400" spans="1:1">
      <c r="A39400" s="56"/>
    </row>
    <row r="39401" spans="1:1">
      <c r="A39401" s="56"/>
    </row>
    <row r="39402" spans="1:1">
      <c r="A39402" s="56"/>
    </row>
    <row r="39403" spans="1:1">
      <c r="A39403" s="56"/>
    </row>
    <row r="39404" spans="1:1">
      <c r="A39404" s="56"/>
    </row>
    <row r="39405" spans="1:1">
      <c r="A39405" s="56"/>
    </row>
    <row r="39406" spans="1:1">
      <c r="A39406" s="56"/>
    </row>
    <row r="39407" spans="1:1">
      <c r="A39407" s="56"/>
    </row>
    <row r="39408" spans="1:1">
      <c r="A39408" s="56"/>
    </row>
    <row r="39409" spans="1:1">
      <c r="A39409" s="56"/>
    </row>
    <row r="39410" spans="1:1">
      <c r="A39410" s="56"/>
    </row>
    <row r="39411" spans="1:1">
      <c r="A39411" s="56"/>
    </row>
    <row r="39412" spans="1:1">
      <c r="A39412" s="56"/>
    </row>
    <row r="39413" spans="1:1">
      <c r="A39413" s="56"/>
    </row>
    <row r="39414" spans="1:1">
      <c r="A39414" s="56"/>
    </row>
    <row r="39415" spans="1:1">
      <c r="A39415" s="56"/>
    </row>
    <row r="39416" spans="1:1">
      <c r="A39416" s="56"/>
    </row>
    <row r="39417" spans="1:1">
      <c r="A39417" s="56"/>
    </row>
    <row r="39418" spans="1:1">
      <c r="A39418" s="56"/>
    </row>
    <row r="39419" spans="1:1">
      <c r="A39419" s="56"/>
    </row>
    <row r="39420" spans="1:1">
      <c r="A39420" s="56"/>
    </row>
    <row r="39421" spans="1:1">
      <c r="A39421" s="56"/>
    </row>
    <row r="39422" spans="1:1">
      <c r="A39422" s="56"/>
    </row>
    <row r="39423" spans="1:1">
      <c r="A39423" s="56"/>
    </row>
    <row r="39424" spans="1:1">
      <c r="A39424" s="56"/>
    </row>
    <row r="39425" spans="1:1">
      <c r="A39425" s="56"/>
    </row>
    <row r="39426" spans="1:1">
      <c r="A39426" s="56"/>
    </row>
    <row r="39427" spans="1:1">
      <c r="A39427" s="56"/>
    </row>
    <row r="39428" spans="1:1">
      <c r="A39428" s="56"/>
    </row>
    <row r="39429" spans="1:1">
      <c r="A39429" s="56"/>
    </row>
    <row r="39430" spans="1:1">
      <c r="A39430" s="56"/>
    </row>
    <row r="39431" spans="1:1">
      <c r="A39431" s="56"/>
    </row>
    <row r="39432" spans="1:1">
      <c r="A39432" s="56"/>
    </row>
    <row r="39433" spans="1:1">
      <c r="A39433" s="56"/>
    </row>
    <row r="39434" spans="1:1">
      <c r="A39434" s="56"/>
    </row>
    <row r="39435" spans="1:1">
      <c r="A39435" s="56"/>
    </row>
    <row r="39436" spans="1:1">
      <c r="A39436" s="56"/>
    </row>
    <row r="39437" spans="1:1">
      <c r="A39437" s="56"/>
    </row>
    <row r="39438" spans="1:1">
      <c r="A39438" s="56"/>
    </row>
    <row r="39439" spans="1:1">
      <c r="A39439" s="56"/>
    </row>
    <row r="39440" spans="1:1">
      <c r="A39440" s="56"/>
    </row>
    <row r="39441" spans="1:1">
      <c r="A39441" s="56"/>
    </row>
    <row r="39442" spans="1:1">
      <c r="A39442" s="56"/>
    </row>
    <row r="39443" spans="1:1">
      <c r="A39443" s="56"/>
    </row>
    <row r="39444" spans="1:1">
      <c r="A39444" s="56"/>
    </row>
    <row r="39445" spans="1:1">
      <c r="A39445" s="56"/>
    </row>
    <row r="39446" spans="1:1">
      <c r="A39446" s="56"/>
    </row>
    <row r="39447" spans="1:1">
      <c r="A39447" s="56"/>
    </row>
    <row r="39448" spans="1:1">
      <c r="A39448" s="56"/>
    </row>
    <row r="39449" spans="1:1">
      <c r="A39449" s="56"/>
    </row>
    <row r="39450" spans="1:1">
      <c r="A39450" s="56"/>
    </row>
    <row r="39451" spans="1:1">
      <c r="A39451" s="56"/>
    </row>
    <row r="39452" spans="1:1">
      <c r="A39452" s="56"/>
    </row>
    <row r="39453" spans="1:1">
      <c r="A39453" s="56"/>
    </row>
    <row r="39454" spans="1:1">
      <c r="A39454" s="56"/>
    </row>
    <row r="39455" spans="1:1">
      <c r="A39455" s="56"/>
    </row>
    <row r="39456" spans="1:1">
      <c r="A39456" s="56"/>
    </row>
    <row r="39457" spans="1:1">
      <c r="A39457" s="56"/>
    </row>
    <row r="39458" spans="1:1">
      <c r="A39458" s="56"/>
    </row>
    <row r="39459" spans="1:1">
      <c r="A39459" s="56"/>
    </row>
    <row r="39460" spans="1:1">
      <c r="A39460" s="56"/>
    </row>
    <row r="39461" spans="1:1">
      <c r="A39461" s="56"/>
    </row>
    <row r="39462" spans="1:1">
      <c r="A39462" s="56"/>
    </row>
    <row r="39463" spans="1:1">
      <c r="A39463" s="56"/>
    </row>
    <row r="39464" spans="1:1">
      <c r="A39464" s="56"/>
    </row>
    <row r="39465" spans="1:1">
      <c r="A39465" s="56"/>
    </row>
    <row r="39466" spans="1:1">
      <c r="A39466" s="56"/>
    </row>
    <row r="39467" spans="1:1">
      <c r="A39467" s="56"/>
    </row>
    <row r="39468" spans="1:1">
      <c r="A39468" s="56"/>
    </row>
    <row r="39469" spans="1:1">
      <c r="A39469" s="56"/>
    </row>
    <row r="39470" spans="1:1">
      <c r="A39470" s="56"/>
    </row>
    <row r="39471" spans="1:1">
      <c r="A39471" s="56"/>
    </row>
    <row r="39472" spans="1:1">
      <c r="A39472" s="56"/>
    </row>
    <row r="39473" spans="1:1">
      <c r="A39473" s="56"/>
    </row>
    <row r="39474" spans="1:1">
      <c r="A39474" s="56"/>
    </row>
    <row r="39475" spans="1:1">
      <c r="A39475" s="56"/>
    </row>
    <row r="39476" spans="1:1">
      <c r="A39476" s="56"/>
    </row>
    <row r="39477" spans="1:1">
      <c r="A39477" s="56"/>
    </row>
    <row r="39478" spans="1:1">
      <c r="A39478" s="56"/>
    </row>
    <row r="39479" spans="1:1">
      <c r="A39479" s="56"/>
    </row>
    <row r="39480" spans="1:1">
      <c r="A39480" s="56"/>
    </row>
    <row r="39481" spans="1:1">
      <c r="A39481" s="56"/>
    </row>
    <row r="39482" spans="1:1">
      <c r="A39482" s="56"/>
    </row>
    <row r="39483" spans="1:1">
      <c r="A39483" s="56"/>
    </row>
    <row r="39484" spans="1:1">
      <c r="A39484" s="56"/>
    </row>
    <row r="39485" spans="1:1">
      <c r="A39485" s="56"/>
    </row>
    <row r="39486" spans="1:1">
      <c r="A39486" s="56"/>
    </row>
    <row r="39487" spans="1:1">
      <c r="A39487" s="56"/>
    </row>
    <row r="39488" spans="1:1">
      <c r="A39488" s="56"/>
    </row>
    <row r="39489" spans="1:1">
      <c r="A39489" s="56"/>
    </row>
    <row r="39490" spans="1:1">
      <c r="A39490" s="56"/>
    </row>
    <row r="39491" spans="1:1">
      <c r="A39491" s="56"/>
    </row>
    <row r="39492" spans="1:1">
      <c r="A39492" s="56"/>
    </row>
    <row r="39493" spans="1:1">
      <c r="A39493" s="56"/>
    </row>
    <row r="39494" spans="1:1">
      <c r="A39494" s="56"/>
    </row>
    <row r="39495" spans="1:1">
      <c r="A39495" s="56"/>
    </row>
    <row r="39496" spans="1:1">
      <c r="A39496" s="56"/>
    </row>
    <row r="39497" spans="1:1">
      <c r="A39497" s="56"/>
    </row>
    <row r="39498" spans="1:1">
      <c r="A39498" s="56"/>
    </row>
    <row r="39499" spans="1:1">
      <c r="A39499" s="56"/>
    </row>
    <row r="39500" spans="1:1">
      <c r="A39500" s="56"/>
    </row>
    <row r="39501" spans="1:1">
      <c r="A39501" s="56"/>
    </row>
    <row r="39502" spans="1:1">
      <c r="A39502" s="56"/>
    </row>
    <row r="39503" spans="1:1">
      <c r="A39503" s="56"/>
    </row>
    <row r="39504" spans="1:1">
      <c r="A39504" s="56"/>
    </row>
    <row r="39505" spans="1:1">
      <c r="A39505" s="56"/>
    </row>
    <row r="39506" spans="1:1">
      <c r="A39506" s="56"/>
    </row>
    <row r="39507" spans="1:1">
      <c r="A39507" s="56"/>
    </row>
    <row r="39508" spans="1:1">
      <c r="A39508" s="56"/>
    </row>
    <row r="39509" spans="1:1">
      <c r="A39509" s="56"/>
    </row>
    <row r="39510" spans="1:1">
      <c r="A39510" s="56"/>
    </row>
    <row r="39511" spans="1:1">
      <c r="A39511" s="56"/>
    </row>
    <row r="39512" spans="1:1">
      <c r="A39512" s="56"/>
    </row>
    <row r="39513" spans="1:1">
      <c r="A39513" s="56"/>
    </row>
    <row r="39514" spans="1:1">
      <c r="A39514" s="56"/>
    </row>
    <row r="39515" spans="1:1">
      <c r="A39515" s="56"/>
    </row>
    <row r="39516" spans="1:1">
      <c r="A39516" s="56"/>
    </row>
    <row r="39517" spans="1:1">
      <c r="A39517" s="56"/>
    </row>
    <row r="39518" spans="1:1">
      <c r="A39518" s="56"/>
    </row>
    <row r="39519" spans="1:1">
      <c r="A39519" s="56"/>
    </row>
    <row r="39520" spans="1:1">
      <c r="A39520" s="56"/>
    </row>
    <row r="39521" spans="1:1">
      <c r="A39521" s="56"/>
    </row>
    <row r="39522" spans="1:1">
      <c r="A39522" s="56"/>
    </row>
    <row r="39523" spans="1:1">
      <c r="A39523" s="56"/>
    </row>
    <row r="39524" spans="1:1">
      <c r="A39524" s="56"/>
    </row>
    <row r="39525" spans="1:1">
      <c r="A39525" s="56"/>
    </row>
    <row r="39526" spans="1:1">
      <c r="A39526" s="56"/>
    </row>
    <row r="39527" spans="1:1">
      <c r="A39527" s="56"/>
    </row>
    <row r="39528" spans="1:1">
      <c r="A39528" s="56"/>
    </row>
    <row r="39529" spans="1:1">
      <c r="A39529" s="56"/>
    </row>
    <row r="39530" spans="1:1">
      <c r="A39530" s="56"/>
    </row>
    <row r="39531" spans="1:1">
      <c r="A39531" s="56"/>
    </row>
    <row r="39532" spans="1:1">
      <c r="A39532" s="56"/>
    </row>
    <row r="39533" spans="1:1">
      <c r="A39533" s="56"/>
    </row>
    <row r="39534" spans="1:1">
      <c r="A39534" s="56"/>
    </row>
    <row r="39535" spans="1:1">
      <c r="A39535" s="56"/>
    </row>
    <row r="39536" spans="1:1">
      <c r="A39536" s="56"/>
    </row>
    <row r="39537" spans="1:1">
      <c r="A39537" s="56"/>
    </row>
    <row r="39538" spans="1:1">
      <c r="A39538" s="56"/>
    </row>
    <row r="39539" spans="1:1">
      <c r="A39539" s="56"/>
    </row>
    <row r="39540" spans="1:1">
      <c r="A39540" s="56"/>
    </row>
    <row r="39541" spans="1:1">
      <c r="A39541" s="56"/>
    </row>
    <row r="39542" spans="1:1">
      <c r="A39542" s="56"/>
    </row>
    <row r="39543" spans="1:1">
      <c r="A39543" s="56"/>
    </row>
    <row r="39544" spans="1:1">
      <c r="A39544" s="56"/>
    </row>
    <row r="39545" spans="1:1">
      <c r="A39545" s="56"/>
    </row>
    <row r="39546" spans="1:1">
      <c r="A39546" s="56"/>
    </row>
    <row r="39547" spans="1:1">
      <c r="A39547" s="56"/>
    </row>
    <row r="39548" spans="1:1">
      <c r="A39548" s="56"/>
    </row>
    <row r="39549" spans="1:1">
      <c r="A39549" s="56"/>
    </row>
    <row r="39550" spans="1:1">
      <c r="A39550" s="56"/>
    </row>
    <row r="39551" spans="1:1">
      <c r="A39551" s="56"/>
    </row>
    <row r="39552" spans="1:1">
      <c r="A39552" s="56"/>
    </row>
    <row r="39553" spans="1:1">
      <c r="A39553" s="56"/>
    </row>
    <row r="39554" spans="1:1">
      <c r="A39554" s="56"/>
    </row>
    <row r="39555" spans="1:1">
      <c r="A39555" s="56"/>
    </row>
    <row r="39556" spans="1:1">
      <c r="A39556" s="56"/>
    </row>
    <row r="39557" spans="1:1">
      <c r="A39557" s="56"/>
    </row>
    <row r="39558" spans="1:1">
      <c r="A39558" s="56"/>
    </row>
    <row r="39559" spans="1:1">
      <c r="A39559" s="56"/>
    </row>
    <row r="39560" spans="1:1">
      <c r="A39560" s="56"/>
    </row>
    <row r="39561" spans="1:1">
      <c r="A39561" s="56"/>
    </row>
    <row r="39562" spans="1:1">
      <c r="A39562" s="56"/>
    </row>
    <row r="39563" spans="1:1">
      <c r="A39563" s="56"/>
    </row>
    <row r="39564" spans="1:1">
      <c r="A39564" s="56"/>
    </row>
    <row r="39565" spans="1:1">
      <c r="A39565" s="56"/>
    </row>
    <row r="39566" spans="1:1">
      <c r="A39566" s="56"/>
    </row>
    <row r="39567" spans="1:1">
      <c r="A39567" s="56"/>
    </row>
    <row r="39568" spans="1:1">
      <c r="A39568" s="56"/>
    </row>
    <row r="39569" spans="1:1">
      <c r="A39569" s="56"/>
    </row>
    <row r="39570" spans="1:1">
      <c r="A39570" s="56"/>
    </row>
    <row r="39571" spans="1:1">
      <c r="A39571" s="56"/>
    </row>
    <row r="39572" spans="1:1">
      <c r="A39572" s="56"/>
    </row>
    <row r="39573" spans="1:1">
      <c r="A39573" s="56"/>
    </row>
    <row r="39574" spans="1:1">
      <c r="A39574" s="56"/>
    </row>
    <row r="39575" spans="1:1">
      <c r="A39575" s="56"/>
    </row>
    <row r="39576" spans="1:1">
      <c r="A39576" s="56"/>
    </row>
    <row r="39577" spans="1:1">
      <c r="A39577" s="56"/>
    </row>
    <row r="39578" spans="1:1">
      <c r="A39578" s="56"/>
    </row>
    <row r="39579" spans="1:1">
      <c r="A39579" s="56"/>
    </row>
    <row r="39580" spans="1:1">
      <c r="A39580" s="56"/>
    </row>
    <row r="39581" spans="1:1">
      <c r="A39581" s="56"/>
    </row>
    <row r="39582" spans="1:1">
      <c r="A39582" s="56"/>
    </row>
    <row r="39583" spans="1:1">
      <c r="A39583" s="56"/>
    </row>
    <row r="39584" spans="1:1">
      <c r="A39584" s="56"/>
    </row>
    <row r="39585" spans="1:1">
      <c r="A39585" s="56"/>
    </row>
    <row r="39586" spans="1:1">
      <c r="A39586" s="56"/>
    </row>
    <row r="39587" spans="1:1">
      <c r="A39587" s="56"/>
    </row>
    <row r="39588" spans="1:1">
      <c r="A39588" s="56"/>
    </row>
    <row r="39589" spans="1:1">
      <c r="A39589" s="56"/>
    </row>
    <row r="39590" spans="1:1">
      <c r="A39590" s="56"/>
    </row>
    <row r="39591" spans="1:1">
      <c r="A39591" s="56"/>
    </row>
    <row r="39592" spans="1:1">
      <c r="A39592" s="56"/>
    </row>
    <row r="39593" spans="1:1">
      <c r="A39593" s="56"/>
    </row>
    <row r="39594" spans="1:1">
      <c r="A39594" s="56"/>
    </row>
    <row r="39595" spans="1:1">
      <c r="A39595" s="56"/>
    </row>
    <row r="39596" spans="1:1">
      <c r="A39596" s="56"/>
    </row>
    <row r="39597" spans="1:1">
      <c r="A39597" s="56"/>
    </row>
    <row r="39598" spans="1:1">
      <c r="A39598" s="56"/>
    </row>
    <row r="39599" spans="1:1">
      <c r="A39599" s="56"/>
    </row>
    <row r="39600" spans="1:1">
      <c r="A39600" s="56"/>
    </row>
    <row r="39601" spans="1:1">
      <c r="A39601" s="56"/>
    </row>
    <row r="39602" spans="1:1">
      <c r="A39602" s="56"/>
    </row>
    <row r="39603" spans="1:1">
      <c r="A39603" s="56"/>
    </row>
    <row r="39604" spans="1:1">
      <c r="A39604" s="56"/>
    </row>
    <row r="39605" spans="1:1">
      <c r="A39605" s="56"/>
    </row>
    <row r="39606" spans="1:1">
      <c r="A39606" s="56"/>
    </row>
    <row r="39607" spans="1:1">
      <c r="A39607" s="56"/>
    </row>
    <row r="39608" spans="1:1">
      <c r="A39608" s="56"/>
    </row>
    <row r="39609" spans="1:1">
      <c r="A39609" s="56"/>
    </row>
    <row r="39610" spans="1:1">
      <c r="A39610" s="56"/>
    </row>
    <row r="39611" spans="1:1">
      <c r="A39611" s="56"/>
    </row>
    <row r="39612" spans="1:1">
      <c r="A39612" s="56"/>
    </row>
    <row r="39613" spans="1:1">
      <c r="A39613" s="56"/>
    </row>
    <row r="39614" spans="1:1">
      <c r="A39614" s="56"/>
    </row>
    <row r="39615" spans="1:1">
      <c r="A39615" s="56"/>
    </row>
    <row r="39616" spans="1:1">
      <c r="A39616" s="56"/>
    </row>
    <row r="39617" spans="1:1">
      <c r="A39617" s="56"/>
    </row>
    <row r="39618" spans="1:1">
      <c r="A39618" s="56"/>
    </row>
    <row r="39619" spans="1:1">
      <c r="A39619" s="56"/>
    </row>
    <row r="39620" spans="1:1">
      <c r="A39620" s="56"/>
    </row>
    <row r="39621" spans="1:1">
      <c r="A39621" s="56"/>
    </row>
    <row r="39622" spans="1:1">
      <c r="A39622" s="56"/>
    </row>
    <row r="39623" spans="1:1">
      <c r="A39623" s="56"/>
    </row>
    <row r="39624" spans="1:1">
      <c r="A39624" s="56"/>
    </row>
    <row r="39625" spans="1:1">
      <c r="A39625" s="56"/>
    </row>
    <row r="39626" spans="1:1">
      <c r="A39626" s="56"/>
    </row>
    <row r="39627" spans="1:1">
      <c r="A39627" s="56"/>
    </row>
    <row r="39628" spans="1:1">
      <c r="A39628" s="56"/>
    </row>
    <row r="39629" spans="1:1">
      <c r="A39629" s="56"/>
    </row>
    <row r="39630" spans="1:1">
      <c r="A39630" s="56"/>
    </row>
    <row r="39631" spans="1:1">
      <c r="A39631" s="56"/>
    </row>
    <row r="39632" spans="1:1">
      <c r="A39632" s="56"/>
    </row>
    <row r="39633" spans="1:1">
      <c r="A39633" s="56"/>
    </row>
    <row r="39634" spans="1:1">
      <c r="A39634" s="56"/>
    </row>
    <row r="39635" spans="1:1">
      <c r="A39635" s="56"/>
    </row>
    <row r="39636" spans="1:1">
      <c r="A39636" s="56"/>
    </row>
    <row r="39637" spans="1:1">
      <c r="A39637" s="56"/>
    </row>
    <row r="39638" spans="1:1">
      <c r="A39638" s="56"/>
    </row>
    <row r="39639" spans="1:1">
      <c r="A39639" s="56"/>
    </row>
    <row r="39640" spans="1:1">
      <c r="A39640" s="56"/>
    </row>
    <row r="39641" spans="1:1">
      <c r="A39641" s="56"/>
    </row>
    <row r="39642" spans="1:1">
      <c r="A39642" s="56"/>
    </row>
    <row r="39643" spans="1:1">
      <c r="A39643" s="56"/>
    </row>
    <row r="39644" spans="1:1">
      <c r="A39644" s="56"/>
    </row>
    <row r="39645" spans="1:1">
      <c r="A39645" s="56"/>
    </row>
    <row r="39646" spans="1:1">
      <c r="A39646" s="56"/>
    </row>
    <row r="39647" spans="1:1">
      <c r="A39647" s="56"/>
    </row>
    <row r="39648" spans="1:1">
      <c r="A39648" s="56"/>
    </row>
    <row r="39649" spans="1:1">
      <c r="A39649" s="56"/>
    </row>
    <row r="39650" spans="1:1">
      <c r="A39650" s="56"/>
    </row>
    <row r="39651" spans="1:1">
      <c r="A39651" s="56"/>
    </row>
    <row r="39652" spans="1:1">
      <c r="A39652" s="56"/>
    </row>
    <row r="39653" spans="1:1">
      <c r="A39653" s="56"/>
    </row>
    <row r="39654" spans="1:1">
      <c r="A39654" s="56"/>
    </row>
    <row r="39655" spans="1:1">
      <c r="A39655" s="56"/>
    </row>
    <row r="39656" spans="1:1">
      <c r="A39656" s="56"/>
    </row>
    <row r="39657" spans="1:1">
      <c r="A39657" s="56"/>
    </row>
    <row r="39658" spans="1:1">
      <c r="A39658" s="56"/>
    </row>
    <row r="39659" spans="1:1">
      <c r="A39659" s="56"/>
    </row>
    <row r="39660" spans="1:1">
      <c r="A39660" s="56"/>
    </row>
    <row r="39661" spans="1:1">
      <c r="A39661" s="56"/>
    </row>
    <row r="39662" spans="1:1">
      <c r="A39662" s="56"/>
    </row>
    <row r="39663" spans="1:1">
      <c r="A39663" s="56"/>
    </row>
    <row r="39664" spans="1:1">
      <c r="A39664" s="56"/>
    </row>
    <row r="39665" spans="1:1">
      <c r="A39665" s="56"/>
    </row>
    <row r="39666" spans="1:1">
      <c r="A39666" s="56"/>
    </row>
    <row r="39667" spans="1:1">
      <c r="A39667" s="56"/>
    </row>
    <row r="39668" spans="1:1">
      <c r="A39668" s="56"/>
    </row>
    <row r="39669" spans="1:1">
      <c r="A39669" s="56"/>
    </row>
    <row r="39670" spans="1:1">
      <c r="A39670" s="56"/>
    </row>
    <row r="39671" spans="1:1">
      <c r="A39671" s="56"/>
    </row>
    <row r="39672" spans="1:1">
      <c r="A39672" s="56"/>
    </row>
    <row r="39673" spans="1:1">
      <c r="A39673" s="56"/>
    </row>
    <row r="39674" spans="1:1">
      <c r="A39674" s="56"/>
    </row>
    <row r="39675" spans="1:1">
      <c r="A39675" s="56"/>
    </row>
    <row r="39676" spans="1:1">
      <c r="A39676" s="56"/>
    </row>
    <row r="39677" spans="1:1">
      <c r="A39677" s="56"/>
    </row>
    <row r="39678" spans="1:1">
      <c r="A39678" s="56"/>
    </row>
    <row r="39679" spans="1:1">
      <c r="A39679" s="56"/>
    </row>
    <row r="39680" spans="1:1">
      <c r="A39680" s="56"/>
    </row>
    <row r="39681" spans="1:1">
      <c r="A39681" s="56"/>
    </row>
    <row r="39682" spans="1:1">
      <c r="A39682" s="56"/>
    </row>
    <row r="39683" spans="1:1">
      <c r="A39683" s="56"/>
    </row>
    <row r="39684" spans="1:1">
      <c r="A39684" s="56"/>
    </row>
    <row r="39685" spans="1:1">
      <c r="A39685" s="56"/>
    </row>
    <row r="39686" spans="1:1">
      <c r="A39686" s="56"/>
    </row>
    <row r="39687" spans="1:1">
      <c r="A39687" s="56"/>
    </row>
    <row r="39688" spans="1:1">
      <c r="A39688" s="56"/>
    </row>
    <row r="39689" spans="1:1">
      <c r="A39689" s="56"/>
    </row>
    <row r="39690" spans="1:1">
      <c r="A39690" s="56"/>
    </row>
    <row r="39691" spans="1:1">
      <c r="A39691" s="56"/>
    </row>
    <row r="39692" spans="1:1">
      <c r="A39692" s="56"/>
    </row>
    <row r="39693" spans="1:1">
      <c r="A39693" s="56"/>
    </row>
    <row r="39694" spans="1:1">
      <c r="A39694" s="56"/>
    </row>
    <row r="39695" spans="1:1">
      <c r="A39695" s="56"/>
    </row>
    <row r="39696" spans="1:1">
      <c r="A39696" s="56"/>
    </row>
    <row r="39697" spans="1:1">
      <c r="A39697" s="56"/>
    </row>
    <row r="39698" spans="1:1">
      <c r="A39698" s="56"/>
    </row>
    <row r="39699" spans="1:1">
      <c r="A39699" s="56"/>
    </row>
    <row r="39700" spans="1:1">
      <c r="A39700" s="56"/>
    </row>
    <row r="39701" spans="1:1">
      <c r="A39701" s="56"/>
    </row>
    <row r="39702" spans="1:1">
      <c r="A39702" s="56"/>
    </row>
    <row r="39703" spans="1:1">
      <c r="A39703" s="56"/>
    </row>
    <row r="39704" spans="1:1">
      <c r="A39704" s="56"/>
    </row>
    <row r="39705" spans="1:1">
      <c r="A39705" s="56"/>
    </row>
    <row r="39706" spans="1:1">
      <c r="A39706" s="56"/>
    </row>
    <row r="39707" spans="1:1">
      <c r="A39707" s="56"/>
    </row>
    <row r="39708" spans="1:1">
      <c r="A39708" s="56"/>
    </row>
    <row r="39709" spans="1:1">
      <c r="A39709" s="56"/>
    </row>
    <row r="39710" spans="1:1">
      <c r="A39710" s="56"/>
    </row>
    <row r="39711" spans="1:1">
      <c r="A39711" s="56"/>
    </row>
    <row r="39712" spans="1:1">
      <c r="A39712" s="56"/>
    </row>
    <row r="39713" spans="1:1">
      <c r="A39713" s="56"/>
    </row>
    <row r="39714" spans="1:1">
      <c r="A39714" s="56"/>
    </row>
    <row r="39715" spans="1:1">
      <c r="A39715" s="56"/>
    </row>
    <row r="39716" spans="1:1">
      <c r="A39716" s="56"/>
    </row>
    <row r="39717" spans="1:1">
      <c r="A39717" s="56"/>
    </row>
    <row r="39718" spans="1:1">
      <c r="A39718" s="56"/>
    </row>
    <row r="39719" spans="1:1">
      <c r="A39719" s="56"/>
    </row>
    <row r="39720" spans="1:1">
      <c r="A39720" s="56"/>
    </row>
    <row r="39721" spans="1:1">
      <c r="A39721" s="56"/>
    </row>
    <row r="39722" spans="1:1">
      <c r="A39722" s="56"/>
    </row>
    <row r="39723" spans="1:1">
      <c r="A39723" s="56"/>
    </row>
    <row r="39724" spans="1:1">
      <c r="A39724" s="56"/>
    </row>
    <row r="39725" spans="1:1">
      <c r="A39725" s="56"/>
    </row>
    <row r="39726" spans="1:1">
      <c r="A39726" s="56"/>
    </row>
    <row r="39727" spans="1:1">
      <c r="A39727" s="56"/>
    </row>
    <row r="39728" spans="1:1">
      <c r="A39728" s="56"/>
    </row>
    <row r="39729" spans="1:1">
      <c r="A39729" s="56"/>
    </row>
    <row r="39730" spans="1:1">
      <c r="A39730" s="56"/>
    </row>
    <row r="39731" spans="1:1">
      <c r="A39731" s="56"/>
    </row>
    <row r="39732" spans="1:1">
      <c r="A39732" s="56"/>
    </row>
    <row r="39733" spans="1:1">
      <c r="A39733" s="56"/>
    </row>
    <row r="39734" spans="1:1">
      <c r="A39734" s="56"/>
    </row>
    <row r="39735" spans="1:1">
      <c r="A39735" s="56"/>
    </row>
    <row r="39736" spans="1:1">
      <c r="A39736" s="56"/>
    </row>
    <row r="39737" spans="1:1">
      <c r="A39737" s="56"/>
    </row>
    <row r="39738" spans="1:1">
      <c r="A39738" s="56"/>
    </row>
    <row r="39739" spans="1:1">
      <c r="A39739" s="56"/>
    </row>
    <row r="39740" spans="1:1">
      <c r="A39740" s="56"/>
    </row>
    <row r="39741" spans="1:1">
      <c r="A39741" s="56"/>
    </row>
    <row r="39742" spans="1:1">
      <c r="A39742" s="56"/>
    </row>
    <row r="39743" spans="1:1">
      <c r="A39743" s="56"/>
    </row>
    <row r="39744" spans="1:1">
      <c r="A39744" s="56"/>
    </row>
    <row r="39745" spans="1:1">
      <c r="A39745" s="56"/>
    </row>
    <row r="39746" spans="1:1">
      <c r="A39746" s="56"/>
    </row>
    <row r="39747" spans="1:1">
      <c r="A39747" s="56"/>
    </row>
    <row r="39748" spans="1:1">
      <c r="A39748" s="56"/>
    </row>
    <row r="39749" spans="1:1">
      <c r="A39749" s="56"/>
    </row>
    <row r="39750" spans="1:1">
      <c r="A39750" s="56"/>
    </row>
    <row r="39751" spans="1:1">
      <c r="A39751" s="56"/>
    </row>
    <row r="39752" spans="1:1">
      <c r="A39752" s="56"/>
    </row>
    <row r="39753" spans="1:1">
      <c r="A39753" s="56"/>
    </row>
    <row r="39754" spans="1:1">
      <c r="A39754" s="56"/>
    </row>
    <row r="39755" spans="1:1">
      <c r="A39755" s="56"/>
    </row>
    <row r="39756" spans="1:1">
      <c r="A39756" s="56"/>
    </row>
    <row r="39757" spans="1:1">
      <c r="A39757" s="56"/>
    </row>
    <row r="39758" spans="1:1">
      <c r="A39758" s="56"/>
    </row>
    <row r="39759" spans="1:1">
      <c r="A39759" s="56"/>
    </row>
    <row r="39760" spans="1:1">
      <c r="A39760" s="56"/>
    </row>
    <row r="39761" spans="1:1">
      <c r="A39761" s="56"/>
    </row>
    <row r="39762" spans="1:1">
      <c r="A39762" s="56"/>
    </row>
    <row r="39763" spans="1:1">
      <c r="A39763" s="56"/>
    </row>
    <row r="39764" spans="1:1">
      <c r="A39764" s="56"/>
    </row>
    <row r="39765" spans="1:1">
      <c r="A39765" s="56"/>
    </row>
    <row r="39766" spans="1:1">
      <c r="A39766" s="56"/>
    </row>
    <row r="39767" spans="1:1">
      <c r="A39767" s="56"/>
    </row>
    <row r="39768" spans="1:1">
      <c r="A39768" s="56"/>
    </row>
    <row r="39769" spans="1:1">
      <c r="A39769" s="56"/>
    </row>
    <row r="39770" spans="1:1">
      <c r="A39770" s="56"/>
    </row>
    <row r="39771" spans="1:1">
      <c r="A39771" s="56"/>
    </row>
    <row r="39772" spans="1:1">
      <c r="A39772" s="56"/>
    </row>
    <row r="39773" spans="1:1">
      <c r="A39773" s="56"/>
    </row>
    <row r="39774" spans="1:1">
      <c r="A39774" s="56"/>
    </row>
    <row r="39775" spans="1:1">
      <c r="A39775" s="56"/>
    </row>
    <row r="39776" spans="1:1">
      <c r="A39776" s="56"/>
    </row>
    <row r="39777" spans="1:1">
      <c r="A39777" s="56"/>
    </row>
    <row r="39778" spans="1:1">
      <c r="A39778" s="56"/>
    </row>
    <row r="39779" spans="1:1">
      <c r="A39779" s="56"/>
    </row>
    <row r="39780" spans="1:1">
      <c r="A39780" s="56"/>
    </row>
    <row r="39781" spans="1:1">
      <c r="A39781" s="56"/>
    </row>
    <row r="39782" spans="1:1">
      <c r="A39782" s="56"/>
    </row>
    <row r="39783" spans="1:1">
      <c r="A39783" s="56"/>
    </row>
    <row r="39784" spans="1:1">
      <c r="A39784" s="56"/>
    </row>
    <row r="39785" spans="1:1">
      <c r="A39785" s="56"/>
    </row>
    <row r="39786" spans="1:1">
      <c r="A39786" s="56"/>
    </row>
    <row r="39787" spans="1:1">
      <c r="A39787" s="56"/>
    </row>
    <row r="39788" spans="1:1">
      <c r="A39788" s="56"/>
    </row>
    <row r="39789" spans="1:1">
      <c r="A39789" s="56"/>
    </row>
    <row r="39790" spans="1:1">
      <c r="A39790" s="56"/>
    </row>
    <row r="39791" spans="1:1">
      <c r="A39791" s="56"/>
    </row>
    <row r="39792" spans="1:1">
      <c r="A39792" s="56"/>
    </row>
    <row r="39793" spans="1:1">
      <c r="A39793" s="56"/>
    </row>
    <row r="39794" spans="1:1">
      <c r="A39794" s="56"/>
    </row>
    <row r="39795" spans="1:1">
      <c r="A39795" s="56"/>
    </row>
    <row r="39796" spans="1:1">
      <c r="A39796" s="56"/>
    </row>
    <row r="39797" spans="1:1">
      <c r="A39797" s="56"/>
    </row>
    <row r="39798" spans="1:1">
      <c r="A39798" s="56"/>
    </row>
    <row r="39799" spans="1:1">
      <c r="A39799" s="56"/>
    </row>
    <row r="39800" spans="1:1">
      <c r="A39800" s="56"/>
    </row>
    <row r="39801" spans="1:1">
      <c r="A39801" s="56"/>
    </row>
    <row r="39802" spans="1:1">
      <c r="A39802" s="56"/>
    </row>
    <row r="39803" spans="1:1">
      <c r="A39803" s="56"/>
    </row>
    <row r="39804" spans="1:1">
      <c r="A39804" s="56"/>
    </row>
    <row r="39805" spans="1:1">
      <c r="A39805" s="56"/>
    </row>
    <row r="39806" spans="1:1">
      <c r="A39806" s="56"/>
    </row>
    <row r="39807" spans="1:1">
      <c r="A39807" s="56"/>
    </row>
    <row r="39808" spans="1:1">
      <c r="A39808" s="56"/>
    </row>
    <row r="39809" spans="1:1">
      <c r="A39809" s="56"/>
    </row>
    <row r="39810" spans="1:1">
      <c r="A39810" s="56"/>
    </row>
    <row r="39811" spans="1:1">
      <c r="A39811" s="56"/>
    </row>
    <row r="39812" spans="1:1">
      <c r="A39812" s="56"/>
    </row>
    <row r="39813" spans="1:1">
      <c r="A39813" s="56"/>
    </row>
    <row r="39814" spans="1:1">
      <c r="A39814" s="56"/>
    </row>
    <row r="39815" spans="1:1">
      <c r="A39815" s="56"/>
    </row>
    <row r="39816" spans="1:1">
      <c r="A39816" s="56"/>
    </row>
    <row r="39817" spans="1:1">
      <c r="A39817" s="56"/>
    </row>
    <row r="39818" spans="1:1">
      <c r="A39818" s="56"/>
    </row>
    <row r="39819" spans="1:1">
      <c r="A39819" s="56"/>
    </row>
    <row r="39820" spans="1:1">
      <c r="A39820" s="56"/>
    </row>
    <row r="39821" spans="1:1">
      <c r="A39821" s="56"/>
    </row>
    <row r="39822" spans="1:1">
      <c r="A39822" s="56"/>
    </row>
    <row r="39823" spans="1:1">
      <c r="A39823" s="56"/>
    </row>
    <row r="39824" spans="1:1">
      <c r="A39824" s="56"/>
    </row>
    <row r="39825" spans="1:1">
      <c r="A39825" s="56"/>
    </row>
    <row r="39826" spans="1:1">
      <c r="A39826" s="56"/>
    </row>
    <row r="39827" spans="1:1">
      <c r="A39827" s="56"/>
    </row>
    <row r="39828" spans="1:1">
      <c r="A39828" s="56"/>
    </row>
    <row r="39829" spans="1:1">
      <c r="A39829" s="56"/>
    </row>
    <row r="39830" spans="1:1">
      <c r="A39830" s="56"/>
    </row>
    <row r="39831" spans="1:1">
      <c r="A39831" s="56"/>
    </row>
    <row r="39832" spans="1:1">
      <c r="A39832" s="56"/>
    </row>
    <row r="39833" spans="1:1">
      <c r="A39833" s="56"/>
    </row>
    <row r="39834" spans="1:1">
      <c r="A39834" s="56"/>
    </row>
    <row r="39835" spans="1:1">
      <c r="A39835" s="56"/>
    </row>
    <row r="39836" spans="1:1">
      <c r="A39836" s="56"/>
    </row>
    <row r="39837" spans="1:1">
      <c r="A39837" s="56"/>
    </row>
    <row r="39838" spans="1:1">
      <c r="A39838" s="56"/>
    </row>
    <row r="39839" spans="1:1">
      <c r="A39839" s="56"/>
    </row>
    <row r="39840" spans="1:1">
      <c r="A39840" s="56"/>
    </row>
    <row r="39841" spans="1:1">
      <c r="A39841" s="56"/>
    </row>
    <row r="39842" spans="1:1">
      <c r="A39842" s="56"/>
    </row>
    <row r="39843" spans="1:1">
      <c r="A39843" s="56"/>
    </row>
    <row r="39844" spans="1:1">
      <c r="A39844" s="56"/>
    </row>
    <row r="39845" spans="1:1">
      <c r="A39845" s="56"/>
    </row>
    <row r="39846" spans="1:1">
      <c r="A39846" s="56"/>
    </row>
    <row r="39847" spans="1:1">
      <c r="A39847" s="56"/>
    </row>
    <row r="39848" spans="1:1">
      <c r="A39848" s="56"/>
    </row>
    <row r="39849" spans="1:1">
      <c r="A39849" s="56"/>
    </row>
    <row r="39850" spans="1:1">
      <c r="A39850" s="56"/>
    </row>
    <row r="39851" spans="1:1">
      <c r="A39851" s="56"/>
    </row>
    <row r="39852" spans="1:1">
      <c r="A39852" s="56"/>
    </row>
    <row r="39853" spans="1:1">
      <c r="A39853" s="56"/>
    </row>
    <row r="39854" spans="1:1">
      <c r="A39854" s="56"/>
    </row>
    <row r="39855" spans="1:1">
      <c r="A39855" s="56"/>
    </row>
    <row r="39856" spans="1:1">
      <c r="A39856" s="56"/>
    </row>
    <row r="39857" spans="1:1">
      <c r="A39857" s="56"/>
    </row>
    <row r="39858" spans="1:1">
      <c r="A39858" s="56"/>
    </row>
    <row r="39859" spans="1:1">
      <c r="A39859" s="56"/>
    </row>
    <row r="39860" spans="1:1">
      <c r="A39860" s="56"/>
    </row>
    <row r="39861" spans="1:1">
      <c r="A39861" s="56"/>
    </row>
    <row r="39862" spans="1:1">
      <c r="A39862" s="56"/>
    </row>
    <row r="39863" spans="1:1">
      <c r="A39863" s="56"/>
    </row>
    <row r="39864" spans="1:1">
      <c r="A39864" s="56"/>
    </row>
    <row r="39865" spans="1:1">
      <c r="A39865" s="56"/>
    </row>
    <row r="39866" spans="1:1">
      <c r="A39866" s="56"/>
    </row>
    <row r="39867" spans="1:1">
      <c r="A39867" s="56"/>
    </row>
    <row r="39868" spans="1:1">
      <c r="A39868" s="56"/>
    </row>
    <row r="39869" spans="1:1">
      <c r="A39869" s="56"/>
    </row>
    <row r="39870" spans="1:1">
      <c r="A39870" s="56"/>
    </row>
    <row r="39871" spans="1:1">
      <c r="A39871" s="56"/>
    </row>
    <row r="39872" spans="1:1">
      <c r="A39872" s="56"/>
    </row>
    <row r="39873" spans="1:1">
      <c r="A39873" s="56"/>
    </row>
    <row r="39874" spans="1:1">
      <c r="A39874" s="56"/>
    </row>
    <row r="39875" spans="1:1">
      <c r="A39875" s="56"/>
    </row>
    <row r="39876" spans="1:1">
      <c r="A39876" s="56"/>
    </row>
    <row r="39877" spans="1:1">
      <c r="A39877" s="56"/>
    </row>
    <row r="39878" spans="1:1">
      <c r="A39878" s="56"/>
    </row>
    <row r="39879" spans="1:1">
      <c r="A39879" s="56"/>
    </row>
    <row r="39880" spans="1:1">
      <c r="A39880" s="56"/>
    </row>
    <row r="39881" spans="1:1">
      <c r="A39881" s="56"/>
    </row>
    <row r="39882" spans="1:1">
      <c r="A39882" s="56"/>
    </row>
    <row r="39883" spans="1:1">
      <c r="A39883" s="56"/>
    </row>
    <row r="39884" spans="1:1">
      <c r="A39884" s="56"/>
    </row>
    <row r="39885" spans="1:1">
      <c r="A39885" s="56"/>
    </row>
    <row r="39886" spans="1:1">
      <c r="A39886" s="56"/>
    </row>
    <row r="39887" spans="1:1">
      <c r="A39887" s="56"/>
    </row>
    <row r="39888" spans="1:1">
      <c r="A39888" s="56"/>
    </row>
    <row r="39889" spans="1:1">
      <c r="A39889" s="56"/>
    </row>
    <row r="39890" spans="1:1">
      <c r="A39890" s="56"/>
    </row>
    <row r="39891" spans="1:1">
      <c r="A39891" s="56"/>
    </row>
    <row r="39892" spans="1:1">
      <c r="A39892" s="56"/>
    </row>
    <row r="39893" spans="1:1">
      <c r="A39893" s="56"/>
    </row>
    <row r="39894" spans="1:1">
      <c r="A39894" s="56"/>
    </row>
    <row r="39895" spans="1:1">
      <c r="A39895" s="56"/>
    </row>
    <row r="39896" spans="1:1">
      <c r="A39896" s="56"/>
    </row>
    <row r="39897" spans="1:1">
      <c r="A39897" s="56"/>
    </row>
    <row r="39898" spans="1:1">
      <c r="A39898" s="56"/>
    </row>
    <row r="39899" spans="1:1">
      <c r="A39899" s="56"/>
    </row>
    <row r="39900" spans="1:1">
      <c r="A39900" s="56"/>
    </row>
    <row r="39901" spans="1:1">
      <c r="A39901" s="56"/>
    </row>
    <row r="39902" spans="1:1">
      <c r="A39902" s="56"/>
    </row>
    <row r="39903" spans="1:1">
      <c r="A39903" s="56"/>
    </row>
    <row r="39904" spans="1:1">
      <c r="A39904" s="56"/>
    </row>
    <row r="39905" spans="1:1">
      <c r="A39905" s="56"/>
    </row>
    <row r="39906" spans="1:1">
      <c r="A39906" s="56"/>
    </row>
    <row r="39907" spans="1:1">
      <c r="A39907" s="56"/>
    </row>
    <row r="39908" spans="1:1">
      <c r="A39908" s="56"/>
    </row>
    <row r="39909" spans="1:1">
      <c r="A39909" s="56"/>
    </row>
    <row r="39910" spans="1:1">
      <c r="A39910" s="56"/>
    </row>
    <row r="39911" spans="1:1">
      <c r="A39911" s="56"/>
    </row>
    <row r="39912" spans="1:1">
      <c r="A39912" s="56"/>
    </row>
    <row r="39913" spans="1:1">
      <c r="A39913" s="56"/>
    </row>
    <row r="39914" spans="1:1">
      <c r="A39914" s="56"/>
    </row>
    <row r="39915" spans="1:1">
      <c r="A39915" s="56"/>
    </row>
    <row r="39916" spans="1:1">
      <c r="A39916" s="56"/>
    </row>
    <row r="39917" spans="1:1">
      <c r="A39917" s="56"/>
    </row>
    <row r="39918" spans="1:1">
      <c r="A39918" s="56"/>
    </row>
    <row r="39919" spans="1:1">
      <c r="A39919" s="56"/>
    </row>
    <row r="39920" spans="1:1">
      <c r="A39920" s="56"/>
    </row>
    <row r="39921" spans="1:1">
      <c r="A39921" s="56"/>
    </row>
    <row r="39922" spans="1:1">
      <c r="A39922" s="56"/>
    </row>
    <row r="39923" spans="1:1">
      <c r="A39923" s="56"/>
    </row>
    <row r="39924" spans="1:1">
      <c r="A39924" s="56"/>
    </row>
    <row r="39925" spans="1:1">
      <c r="A39925" s="56"/>
    </row>
    <row r="39926" spans="1:1">
      <c r="A39926" s="56"/>
    </row>
    <row r="39927" spans="1:1">
      <c r="A39927" s="56"/>
    </row>
    <row r="39928" spans="1:1">
      <c r="A39928" s="56"/>
    </row>
    <row r="39929" spans="1:1">
      <c r="A39929" s="56"/>
    </row>
    <row r="39930" spans="1:1">
      <c r="A39930" s="56"/>
    </row>
    <row r="39931" spans="1:1">
      <c r="A39931" s="56"/>
    </row>
    <row r="39932" spans="1:1">
      <c r="A39932" s="56"/>
    </row>
    <row r="39933" spans="1:1">
      <c r="A39933" s="56"/>
    </row>
    <row r="39934" spans="1:1">
      <c r="A39934" s="56"/>
    </row>
    <row r="39935" spans="1:1">
      <c r="A39935" s="56"/>
    </row>
    <row r="39936" spans="1:1">
      <c r="A39936" s="56"/>
    </row>
    <row r="39937" spans="1:1">
      <c r="A39937" s="56"/>
    </row>
    <row r="39938" spans="1:1">
      <c r="A39938" s="56"/>
    </row>
    <row r="39939" spans="1:1">
      <c r="A39939" s="56"/>
    </row>
    <row r="39940" spans="1:1">
      <c r="A39940" s="56"/>
    </row>
    <row r="39941" spans="1:1">
      <c r="A39941" s="56"/>
    </row>
    <row r="39942" spans="1:1">
      <c r="A39942" s="56"/>
    </row>
    <row r="39943" spans="1:1">
      <c r="A39943" s="56"/>
    </row>
    <row r="39944" spans="1:1">
      <c r="A39944" s="56"/>
    </row>
    <row r="39945" spans="1:1">
      <c r="A39945" s="56"/>
    </row>
    <row r="39946" spans="1:1">
      <c r="A39946" s="56"/>
    </row>
    <row r="39947" spans="1:1">
      <c r="A39947" s="56"/>
    </row>
    <row r="39948" spans="1:1">
      <c r="A39948" s="56"/>
    </row>
    <row r="39949" spans="1:1">
      <c r="A39949" s="56"/>
    </row>
    <row r="39950" spans="1:1">
      <c r="A39950" s="56"/>
    </row>
    <row r="39951" spans="1:1">
      <c r="A39951" s="56"/>
    </row>
    <row r="39952" spans="1:1">
      <c r="A39952" s="56"/>
    </row>
    <row r="39953" spans="1:1">
      <c r="A39953" s="56"/>
    </row>
    <row r="39954" spans="1:1">
      <c r="A39954" s="56"/>
    </row>
    <row r="39955" spans="1:1">
      <c r="A39955" s="56"/>
    </row>
    <row r="39956" spans="1:1">
      <c r="A39956" s="56"/>
    </row>
    <row r="39957" spans="1:1">
      <c r="A39957" s="56"/>
    </row>
    <row r="39958" spans="1:1">
      <c r="A39958" s="56"/>
    </row>
    <row r="39959" spans="1:1">
      <c r="A39959" s="56"/>
    </row>
    <row r="39960" spans="1:1">
      <c r="A39960" s="56"/>
    </row>
    <row r="39961" spans="1:1">
      <c r="A39961" s="56"/>
    </row>
    <row r="39962" spans="1:1">
      <c r="A39962" s="56"/>
    </row>
    <row r="39963" spans="1:1">
      <c r="A39963" s="56"/>
    </row>
    <row r="39964" spans="1:1">
      <c r="A39964" s="56"/>
    </row>
    <row r="39965" spans="1:1">
      <c r="A39965" s="56"/>
    </row>
    <row r="39966" spans="1:1">
      <c r="A39966" s="56"/>
    </row>
    <row r="39967" spans="1:1">
      <c r="A39967" s="56"/>
    </row>
    <row r="39968" spans="1:1">
      <c r="A39968" s="56"/>
    </row>
    <row r="39969" spans="1:1">
      <c r="A39969" s="56"/>
    </row>
    <row r="39970" spans="1:1">
      <c r="A39970" s="56"/>
    </row>
    <row r="39971" spans="1:1">
      <c r="A39971" s="56"/>
    </row>
    <row r="39972" spans="1:1">
      <c r="A39972" s="56"/>
    </row>
    <row r="39973" spans="1:1">
      <c r="A39973" s="56"/>
    </row>
    <row r="39974" spans="1:1">
      <c r="A39974" s="56"/>
    </row>
    <row r="39975" spans="1:1">
      <c r="A39975" s="56"/>
    </row>
    <row r="39976" spans="1:1">
      <c r="A39976" s="56"/>
    </row>
    <row r="39977" spans="1:1">
      <c r="A39977" s="56"/>
    </row>
    <row r="39978" spans="1:1">
      <c r="A39978" s="56"/>
    </row>
    <row r="39979" spans="1:1">
      <c r="A39979" s="56"/>
    </row>
    <row r="39980" spans="1:1">
      <c r="A39980" s="56"/>
    </row>
    <row r="39981" spans="1:1">
      <c r="A39981" s="56"/>
    </row>
    <row r="39982" spans="1:1">
      <c r="A39982" s="56"/>
    </row>
    <row r="39983" spans="1:1">
      <c r="A39983" s="56"/>
    </row>
    <row r="39984" spans="1:1">
      <c r="A39984" s="56"/>
    </row>
    <row r="39985" spans="1:1">
      <c r="A39985" s="56"/>
    </row>
    <row r="39986" spans="1:1">
      <c r="A39986" s="56"/>
    </row>
    <row r="39987" spans="1:1">
      <c r="A39987" s="56"/>
    </row>
    <row r="39988" spans="1:1">
      <c r="A39988" s="56"/>
    </row>
    <row r="39989" spans="1:1">
      <c r="A39989" s="56"/>
    </row>
    <row r="39990" spans="1:1">
      <c r="A39990" s="56"/>
    </row>
    <row r="39991" spans="1:1">
      <c r="A39991" s="56"/>
    </row>
    <row r="39992" spans="1:1">
      <c r="A39992" s="56"/>
    </row>
    <row r="39993" spans="1:1">
      <c r="A39993" s="56"/>
    </row>
    <row r="39994" spans="1:1">
      <c r="A39994" s="56"/>
    </row>
    <row r="39995" spans="1:1">
      <c r="A39995" s="56"/>
    </row>
    <row r="39996" spans="1:1">
      <c r="A39996" s="56"/>
    </row>
    <row r="39997" spans="1:1">
      <c r="A39997" s="56"/>
    </row>
    <row r="39998" spans="1:1">
      <c r="A39998" s="56"/>
    </row>
    <row r="39999" spans="1:1">
      <c r="A39999" s="56"/>
    </row>
    <row r="40000" spans="1:1">
      <c r="A40000" s="56"/>
    </row>
    <row r="40001" spans="1:1">
      <c r="A40001" s="56"/>
    </row>
    <row r="40002" spans="1:1">
      <c r="A40002" s="56"/>
    </row>
    <row r="40003" spans="1:1">
      <c r="A40003" s="56"/>
    </row>
    <row r="40004" spans="1:1">
      <c r="A40004" s="56"/>
    </row>
    <row r="40005" spans="1:1">
      <c r="A40005" s="56"/>
    </row>
    <row r="40006" spans="1:1">
      <c r="A40006" s="56"/>
    </row>
    <row r="40007" spans="1:1">
      <c r="A40007" s="56"/>
    </row>
    <row r="40008" spans="1:1">
      <c r="A40008" s="56"/>
    </row>
    <row r="40009" spans="1:1">
      <c r="A40009" s="56"/>
    </row>
    <row r="40010" spans="1:1">
      <c r="A40010" s="56"/>
    </row>
    <row r="40011" spans="1:1">
      <c r="A40011" s="56"/>
    </row>
    <row r="40012" spans="1:1">
      <c r="A40012" s="56"/>
    </row>
    <row r="40013" spans="1:1">
      <c r="A40013" s="56"/>
    </row>
    <row r="40014" spans="1:1">
      <c r="A40014" s="56"/>
    </row>
    <row r="40015" spans="1:1">
      <c r="A40015" s="56"/>
    </row>
    <row r="40016" spans="1:1">
      <c r="A40016" s="56"/>
    </row>
    <row r="40017" spans="1:1">
      <c r="A40017" s="56"/>
    </row>
    <row r="40018" spans="1:1">
      <c r="A40018" s="56"/>
    </row>
    <row r="40019" spans="1:1">
      <c r="A40019" s="56"/>
    </row>
    <row r="40020" spans="1:1">
      <c r="A40020" s="56"/>
    </row>
    <row r="40021" spans="1:1">
      <c r="A40021" s="56"/>
    </row>
    <row r="40022" spans="1:1">
      <c r="A40022" s="56"/>
    </row>
    <row r="40023" spans="1:1">
      <c r="A40023" s="56"/>
    </row>
    <row r="40024" spans="1:1">
      <c r="A40024" s="56"/>
    </row>
    <row r="40025" spans="1:1">
      <c r="A40025" s="56"/>
    </row>
    <row r="40026" spans="1:1">
      <c r="A40026" s="56"/>
    </row>
    <row r="40027" spans="1:1">
      <c r="A40027" s="56"/>
    </row>
    <row r="40028" spans="1:1">
      <c r="A40028" s="56"/>
    </row>
    <row r="40029" spans="1:1">
      <c r="A40029" s="56"/>
    </row>
    <row r="40030" spans="1:1">
      <c r="A40030" s="56"/>
    </row>
    <row r="40031" spans="1:1">
      <c r="A40031" s="56"/>
    </row>
    <row r="40032" spans="1:1">
      <c r="A40032" s="56"/>
    </row>
    <row r="40033" spans="1:1">
      <c r="A40033" s="56"/>
    </row>
    <row r="40034" spans="1:1">
      <c r="A40034" s="56"/>
    </row>
    <row r="40035" spans="1:1">
      <c r="A40035" s="56"/>
    </row>
    <row r="40036" spans="1:1">
      <c r="A40036" s="56"/>
    </row>
    <row r="40037" spans="1:1">
      <c r="A40037" s="56"/>
    </row>
    <row r="40038" spans="1:1">
      <c r="A40038" s="56"/>
    </row>
    <row r="40039" spans="1:1">
      <c r="A40039" s="56"/>
    </row>
    <row r="40040" spans="1:1">
      <c r="A40040" s="56"/>
    </row>
    <row r="40041" spans="1:1">
      <c r="A40041" s="56"/>
    </row>
    <row r="40042" spans="1:1">
      <c r="A40042" s="56"/>
    </row>
    <row r="40043" spans="1:1">
      <c r="A40043" s="56"/>
    </row>
    <row r="40044" spans="1:1">
      <c r="A40044" s="56"/>
    </row>
    <row r="40045" spans="1:1">
      <c r="A40045" s="56"/>
    </row>
    <row r="40046" spans="1:1">
      <c r="A40046" s="56"/>
    </row>
    <row r="40047" spans="1:1">
      <c r="A40047" s="56"/>
    </row>
    <row r="40048" spans="1:1">
      <c r="A40048" s="56"/>
    </row>
    <row r="40049" spans="1:1">
      <c r="A40049" s="56"/>
    </row>
    <row r="40050" spans="1:1">
      <c r="A40050" s="56"/>
    </row>
    <row r="40051" spans="1:1">
      <c r="A40051" s="56"/>
    </row>
    <row r="40052" spans="1:1">
      <c r="A40052" s="56"/>
    </row>
    <row r="40053" spans="1:1">
      <c r="A40053" s="56"/>
    </row>
    <row r="40054" spans="1:1">
      <c r="A40054" s="56"/>
    </row>
    <row r="40055" spans="1:1">
      <c r="A40055" s="56"/>
    </row>
    <row r="40056" spans="1:1">
      <c r="A40056" s="56"/>
    </row>
    <row r="40057" spans="1:1">
      <c r="A40057" s="56"/>
    </row>
    <row r="40058" spans="1:1">
      <c r="A40058" s="56"/>
    </row>
    <row r="40059" spans="1:1">
      <c r="A40059" s="56"/>
    </row>
    <row r="40060" spans="1:1">
      <c r="A40060" s="56"/>
    </row>
    <row r="40061" spans="1:1">
      <c r="A40061" s="56"/>
    </row>
    <row r="40062" spans="1:1">
      <c r="A40062" s="56"/>
    </row>
    <row r="40063" spans="1:1">
      <c r="A40063" s="56"/>
    </row>
    <row r="40064" spans="1:1">
      <c r="A40064" s="56"/>
    </row>
    <row r="40065" spans="1:1">
      <c r="A40065" s="56"/>
    </row>
    <row r="40066" spans="1:1">
      <c r="A40066" s="56"/>
    </row>
    <row r="40067" spans="1:1">
      <c r="A40067" s="56"/>
    </row>
    <row r="40068" spans="1:1">
      <c r="A40068" s="56"/>
    </row>
    <row r="40069" spans="1:1">
      <c r="A40069" s="56"/>
    </row>
    <row r="40070" spans="1:1">
      <c r="A40070" s="56"/>
    </row>
    <row r="40071" spans="1:1">
      <c r="A40071" s="56"/>
    </row>
    <row r="40072" spans="1:1">
      <c r="A40072" s="56"/>
    </row>
    <row r="40073" spans="1:1">
      <c r="A40073" s="56"/>
    </row>
    <row r="40074" spans="1:1">
      <c r="A40074" s="56"/>
    </row>
    <row r="40075" spans="1:1">
      <c r="A40075" s="56"/>
    </row>
    <row r="40076" spans="1:1">
      <c r="A40076" s="56"/>
    </row>
    <row r="40077" spans="1:1">
      <c r="A40077" s="56"/>
    </row>
    <row r="40078" spans="1:1">
      <c r="A40078" s="56"/>
    </row>
    <row r="40079" spans="1:1">
      <c r="A40079" s="56"/>
    </row>
    <row r="40080" spans="1:1">
      <c r="A40080" s="56"/>
    </row>
    <row r="40081" spans="1:1">
      <c r="A40081" s="56"/>
    </row>
    <row r="40082" spans="1:1">
      <c r="A40082" s="56"/>
    </row>
    <row r="40083" spans="1:1">
      <c r="A40083" s="56"/>
    </row>
    <row r="40084" spans="1:1">
      <c r="A40084" s="56"/>
    </row>
    <row r="40085" spans="1:1">
      <c r="A40085" s="56"/>
    </row>
    <row r="40086" spans="1:1">
      <c r="A40086" s="56"/>
    </row>
    <row r="40087" spans="1:1">
      <c r="A40087" s="56"/>
    </row>
    <row r="40088" spans="1:1">
      <c r="A40088" s="56"/>
    </row>
    <row r="40089" spans="1:1">
      <c r="A40089" s="56"/>
    </row>
    <row r="40090" spans="1:1">
      <c r="A40090" s="56"/>
    </row>
    <row r="40091" spans="1:1">
      <c r="A40091" s="56"/>
    </row>
    <row r="40092" spans="1:1">
      <c r="A40092" s="56"/>
    </row>
    <row r="40093" spans="1:1">
      <c r="A40093" s="56"/>
    </row>
    <row r="40094" spans="1:1">
      <c r="A40094" s="56"/>
    </row>
    <row r="40095" spans="1:1">
      <c r="A40095" s="56"/>
    </row>
    <row r="40096" spans="1:1">
      <c r="A40096" s="56"/>
    </row>
    <row r="40097" spans="1:1">
      <c r="A40097" s="56"/>
    </row>
    <row r="40098" spans="1:1">
      <c r="A40098" s="56"/>
    </row>
    <row r="40099" spans="1:1">
      <c r="A40099" s="56"/>
    </row>
    <row r="40100" spans="1:1">
      <c r="A40100" s="56"/>
    </row>
    <row r="40101" spans="1:1">
      <c r="A40101" s="56"/>
    </row>
    <row r="40102" spans="1:1">
      <c r="A40102" s="56"/>
    </row>
    <row r="40103" spans="1:1">
      <c r="A40103" s="56"/>
    </row>
    <row r="40104" spans="1:1">
      <c r="A40104" s="56"/>
    </row>
    <row r="40105" spans="1:1">
      <c r="A40105" s="56"/>
    </row>
    <row r="40106" spans="1:1">
      <c r="A40106" s="56"/>
    </row>
    <row r="40107" spans="1:1">
      <c r="A40107" s="56"/>
    </row>
    <row r="40108" spans="1:1">
      <c r="A40108" s="56"/>
    </row>
    <row r="40109" spans="1:1">
      <c r="A40109" s="56"/>
    </row>
    <row r="40110" spans="1:1">
      <c r="A40110" s="56"/>
    </row>
    <row r="40111" spans="1:1">
      <c r="A40111" s="56"/>
    </row>
    <row r="40112" spans="1:1">
      <c r="A40112" s="56"/>
    </row>
    <row r="40113" spans="1:1">
      <c r="A40113" s="56"/>
    </row>
    <row r="40114" spans="1:1">
      <c r="A40114" s="56"/>
    </row>
    <row r="40115" spans="1:1">
      <c r="A40115" s="56"/>
    </row>
    <row r="40116" spans="1:1">
      <c r="A40116" s="56"/>
    </row>
    <row r="40117" spans="1:1">
      <c r="A40117" s="56"/>
    </row>
    <row r="40118" spans="1:1">
      <c r="A40118" s="56"/>
    </row>
    <row r="40119" spans="1:1">
      <c r="A40119" s="56"/>
    </row>
    <row r="40120" spans="1:1">
      <c r="A40120" s="56"/>
    </row>
    <row r="40121" spans="1:1">
      <c r="A40121" s="56"/>
    </row>
    <row r="40122" spans="1:1">
      <c r="A40122" s="56"/>
    </row>
    <row r="40123" spans="1:1">
      <c r="A40123" s="56"/>
    </row>
    <row r="40124" spans="1:1">
      <c r="A40124" s="56"/>
    </row>
    <row r="40125" spans="1:1">
      <c r="A40125" s="56"/>
    </row>
    <row r="40126" spans="1:1">
      <c r="A40126" s="56"/>
    </row>
    <row r="40127" spans="1:1">
      <c r="A40127" s="56"/>
    </row>
    <row r="40128" spans="1:1">
      <c r="A40128" s="56"/>
    </row>
    <row r="40129" spans="1:1">
      <c r="A40129" s="56"/>
    </row>
    <row r="40130" spans="1:1">
      <c r="A40130" s="56"/>
    </row>
    <row r="40131" spans="1:1">
      <c r="A40131" s="56"/>
    </row>
    <row r="40132" spans="1:1">
      <c r="A40132" s="56"/>
    </row>
    <row r="40133" spans="1:1">
      <c r="A40133" s="56"/>
    </row>
    <row r="40134" spans="1:1">
      <c r="A40134" s="56"/>
    </row>
    <row r="40135" spans="1:1">
      <c r="A40135" s="56"/>
    </row>
    <row r="40136" spans="1:1">
      <c r="A40136" s="56"/>
    </row>
    <row r="40137" spans="1:1">
      <c r="A40137" s="56"/>
    </row>
    <row r="40138" spans="1:1">
      <c r="A40138" s="56"/>
    </row>
    <row r="40139" spans="1:1">
      <c r="A40139" s="56"/>
    </row>
    <row r="40140" spans="1:1">
      <c r="A40140" s="56"/>
    </row>
    <row r="40141" spans="1:1">
      <c r="A40141" s="56"/>
    </row>
    <row r="40142" spans="1:1">
      <c r="A40142" s="56"/>
    </row>
    <row r="40143" spans="1:1">
      <c r="A40143" s="56"/>
    </row>
    <row r="40144" spans="1:1">
      <c r="A40144" s="56"/>
    </row>
    <row r="40145" spans="1:1">
      <c r="A40145" s="56"/>
    </row>
    <row r="40146" spans="1:1">
      <c r="A40146" s="56"/>
    </row>
    <row r="40147" spans="1:1">
      <c r="A40147" s="56"/>
    </row>
    <row r="40148" spans="1:1">
      <c r="A40148" s="56"/>
    </row>
    <row r="40149" spans="1:1">
      <c r="A40149" s="56"/>
    </row>
    <row r="40150" spans="1:1">
      <c r="A40150" s="56"/>
    </row>
    <row r="40151" spans="1:1">
      <c r="A40151" s="56"/>
    </row>
    <row r="40152" spans="1:1">
      <c r="A40152" s="56"/>
    </row>
    <row r="40153" spans="1:1">
      <c r="A40153" s="56"/>
    </row>
    <row r="40154" spans="1:1">
      <c r="A40154" s="56"/>
    </row>
    <row r="40155" spans="1:1">
      <c r="A40155" s="56"/>
    </row>
    <row r="40156" spans="1:1">
      <c r="A40156" s="56"/>
    </row>
    <row r="40157" spans="1:1">
      <c r="A40157" s="56"/>
    </row>
    <row r="40158" spans="1:1">
      <c r="A40158" s="56"/>
    </row>
    <row r="40159" spans="1:1">
      <c r="A40159" s="56"/>
    </row>
    <row r="40160" spans="1:1">
      <c r="A40160" s="56"/>
    </row>
    <row r="40161" spans="1:1">
      <c r="A40161" s="56"/>
    </row>
    <row r="40162" spans="1:1">
      <c r="A40162" s="56"/>
    </row>
    <row r="40163" spans="1:1">
      <c r="A40163" s="56"/>
    </row>
    <row r="40164" spans="1:1">
      <c r="A40164" s="56"/>
    </row>
    <row r="40165" spans="1:1">
      <c r="A40165" s="56"/>
    </row>
    <row r="40166" spans="1:1">
      <c r="A40166" s="56"/>
    </row>
    <row r="40167" spans="1:1">
      <c r="A40167" s="56"/>
    </row>
    <row r="40168" spans="1:1">
      <c r="A40168" s="56"/>
    </row>
    <row r="40169" spans="1:1">
      <c r="A40169" s="56"/>
    </row>
    <row r="40170" spans="1:1">
      <c r="A40170" s="56"/>
    </row>
    <row r="40171" spans="1:1">
      <c r="A40171" s="56"/>
    </row>
    <row r="40172" spans="1:1">
      <c r="A40172" s="56"/>
    </row>
    <row r="40173" spans="1:1">
      <c r="A40173" s="56"/>
    </row>
    <row r="40174" spans="1:1">
      <c r="A40174" s="56"/>
    </row>
    <row r="40175" spans="1:1">
      <c r="A40175" s="56"/>
    </row>
    <row r="40176" spans="1:1">
      <c r="A40176" s="56"/>
    </row>
    <row r="40177" spans="1:1">
      <c r="A40177" s="56"/>
    </row>
    <row r="40178" spans="1:1">
      <c r="A40178" s="56"/>
    </row>
    <row r="40179" spans="1:1">
      <c r="A40179" s="56"/>
    </row>
    <row r="40180" spans="1:1">
      <c r="A40180" s="56"/>
    </row>
    <row r="40181" spans="1:1">
      <c r="A40181" s="56"/>
    </row>
    <row r="40182" spans="1:1">
      <c r="A40182" s="56"/>
    </row>
    <row r="40183" spans="1:1">
      <c r="A40183" s="56"/>
    </row>
    <row r="40184" spans="1:1">
      <c r="A40184" s="56"/>
    </row>
    <row r="40185" spans="1:1">
      <c r="A40185" s="56"/>
    </row>
    <row r="40186" spans="1:1">
      <c r="A40186" s="56"/>
    </row>
    <row r="40187" spans="1:1">
      <c r="A40187" s="56"/>
    </row>
    <row r="40188" spans="1:1">
      <c r="A40188" s="56"/>
    </row>
    <row r="40189" spans="1:1">
      <c r="A40189" s="56"/>
    </row>
    <row r="40190" spans="1:1">
      <c r="A40190" s="56"/>
    </row>
    <row r="40191" spans="1:1">
      <c r="A40191" s="56"/>
    </row>
    <row r="40192" spans="1:1">
      <c r="A40192" s="56"/>
    </row>
    <row r="40193" spans="1:1">
      <c r="A40193" s="56"/>
    </row>
    <row r="40194" spans="1:1">
      <c r="A40194" s="56"/>
    </row>
    <row r="40195" spans="1:1">
      <c r="A40195" s="56"/>
    </row>
    <row r="40196" spans="1:1">
      <c r="A40196" s="56"/>
    </row>
    <row r="40197" spans="1:1">
      <c r="A40197" s="56"/>
    </row>
    <row r="40198" spans="1:1">
      <c r="A40198" s="56"/>
    </row>
    <row r="40199" spans="1:1">
      <c r="A40199" s="56"/>
    </row>
    <row r="40200" spans="1:1">
      <c r="A40200" s="56"/>
    </row>
    <row r="40201" spans="1:1">
      <c r="A40201" s="56"/>
    </row>
    <row r="40202" spans="1:1">
      <c r="A40202" s="56"/>
    </row>
    <row r="40203" spans="1:1">
      <c r="A40203" s="56"/>
    </row>
    <row r="40204" spans="1:1">
      <c r="A40204" s="56"/>
    </row>
    <row r="40205" spans="1:1">
      <c r="A40205" s="56"/>
    </row>
    <row r="40206" spans="1:1">
      <c r="A40206" s="56"/>
    </row>
    <row r="40207" spans="1:1">
      <c r="A40207" s="56"/>
    </row>
    <row r="40208" spans="1:1">
      <c r="A40208" s="56"/>
    </row>
    <row r="40209" spans="1:1">
      <c r="A40209" s="56"/>
    </row>
    <row r="40210" spans="1:1">
      <c r="A40210" s="56"/>
    </row>
    <row r="40211" spans="1:1">
      <c r="A40211" s="56"/>
    </row>
    <row r="40212" spans="1:1">
      <c r="A40212" s="56"/>
    </row>
    <row r="40213" spans="1:1">
      <c r="A40213" s="56"/>
    </row>
    <row r="40214" spans="1:1">
      <c r="A40214" s="56"/>
    </row>
    <row r="40215" spans="1:1">
      <c r="A40215" s="56"/>
    </row>
    <row r="40216" spans="1:1">
      <c r="A40216" s="56"/>
    </row>
    <row r="40217" spans="1:1">
      <c r="A40217" s="56"/>
    </row>
    <row r="40218" spans="1:1">
      <c r="A40218" s="56"/>
    </row>
    <row r="40219" spans="1:1">
      <c r="A40219" s="56"/>
    </row>
    <row r="40220" spans="1:1">
      <c r="A40220" s="56"/>
    </row>
    <row r="40221" spans="1:1">
      <c r="A40221" s="56"/>
    </row>
    <row r="40222" spans="1:1">
      <c r="A40222" s="56"/>
    </row>
    <row r="40223" spans="1:1">
      <c r="A40223" s="56"/>
    </row>
    <row r="40224" spans="1:1">
      <c r="A40224" s="56"/>
    </row>
    <row r="40225" spans="1:1">
      <c r="A40225" s="56"/>
    </row>
    <row r="40226" spans="1:1">
      <c r="A40226" s="56"/>
    </row>
    <row r="40227" spans="1:1">
      <c r="A40227" s="56"/>
    </row>
    <row r="40228" spans="1:1">
      <c r="A40228" s="56"/>
    </row>
    <row r="40229" spans="1:1">
      <c r="A40229" s="56"/>
    </row>
    <row r="40230" spans="1:1">
      <c r="A40230" s="56"/>
    </row>
    <row r="40231" spans="1:1">
      <c r="A40231" s="56"/>
    </row>
    <row r="40232" spans="1:1">
      <c r="A40232" s="56"/>
    </row>
    <row r="40233" spans="1:1">
      <c r="A40233" s="56"/>
    </row>
    <row r="40234" spans="1:1">
      <c r="A40234" s="56"/>
    </row>
    <row r="40235" spans="1:1">
      <c r="A40235" s="56"/>
    </row>
    <row r="40236" spans="1:1">
      <c r="A40236" s="56"/>
    </row>
    <row r="40237" spans="1:1">
      <c r="A40237" s="56"/>
    </row>
    <row r="40238" spans="1:1">
      <c r="A40238" s="56"/>
    </row>
    <row r="40239" spans="1:1">
      <c r="A40239" s="56"/>
    </row>
    <row r="40240" spans="1:1">
      <c r="A40240" s="56"/>
    </row>
    <row r="40241" spans="1:1">
      <c r="A40241" s="56"/>
    </row>
    <row r="40242" spans="1:1">
      <c r="A40242" s="56"/>
    </row>
    <row r="40243" spans="1:1">
      <c r="A40243" s="56"/>
    </row>
    <row r="40244" spans="1:1">
      <c r="A40244" s="56"/>
    </row>
    <row r="40245" spans="1:1">
      <c r="A40245" s="56"/>
    </row>
    <row r="40246" spans="1:1">
      <c r="A40246" s="56"/>
    </row>
    <row r="40247" spans="1:1">
      <c r="A40247" s="56"/>
    </row>
    <row r="40248" spans="1:1">
      <c r="A40248" s="56"/>
    </row>
    <row r="40249" spans="1:1">
      <c r="A40249" s="56"/>
    </row>
    <row r="40250" spans="1:1">
      <c r="A40250" s="56"/>
    </row>
    <row r="40251" spans="1:1">
      <c r="A40251" s="56"/>
    </row>
    <row r="40252" spans="1:1">
      <c r="A40252" s="56"/>
    </row>
    <row r="40253" spans="1:1">
      <c r="A40253" s="56"/>
    </row>
    <row r="40254" spans="1:1">
      <c r="A40254" s="56"/>
    </row>
    <row r="40255" spans="1:1">
      <c r="A40255" s="56"/>
    </row>
    <row r="40256" spans="1:1">
      <c r="A40256" s="56"/>
    </row>
    <row r="40257" spans="1:1">
      <c r="A40257" s="56"/>
    </row>
    <row r="40258" spans="1:1">
      <c r="A40258" s="56"/>
    </row>
    <row r="40259" spans="1:1">
      <c r="A40259" s="56"/>
    </row>
    <row r="40260" spans="1:1">
      <c r="A40260" s="56"/>
    </row>
    <row r="40261" spans="1:1">
      <c r="A40261" s="56"/>
    </row>
    <row r="40262" spans="1:1">
      <c r="A40262" s="56"/>
    </row>
    <row r="40263" spans="1:1">
      <c r="A40263" s="56"/>
    </row>
    <row r="40264" spans="1:1">
      <c r="A40264" s="56"/>
    </row>
    <row r="40265" spans="1:1">
      <c r="A40265" s="56"/>
    </row>
    <row r="40266" spans="1:1">
      <c r="A40266" s="56"/>
    </row>
    <row r="40267" spans="1:1">
      <c r="A40267" s="56"/>
    </row>
    <row r="40268" spans="1:1">
      <c r="A40268" s="56"/>
    </row>
    <row r="40269" spans="1:1">
      <c r="A40269" s="56"/>
    </row>
    <row r="40270" spans="1:1">
      <c r="A40270" s="56"/>
    </row>
    <row r="40271" spans="1:1">
      <c r="A40271" s="56"/>
    </row>
    <row r="40272" spans="1:1">
      <c r="A40272" s="56"/>
    </row>
    <row r="40273" spans="1:1">
      <c r="A40273" s="56"/>
    </row>
    <row r="40274" spans="1:1">
      <c r="A40274" s="56"/>
    </row>
    <row r="40275" spans="1:1">
      <c r="A40275" s="56"/>
    </row>
    <row r="40276" spans="1:1">
      <c r="A40276" s="56"/>
    </row>
    <row r="40277" spans="1:1">
      <c r="A40277" s="56"/>
    </row>
    <row r="40278" spans="1:1">
      <c r="A40278" s="56"/>
    </row>
    <row r="40279" spans="1:1">
      <c r="A40279" s="56"/>
    </row>
    <row r="40280" spans="1:1">
      <c r="A40280" s="56"/>
    </row>
    <row r="40281" spans="1:1">
      <c r="A40281" s="56"/>
    </row>
    <row r="40282" spans="1:1">
      <c r="A40282" s="56"/>
    </row>
    <row r="40283" spans="1:1">
      <c r="A40283" s="56"/>
    </row>
    <row r="40284" spans="1:1">
      <c r="A40284" s="56"/>
    </row>
    <row r="40285" spans="1:1">
      <c r="A40285" s="56"/>
    </row>
    <row r="40286" spans="1:1">
      <c r="A40286" s="56"/>
    </row>
    <row r="40287" spans="1:1">
      <c r="A40287" s="56"/>
    </row>
    <row r="40288" spans="1:1">
      <c r="A40288" s="56"/>
    </row>
    <row r="40289" spans="1:1">
      <c r="A40289" s="56"/>
    </row>
    <row r="40290" spans="1:1">
      <c r="A40290" s="56"/>
    </row>
    <row r="40291" spans="1:1">
      <c r="A40291" s="56"/>
    </row>
    <row r="40292" spans="1:1">
      <c r="A40292" s="56"/>
    </row>
    <row r="40293" spans="1:1">
      <c r="A40293" s="56"/>
    </row>
    <row r="40294" spans="1:1">
      <c r="A40294" s="56"/>
    </row>
    <row r="40295" spans="1:1">
      <c r="A40295" s="56"/>
    </row>
    <row r="40296" spans="1:1">
      <c r="A40296" s="56"/>
    </row>
    <row r="40297" spans="1:1">
      <c r="A40297" s="56"/>
    </row>
    <row r="40298" spans="1:1">
      <c r="A40298" s="56"/>
    </row>
    <row r="40299" spans="1:1">
      <c r="A40299" s="56"/>
    </row>
    <row r="40300" spans="1:1">
      <c r="A40300" s="56"/>
    </row>
    <row r="40301" spans="1:1">
      <c r="A40301" s="56"/>
    </row>
    <row r="40302" spans="1:1">
      <c r="A40302" s="56"/>
    </row>
    <row r="40303" spans="1:1">
      <c r="A40303" s="56"/>
    </row>
    <row r="40304" spans="1:1">
      <c r="A40304" s="56"/>
    </row>
    <row r="40305" spans="1:1">
      <c r="A40305" s="56"/>
    </row>
    <row r="40306" spans="1:1">
      <c r="A40306" s="56"/>
    </row>
    <row r="40307" spans="1:1">
      <c r="A40307" s="56"/>
    </row>
    <row r="40308" spans="1:1">
      <c r="A40308" s="56"/>
    </row>
    <row r="40309" spans="1:1">
      <c r="A40309" s="56"/>
    </row>
    <row r="40310" spans="1:1">
      <c r="A40310" s="56"/>
    </row>
    <row r="40311" spans="1:1">
      <c r="A40311" s="56"/>
    </row>
    <row r="40312" spans="1:1">
      <c r="A40312" s="56"/>
    </row>
    <row r="40313" spans="1:1">
      <c r="A40313" s="56"/>
    </row>
    <row r="40314" spans="1:1">
      <c r="A40314" s="56"/>
    </row>
    <row r="40315" spans="1:1">
      <c r="A40315" s="56"/>
    </row>
    <row r="40316" spans="1:1">
      <c r="A40316" s="56"/>
    </row>
    <row r="40317" spans="1:1">
      <c r="A40317" s="56"/>
    </row>
    <row r="40318" spans="1:1">
      <c r="A40318" s="56"/>
    </row>
    <row r="40319" spans="1:1">
      <c r="A40319" s="56"/>
    </row>
    <row r="40320" spans="1:1">
      <c r="A40320" s="56"/>
    </row>
    <row r="40321" spans="1:1">
      <c r="A40321" s="56"/>
    </row>
    <row r="40322" spans="1:1">
      <c r="A40322" s="56"/>
    </row>
    <row r="40323" spans="1:1">
      <c r="A40323" s="56"/>
    </row>
    <row r="40324" spans="1:1">
      <c r="A40324" s="56"/>
    </row>
    <row r="40325" spans="1:1">
      <c r="A40325" s="56"/>
    </row>
    <row r="40326" spans="1:1">
      <c r="A40326" s="56"/>
    </row>
    <row r="40327" spans="1:1">
      <c r="A40327" s="56"/>
    </row>
    <row r="40328" spans="1:1">
      <c r="A40328" s="56"/>
    </row>
    <row r="40329" spans="1:1">
      <c r="A40329" s="56"/>
    </row>
    <row r="40330" spans="1:1">
      <c r="A40330" s="56"/>
    </row>
    <row r="40331" spans="1:1">
      <c r="A40331" s="56"/>
    </row>
    <row r="40332" spans="1:1">
      <c r="A40332" s="56"/>
    </row>
    <row r="40333" spans="1:1">
      <c r="A40333" s="56"/>
    </row>
    <row r="40334" spans="1:1">
      <c r="A40334" s="56"/>
    </row>
    <row r="40335" spans="1:1">
      <c r="A40335" s="56"/>
    </row>
    <row r="40336" spans="1:1">
      <c r="A40336" s="56"/>
    </row>
    <row r="40337" spans="1:1">
      <c r="A40337" s="56"/>
    </row>
    <row r="40338" spans="1:1">
      <c r="A40338" s="56"/>
    </row>
    <row r="40339" spans="1:1">
      <c r="A40339" s="56"/>
    </row>
    <row r="40340" spans="1:1">
      <c r="A40340" s="56"/>
    </row>
    <row r="40341" spans="1:1">
      <c r="A40341" s="56"/>
    </row>
    <row r="40342" spans="1:1">
      <c r="A40342" s="56"/>
    </row>
    <row r="40343" spans="1:1">
      <c r="A40343" s="56"/>
    </row>
    <row r="40344" spans="1:1">
      <c r="A40344" s="56"/>
    </row>
    <row r="40345" spans="1:1">
      <c r="A40345" s="56"/>
    </row>
    <row r="40346" spans="1:1">
      <c r="A40346" s="56"/>
    </row>
    <row r="40347" spans="1:1">
      <c r="A40347" s="56"/>
    </row>
    <row r="40348" spans="1:1">
      <c r="A40348" s="56"/>
    </row>
    <row r="40349" spans="1:1">
      <c r="A40349" s="56"/>
    </row>
    <row r="40350" spans="1:1">
      <c r="A40350" s="56"/>
    </row>
    <row r="40351" spans="1:1">
      <c r="A40351" s="56"/>
    </row>
    <row r="40352" spans="1:1">
      <c r="A40352" s="56"/>
    </row>
    <row r="40353" spans="1:1">
      <c r="A40353" s="56"/>
    </row>
    <row r="40354" spans="1:1">
      <c r="A40354" s="56"/>
    </row>
    <row r="40355" spans="1:1">
      <c r="A40355" s="56"/>
    </row>
    <row r="40356" spans="1:1">
      <c r="A40356" s="56"/>
    </row>
    <row r="40357" spans="1:1">
      <c r="A40357" s="56"/>
    </row>
    <row r="40358" spans="1:1">
      <c r="A40358" s="56"/>
    </row>
    <row r="40359" spans="1:1">
      <c r="A40359" s="56"/>
    </row>
    <row r="40360" spans="1:1">
      <c r="A40360" s="56"/>
    </row>
    <row r="40361" spans="1:1">
      <c r="A40361" s="56"/>
    </row>
    <row r="40362" spans="1:1">
      <c r="A40362" s="56"/>
    </row>
    <row r="40363" spans="1:1">
      <c r="A40363" s="56"/>
    </row>
    <row r="40364" spans="1:1">
      <c r="A40364" s="56"/>
    </row>
    <row r="40365" spans="1:1">
      <c r="A40365" s="56"/>
    </row>
    <row r="40366" spans="1:1">
      <c r="A40366" s="56"/>
    </row>
    <row r="40367" spans="1:1">
      <c r="A40367" s="56"/>
    </row>
    <row r="40368" spans="1:1">
      <c r="A40368" s="56"/>
    </row>
    <row r="40369" spans="1:1">
      <c r="A40369" s="56"/>
    </row>
    <row r="40370" spans="1:1">
      <c r="A40370" s="56"/>
    </row>
    <row r="40371" spans="1:1">
      <c r="A40371" s="56"/>
    </row>
    <row r="40372" spans="1:1">
      <c r="A40372" s="56"/>
    </row>
    <row r="40373" spans="1:1">
      <c r="A40373" s="56"/>
    </row>
    <row r="40374" spans="1:1">
      <c r="A40374" s="56"/>
    </row>
    <row r="40375" spans="1:1">
      <c r="A40375" s="56"/>
    </row>
    <row r="40376" spans="1:1">
      <c r="A40376" s="56"/>
    </row>
    <row r="40377" spans="1:1">
      <c r="A40377" s="56"/>
    </row>
    <row r="40378" spans="1:1">
      <c r="A40378" s="56"/>
    </row>
    <row r="40379" spans="1:1">
      <c r="A40379" s="56"/>
    </row>
    <row r="40380" spans="1:1">
      <c r="A40380" s="56"/>
    </row>
    <row r="40381" spans="1:1">
      <c r="A40381" s="56"/>
    </row>
    <row r="40382" spans="1:1">
      <c r="A40382" s="56"/>
    </row>
    <row r="40383" spans="1:1">
      <c r="A40383" s="56"/>
    </row>
    <row r="40384" spans="1:1">
      <c r="A40384" s="56"/>
    </row>
    <row r="40385" spans="1:1">
      <c r="A40385" s="56"/>
    </row>
    <row r="40386" spans="1:1">
      <c r="A40386" s="56"/>
    </row>
    <row r="40387" spans="1:1">
      <c r="A40387" s="56"/>
    </row>
    <row r="40388" spans="1:1">
      <c r="A40388" s="56"/>
    </row>
    <row r="40389" spans="1:1">
      <c r="A40389" s="56"/>
    </row>
    <row r="40390" spans="1:1">
      <c r="A40390" s="56"/>
    </row>
    <row r="40391" spans="1:1">
      <c r="A40391" s="56"/>
    </row>
    <row r="40392" spans="1:1">
      <c r="A40392" s="56"/>
    </row>
    <row r="40393" spans="1:1">
      <c r="A40393" s="56"/>
    </row>
    <row r="40394" spans="1:1">
      <c r="A40394" s="56"/>
    </row>
    <row r="40395" spans="1:1">
      <c r="A40395" s="56"/>
    </row>
    <row r="40396" spans="1:1">
      <c r="A40396" s="56"/>
    </row>
    <row r="40397" spans="1:1">
      <c r="A40397" s="56"/>
    </row>
    <row r="40398" spans="1:1">
      <c r="A40398" s="56"/>
    </row>
    <row r="40399" spans="1:1">
      <c r="A40399" s="56"/>
    </row>
    <row r="40400" spans="1:1">
      <c r="A40400" s="56"/>
    </row>
    <row r="40401" spans="1:1">
      <c r="A40401" s="56"/>
    </row>
    <row r="40402" spans="1:1">
      <c r="A40402" s="56"/>
    </row>
    <row r="40403" spans="1:1">
      <c r="A40403" s="56"/>
    </row>
    <row r="40404" spans="1:1">
      <c r="A40404" s="56"/>
    </row>
    <row r="40405" spans="1:1">
      <c r="A40405" s="56"/>
    </row>
    <row r="40406" spans="1:1">
      <c r="A40406" s="56"/>
    </row>
    <row r="40407" spans="1:1">
      <c r="A40407" s="56"/>
    </row>
    <row r="40408" spans="1:1">
      <c r="A40408" s="56"/>
    </row>
    <row r="40409" spans="1:1">
      <c r="A40409" s="56"/>
    </row>
    <row r="40410" spans="1:1">
      <c r="A40410" s="56"/>
    </row>
    <row r="40411" spans="1:1">
      <c r="A40411" s="56"/>
    </row>
    <row r="40412" spans="1:1">
      <c r="A40412" s="56"/>
    </row>
    <row r="40413" spans="1:1">
      <c r="A40413" s="56"/>
    </row>
    <row r="40414" spans="1:1">
      <c r="A40414" s="56"/>
    </row>
    <row r="40415" spans="1:1">
      <c r="A40415" s="56"/>
    </row>
    <row r="40416" spans="1:1">
      <c r="A40416" s="56"/>
    </row>
    <row r="40417" spans="1:1">
      <c r="A40417" s="56"/>
    </row>
    <row r="40418" spans="1:1">
      <c r="A40418" s="56"/>
    </row>
    <row r="40419" spans="1:1">
      <c r="A40419" s="56"/>
    </row>
    <row r="40420" spans="1:1">
      <c r="A40420" s="56"/>
    </row>
    <row r="40421" spans="1:1">
      <c r="A40421" s="56"/>
    </row>
    <row r="40422" spans="1:1">
      <c r="A40422" s="56"/>
    </row>
    <row r="40423" spans="1:1">
      <c r="A40423" s="56"/>
    </row>
    <row r="40424" spans="1:1">
      <c r="A40424" s="56"/>
    </row>
    <row r="40425" spans="1:1">
      <c r="A40425" s="56"/>
    </row>
    <row r="40426" spans="1:1">
      <c r="A40426" s="56"/>
    </row>
    <row r="40427" spans="1:1">
      <c r="A40427" s="56"/>
    </row>
    <row r="40428" spans="1:1">
      <c r="A40428" s="56"/>
    </row>
    <row r="40429" spans="1:1">
      <c r="A40429" s="56"/>
    </row>
    <row r="40430" spans="1:1">
      <c r="A40430" s="56"/>
    </row>
    <row r="40431" spans="1:1">
      <c r="A40431" s="56"/>
    </row>
    <row r="40432" spans="1:1">
      <c r="A40432" s="56"/>
    </row>
    <row r="40433" spans="1:1">
      <c r="A40433" s="56"/>
    </row>
    <row r="40434" spans="1:1">
      <c r="A40434" s="56"/>
    </row>
    <row r="40435" spans="1:1">
      <c r="A40435" s="56"/>
    </row>
    <row r="40436" spans="1:1">
      <c r="A40436" s="56"/>
    </row>
    <row r="40437" spans="1:1">
      <c r="A40437" s="56"/>
    </row>
    <row r="40438" spans="1:1">
      <c r="A40438" s="56"/>
    </row>
    <row r="40439" spans="1:1">
      <c r="A40439" s="56"/>
    </row>
    <row r="40440" spans="1:1">
      <c r="A40440" s="56"/>
    </row>
    <row r="40441" spans="1:1">
      <c r="A40441" s="56"/>
    </row>
    <row r="40442" spans="1:1">
      <c r="A40442" s="56"/>
    </row>
    <row r="40443" spans="1:1">
      <c r="A40443" s="56"/>
    </row>
    <row r="40444" spans="1:1">
      <c r="A40444" s="56"/>
    </row>
    <row r="40445" spans="1:1">
      <c r="A40445" s="56"/>
    </row>
    <row r="40446" spans="1:1">
      <c r="A40446" s="56"/>
    </row>
    <row r="40447" spans="1:1">
      <c r="A40447" s="56"/>
    </row>
    <row r="40448" spans="1:1">
      <c r="A40448" s="56"/>
    </row>
    <row r="40449" spans="1:1">
      <c r="A40449" s="56"/>
    </row>
    <row r="40450" spans="1:1">
      <c r="A40450" s="56"/>
    </row>
    <row r="40451" spans="1:1">
      <c r="A40451" s="56"/>
    </row>
    <row r="40452" spans="1:1">
      <c r="A40452" s="56"/>
    </row>
    <row r="40453" spans="1:1">
      <c r="A40453" s="56"/>
    </row>
    <row r="40454" spans="1:1">
      <c r="A40454" s="56"/>
    </row>
    <row r="40455" spans="1:1">
      <c r="A40455" s="56"/>
    </row>
    <row r="40456" spans="1:1">
      <c r="A40456" s="56"/>
    </row>
    <row r="40457" spans="1:1">
      <c r="A40457" s="56"/>
    </row>
    <row r="40458" spans="1:1">
      <c r="A40458" s="56"/>
    </row>
    <row r="40459" spans="1:1">
      <c r="A40459" s="56"/>
    </row>
    <row r="40460" spans="1:1">
      <c r="A40460" s="56"/>
    </row>
    <row r="40461" spans="1:1">
      <c r="A40461" s="56"/>
    </row>
    <row r="40462" spans="1:1">
      <c r="A40462" s="56"/>
    </row>
    <row r="40463" spans="1:1">
      <c r="A40463" s="56"/>
    </row>
    <row r="40464" spans="1:1">
      <c r="A40464" s="56"/>
    </row>
    <row r="40465" spans="1:1">
      <c r="A40465" s="56"/>
    </row>
    <row r="40466" spans="1:1">
      <c r="A40466" s="56"/>
    </row>
    <row r="40467" spans="1:1">
      <c r="A40467" s="56"/>
    </row>
    <row r="40468" spans="1:1">
      <c r="A40468" s="56"/>
    </row>
    <row r="40469" spans="1:1">
      <c r="A40469" s="56"/>
    </row>
    <row r="40470" spans="1:1">
      <c r="A40470" s="56"/>
    </row>
    <row r="40471" spans="1:1">
      <c r="A40471" s="56"/>
    </row>
    <row r="40472" spans="1:1">
      <c r="A40472" s="56"/>
    </row>
    <row r="40473" spans="1:1">
      <c r="A40473" s="56"/>
    </row>
    <row r="40474" spans="1:1">
      <c r="A40474" s="56"/>
    </row>
    <row r="40475" spans="1:1">
      <c r="A40475" s="56"/>
    </row>
    <row r="40476" spans="1:1">
      <c r="A40476" s="56"/>
    </row>
    <row r="40477" spans="1:1">
      <c r="A40477" s="56"/>
    </row>
    <row r="40478" spans="1:1">
      <c r="A40478" s="56"/>
    </row>
    <row r="40479" spans="1:1">
      <c r="A40479" s="56"/>
    </row>
    <row r="40480" spans="1:1">
      <c r="A40480" s="56"/>
    </row>
    <row r="40481" spans="1:1">
      <c r="A40481" s="56"/>
    </row>
    <row r="40482" spans="1:1">
      <c r="A40482" s="56"/>
    </row>
    <row r="40483" spans="1:1">
      <c r="A40483" s="56"/>
    </row>
    <row r="40484" spans="1:1">
      <c r="A40484" s="56"/>
    </row>
    <row r="40485" spans="1:1">
      <c r="A40485" s="56"/>
    </row>
    <row r="40486" spans="1:1">
      <c r="A40486" s="56"/>
    </row>
    <row r="40487" spans="1:1">
      <c r="A40487" s="56"/>
    </row>
    <row r="40488" spans="1:1">
      <c r="A40488" s="56"/>
    </row>
    <row r="40489" spans="1:1">
      <c r="A40489" s="56"/>
    </row>
    <row r="40490" spans="1:1">
      <c r="A40490" s="56"/>
    </row>
    <row r="40491" spans="1:1">
      <c r="A40491" s="56"/>
    </row>
    <row r="40492" spans="1:1">
      <c r="A40492" s="56"/>
    </row>
    <row r="40493" spans="1:1">
      <c r="A40493" s="56"/>
    </row>
    <row r="40494" spans="1:1">
      <c r="A40494" s="56"/>
    </row>
    <row r="40495" spans="1:1">
      <c r="A40495" s="56"/>
    </row>
    <row r="40496" spans="1:1">
      <c r="A40496" s="56"/>
    </row>
    <row r="40497" spans="1:1">
      <c r="A40497" s="56"/>
    </row>
    <row r="40498" spans="1:1">
      <c r="A40498" s="56"/>
    </row>
    <row r="40499" spans="1:1">
      <c r="A40499" s="56"/>
    </row>
    <row r="40500" spans="1:1">
      <c r="A40500" s="56"/>
    </row>
    <row r="40501" spans="1:1">
      <c r="A40501" s="56"/>
    </row>
    <row r="40502" spans="1:1">
      <c r="A40502" s="56"/>
    </row>
    <row r="40503" spans="1:1">
      <c r="A40503" s="56"/>
    </row>
    <row r="40504" spans="1:1">
      <c r="A40504" s="56"/>
    </row>
    <row r="40505" spans="1:1">
      <c r="A40505" s="56"/>
    </row>
    <row r="40506" spans="1:1">
      <c r="A40506" s="56"/>
    </row>
    <row r="40507" spans="1:1">
      <c r="A40507" s="56"/>
    </row>
    <row r="40508" spans="1:1">
      <c r="A40508" s="56"/>
    </row>
    <row r="40509" spans="1:1">
      <c r="A40509" s="56"/>
    </row>
    <row r="40510" spans="1:1">
      <c r="A40510" s="56"/>
    </row>
    <row r="40511" spans="1:1">
      <c r="A40511" s="56"/>
    </row>
    <row r="40512" spans="1:1">
      <c r="A40512" s="56"/>
    </row>
    <row r="40513" spans="1:1">
      <c r="A40513" s="56"/>
    </row>
    <row r="40514" spans="1:1">
      <c r="A40514" s="56"/>
    </row>
    <row r="40515" spans="1:1">
      <c r="A40515" s="56"/>
    </row>
    <row r="40516" spans="1:1">
      <c r="A40516" s="56"/>
    </row>
    <row r="40517" spans="1:1">
      <c r="A40517" s="56"/>
    </row>
    <row r="40518" spans="1:1">
      <c r="A40518" s="56"/>
    </row>
    <row r="40519" spans="1:1">
      <c r="A40519" s="56"/>
    </row>
    <row r="40520" spans="1:1">
      <c r="A40520" s="56"/>
    </row>
    <row r="40521" spans="1:1">
      <c r="A40521" s="56"/>
    </row>
    <row r="40522" spans="1:1">
      <c r="A40522" s="56"/>
    </row>
    <row r="40523" spans="1:1">
      <c r="A40523" s="56"/>
    </row>
    <row r="40524" spans="1:1">
      <c r="A40524" s="56"/>
    </row>
    <row r="40525" spans="1:1">
      <c r="A40525" s="56"/>
    </row>
    <row r="40526" spans="1:1">
      <c r="A40526" s="56"/>
    </row>
    <row r="40527" spans="1:1">
      <c r="A40527" s="56"/>
    </row>
    <row r="40528" spans="1:1">
      <c r="A40528" s="56"/>
    </row>
    <row r="40529" spans="1:1">
      <c r="A40529" s="56"/>
    </row>
    <row r="40530" spans="1:1">
      <c r="A40530" s="56"/>
    </row>
    <row r="40531" spans="1:1">
      <c r="A40531" s="56"/>
    </row>
    <row r="40532" spans="1:1">
      <c r="A40532" s="56"/>
    </row>
    <row r="40533" spans="1:1">
      <c r="A40533" s="56"/>
    </row>
    <row r="40534" spans="1:1">
      <c r="A40534" s="56"/>
    </row>
    <row r="40535" spans="1:1">
      <c r="A40535" s="56"/>
    </row>
    <row r="40536" spans="1:1">
      <c r="A40536" s="56"/>
    </row>
    <row r="40537" spans="1:1">
      <c r="A40537" s="56"/>
    </row>
    <row r="40538" spans="1:1">
      <c r="A40538" s="56"/>
    </row>
    <row r="40539" spans="1:1">
      <c r="A40539" s="56"/>
    </row>
    <row r="40540" spans="1:1">
      <c r="A40540" s="56"/>
    </row>
    <row r="40541" spans="1:1">
      <c r="A40541" s="56"/>
    </row>
    <row r="40542" spans="1:1">
      <c r="A40542" s="56"/>
    </row>
    <row r="40543" spans="1:1">
      <c r="A40543" s="56"/>
    </row>
    <row r="40544" spans="1:1">
      <c r="A40544" s="56"/>
    </row>
    <row r="40545" spans="1:1">
      <c r="A40545" s="56"/>
    </row>
    <row r="40546" spans="1:1">
      <c r="A40546" s="56"/>
    </row>
    <row r="40547" spans="1:1">
      <c r="A40547" s="56"/>
    </row>
    <row r="40548" spans="1:1">
      <c r="A40548" s="56"/>
    </row>
    <row r="40549" spans="1:1">
      <c r="A40549" s="56"/>
    </row>
    <row r="40550" spans="1:1">
      <c r="A40550" s="56"/>
    </row>
    <row r="40551" spans="1:1">
      <c r="A40551" s="56"/>
    </row>
    <row r="40552" spans="1:1">
      <c r="A40552" s="56"/>
    </row>
    <row r="40553" spans="1:1">
      <c r="A40553" s="56"/>
    </row>
    <row r="40554" spans="1:1">
      <c r="A40554" s="56"/>
    </row>
    <row r="40555" spans="1:1">
      <c r="A40555" s="56"/>
    </row>
    <row r="40556" spans="1:1">
      <c r="A40556" s="56"/>
    </row>
    <row r="40557" spans="1:1">
      <c r="A40557" s="56"/>
    </row>
    <row r="40558" spans="1:1">
      <c r="A40558" s="56"/>
    </row>
    <row r="40559" spans="1:1">
      <c r="A40559" s="56"/>
    </row>
    <row r="40560" spans="1:1">
      <c r="A40560" s="56"/>
    </row>
    <row r="40561" spans="1:1">
      <c r="A40561" s="56"/>
    </row>
    <row r="40562" spans="1:1">
      <c r="A40562" s="56"/>
    </row>
    <row r="40563" spans="1:1">
      <c r="A40563" s="56"/>
    </row>
    <row r="40564" spans="1:1">
      <c r="A40564" s="56"/>
    </row>
    <row r="40565" spans="1:1">
      <c r="A40565" s="56"/>
    </row>
    <row r="40566" spans="1:1">
      <c r="A40566" s="56"/>
    </row>
    <row r="40567" spans="1:1">
      <c r="A40567" s="56"/>
    </row>
    <row r="40568" spans="1:1">
      <c r="A40568" s="56"/>
    </row>
    <row r="40569" spans="1:1">
      <c r="A40569" s="56"/>
    </row>
    <row r="40570" spans="1:1">
      <c r="A40570" s="56"/>
    </row>
    <row r="40571" spans="1:1">
      <c r="A40571" s="56"/>
    </row>
    <row r="40572" spans="1:1">
      <c r="A40572" s="56"/>
    </row>
    <row r="40573" spans="1:1">
      <c r="A40573" s="56"/>
    </row>
    <row r="40574" spans="1:1">
      <c r="A40574" s="56"/>
    </row>
    <row r="40575" spans="1:1">
      <c r="A40575" s="56"/>
    </row>
    <row r="40576" spans="1:1">
      <c r="A40576" s="56"/>
    </row>
    <row r="40577" spans="1:1">
      <c r="A40577" s="56"/>
    </row>
    <row r="40578" spans="1:1">
      <c r="A40578" s="56"/>
    </row>
    <row r="40579" spans="1:1">
      <c r="A40579" s="56"/>
    </row>
    <row r="40580" spans="1:1">
      <c r="A40580" s="56"/>
    </row>
    <row r="40581" spans="1:1">
      <c r="A40581" s="56"/>
    </row>
    <row r="40582" spans="1:1">
      <c r="A40582" s="56"/>
    </row>
    <row r="40583" spans="1:1">
      <c r="A40583" s="56"/>
    </row>
    <row r="40584" spans="1:1">
      <c r="A40584" s="56"/>
    </row>
    <row r="40585" spans="1:1">
      <c r="A40585" s="56"/>
    </row>
    <row r="40586" spans="1:1">
      <c r="A40586" s="56"/>
    </row>
    <row r="40587" spans="1:1">
      <c r="A40587" s="56"/>
    </row>
    <row r="40588" spans="1:1">
      <c r="A40588" s="56"/>
    </row>
    <row r="40589" spans="1:1">
      <c r="A40589" s="56"/>
    </row>
    <row r="40590" spans="1:1">
      <c r="A40590" s="56"/>
    </row>
    <row r="40591" spans="1:1">
      <c r="A40591" s="56"/>
    </row>
    <row r="40592" spans="1:1">
      <c r="A40592" s="56"/>
    </row>
    <row r="40593" spans="1:1">
      <c r="A40593" s="56"/>
    </row>
    <row r="40594" spans="1:1">
      <c r="A40594" s="56"/>
    </row>
    <row r="40595" spans="1:1">
      <c r="A40595" s="56"/>
    </row>
    <row r="40596" spans="1:1">
      <c r="A40596" s="56"/>
    </row>
    <row r="40597" spans="1:1">
      <c r="A40597" s="56"/>
    </row>
    <row r="40598" spans="1:1">
      <c r="A40598" s="56"/>
    </row>
    <row r="40599" spans="1:1">
      <c r="A40599" s="56"/>
    </row>
    <row r="40600" spans="1:1">
      <c r="A40600" s="56"/>
    </row>
    <row r="40601" spans="1:1">
      <c r="A40601" s="56"/>
    </row>
    <row r="40602" spans="1:1">
      <c r="A40602" s="56"/>
    </row>
    <row r="40603" spans="1:1">
      <c r="A40603" s="56"/>
    </row>
    <row r="40604" spans="1:1">
      <c r="A40604" s="56"/>
    </row>
    <row r="40605" spans="1:1">
      <c r="A40605" s="56"/>
    </row>
    <row r="40606" spans="1:1">
      <c r="A40606" s="56"/>
    </row>
    <row r="40607" spans="1:1">
      <c r="A40607" s="56"/>
    </row>
    <row r="40608" spans="1:1">
      <c r="A40608" s="56"/>
    </row>
    <row r="40609" spans="1:1">
      <c r="A40609" s="56"/>
    </row>
    <row r="40610" spans="1:1">
      <c r="A40610" s="56"/>
    </row>
    <row r="40611" spans="1:1">
      <c r="A40611" s="56"/>
    </row>
    <row r="40612" spans="1:1">
      <c r="A40612" s="56"/>
    </row>
    <row r="40613" spans="1:1">
      <c r="A40613" s="56"/>
    </row>
    <row r="40614" spans="1:1">
      <c r="A40614" s="56"/>
    </row>
    <row r="40615" spans="1:1">
      <c r="A40615" s="56"/>
    </row>
    <row r="40616" spans="1:1">
      <c r="A40616" s="56"/>
    </row>
    <row r="40617" spans="1:1">
      <c r="A40617" s="56"/>
    </row>
    <row r="40618" spans="1:1">
      <c r="A40618" s="56"/>
    </row>
    <row r="40619" spans="1:1">
      <c r="A40619" s="56"/>
    </row>
    <row r="40620" spans="1:1">
      <c r="A40620" s="56"/>
    </row>
    <row r="40621" spans="1:1">
      <c r="A40621" s="56"/>
    </row>
    <row r="40622" spans="1:1">
      <c r="A40622" s="56"/>
    </row>
    <row r="40623" spans="1:1">
      <c r="A40623" s="56"/>
    </row>
    <row r="40624" spans="1:1">
      <c r="A40624" s="56"/>
    </row>
    <row r="40625" spans="1:1">
      <c r="A40625" s="56"/>
    </row>
    <row r="40626" spans="1:1">
      <c r="A40626" s="56"/>
    </row>
    <row r="40627" spans="1:1">
      <c r="A40627" s="56"/>
    </row>
    <row r="40628" spans="1:1">
      <c r="A40628" s="56"/>
    </row>
    <row r="40629" spans="1:1">
      <c r="A40629" s="56"/>
    </row>
    <row r="40630" spans="1:1">
      <c r="A40630" s="56"/>
    </row>
    <row r="40631" spans="1:1">
      <c r="A40631" s="56"/>
    </row>
    <row r="40632" spans="1:1">
      <c r="A40632" s="56"/>
    </row>
    <row r="40633" spans="1:1">
      <c r="A40633" s="56"/>
    </row>
    <row r="40634" spans="1:1">
      <c r="A40634" s="56"/>
    </row>
    <row r="40635" spans="1:1">
      <c r="A40635" s="56"/>
    </row>
    <row r="40636" spans="1:1">
      <c r="A40636" s="56"/>
    </row>
    <row r="40637" spans="1:1">
      <c r="A40637" s="56"/>
    </row>
    <row r="40638" spans="1:1">
      <c r="A40638" s="56"/>
    </row>
    <row r="40639" spans="1:1">
      <c r="A40639" s="56"/>
    </row>
    <row r="40640" spans="1:1">
      <c r="A40640" s="56"/>
    </row>
    <row r="40641" spans="1:1">
      <c r="A40641" s="56"/>
    </row>
    <row r="40642" spans="1:1">
      <c r="A40642" s="56"/>
    </row>
    <row r="40643" spans="1:1">
      <c r="A40643" s="56"/>
    </row>
    <row r="40644" spans="1:1">
      <c r="A40644" s="56"/>
    </row>
    <row r="40645" spans="1:1">
      <c r="A40645" s="56"/>
    </row>
    <row r="40646" spans="1:1">
      <c r="A40646" s="56"/>
    </row>
    <row r="40647" spans="1:1">
      <c r="A40647" s="56"/>
    </row>
    <row r="40648" spans="1:1">
      <c r="A40648" s="56"/>
    </row>
    <row r="40649" spans="1:1">
      <c r="A40649" s="56"/>
    </row>
    <row r="40650" spans="1:1">
      <c r="A40650" s="56"/>
    </row>
    <row r="40651" spans="1:1">
      <c r="A40651" s="56"/>
    </row>
    <row r="40652" spans="1:1">
      <c r="A40652" s="56"/>
    </row>
    <row r="40653" spans="1:1">
      <c r="A40653" s="56"/>
    </row>
    <row r="40654" spans="1:1">
      <c r="A40654" s="56"/>
    </row>
    <row r="40655" spans="1:1">
      <c r="A40655" s="56"/>
    </row>
    <row r="40656" spans="1:1">
      <c r="A40656" s="56"/>
    </row>
    <row r="40657" spans="1:1">
      <c r="A40657" s="56"/>
    </row>
    <row r="40658" spans="1:1">
      <c r="A40658" s="56"/>
    </row>
    <row r="40659" spans="1:1">
      <c r="A40659" s="56"/>
    </row>
    <row r="40660" spans="1:1">
      <c r="A40660" s="56"/>
    </row>
    <row r="40661" spans="1:1">
      <c r="A40661" s="56"/>
    </row>
    <row r="40662" spans="1:1">
      <c r="A40662" s="56"/>
    </row>
    <row r="40663" spans="1:1">
      <c r="A40663" s="56"/>
    </row>
    <row r="40664" spans="1:1">
      <c r="A40664" s="56"/>
    </row>
    <row r="40665" spans="1:1">
      <c r="A40665" s="56"/>
    </row>
    <row r="40666" spans="1:1">
      <c r="A40666" s="56"/>
    </row>
    <row r="40667" spans="1:1">
      <c r="A40667" s="56"/>
    </row>
    <row r="40668" spans="1:1">
      <c r="A40668" s="56"/>
    </row>
    <row r="40669" spans="1:1">
      <c r="A40669" s="56"/>
    </row>
    <row r="40670" spans="1:1">
      <c r="A40670" s="56"/>
    </row>
    <row r="40671" spans="1:1">
      <c r="A40671" s="56"/>
    </row>
    <row r="40672" spans="1:1">
      <c r="A40672" s="56"/>
    </row>
    <row r="40673" spans="1:1">
      <c r="A40673" s="56"/>
    </row>
    <row r="40674" spans="1:1">
      <c r="A40674" s="56"/>
    </row>
    <row r="40675" spans="1:1">
      <c r="A40675" s="56"/>
    </row>
    <row r="40676" spans="1:1">
      <c r="A40676" s="56"/>
    </row>
    <row r="40677" spans="1:1">
      <c r="A40677" s="56"/>
    </row>
    <row r="40678" spans="1:1">
      <c r="A40678" s="56"/>
    </row>
    <row r="40679" spans="1:1">
      <c r="A40679" s="56"/>
    </row>
    <row r="40680" spans="1:1">
      <c r="A40680" s="56"/>
    </row>
    <row r="40681" spans="1:1">
      <c r="A40681" s="56"/>
    </row>
    <row r="40682" spans="1:1">
      <c r="A40682" s="56"/>
    </row>
    <row r="40683" spans="1:1">
      <c r="A40683" s="56"/>
    </row>
    <row r="40684" spans="1:1">
      <c r="A40684" s="56"/>
    </row>
    <row r="40685" spans="1:1">
      <c r="A40685" s="56"/>
    </row>
    <row r="40686" spans="1:1">
      <c r="A40686" s="56"/>
    </row>
    <row r="40687" spans="1:1">
      <c r="A40687" s="56"/>
    </row>
    <row r="40688" spans="1:1">
      <c r="A40688" s="56"/>
    </row>
    <row r="40689" spans="1:1">
      <c r="A40689" s="56"/>
    </row>
    <row r="40690" spans="1:1">
      <c r="A40690" s="56"/>
    </row>
    <row r="40691" spans="1:1">
      <c r="A40691" s="56"/>
    </row>
    <row r="40692" spans="1:1">
      <c r="A40692" s="56"/>
    </row>
    <row r="40693" spans="1:1">
      <c r="A40693" s="56"/>
    </row>
    <row r="40694" spans="1:1">
      <c r="A40694" s="56"/>
    </row>
    <row r="40695" spans="1:1">
      <c r="A40695" s="56"/>
    </row>
    <row r="40696" spans="1:1">
      <c r="A40696" s="56"/>
    </row>
    <row r="40697" spans="1:1">
      <c r="A40697" s="56"/>
    </row>
    <row r="40698" spans="1:1">
      <c r="A40698" s="56"/>
    </row>
    <row r="40699" spans="1:1">
      <c r="A40699" s="56"/>
    </row>
    <row r="40700" spans="1:1">
      <c r="A40700" s="56"/>
    </row>
    <row r="40701" spans="1:1">
      <c r="A40701" s="56"/>
    </row>
    <row r="40702" spans="1:1">
      <c r="A40702" s="56"/>
    </row>
    <row r="40703" spans="1:1">
      <c r="A40703" s="56"/>
    </row>
    <row r="40704" spans="1:1">
      <c r="A40704" s="56"/>
    </row>
    <row r="40705" spans="1:1">
      <c r="A40705" s="56"/>
    </row>
    <row r="40706" spans="1:1">
      <c r="A40706" s="56"/>
    </row>
    <row r="40707" spans="1:1">
      <c r="A40707" s="56"/>
    </row>
    <row r="40708" spans="1:1">
      <c r="A40708" s="56"/>
    </row>
    <row r="40709" spans="1:1">
      <c r="A40709" s="56"/>
    </row>
    <row r="40710" spans="1:1">
      <c r="A40710" s="56"/>
    </row>
    <row r="40711" spans="1:1">
      <c r="A40711" s="56"/>
    </row>
    <row r="40712" spans="1:1">
      <c r="A40712" s="56"/>
    </row>
    <row r="40713" spans="1:1">
      <c r="A40713" s="56"/>
    </row>
    <row r="40714" spans="1:1">
      <c r="A40714" s="56"/>
    </row>
    <row r="40715" spans="1:1">
      <c r="A40715" s="56"/>
    </row>
    <row r="40716" spans="1:1">
      <c r="A40716" s="56"/>
    </row>
    <row r="40717" spans="1:1">
      <c r="A40717" s="56"/>
    </row>
    <row r="40718" spans="1:1">
      <c r="A40718" s="56"/>
    </row>
    <row r="40719" spans="1:1">
      <c r="A40719" s="56"/>
    </row>
    <row r="40720" spans="1:1">
      <c r="A40720" s="56"/>
    </row>
    <row r="40721" spans="1:1">
      <c r="A40721" s="56"/>
    </row>
    <row r="40722" spans="1:1">
      <c r="A40722" s="56"/>
    </row>
    <row r="40723" spans="1:1">
      <c r="A40723" s="56"/>
    </row>
    <row r="40724" spans="1:1">
      <c r="A40724" s="56"/>
    </row>
    <row r="40725" spans="1:1">
      <c r="A40725" s="56"/>
    </row>
    <row r="40726" spans="1:1">
      <c r="A40726" s="56"/>
    </row>
    <row r="40727" spans="1:1">
      <c r="A40727" s="56"/>
    </row>
    <row r="40728" spans="1:1">
      <c r="A40728" s="56"/>
    </row>
    <row r="40729" spans="1:1">
      <c r="A40729" s="56"/>
    </row>
    <row r="40730" spans="1:1">
      <c r="A40730" s="56"/>
    </row>
    <row r="40731" spans="1:1">
      <c r="A40731" s="56"/>
    </row>
    <row r="40732" spans="1:1">
      <c r="A40732" s="56"/>
    </row>
    <row r="40733" spans="1:1">
      <c r="A40733" s="56"/>
    </row>
    <row r="40734" spans="1:1">
      <c r="A40734" s="56"/>
    </row>
    <row r="40735" spans="1:1">
      <c r="A40735" s="56"/>
    </row>
    <row r="40736" spans="1:1">
      <c r="A40736" s="56"/>
    </row>
    <row r="40737" spans="1:1">
      <c r="A40737" s="56"/>
    </row>
    <row r="40738" spans="1:1">
      <c r="A40738" s="56"/>
    </row>
    <row r="40739" spans="1:1">
      <c r="A40739" s="56"/>
    </row>
    <row r="40740" spans="1:1">
      <c r="A40740" s="56"/>
    </row>
    <row r="40741" spans="1:1">
      <c r="A40741" s="56"/>
    </row>
    <row r="40742" spans="1:1">
      <c r="A40742" s="56"/>
    </row>
    <row r="40743" spans="1:1">
      <c r="A40743" s="56"/>
    </row>
    <row r="40744" spans="1:1">
      <c r="A40744" s="56"/>
    </row>
    <row r="40745" spans="1:1">
      <c r="A40745" s="56"/>
    </row>
    <row r="40746" spans="1:1">
      <c r="A40746" s="56"/>
    </row>
    <row r="40747" spans="1:1">
      <c r="A40747" s="56"/>
    </row>
    <row r="40748" spans="1:1">
      <c r="A40748" s="56"/>
    </row>
    <row r="40749" spans="1:1">
      <c r="A40749" s="56"/>
    </row>
    <row r="40750" spans="1:1">
      <c r="A40750" s="56"/>
    </row>
    <row r="40751" spans="1:1">
      <c r="A40751" s="56"/>
    </row>
    <row r="40752" spans="1:1">
      <c r="A40752" s="56"/>
    </row>
    <row r="40753" spans="1:1">
      <c r="A40753" s="56"/>
    </row>
    <row r="40754" spans="1:1">
      <c r="A40754" s="56"/>
    </row>
    <row r="40755" spans="1:1">
      <c r="A40755" s="56"/>
    </row>
    <row r="40756" spans="1:1">
      <c r="A40756" s="56"/>
    </row>
    <row r="40757" spans="1:1">
      <c r="A40757" s="56"/>
    </row>
    <row r="40758" spans="1:1">
      <c r="A40758" s="56"/>
    </row>
    <row r="40759" spans="1:1">
      <c r="A40759" s="56"/>
    </row>
    <row r="40760" spans="1:1">
      <c r="A40760" s="56"/>
    </row>
    <row r="40761" spans="1:1">
      <c r="A40761" s="56"/>
    </row>
    <row r="40762" spans="1:1">
      <c r="A40762" s="56"/>
    </row>
    <row r="40763" spans="1:1">
      <c r="A40763" s="56"/>
    </row>
    <row r="40764" spans="1:1">
      <c r="A40764" s="56"/>
    </row>
    <row r="40765" spans="1:1">
      <c r="A40765" s="56"/>
    </row>
    <row r="40766" spans="1:1">
      <c r="A40766" s="56"/>
    </row>
    <row r="40767" spans="1:1">
      <c r="A40767" s="56"/>
    </row>
    <row r="40768" spans="1:1">
      <c r="A40768" s="56"/>
    </row>
    <row r="40769" spans="1:1">
      <c r="A40769" s="56"/>
    </row>
    <row r="40770" spans="1:1">
      <c r="A40770" s="56"/>
    </row>
    <row r="40771" spans="1:1">
      <c r="A40771" s="56"/>
    </row>
    <row r="40772" spans="1:1">
      <c r="A40772" s="56"/>
    </row>
    <row r="40773" spans="1:1">
      <c r="A40773" s="56"/>
    </row>
    <row r="40774" spans="1:1">
      <c r="A40774" s="56"/>
    </row>
    <row r="40775" spans="1:1">
      <c r="A40775" s="56"/>
    </row>
    <row r="40776" spans="1:1">
      <c r="A40776" s="56"/>
    </row>
    <row r="40777" spans="1:1">
      <c r="A40777" s="56"/>
    </row>
    <row r="40778" spans="1:1">
      <c r="A40778" s="56"/>
    </row>
    <row r="40779" spans="1:1">
      <c r="A40779" s="56"/>
    </row>
    <row r="40780" spans="1:1">
      <c r="A40780" s="56"/>
    </row>
    <row r="40781" spans="1:1">
      <c r="A40781" s="56"/>
    </row>
    <row r="40782" spans="1:1">
      <c r="A40782" s="56"/>
    </row>
    <row r="40783" spans="1:1">
      <c r="A40783" s="56"/>
    </row>
    <row r="40784" spans="1:1">
      <c r="A40784" s="56"/>
    </row>
    <row r="40785" spans="1:1">
      <c r="A40785" s="56"/>
    </row>
    <row r="40786" spans="1:1">
      <c r="A40786" s="56"/>
    </row>
    <row r="40787" spans="1:1">
      <c r="A40787" s="56"/>
    </row>
    <row r="40788" spans="1:1">
      <c r="A40788" s="56"/>
    </row>
    <row r="40789" spans="1:1">
      <c r="A40789" s="56"/>
    </row>
    <row r="40790" spans="1:1">
      <c r="A40790" s="56"/>
    </row>
    <row r="40791" spans="1:1">
      <c r="A40791" s="56"/>
    </row>
    <row r="40792" spans="1:1">
      <c r="A40792" s="56"/>
    </row>
    <row r="40793" spans="1:1">
      <c r="A40793" s="56"/>
    </row>
    <row r="40794" spans="1:1">
      <c r="A40794" s="56"/>
    </row>
    <row r="40795" spans="1:1">
      <c r="A40795" s="56"/>
    </row>
    <row r="40796" spans="1:1">
      <c r="A40796" s="56"/>
    </row>
    <row r="40797" spans="1:1">
      <c r="A40797" s="56"/>
    </row>
    <row r="40798" spans="1:1">
      <c r="A40798" s="56"/>
    </row>
    <row r="40799" spans="1:1">
      <c r="A40799" s="56"/>
    </row>
    <row r="40800" spans="1:1">
      <c r="A40800" s="56"/>
    </row>
    <row r="40801" spans="1:1">
      <c r="A40801" s="56"/>
    </row>
    <row r="40802" spans="1:1">
      <c r="A40802" s="56"/>
    </row>
    <row r="40803" spans="1:1">
      <c r="A40803" s="56"/>
    </row>
    <row r="40804" spans="1:1">
      <c r="A40804" s="56"/>
    </row>
    <row r="40805" spans="1:1">
      <c r="A40805" s="56"/>
    </row>
    <row r="40806" spans="1:1">
      <c r="A40806" s="56"/>
    </row>
    <row r="40807" spans="1:1">
      <c r="A40807" s="56"/>
    </row>
    <row r="40808" spans="1:1">
      <c r="A40808" s="56"/>
    </row>
    <row r="40809" spans="1:1">
      <c r="A40809" s="56"/>
    </row>
    <row r="40810" spans="1:1">
      <c r="A40810" s="56"/>
    </row>
    <row r="40811" spans="1:1">
      <c r="A40811" s="56"/>
    </row>
    <row r="40812" spans="1:1">
      <c r="A40812" s="56"/>
    </row>
    <row r="40813" spans="1:1">
      <c r="A40813" s="56"/>
    </row>
    <row r="40814" spans="1:1">
      <c r="A40814" s="56"/>
    </row>
    <row r="40815" spans="1:1">
      <c r="A40815" s="56"/>
    </row>
    <row r="40816" spans="1:1">
      <c r="A40816" s="56"/>
    </row>
    <row r="40817" spans="1:1">
      <c r="A40817" s="56"/>
    </row>
    <row r="40818" spans="1:1">
      <c r="A40818" s="56"/>
    </row>
    <row r="40819" spans="1:1">
      <c r="A40819" s="56"/>
    </row>
    <row r="40820" spans="1:1">
      <c r="A40820" s="56"/>
    </row>
    <row r="40821" spans="1:1">
      <c r="A40821" s="56"/>
    </row>
    <row r="40822" spans="1:1">
      <c r="A40822" s="56"/>
    </row>
    <row r="40823" spans="1:1">
      <c r="A40823" s="56"/>
    </row>
    <row r="40824" spans="1:1">
      <c r="A40824" s="56"/>
    </row>
    <row r="40825" spans="1:1">
      <c r="A40825" s="56"/>
    </row>
    <row r="40826" spans="1:1">
      <c r="A40826" s="56"/>
    </row>
    <row r="40827" spans="1:1">
      <c r="A40827" s="56"/>
    </row>
    <row r="40828" spans="1:1">
      <c r="A40828" s="56"/>
    </row>
    <row r="40829" spans="1:1">
      <c r="A40829" s="56"/>
    </row>
    <row r="40830" spans="1:1">
      <c r="A40830" s="56"/>
    </row>
    <row r="40831" spans="1:1">
      <c r="A40831" s="56"/>
    </row>
    <row r="40832" spans="1:1">
      <c r="A40832" s="56"/>
    </row>
    <row r="40833" spans="1:1">
      <c r="A40833" s="56"/>
    </row>
    <row r="40834" spans="1:1">
      <c r="A40834" s="56"/>
    </row>
    <row r="40835" spans="1:1">
      <c r="A40835" s="56"/>
    </row>
    <row r="40836" spans="1:1">
      <c r="A40836" s="56"/>
    </row>
    <row r="40837" spans="1:1">
      <c r="A40837" s="56"/>
    </row>
    <row r="40838" spans="1:1">
      <c r="A40838" s="56"/>
    </row>
    <row r="40839" spans="1:1">
      <c r="A40839" s="56"/>
    </row>
    <row r="40840" spans="1:1">
      <c r="A40840" s="56"/>
    </row>
    <row r="40841" spans="1:1">
      <c r="A40841" s="56"/>
    </row>
    <row r="40842" spans="1:1">
      <c r="A40842" s="56"/>
    </row>
    <row r="40843" spans="1:1">
      <c r="A40843" s="56"/>
    </row>
    <row r="40844" spans="1:1">
      <c r="A40844" s="56"/>
    </row>
    <row r="40845" spans="1:1">
      <c r="A40845" s="56"/>
    </row>
    <row r="40846" spans="1:1">
      <c r="A40846" s="56"/>
    </row>
    <row r="40847" spans="1:1">
      <c r="A40847" s="56"/>
    </row>
    <row r="40848" spans="1:1">
      <c r="A40848" s="56"/>
    </row>
    <row r="40849" spans="1:1">
      <c r="A40849" s="56"/>
    </row>
    <row r="40850" spans="1:1">
      <c r="A40850" s="56"/>
    </row>
    <row r="40851" spans="1:1">
      <c r="A40851" s="56"/>
    </row>
    <row r="40852" spans="1:1">
      <c r="A40852" s="56"/>
    </row>
    <row r="40853" spans="1:1">
      <c r="A40853" s="56"/>
    </row>
    <row r="40854" spans="1:1">
      <c r="A40854" s="56"/>
    </row>
    <row r="40855" spans="1:1">
      <c r="A40855" s="56"/>
    </row>
    <row r="40856" spans="1:1">
      <c r="A40856" s="56"/>
    </row>
    <row r="40857" spans="1:1">
      <c r="A40857" s="56"/>
    </row>
    <row r="40858" spans="1:1">
      <c r="A40858" s="56"/>
    </row>
    <row r="40859" spans="1:1">
      <c r="A40859" s="56"/>
    </row>
    <row r="40860" spans="1:1">
      <c r="A40860" s="56"/>
    </row>
    <row r="40861" spans="1:1">
      <c r="A40861" s="56"/>
    </row>
    <row r="40862" spans="1:1">
      <c r="A40862" s="56"/>
    </row>
    <row r="40863" spans="1:1">
      <c r="A40863" s="56"/>
    </row>
    <row r="40864" spans="1:1">
      <c r="A40864" s="56"/>
    </row>
    <row r="40865" spans="1:1">
      <c r="A40865" s="56"/>
    </row>
    <row r="40866" spans="1:1">
      <c r="A40866" s="56"/>
    </row>
    <row r="40867" spans="1:1">
      <c r="A40867" s="56"/>
    </row>
    <row r="40868" spans="1:1">
      <c r="A40868" s="56"/>
    </row>
    <row r="40869" spans="1:1">
      <c r="A40869" s="56"/>
    </row>
    <row r="40870" spans="1:1">
      <c r="A40870" s="56"/>
    </row>
    <row r="40871" spans="1:1">
      <c r="A40871" s="56"/>
    </row>
    <row r="40872" spans="1:1">
      <c r="A40872" s="56"/>
    </row>
    <row r="40873" spans="1:1">
      <c r="A40873" s="56"/>
    </row>
    <row r="40874" spans="1:1">
      <c r="A40874" s="56"/>
    </row>
    <row r="40875" spans="1:1">
      <c r="A40875" s="56"/>
    </row>
    <row r="40876" spans="1:1">
      <c r="A40876" s="56"/>
    </row>
    <row r="40877" spans="1:1">
      <c r="A40877" s="56"/>
    </row>
    <row r="40878" spans="1:1">
      <c r="A40878" s="56"/>
    </row>
    <row r="40879" spans="1:1">
      <c r="A40879" s="56"/>
    </row>
    <row r="40880" spans="1:1">
      <c r="A40880" s="56"/>
    </row>
    <row r="40881" spans="1:1">
      <c r="A40881" s="56"/>
    </row>
    <row r="40882" spans="1:1">
      <c r="A40882" s="56"/>
    </row>
    <row r="40883" spans="1:1">
      <c r="A40883" s="56"/>
    </row>
    <row r="40884" spans="1:1">
      <c r="A40884" s="56"/>
    </row>
    <row r="40885" spans="1:1">
      <c r="A40885" s="56"/>
    </row>
    <row r="40886" spans="1:1">
      <c r="A40886" s="56"/>
    </row>
    <row r="40887" spans="1:1">
      <c r="A40887" s="56"/>
    </row>
    <row r="40888" spans="1:1">
      <c r="A40888" s="56"/>
    </row>
    <row r="40889" spans="1:1">
      <c r="A40889" s="56"/>
    </row>
    <row r="40890" spans="1:1">
      <c r="A40890" s="56"/>
    </row>
    <row r="40891" spans="1:1">
      <c r="A40891" s="56"/>
    </row>
    <row r="40892" spans="1:1">
      <c r="A40892" s="56"/>
    </row>
    <row r="40893" spans="1:1">
      <c r="A40893" s="56"/>
    </row>
    <row r="40894" spans="1:1">
      <c r="A40894" s="56"/>
    </row>
    <row r="40895" spans="1:1">
      <c r="A40895" s="56"/>
    </row>
    <row r="40896" spans="1:1">
      <c r="A40896" s="56"/>
    </row>
    <row r="40897" spans="1:1">
      <c r="A40897" s="56"/>
    </row>
    <row r="40898" spans="1:1">
      <c r="A40898" s="56"/>
    </row>
    <row r="40899" spans="1:1">
      <c r="A40899" s="56"/>
    </row>
    <row r="40900" spans="1:1">
      <c r="A40900" s="56"/>
    </row>
    <row r="40901" spans="1:1">
      <c r="A40901" s="56"/>
    </row>
    <row r="40902" spans="1:1">
      <c r="A40902" s="56"/>
    </row>
    <row r="40903" spans="1:1">
      <c r="A40903" s="56"/>
    </row>
    <row r="40904" spans="1:1">
      <c r="A40904" s="56"/>
    </row>
    <row r="40905" spans="1:1">
      <c r="A40905" s="56"/>
    </row>
    <row r="40906" spans="1:1">
      <c r="A40906" s="56"/>
    </row>
    <row r="40907" spans="1:1">
      <c r="A40907" s="56"/>
    </row>
    <row r="40908" spans="1:1">
      <c r="A40908" s="56"/>
    </row>
    <row r="40909" spans="1:1">
      <c r="A40909" s="56"/>
    </row>
    <row r="40910" spans="1:1">
      <c r="A40910" s="56"/>
    </row>
    <row r="40911" spans="1:1">
      <c r="A40911" s="56"/>
    </row>
    <row r="40912" spans="1:1">
      <c r="A40912" s="56"/>
    </row>
    <row r="40913" spans="1:1">
      <c r="A40913" s="56"/>
    </row>
    <row r="40914" spans="1:1">
      <c r="A40914" s="56"/>
    </row>
    <row r="40915" spans="1:1">
      <c r="A40915" s="56"/>
    </row>
    <row r="40916" spans="1:1">
      <c r="A40916" s="56"/>
    </row>
    <row r="40917" spans="1:1">
      <c r="A40917" s="56"/>
    </row>
    <row r="40918" spans="1:1">
      <c r="A40918" s="56"/>
    </row>
    <row r="40919" spans="1:1">
      <c r="A40919" s="56"/>
    </row>
    <row r="40920" spans="1:1">
      <c r="A40920" s="56"/>
    </row>
    <row r="40921" spans="1:1">
      <c r="A40921" s="56"/>
    </row>
    <row r="40922" spans="1:1">
      <c r="A40922" s="56"/>
    </row>
    <row r="40923" spans="1:1">
      <c r="A40923" s="56"/>
    </row>
    <row r="40924" spans="1:1">
      <c r="A40924" s="56"/>
    </row>
    <row r="40925" spans="1:1">
      <c r="A40925" s="56"/>
    </row>
    <row r="40926" spans="1:1">
      <c r="A40926" s="56"/>
    </row>
    <row r="40927" spans="1:1">
      <c r="A40927" s="56"/>
    </row>
    <row r="40928" spans="1:1">
      <c r="A40928" s="56"/>
    </row>
    <row r="40929" spans="1:1">
      <c r="A40929" s="56"/>
    </row>
    <row r="40930" spans="1:1">
      <c r="A40930" s="56"/>
    </row>
    <row r="40931" spans="1:1">
      <c r="A40931" s="56"/>
    </row>
    <row r="40932" spans="1:1">
      <c r="A40932" s="56"/>
    </row>
    <row r="40933" spans="1:1">
      <c r="A40933" s="56"/>
    </row>
    <row r="40934" spans="1:1">
      <c r="A40934" s="56"/>
    </row>
    <row r="40935" spans="1:1">
      <c r="A40935" s="56"/>
    </row>
    <row r="40936" spans="1:1">
      <c r="A40936" s="56"/>
    </row>
    <row r="40937" spans="1:1">
      <c r="A40937" s="56"/>
    </row>
    <row r="40938" spans="1:1">
      <c r="A40938" s="56"/>
    </row>
    <row r="40939" spans="1:1">
      <c r="A40939" s="56"/>
    </row>
    <row r="40940" spans="1:1">
      <c r="A40940" s="56"/>
    </row>
    <row r="40941" spans="1:1">
      <c r="A40941" s="56"/>
    </row>
    <row r="40942" spans="1:1">
      <c r="A40942" s="56"/>
    </row>
    <row r="40943" spans="1:1">
      <c r="A40943" s="56"/>
    </row>
    <row r="40944" spans="1:1">
      <c r="A40944" s="56"/>
    </row>
    <row r="40945" spans="1:1">
      <c r="A40945" s="56"/>
    </row>
    <row r="40946" spans="1:1">
      <c r="A40946" s="56"/>
    </row>
    <row r="40947" spans="1:1">
      <c r="A40947" s="56"/>
    </row>
    <row r="40948" spans="1:1">
      <c r="A40948" s="56"/>
    </row>
    <row r="40949" spans="1:1">
      <c r="A40949" s="56"/>
    </row>
    <row r="40950" spans="1:1">
      <c r="A40950" s="56"/>
    </row>
    <row r="40951" spans="1:1">
      <c r="A40951" s="56"/>
    </row>
    <row r="40952" spans="1:1">
      <c r="A40952" s="56"/>
    </row>
    <row r="40953" spans="1:1">
      <c r="A40953" s="56"/>
    </row>
    <row r="40954" spans="1:1">
      <c r="A40954" s="56"/>
    </row>
    <row r="40955" spans="1:1">
      <c r="A40955" s="56"/>
    </row>
    <row r="40956" spans="1:1">
      <c r="A40956" s="56"/>
    </row>
    <row r="40957" spans="1:1">
      <c r="A40957" s="56"/>
    </row>
    <row r="40958" spans="1:1">
      <c r="A40958" s="56"/>
    </row>
    <row r="40959" spans="1:1">
      <c r="A40959" s="56"/>
    </row>
    <row r="40960" spans="1:1">
      <c r="A40960" s="56"/>
    </row>
    <row r="40961" spans="1:1">
      <c r="A40961" s="56"/>
    </row>
    <row r="40962" spans="1:1">
      <c r="A40962" s="56"/>
    </row>
    <row r="40963" spans="1:1">
      <c r="A40963" s="56"/>
    </row>
    <row r="40964" spans="1:1">
      <c r="A40964" s="56"/>
    </row>
    <row r="40965" spans="1:1">
      <c r="A40965" s="56"/>
    </row>
    <row r="40966" spans="1:1">
      <c r="A40966" s="56"/>
    </row>
    <row r="40967" spans="1:1">
      <c r="A40967" s="56"/>
    </row>
    <row r="40968" spans="1:1">
      <c r="A40968" s="56"/>
    </row>
    <row r="40969" spans="1:1">
      <c r="A40969" s="56"/>
    </row>
    <row r="40970" spans="1:1">
      <c r="A40970" s="56"/>
    </row>
    <row r="40971" spans="1:1">
      <c r="A40971" s="56"/>
    </row>
    <row r="40972" spans="1:1">
      <c r="A40972" s="56"/>
    </row>
    <row r="40973" spans="1:1">
      <c r="A40973" s="56"/>
    </row>
    <row r="40974" spans="1:1">
      <c r="A40974" s="56"/>
    </row>
    <row r="40975" spans="1:1">
      <c r="A40975" s="56"/>
    </row>
    <row r="40976" spans="1:1">
      <c r="A40976" s="56"/>
    </row>
    <row r="40977" spans="1:1">
      <c r="A40977" s="56"/>
    </row>
    <row r="40978" spans="1:1">
      <c r="A40978" s="56"/>
    </row>
    <row r="40979" spans="1:1">
      <c r="A40979" s="56"/>
    </row>
    <row r="40980" spans="1:1">
      <c r="A40980" s="56"/>
    </row>
    <row r="40981" spans="1:1">
      <c r="A40981" s="56"/>
    </row>
    <row r="40982" spans="1:1">
      <c r="A40982" s="56"/>
    </row>
    <row r="40983" spans="1:1">
      <c r="A40983" s="56"/>
    </row>
    <row r="40984" spans="1:1">
      <c r="A40984" s="56"/>
    </row>
    <row r="40985" spans="1:1">
      <c r="A40985" s="56"/>
    </row>
    <row r="40986" spans="1:1">
      <c r="A40986" s="56"/>
    </row>
    <row r="40987" spans="1:1">
      <c r="A40987" s="56"/>
    </row>
    <row r="40988" spans="1:1">
      <c r="A40988" s="56"/>
    </row>
    <row r="40989" spans="1:1">
      <c r="A40989" s="56"/>
    </row>
    <row r="40990" spans="1:1">
      <c r="A40990" s="56"/>
    </row>
    <row r="40991" spans="1:1">
      <c r="A40991" s="56"/>
    </row>
    <row r="40992" spans="1:1">
      <c r="A40992" s="56"/>
    </row>
    <row r="40993" spans="1:1">
      <c r="A40993" s="56"/>
    </row>
    <row r="40994" spans="1:1">
      <c r="A40994" s="56"/>
    </row>
    <row r="40995" spans="1:1">
      <c r="A40995" s="56"/>
    </row>
    <row r="40996" spans="1:1">
      <c r="A40996" s="56"/>
    </row>
    <row r="40997" spans="1:1">
      <c r="A40997" s="56"/>
    </row>
    <row r="40998" spans="1:1">
      <c r="A40998" s="56"/>
    </row>
    <row r="40999" spans="1:1">
      <c r="A40999" s="56"/>
    </row>
    <row r="41000" spans="1:1">
      <c r="A41000" s="56"/>
    </row>
    <row r="41001" spans="1:1">
      <c r="A41001" s="56"/>
    </row>
    <row r="41002" spans="1:1">
      <c r="A41002" s="56"/>
    </row>
    <row r="41003" spans="1:1">
      <c r="A41003" s="56"/>
    </row>
    <row r="41004" spans="1:1">
      <c r="A41004" s="56"/>
    </row>
    <row r="41005" spans="1:1">
      <c r="A41005" s="56"/>
    </row>
    <row r="41006" spans="1:1">
      <c r="A41006" s="56"/>
    </row>
    <row r="41007" spans="1:1">
      <c r="A41007" s="56"/>
    </row>
    <row r="41008" spans="1:1">
      <c r="A41008" s="56"/>
    </row>
    <row r="41009" spans="1:1">
      <c r="A41009" s="56"/>
    </row>
    <row r="41010" spans="1:1">
      <c r="A41010" s="56"/>
    </row>
    <row r="41011" spans="1:1">
      <c r="A41011" s="56"/>
    </row>
    <row r="41012" spans="1:1">
      <c r="A41012" s="56"/>
    </row>
    <row r="41013" spans="1:1">
      <c r="A41013" s="56"/>
    </row>
    <row r="41014" spans="1:1">
      <c r="A41014" s="56"/>
    </row>
    <row r="41015" spans="1:1">
      <c r="A41015" s="56"/>
    </row>
    <row r="41016" spans="1:1">
      <c r="A41016" s="56"/>
    </row>
    <row r="41017" spans="1:1">
      <c r="A41017" s="56"/>
    </row>
    <row r="41018" spans="1:1">
      <c r="A41018" s="56"/>
    </row>
    <row r="41019" spans="1:1">
      <c r="A41019" s="56"/>
    </row>
    <row r="41020" spans="1:1">
      <c r="A41020" s="56"/>
    </row>
    <row r="41021" spans="1:1">
      <c r="A41021" s="56"/>
    </row>
    <row r="41022" spans="1:1">
      <c r="A41022" s="56"/>
    </row>
    <row r="41023" spans="1:1">
      <c r="A41023" s="56"/>
    </row>
    <row r="41024" spans="1:1">
      <c r="A41024" s="56"/>
    </row>
    <row r="41025" spans="1:1">
      <c r="A41025" s="56"/>
    </row>
    <row r="41026" spans="1:1">
      <c r="A41026" s="56"/>
    </row>
    <row r="41027" spans="1:1">
      <c r="A41027" s="56"/>
    </row>
    <row r="41028" spans="1:1">
      <c r="A41028" s="56"/>
    </row>
    <row r="41029" spans="1:1">
      <c r="A41029" s="56"/>
    </row>
    <row r="41030" spans="1:1">
      <c r="A41030" s="56"/>
    </row>
    <row r="41031" spans="1:1">
      <c r="A41031" s="56"/>
    </row>
    <row r="41032" spans="1:1">
      <c r="A41032" s="56"/>
    </row>
    <row r="41033" spans="1:1">
      <c r="A41033" s="56"/>
    </row>
    <row r="41034" spans="1:1">
      <c r="A41034" s="56"/>
    </row>
    <row r="41035" spans="1:1">
      <c r="A41035" s="56"/>
    </row>
    <row r="41036" spans="1:1">
      <c r="A41036" s="56"/>
    </row>
    <row r="41037" spans="1:1">
      <c r="A41037" s="56"/>
    </row>
    <row r="41038" spans="1:1">
      <c r="A41038" s="56"/>
    </row>
    <row r="41039" spans="1:1">
      <c r="A41039" s="56"/>
    </row>
    <row r="41040" spans="1:1">
      <c r="A41040" s="56"/>
    </row>
    <row r="41041" spans="1:1">
      <c r="A41041" s="56"/>
    </row>
    <row r="41042" spans="1:1">
      <c r="A41042" s="56"/>
    </row>
    <row r="41043" spans="1:1">
      <c r="A41043" s="56"/>
    </row>
    <row r="41044" spans="1:1">
      <c r="A41044" s="56"/>
    </row>
    <row r="41045" spans="1:1">
      <c r="A41045" s="56"/>
    </row>
    <row r="41046" spans="1:1">
      <c r="A41046" s="56"/>
    </row>
    <row r="41047" spans="1:1">
      <c r="A41047" s="56"/>
    </row>
    <row r="41048" spans="1:1">
      <c r="A41048" s="56"/>
    </row>
    <row r="41049" spans="1:1">
      <c r="A41049" s="56"/>
    </row>
    <row r="41050" spans="1:1">
      <c r="A41050" s="56"/>
    </row>
    <row r="41051" spans="1:1">
      <c r="A41051" s="56"/>
    </row>
    <row r="41052" spans="1:1">
      <c r="A41052" s="56"/>
    </row>
    <row r="41053" spans="1:1">
      <c r="A41053" s="56"/>
    </row>
    <row r="41054" spans="1:1">
      <c r="A41054" s="56"/>
    </row>
    <row r="41055" spans="1:1">
      <c r="A41055" s="56"/>
    </row>
    <row r="41056" spans="1:1">
      <c r="A41056" s="56"/>
    </row>
    <row r="41057" spans="1:1">
      <c r="A41057" s="56"/>
    </row>
    <row r="41058" spans="1:1">
      <c r="A41058" s="56"/>
    </row>
    <row r="41059" spans="1:1">
      <c r="A41059" s="56"/>
    </row>
    <row r="41060" spans="1:1">
      <c r="A41060" s="56"/>
    </row>
    <row r="41061" spans="1:1">
      <c r="A41061" s="56"/>
    </row>
    <row r="41062" spans="1:1">
      <c r="A41062" s="56"/>
    </row>
    <row r="41063" spans="1:1">
      <c r="A41063" s="56"/>
    </row>
    <row r="41064" spans="1:1">
      <c r="A41064" s="56"/>
    </row>
    <row r="41065" spans="1:1">
      <c r="A41065" s="56"/>
    </row>
    <row r="41066" spans="1:1">
      <c r="A41066" s="56"/>
    </row>
    <row r="41067" spans="1:1">
      <c r="A41067" s="56"/>
    </row>
    <row r="41068" spans="1:1">
      <c r="A41068" s="56"/>
    </row>
    <row r="41069" spans="1:1">
      <c r="A41069" s="56"/>
    </row>
    <row r="41070" spans="1:1">
      <c r="A41070" s="56"/>
    </row>
    <row r="41071" spans="1:1">
      <c r="A41071" s="56"/>
    </row>
    <row r="41072" spans="1:1">
      <c r="A41072" s="56"/>
    </row>
    <row r="41073" spans="1:1">
      <c r="A41073" s="56"/>
    </row>
    <row r="41074" spans="1:1">
      <c r="A41074" s="56"/>
    </row>
    <row r="41075" spans="1:1">
      <c r="A41075" s="56"/>
    </row>
    <row r="41076" spans="1:1">
      <c r="A41076" s="56"/>
    </row>
    <row r="41077" spans="1:1">
      <c r="A41077" s="56"/>
    </row>
    <row r="41078" spans="1:1">
      <c r="A41078" s="56"/>
    </row>
    <row r="41079" spans="1:1">
      <c r="A41079" s="56"/>
    </row>
    <row r="41080" spans="1:1">
      <c r="A41080" s="56"/>
    </row>
    <row r="41081" spans="1:1">
      <c r="A41081" s="56"/>
    </row>
    <row r="41082" spans="1:1">
      <c r="A41082" s="56"/>
    </row>
    <row r="41083" spans="1:1">
      <c r="A41083" s="56"/>
    </row>
    <row r="41084" spans="1:1">
      <c r="A41084" s="56"/>
    </row>
    <row r="41085" spans="1:1">
      <c r="A41085" s="56"/>
    </row>
    <row r="41086" spans="1:1">
      <c r="A41086" s="56"/>
    </row>
    <row r="41087" spans="1:1">
      <c r="A41087" s="56"/>
    </row>
    <row r="41088" spans="1:1">
      <c r="A41088" s="56"/>
    </row>
    <row r="41089" spans="1:1">
      <c r="A41089" s="56"/>
    </row>
    <row r="41090" spans="1:1">
      <c r="A41090" s="56"/>
    </row>
    <row r="41091" spans="1:1">
      <c r="A41091" s="56"/>
    </row>
    <row r="41092" spans="1:1">
      <c r="A41092" s="56"/>
    </row>
    <row r="41093" spans="1:1">
      <c r="A41093" s="56"/>
    </row>
    <row r="41094" spans="1:1">
      <c r="A41094" s="56"/>
    </row>
    <row r="41095" spans="1:1">
      <c r="A41095" s="56"/>
    </row>
    <row r="41096" spans="1:1">
      <c r="A41096" s="56"/>
    </row>
    <row r="41097" spans="1:1">
      <c r="A41097" s="56"/>
    </row>
    <row r="41098" spans="1:1">
      <c r="A41098" s="56"/>
    </row>
    <row r="41099" spans="1:1">
      <c r="A41099" s="56"/>
    </row>
    <row r="41100" spans="1:1">
      <c r="A41100" s="56"/>
    </row>
    <row r="41101" spans="1:1">
      <c r="A41101" s="56"/>
    </row>
    <row r="41102" spans="1:1">
      <c r="A41102" s="56"/>
    </row>
    <row r="41103" spans="1:1">
      <c r="A41103" s="56"/>
    </row>
    <row r="41104" spans="1:1">
      <c r="A41104" s="56"/>
    </row>
    <row r="41105" spans="1:1">
      <c r="A41105" s="56"/>
    </row>
    <row r="41106" spans="1:1">
      <c r="A41106" s="56"/>
    </row>
    <row r="41107" spans="1:1">
      <c r="A41107" s="56"/>
    </row>
    <row r="41108" spans="1:1">
      <c r="A41108" s="56"/>
    </row>
    <row r="41109" spans="1:1">
      <c r="A41109" s="56"/>
    </row>
    <row r="41110" spans="1:1">
      <c r="A41110" s="56"/>
    </row>
    <row r="41111" spans="1:1">
      <c r="A41111" s="56"/>
    </row>
    <row r="41112" spans="1:1">
      <c r="A41112" s="56"/>
    </row>
    <row r="41113" spans="1:1">
      <c r="A41113" s="56"/>
    </row>
    <row r="41114" spans="1:1">
      <c r="A41114" s="56"/>
    </row>
    <row r="41115" spans="1:1">
      <c r="A41115" s="56"/>
    </row>
    <row r="41116" spans="1:1">
      <c r="A41116" s="56"/>
    </row>
    <row r="41117" spans="1:1">
      <c r="A41117" s="56"/>
    </row>
    <row r="41118" spans="1:1">
      <c r="A41118" s="56"/>
    </row>
    <row r="41119" spans="1:1">
      <c r="A41119" s="56"/>
    </row>
    <row r="41120" spans="1:1">
      <c r="A41120" s="56"/>
    </row>
    <row r="41121" spans="1:1">
      <c r="A41121" s="56"/>
    </row>
    <row r="41122" spans="1:1">
      <c r="A41122" s="56"/>
    </row>
    <row r="41123" spans="1:1">
      <c r="A41123" s="56"/>
    </row>
    <row r="41124" spans="1:1">
      <c r="A41124" s="56"/>
    </row>
    <row r="41125" spans="1:1">
      <c r="A41125" s="56"/>
    </row>
    <row r="41126" spans="1:1">
      <c r="A41126" s="56"/>
    </row>
    <row r="41127" spans="1:1">
      <c r="A41127" s="56"/>
    </row>
    <row r="41128" spans="1:1">
      <c r="A41128" s="56"/>
    </row>
    <row r="41129" spans="1:1">
      <c r="A41129" s="56"/>
    </row>
    <row r="41130" spans="1:1">
      <c r="A41130" s="56"/>
    </row>
    <row r="41131" spans="1:1">
      <c r="A41131" s="56"/>
    </row>
    <row r="41132" spans="1:1">
      <c r="A41132" s="56"/>
    </row>
    <row r="41133" spans="1:1">
      <c r="A41133" s="56"/>
    </row>
    <row r="41134" spans="1:1">
      <c r="A41134" s="56"/>
    </row>
    <row r="41135" spans="1:1">
      <c r="A41135" s="56"/>
    </row>
    <row r="41136" spans="1:1">
      <c r="A41136" s="56"/>
    </row>
    <row r="41137" spans="1:1">
      <c r="A41137" s="56"/>
    </row>
    <row r="41138" spans="1:1">
      <c r="A41138" s="56"/>
    </row>
    <row r="41139" spans="1:1">
      <c r="A41139" s="56"/>
    </row>
    <row r="41140" spans="1:1">
      <c r="A41140" s="56"/>
    </row>
    <row r="41141" spans="1:1">
      <c r="A41141" s="56"/>
    </row>
    <row r="41142" spans="1:1">
      <c r="A41142" s="56"/>
    </row>
    <row r="41143" spans="1:1">
      <c r="A41143" s="56"/>
    </row>
    <row r="41144" spans="1:1">
      <c r="A41144" s="56"/>
    </row>
    <row r="41145" spans="1:1">
      <c r="A41145" s="56"/>
    </row>
    <row r="41146" spans="1:1">
      <c r="A41146" s="56"/>
    </row>
    <row r="41147" spans="1:1">
      <c r="A41147" s="56"/>
    </row>
    <row r="41148" spans="1:1">
      <c r="A41148" s="56"/>
    </row>
    <row r="41149" spans="1:1">
      <c r="A41149" s="56"/>
    </row>
    <row r="41150" spans="1:1">
      <c r="A41150" s="56"/>
    </row>
    <row r="41151" spans="1:1">
      <c r="A41151" s="56"/>
    </row>
    <row r="41152" spans="1:1">
      <c r="A41152" s="56"/>
    </row>
    <row r="41153" spans="1:1">
      <c r="A41153" s="56"/>
    </row>
    <row r="41154" spans="1:1">
      <c r="A41154" s="56"/>
    </row>
    <row r="41155" spans="1:1">
      <c r="A41155" s="56"/>
    </row>
    <row r="41156" spans="1:1">
      <c r="A41156" s="56"/>
    </row>
    <row r="41157" spans="1:1">
      <c r="A41157" s="56"/>
    </row>
    <row r="41158" spans="1:1">
      <c r="A41158" s="56"/>
    </row>
    <row r="41159" spans="1:1">
      <c r="A41159" s="56"/>
    </row>
    <row r="41160" spans="1:1">
      <c r="A41160" s="56"/>
    </row>
    <row r="41161" spans="1:1">
      <c r="A41161" s="56"/>
    </row>
    <row r="41162" spans="1:1">
      <c r="A41162" s="56"/>
    </row>
    <row r="41163" spans="1:1">
      <c r="A41163" s="56"/>
    </row>
    <row r="41164" spans="1:1">
      <c r="A41164" s="56"/>
    </row>
    <row r="41165" spans="1:1">
      <c r="A41165" s="56"/>
    </row>
    <row r="41166" spans="1:1">
      <c r="A41166" s="56"/>
    </row>
    <row r="41167" spans="1:1">
      <c r="A41167" s="56"/>
    </row>
    <row r="41168" spans="1:1">
      <c r="A41168" s="56"/>
    </row>
    <row r="41169" spans="1:1">
      <c r="A41169" s="56"/>
    </row>
    <row r="41170" spans="1:1">
      <c r="A41170" s="56"/>
    </row>
    <row r="41171" spans="1:1">
      <c r="A41171" s="56"/>
    </row>
    <row r="41172" spans="1:1">
      <c r="A41172" s="56"/>
    </row>
    <row r="41173" spans="1:1">
      <c r="A41173" s="56"/>
    </row>
    <row r="41174" spans="1:1">
      <c r="A41174" s="56"/>
    </row>
    <row r="41175" spans="1:1">
      <c r="A41175" s="56"/>
    </row>
    <row r="41176" spans="1:1">
      <c r="A41176" s="56"/>
    </row>
    <row r="41177" spans="1:1">
      <c r="A41177" s="56"/>
    </row>
    <row r="41178" spans="1:1">
      <c r="A41178" s="56"/>
    </row>
    <row r="41179" spans="1:1">
      <c r="A41179" s="56"/>
    </row>
    <row r="41180" spans="1:1">
      <c r="A41180" s="56"/>
    </row>
    <row r="41181" spans="1:1">
      <c r="A41181" s="56"/>
    </row>
    <row r="41182" spans="1:1">
      <c r="A41182" s="56"/>
    </row>
    <row r="41183" spans="1:1">
      <c r="A41183" s="56"/>
    </row>
    <row r="41184" spans="1:1">
      <c r="A41184" s="56"/>
    </row>
    <row r="41185" spans="1:1">
      <c r="A41185" s="56"/>
    </row>
    <row r="41186" spans="1:1">
      <c r="A41186" s="56"/>
    </row>
    <row r="41187" spans="1:1">
      <c r="A41187" s="56"/>
    </row>
    <row r="41188" spans="1:1">
      <c r="A41188" s="56"/>
    </row>
    <row r="41189" spans="1:1">
      <c r="A41189" s="56"/>
    </row>
    <row r="41190" spans="1:1">
      <c r="A41190" s="56"/>
    </row>
    <row r="41191" spans="1:1">
      <c r="A41191" s="56"/>
    </row>
    <row r="41192" spans="1:1">
      <c r="A41192" s="56"/>
    </row>
    <row r="41193" spans="1:1">
      <c r="A41193" s="56"/>
    </row>
    <row r="41194" spans="1:1">
      <c r="A41194" s="56"/>
    </row>
    <row r="41195" spans="1:1">
      <c r="A41195" s="56"/>
    </row>
    <row r="41196" spans="1:1">
      <c r="A41196" s="56"/>
    </row>
    <row r="41197" spans="1:1">
      <c r="A41197" s="56"/>
    </row>
    <row r="41198" spans="1:1">
      <c r="A41198" s="56"/>
    </row>
    <row r="41199" spans="1:1">
      <c r="A41199" s="56"/>
    </row>
    <row r="41200" spans="1:1">
      <c r="A41200" s="56"/>
    </row>
    <row r="41201" spans="1:1">
      <c r="A41201" s="56"/>
    </row>
    <row r="41202" spans="1:1">
      <c r="A41202" s="56"/>
    </row>
    <row r="41203" spans="1:1">
      <c r="A41203" s="56"/>
    </row>
    <row r="41204" spans="1:1">
      <c r="A41204" s="56"/>
    </row>
    <row r="41205" spans="1:1">
      <c r="A41205" s="56"/>
    </row>
    <row r="41206" spans="1:1">
      <c r="A41206" s="56"/>
    </row>
    <row r="41207" spans="1:1">
      <c r="A41207" s="56"/>
    </row>
    <row r="41208" spans="1:1">
      <c r="A41208" s="56"/>
    </row>
    <row r="41209" spans="1:1">
      <c r="A41209" s="56"/>
    </row>
    <row r="41210" spans="1:1">
      <c r="A41210" s="56"/>
    </row>
    <row r="41211" spans="1:1">
      <c r="A41211" s="56"/>
    </row>
    <row r="41212" spans="1:1">
      <c r="A41212" s="56"/>
    </row>
    <row r="41213" spans="1:1">
      <c r="A41213" s="56"/>
    </row>
    <row r="41214" spans="1:1">
      <c r="A41214" s="56"/>
    </row>
    <row r="41215" spans="1:1">
      <c r="A41215" s="56"/>
    </row>
    <row r="41216" spans="1:1">
      <c r="A41216" s="56"/>
    </row>
    <row r="41217" spans="1:1">
      <c r="A41217" s="56"/>
    </row>
    <row r="41218" spans="1:1">
      <c r="A41218" s="56"/>
    </row>
    <row r="41219" spans="1:1">
      <c r="A41219" s="56"/>
    </row>
    <row r="41220" spans="1:1">
      <c r="A41220" s="56"/>
    </row>
    <row r="41221" spans="1:1">
      <c r="A41221" s="56"/>
    </row>
    <row r="41222" spans="1:1">
      <c r="A41222" s="56"/>
    </row>
    <row r="41223" spans="1:1">
      <c r="A41223" s="56"/>
    </row>
    <row r="41224" spans="1:1">
      <c r="A41224" s="56"/>
    </row>
    <row r="41225" spans="1:1">
      <c r="A41225" s="56"/>
    </row>
    <row r="41226" spans="1:1">
      <c r="A41226" s="56"/>
    </row>
    <row r="41227" spans="1:1">
      <c r="A41227" s="56"/>
    </row>
    <row r="41228" spans="1:1">
      <c r="A41228" s="56"/>
    </row>
    <row r="41229" spans="1:1">
      <c r="A41229" s="56"/>
    </row>
    <row r="41230" spans="1:1">
      <c r="A41230" s="56"/>
    </row>
    <row r="41231" spans="1:1">
      <c r="A41231" s="56"/>
    </row>
    <row r="41232" spans="1:1">
      <c r="A41232" s="56"/>
    </row>
    <row r="41233" spans="1:1">
      <c r="A41233" s="56"/>
    </row>
    <row r="41234" spans="1:1">
      <c r="A41234" s="56"/>
    </row>
    <row r="41235" spans="1:1">
      <c r="A41235" s="56"/>
    </row>
    <row r="41236" spans="1:1">
      <c r="A41236" s="56"/>
    </row>
    <row r="41237" spans="1:1">
      <c r="A41237" s="56"/>
    </row>
    <row r="41238" spans="1:1">
      <c r="A41238" s="56"/>
    </row>
    <row r="41239" spans="1:1">
      <c r="A41239" s="56"/>
    </row>
    <row r="41240" spans="1:1">
      <c r="A41240" s="56"/>
    </row>
    <row r="41241" spans="1:1">
      <c r="A41241" s="56"/>
    </row>
    <row r="41242" spans="1:1">
      <c r="A41242" s="56"/>
    </row>
    <row r="41243" spans="1:1">
      <c r="A41243" s="56"/>
    </row>
    <row r="41244" spans="1:1">
      <c r="A41244" s="56"/>
    </row>
    <row r="41245" spans="1:1">
      <c r="A41245" s="56"/>
    </row>
    <row r="41246" spans="1:1">
      <c r="A41246" s="56"/>
    </row>
    <row r="41247" spans="1:1">
      <c r="A41247" s="56"/>
    </row>
    <row r="41248" spans="1:1">
      <c r="A41248" s="56"/>
    </row>
    <row r="41249" spans="1:1">
      <c r="A41249" s="56"/>
    </row>
    <row r="41250" spans="1:1">
      <c r="A41250" s="56"/>
    </row>
    <row r="41251" spans="1:1">
      <c r="A41251" s="56"/>
    </row>
    <row r="41252" spans="1:1">
      <c r="A41252" s="56"/>
    </row>
    <row r="41253" spans="1:1">
      <c r="A41253" s="56"/>
    </row>
    <row r="41254" spans="1:1">
      <c r="A41254" s="56"/>
    </row>
    <row r="41255" spans="1:1">
      <c r="A41255" s="56"/>
    </row>
    <row r="41256" spans="1:1">
      <c r="A41256" s="56"/>
    </row>
    <row r="41257" spans="1:1">
      <c r="A41257" s="56"/>
    </row>
    <row r="41258" spans="1:1">
      <c r="A41258" s="56"/>
    </row>
    <row r="41259" spans="1:1">
      <c r="A41259" s="56"/>
    </row>
    <row r="41260" spans="1:1">
      <c r="A41260" s="56"/>
    </row>
    <row r="41261" spans="1:1">
      <c r="A41261" s="56"/>
    </row>
    <row r="41262" spans="1:1">
      <c r="A41262" s="56"/>
    </row>
    <row r="41263" spans="1:1">
      <c r="A41263" s="56"/>
    </row>
    <row r="41264" spans="1:1">
      <c r="A41264" s="56"/>
    </row>
    <row r="41265" spans="1:1">
      <c r="A41265" s="56"/>
    </row>
    <row r="41266" spans="1:1">
      <c r="A41266" s="56"/>
    </row>
    <row r="41267" spans="1:1">
      <c r="A41267" s="56"/>
    </row>
    <row r="41268" spans="1:1">
      <c r="A41268" s="56"/>
    </row>
    <row r="41269" spans="1:1">
      <c r="A41269" s="56"/>
    </row>
    <row r="41270" spans="1:1">
      <c r="A41270" s="56"/>
    </row>
    <row r="41271" spans="1:1">
      <c r="A41271" s="56"/>
    </row>
    <row r="41272" spans="1:1">
      <c r="A41272" s="56"/>
    </row>
    <row r="41273" spans="1:1">
      <c r="A41273" s="56"/>
    </row>
    <row r="41274" spans="1:1">
      <c r="A41274" s="56"/>
    </row>
    <row r="41275" spans="1:1">
      <c r="A41275" s="56"/>
    </row>
    <row r="41276" spans="1:1">
      <c r="A41276" s="56"/>
    </row>
    <row r="41277" spans="1:1">
      <c r="A41277" s="56"/>
    </row>
    <row r="41278" spans="1:1">
      <c r="A41278" s="56"/>
    </row>
    <row r="41279" spans="1:1">
      <c r="A41279" s="56"/>
    </row>
    <row r="41280" spans="1:1">
      <c r="A41280" s="56"/>
    </row>
    <row r="41281" spans="1:1">
      <c r="A41281" s="56"/>
    </row>
    <row r="41282" spans="1:1">
      <c r="A41282" s="56"/>
    </row>
    <row r="41283" spans="1:1">
      <c r="A41283" s="56"/>
    </row>
    <row r="41284" spans="1:1">
      <c r="A41284" s="56"/>
    </row>
    <row r="41285" spans="1:1">
      <c r="A41285" s="56"/>
    </row>
    <row r="41286" spans="1:1">
      <c r="A41286" s="56"/>
    </row>
    <row r="41287" spans="1:1">
      <c r="A41287" s="56"/>
    </row>
    <row r="41288" spans="1:1">
      <c r="A41288" s="56"/>
    </row>
    <row r="41289" spans="1:1">
      <c r="A41289" s="56"/>
    </row>
    <row r="41290" spans="1:1">
      <c r="A41290" s="56"/>
    </row>
    <row r="41291" spans="1:1">
      <c r="A41291" s="56"/>
    </row>
    <row r="41292" spans="1:1">
      <c r="A41292" s="56"/>
    </row>
    <row r="41293" spans="1:1">
      <c r="A41293" s="56"/>
    </row>
    <row r="41294" spans="1:1">
      <c r="A41294" s="56"/>
    </row>
    <row r="41295" spans="1:1">
      <c r="A41295" s="56"/>
    </row>
    <row r="41296" spans="1:1">
      <c r="A41296" s="56"/>
    </row>
    <row r="41297" spans="1:1">
      <c r="A41297" s="56"/>
    </row>
    <row r="41298" spans="1:1">
      <c r="A41298" s="56"/>
    </row>
    <row r="41299" spans="1:1">
      <c r="A41299" s="56"/>
    </row>
    <row r="41300" spans="1:1">
      <c r="A41300" s="56"/>
    </row>
    <row r="41301" spans="1:1">
      <c r="A41301" s="56"/>
    </row>
    <row r="41302" spans="1:1">
      <c r="A41302" s="56"/>
    </row>
    <row r="41303" spans="1:1">
      <c r="A41303" s="56"/>
    </row>
    <row r="41304" spans="1:1">
      <c r="A41304" s="56"/>
    </row>
    <row r="41305" spans="1:1">
      <c r="A41305" s="56"/>
    </row>
    <row r="41306" spans="1:1">
      <c r="A41306" s="56"/>
    </row>
    <row r="41307" spans="1:1">
      <c r="A41307" s="56"/>
    </row>
    <row r="41308" spans="1:1">
      <c r="A41308" s="56"/>
    </row>
    <row r="41309" spans="1:1">
      <c r="A41309" s="56"/>
    </row>
    <row r="41310" spans="1:1">
      <c r="A41310" s="56"/>
    </row>
    <row r="41311" spans="1:1">
      <c r="A41311" s="56"/>
    </row>
    <row r="41312" spans="1:1">
      <c r="A41312" s="56"/>
    </row>
    <row r="41313" spans="1:1">
      <c r="A41313" s="56"/>
    </row>
    <row r="41314" spans="1:1">
      <c r="A41314" s="56"/>
    </row>
    <row r="41315" spans="1:1">
      <c r="A41315" s="56"/>
    </row>
    <row r="41316" spans="1:1">
      <c r="A41316" s="56"/>
    </row>
    <row r="41317" spans="1:1">
      <c r="A41317" s="56"/>
    </row>
    <row r="41318" spans="1:1">
      <c r="A41318" s="56"/>
    </row>
    <row r="41319" spans="1:1">
      <c r="A41319" s="56"/>
    </row>
    <row r="41320" spans="1:1">
      <c r="A41320" s="56"/>
    </row>
    <row r="41321" spans="1:1">
      <c r="A41321" s="56"/>
    </row>
    <row r="41322" spans="1:1">
      <c r="A41322" s="56"/>
    </row>
    <row r="41323" spans="1:1">
      <c r="A41323" s="56"/>
    </row>
    <row r="41324" spans="1:1">
      <c r="A41324" s="56"/>
    </row>
    <row r="41325" spans="1:1">
      <c r="A41325" s="56"/>
    </row>
    <row r="41326" spans="1:1">
      <c r="A41326" s="56"/>
    </row>
    <row r="41327" spans="1:1">
      <c r="A41327" s="56"/>
    </row>
    <row r="41328" spans="1:1">
      <c r="A41328" s="56"/>
    </row>
    <row r="41329" spans="1:1">
      <c r="A41329" s="56"/>
    </row>
    <row r="41330" spans="1:1">
      <c r="A41330" s="56"/>
    </row>
    <row r="41331" spans="1:1">
      <c r="A41331" s="56"/>
    </row>
    <row r="41332" spans="1:1">
      <c r="A41332" s="56"/>
    </row>
    <row r="41333" spans="1:1">
      <c r="A41333" s="56"/>
    </row>
    <row r="41334" spans="1:1">
      <c r="A41334" s="56"/>
    </row>
    <row r="41335" spans="1:1">
      <c r="A41335" s="56"/>
    </row>
    <row r="41336" spans="1:1">
      <c r="A41336" s="56"/>
    </row>
    <row r="41337" spans="1:1">
      <c r="A41337" s="56"/>
    </row>
    <row r="41338" spans="1:1">
      <c r="A41338" s="56"/>
    </row>
    <row r="41339" spans="1:1">
      <c r="A41339" s="56"/>
    </row>
    <row r="41340" spans="1:1">
      <c r="A41340" s="56"/>
    </row>
    <row r="41341" spans="1:1">
      <c r="A41341" s="56"/>
    </row>
    <row r="41342" spans="1:1">
      <c r="A41342" s="56"/>
    </row>
    <row r="41343" spans="1:1">
      <c r="A41343" s="56"/>
    </row>
    <row r="41344" spans="1:1">
      <c r="A41344" s="56"/>
    </row>
    <row r="41345" spans="1:1">
      <c r="A41345" s="56"/>
    </row>
    <row r="41346" spans="1:1">
      <c r="A41346" s="56"/>
    </row>
    <row r="41347" spans="1:1">
      <c r="A41347" s="56"/>
    </row>
    <row r="41348" spans="1:1">
      <c r="A41348" s="56"/>
    </row>
    <row r="41349" spans="1:1">
      <c r="A41349" s="56"/>
    </row>
    <row r="41350" spans="1:1">
      <c r="A41350" s="56"/>
    </row>
    <row r="41351" spans="1:1">
      <c r="A41351" s="56"/>
    </row>
    <row r="41352" spans="1:1">
      <c r="A41352" s="56"/>
    </row>
    <row r="41353" spans="1:1">
      <c r="A41353" s="56"/>
    </row>
    <row r="41354" spans="1:1">
      <c r="A41354" s="56"/>
    </row>
    <row r="41355" spans="1:1">
      <c r="A41355" s="56"/>
    </row>
    <row r="41356" spans="1:1">
      <c r="A41356" s="56"/>
    </row>
    <row r="41357" spans="1:1">
      <c r="A41357" s="56"/>
    </row>
    <row r="41358" spans="1:1">
      <c r="A41358" s="56"/>
    </row>
    <row r="41359" spans="1:1">
      <c r="A41359" s="56"/>
    </row>
    <row r="41360" spans="1:1">
      <c r="A41360" s="56"/>
    </row>
    <row r="41361" spans="1:1">
      <c r="A41361" s="56"/>
    </row>
    <row r="41362" spans="1:1">
      <c r="A41362" s="56"/>
    </row>
    <row r="41363" spans="1:1">
      <c r="A41363" s="56"/>
    </row>
    <row r="41364" spans="1:1">
      <c r="A41364" s="56"/>
    </row>
    <row r="41365" spans="1:1">
      <c r="A41365" s="56"/>
    </row>
    <row r="41366" spans="1:1">
      <c r="A41366" s="56"/>
    </row>
    <row r="41367" spans="1:1">
      <c r="A41367" s="56"/>
    </row>
    <row r="41368" spans="1:1">
      <c r="A41368" s="56"/>
    </row>
    <row r="41369" spans="1:1">
      <c r="A41369" s="56"/>
    </row>
    <row r="41370" spans="1:1">
      <c r="A41370" s="56"/>
    </row>
    <row r="41371" spans="1:1">
      <c r="A41371" s="56"/>
    </row>
    <row r="41372" spans="1:1">
      <c r="A41372" s="56"/>
    </row>
    <row r="41373" spans="1:1">
      <c r="A41373" s="56"/>
    </row>
    <row r="41374" spans="1:1">
      <c r="A41374" s="56"/>
    </row>
    <row r="41375" spans="1:1">
      <c r="A41375" s="56"/>
    </row>
    <row r="41376" spans="1:1">
      <c r="A41376" s="56"/>
    </row>
    <row r="41377" spans="1:1">
      <c r="A41377" s="56"/>
    </row>
    <row r="41378" spans="1:1">
      <c r="A41378" s="56"/>
    </row>
    <row r="41379" spans="1:1">
      <c r="A41379" s="56"/>
    </row>
    <row r="41380" spans="1:1">
      <c r="A41380" s="56"/>
    </row>
    <row r="41381" spans="1:1">
      <c r="A41381" s="56"/>
    </row>
    <row r="41382" spans="1:1">
      <c r="A41382" s="56"/>
    </row>
    <row r="41383" spans="1:1">
      <c r="A41383" s="56"/>
    </row>
    <row r="41384" spans="1:1">
      <c r="A41384" s="56"/>
    </row>
    <row r="41385" spans="1:1">
      <c r="A41385" s="56"/>
    </row>
    <row r="41386" spans="1:1">
      <c r="A41386" s="56"/>
    </row>
    <row r="41387" spans="1:1">
      <c r="A41387" s="56"/>
    </row>
    <row r="41388" spans="1:1">
      <c r="A41388" s="56"/>
    </row>
    <row r="41389" spans="1:1">
      <c r="A41389" s="56"/>
    </row>
    <row r="41390" spans="1:1">
      <c r="A41390" s="56"/>
    </row>
    <row r="41391" spans="1:1">
      <c r="A41391" s="56"/>
    </row>
    <row r="41392" spans="1:1">
      <c r="A41392" s="56"/>
    </row>
    <row r="41393" spans="1:1">
      <c r="A41393" s="56"/>
    </row>
    <row r="41394" spans="1:1">
      <c r="A41394" s="56"/>
    </row>
    <row r="41395" spans="1:1">
      <c r="A41395" s="56"/>
    </row>
    <row r="41396" spans="1:1">
      <c r="A41396" s="56"/>
    </row>
    <row r="41397" spans="1:1">
      <c r="A41397" s="56"/>
    </row>
    <row r="41398" spans="1:1">
      <c r="A41398" s="56"/>
    </row>
    <row r="41399" spans="1:1">
      <c r="A41399" s="56"/>
    </row>
    <row r="41400" spans="1:1">
      <c r="A41400" s="56"/>
    </row>
    <row r="41401" spans="1:1">
      <c r="A41401" s="56"/>
    </row>
    <row r="41402" spans="1:1">
      <c r="A41402" s="56"/>
    </row>
    <row r="41403" spans="1:1">
      <c r="A41403" s="56"/>
    </row>
    <row r="41404" spans="1:1">
      <c r="A41404" s="56"/>
    </row>
    <row r="41405" spans="1:1">
      <c r="A41405" s="56"/>
    </row>
    <row r="41406" spans="1:1">
      <c r="A41406" s="56"/>
    </row>
    <row r="41407" spans="1:1">
      <c r="A41407" s="56"/>
    </row>
    <row r="41408" spans="1:1">
      <c r="A41408" s="56"/>
    </row>
    <row r="41409" spans="1:1">
      <c r="A41409" s="56"/>
    </row>
    <row r="41410" spans="1:1">
      <c r="A41410" s="56"/>
    </row>
    <row r="41411" spans="1:1">
      <c r="A41411" s="56"/>
    </row>
    <row r="41412" spans="1:1">
      <c r="A41412" s="56"/>
    </row>
    <row r="41413" spans="1:1">
      <c r="A41413" s="56"/>
    </row>
    <row r="41414" spans="1:1">
      <c r="A41414" s="56"/>
    </row>
    <row r="41415" spans="1:1">
      <c r="A41415" s="56"/>
    </row>
    <row r="41416" spans="1:1">
      <c r="A41416" s="56"/>
    </row>
    <row r="41417" spans="1:1">
      <c r="A41417" s="56"/>
    </row>
    <row r="41418" spans="1:1">
      <c r="A41418" s="56"/>
    </row>
    <row r="41419" spans="1:1">
      <c r="A41419" s="56"/>
    </row>
    <row r="41420" spans="1:1">
      <c r="A41420" s="56"/>
    </row>
    <row r="41421" spans="1:1">
      <c r="A41421" s="56"/>
    </row>
    <row r="41422" spans="1:1">
      <c r="A41422" s="56"/>
    </row>
    <row r="41423" spans="1:1">
      <c r="A41423" s="56"/>
    </row>
    <row r="41424" spans="1:1">
      <c r="A41424" s="56"/>
    </row>
    <row r="41425" spans="1:1">
      <c r="A41425" s="56"/>
    </row>
    <row r="41426" spans="1:1">
      <c r="A41426" s="56"/>
    </row>
    <row r="41427" spans="1:1">
      <c r="A41427" s="56"/>
    </row>
    <row r="41428" spans="1:1">
      <c r="A41428" s="56"/>
    </row>
    <row r="41429" spans="1:1">
      <c r="A41429" s="56"/>
    </row>
    <row r="41430" spans="1:1">
      <c r="A41430" s="56"/>
    </row>
    <row r="41431" spans="1:1">
      <c r="A41431" s="56"/>
    </row>
    <row r="41432" spans="1:1">
      <c r="A41432" s="56"/>
    </row>
    <row r="41433" spans="1:1">
      <c r="A41433" s="56"/>
    </row>
    <row r="41434" spans="1:1">
      <c r="A41434" s="56"/>
    </row>
    <row r="41435" spans="1:1">
      <c r="A41435" s="56"/>
    </row>
    <row r="41436" spans="1:1">
      <c r="A41436" s="56"/>
    </row>
    <row r="41437" spans="1:1">
      <c r="A41437" s="56"/>
    </row>
    <row r="41438" spans="1:1">
      <c r="A41438" s="56"/>
    </row>
    <row r="41439" spans="1:1">
      <c r="A41439" s="56"/>
    </row>
    <row r="41440" spans="1:1">
      <c r="A41440" s="56"/>
    </row>
    <row r="41441" spans="1:1">
      <c r="A41441" s="56"/>
    </row>
    <row r="41442" spans="1:1">
      <c r="A41442" s="56"/>
    </row>
    <row r="41443" spans="1:1">
      <c r="A41443" s="56"/>
    </row>
    <row r="41444" spans="1:1">
      <c r="A41444" s="56"/>
    </row>
    <row r="41445" spans="1:1">
      <c r="A41445" s="56"/>
    </row>
    <row r="41446" spans="1:1">
      <c r="A41446" s="56"/>
    </row>
    <row r="41447" spans="1:1">
      <c r="A41447" s="56"/>
    </row>
    <row r="41448" spans="1:1">
      <c r="A41448" s="56"/>
    </row>
    <row r="41449" spans="1:1">
      <c r="A41449" s="56"/>
    </row>
    <row r="41450" spans="1:1">
      <c r="A41450" s="56"/>
    </row>
    <row r="41451" spans="1:1">
      <c r="A41451" s="56"/>
    </row>
    <row r="41452" spans="1:1">
      <c r="A41452" s="56"/>
    </row>
    <row r="41453" spans="1:1">
      <c r="A41453" s="56"/>
    </row>
    <row r="41454" spans="1:1">
      <c r="A41454" s="56"/>
    </row>
    <row r="41455" spans="1:1">
      <c r="A41455" s="56"/>
    </row>
    <row r="41456" spans="1:1">
      <c r="A41456" s="56"/>
    </row>
    <row r="41457" spans="1:1">
      <c r="A41457" s="56"/>
    </row>
    <row r="41458" spans="1:1">
      <c r="A41458" s="56"/>
    </row>
    <row r="41459" spans="1:1">
      <c r="A41459" s="56"/>
    </row>
    <row r="41460" spans="1:1">
      <c r="A41460" s="56"/>
    </row>
    <row r="41461" spans="1:1">
      <c r="A41461" s="56"/>
    </row>
    <row r="41462" spans="1:1">
      <c r="A41462" s="56"/>
    </row>
    <row r="41463" spans="1:1">
      <c r="A41463" s="56"/>
    </row>
    <row r="41464" spans="1:1">
      <c r="A41464" s="56"/>
    </row>
    <row r="41465" spans="1:1">
      <c r="A41465" s="56"/>
    </row>
    <row r="41466" spans="1:1">
      <c r="A41466" s="56"/>
    </row>
    <row r="41467" spans="1:1">
      <c r="A41467" s="56"/>
    </row>
    <row r="41468" spans="1:1">
      <c r="A41468" s="56"/>
    </row>
    <row r="41469" spans="1:1">
      <c r="A41469" s="56"/>
    </row>
    <row r="41470" spans="1:1">
      <c r="A41470" s="56"/>
    </row>
    <row r="41471" spans="1:1">
      <c r="A41471" s="56"/>
    </row>
    <row r="41472" spans="1:1">
      <c r="A41472" s="56"/>
    </row>
    <row r="41473" spans="1:1">
      <c r="A41473" s="56"/>
    </row>
    <row r="41474" spans="1:1">
      <c r="A41474" s="56"/>
    </row>
    <row r="41475" spans="1:1">
      <c r="A41475" s="56"/>
    </row>
    <row r="41476" spans="1:1">
      <c r="A41476" s="56"/>
    </row>
    <row r="41477" spans="1:1">
      <c r="A41477" s="56"/>
    </row>
    <row r="41478" spans="1:1">
      <c r="A41478" s="56"/>
    </row>
    <row r="41479" spans="1:1">
      <c r="A41479" s="56"/>
    </row>
    <row r="41480" spans="1:1">
      <c r="A41480" s="56"/>
    </row>
    <row r="41481" spans="1:1">
      <c r="A41481" s="56"/>
    </row>
    <row r="41482" spans="1:1">
      <c r="A41482" s="56"/>
    </row>
    <row r="41483" spans="1:1">
      <c r="A41483" s="56"/>
    </row>
    <row r="41484" spans="1:1">
      <c r="A41484" s="56"/>
    </row>
    <row r="41485" spans="1:1">
      <c r="A41485" s="56"/>
    </row>
    <row r="41486" spans="1:1">
      <c r="A41486" s="56"/>
    </row>
    <row r="41487" spans="1:1">
      <c r="A41487" s="56"/>
    </row>
    <row r="41488" spans="1:1">
      <c r="A41488" s="56"/>
    </row>
    <row r="41489" spans="1:1">
      <c r="A41489" s="56"/>
    </row>
    <row r="41490" spans="1:1">
      <c r="A41490" s="56"/>
    </row>
    <row r="41491" spans="1:1">
      <c r="A41491" s="56"/>
    </row>
    <row r="41492" spans="1:1">
      <c r="A41492" s="56"/>
    </row>
    <row r="41493" spans="1:1">
      <c r="A41493" s="56"/>
    </row>
    <row r="41494" spans="1:1">
      <c r="A41494" s="56"/>
    </row>
    <row r="41495" spans="1:1">
      <c r="A41495" s="56"/>
    </row>
    <row r="41496" spans="1:1">
      <c r="A41496" s="56"/>
    </row>
    <row r="41497" spans="1:1">
      <c r="A41497" s="56"/>
    </row>
    <row r="41498" spans="1:1">
      <c r="A41498" s="56"/>
    </row>
    <row r="41499" spans="1:1">
      <c r="A41499" s="56"/>
    </row>
    <row r="41500" spans="1:1">
      <c r="A41500" s="56"/>
    </row>
    <row r="41501" spans="1:1">
      <c r="A41501" s="56"/>
    </row>
    <row r="41502" spans="1:1">
      <c r="A41502" s="56"/>
    </row>
    <row r="41503" spans="1:1">
      <c r="A41503" s="56"/>
    </row>
    <row r="41504" spans="1:1">
      <c r="A41504" s="56"/>
    </row>
    <row r="41505" spans="1:1">
      <c r="A41505" s="56"/>
    </row>
    <row r="41506" spans="1:1">
      <c r="A41506" s="56"/>
    </row>
    <row r="41507" spans="1:1">
      <c r="A41507" s="56"/>
    </row>
    <row r="41508" spans="1:1">
      <c r="A41508" s="56"/>
    </row>
    <row r="41509" spans="1:1">
      <c r="A41509" s="56"/>
    </row>
    <row r="41510" spans="1:1">
      <c r="A41510" s="56"/>
    </row>
    <row r="41511" spans="1:1">
      <c r="A41511" s="56"/>
    </row>
    <row r="41512" spans="1:1">
      <c r="A41512" s="56"/>
    </row>
    <row r="41513" spans="1:1">
      <c r="A41513" s="56"/>
    </row>
    <row r="41514" spans="1:1">
      <c r="A41514" s="56"/>
    </row>
    <row r="41515" spans="1:1">
      <c r="A41515" s="56"/>
    </row>
    <row r="41516" spans="1:1">
      <c r="A41516" s="56"/>
    </row>
    <row r="41517" spans="1:1">
      <c r="A41517" s="56"/>
    </row>
    <row r="41518" spans="1:1">
      <c r="A41518" s="56"/>
    </row>
    <row r="41519" spans="1:1">
      <c r="A41519" s="56"/>
    </row>
    <row r="41520" spans="1:1">
      <c r="A41520" s="56"/>
    </row>
    <row r="41521" spans="1:1">
      <c r="A41521" s="56"/>
    </row>
    <row r="41522" spans="1:1">
      <c r="A41522" s="56"/>
    </row>
    <row r="41523" spans="1:1">
      <c r="A41523" s="56"/>
    </row>
    <row r="41524" spans="1:1">
      <c r="A41524" s="56"/>
    </row>
    <row r="41525" spans="1:1">
      <c r="A41525" s="56"/>
    </row>
    <row r="41526" spans="1:1">
      <c r="A41526" s="56"/>
    </row>
    <row r="41527" spans="1:1">
      <c r="A41527" s="56"/>
    </row>
    <row r="41528" spans="1:1">
      <c r="A41528" s="56"/>
    </row>
    <row r="41529" spans="1:1">
      <c r="A41529" s="56"/>
    </row>
    <row r="41530" spans="1:1">
      <c r="A41530" s="56"/>
    </row>
    <row r="41531" spans="1:1">
      <c r="A41531" s="56"/>
    </row>
    <row r="41532" spans="1:1">
      <c r="A41532" s="56"/>
    </row>
    <row r="41533" spans="1:1">
      <c r="A41533" s="56"/>
    </row>
    <row r="41534" spans="1:1">
      <c r="A41534" s="56"/>
    </row>
    <row r="41535" spans="1:1">
      <c r="A41535" s="56"/>
    </row>
    <row r="41536" spans="1:1">
      <c r="A41536" s="56"/>
    </row>
    <row r="41537" spans="1:1">
      <c r="A41537" s="56"/>
    </row>
    <row r="41538" spans="1:1">
      <c r="A41538" s="56"/>
    </row>
    <row r="41539" spans="1:1">
      <c r="A41539" s="56"/>
    </row>
    <row r="41540" spans="1:1">
      <c r="A41540" s="56"/>
    </row>
    <row r="41541" spans="1:1">
      <c r="A41541" s="56"/>
    </row>
    <row r="41542" spans="1:1">
      <c r="A41542" s="56"/>
    </row>
    <row r="41543" spans="1:1">
      <c r="A41543" s="56"/>
    </row>
    <row r="41544" spans="1:1">
      <c r="A41544" s="56"/>
    </row>
    <row r="41545" spans="1:1">
      <c r="A41545" s="56"/>
    </row>
    <row r="41546" spans="1:1">
      <c r="A41546" s="56"/>
    </row>
    <row r="41547" spans="1:1">
      <c r="A41547" s="56"/>
    </row>
    <row r="41548" spans="1:1">
      <c r="A41548" s="56"/>
    </row>
    <row r="41549" spans="1:1">
      <c r="A41549" s="56"/>
    </row>
    <row r="41550" spans="1:1">
      <c r="A41550" s="56"/>
    </row>
    <row r="41551" spans="1:1">
      <c r="A41551" s="56"/>
    </row>
    <row r="41552" spans="1:1">
      <c r="A41552" s="56"/>
    </row>
    <row r="41553" spans="1:1">
      <c r="A41553" s="56"/>
    </row>
    <row r="41554" spans="1:1">
      <c r="A41554" s="56"/>
    </row>
    <row r="41555" spans="1:1">
      <c r="A41555" s="56"/>
    </row>
    <row r="41556" spans="1:1">
      <c r="A41556" s="56"/>
    </row>
    <row r="41557" spans="1:1">
      <c r="A41557" s="56"/>
    </row>
    <row r="41558" spans="1:1">
      <c r="A41558" s="56"/>
    </row>
    <row r="41559" spans="1:1">
      <c r="A41559" s="56"/>
    </row>
    <row r="41560" spans="1:1">
      <c r="A41560" s="56"/>
    </row>
    <row r="41561" spans="1:1">
      <c r="A41561" s="56"/>
    </row>
    <row r="41562" spans="1:1">
      <c r="A41562" s="56"/>
    </row>
    <row r="41563" spans="1:1">
      <c r="A41563" s="56"/>
    </row>
    <row r="41564" spans="1:1">
      <c r="A41564" s="56"/>
    </row>
    <row r="41565" spans="1:1">
      <c r="A41565" s="56"/>
    </row>
    <row r="41566" spans="1:1">
      <c r="A41566" s="56"/>
    </row>
    <row r="41567" spans="1:1">
      <c r="A41567" s="56"/>
    </row>
    <row r="41568" spans="1:1">
      <c r="A41568" s="56"/>
    </row>
    <row r="41569" spans="1:1">
      <c r="A41569" s="56"/>
    </row>
    <row r="41570" spans="1:1">
      <c r="A41570" s="56"/>
    </row>
    <row r="41571" spans="1:1">
      <c r="A41571" s="56"/>
    </row>
    <row r="41572" spans="1:1">
      <c r="A41572" s="56"/>
    </row>
    <row r="41573" spans="1:1">
      <c r="A41573" s="56"/>
    </row>
    <row r="41574" spans="1:1">
      <c r="A41574" s="56"/>
    </row>
    <row r="41575" spans="1:1">
      <c r="A41575" s="56"/>
    </row>
    <row r="41576" spans="1:1">
      <c r="A41576" s="56"/>
    </row>
    <row r="41577" spans="1:1">
      <c r="A41577" s="56"/>
    </row>
    <row r="41578" spans="1:1">
      <c r="A41578" s="56"/>
    </row>
    <row r="41579" spans="1:1">
      <c r="A41579" s="56"/>
    </row>
    <row r="41580" spans="1:1">
      <c r="A41580" s="56"/>
    </row>
    <row r="41581" spans="1:1">
      <c r="A41581" s="56"/>
    </row>
    <row r="41582" spans="1:1">
      <c r="A41582" s="56"/>
    </row>
    <row r="41583" spans="1:1">
      <c r="A41583" s="56"/>
    </row>
    <row r="41584" spans="1:1">
      <c r="A41584" s="56"/>
    </row>
    <row r="41585" spans="1:1">
      <c r="A41585" s="56"/>
    </row>
    <row r="41586" spans="1:1">
      <c r="A41586" s="56"/>
    </row>
    <row r="41587" spans="1:1">
      <c r="A41587" s="56"/>
    </row>
    <row r="41588" spans="1:1">
      <c r="A41588" s="56"/>
    </row>
    <row r="41589" spans="1:1">
      <c r="A41589" s="56"/>
    </row>
    <row r="41590" spans="1:1">
      <c r="A41590" s="56"/>
    </row>
    <row r="41591" spans="1:1">
      <c r="A41591" s="56"/>
    </row>
    <row r="41592" spans="1:1">
      <c r="A41592" s="56"/>
    </row>
    <row r="41593" spans="1:1">
      <c r="A41593" s="56"/>
    </row>
    <row r="41594" spans="1:1">
      <c r="A41594" s="56"/>
    </row>
    <row r="41595" spans="1:1">
      <c r="A41595" s="56"/>
    </row>
    <row r="41596" spans="1:1">
      <c r="A41596" s="56"/>
    </row>
    <row r="41597" spans="1:1">
      <c r="A41597" s="56"/>
    </row>
    <row r="41598" spans="1:1">
      <c r="A41598" s="56"/>
    </row>
    <row r="41599" spans="1:1">
      <c r="A41599" s="56"/>
    </row>
    <row r="41600" spans="1:1">
      <c r="A41600" s="56"/>
    </row>
    <row r="41601" spans="1:1">
      <c r="A41601" s="56"/>
    </row>
    <row r="41602" spans="1:1">
      <c r="A41602" s="56"/>
    </row>
    <row r="41603" spans="1:1">
      <c r="A41603" s="56"/>
    </row>
    <row r="41604" spans="1:1">
      <c r="A41604" s="56"/>
    </row>
    <row r="41605" spans="1:1">
      <c r="A41605" s="56"/>
    </row>
    <row r="41606" spans="1:1">
      <c r="A41606" s="56"/>
    </row>
    <row r="41607" spans="1:1">
      <c r="A41607" s="56"/>
    </row>
    <row r="41608" spans="1:1">
      <c r="A41608" s="56"/>
    </row>
    <row r="41609" spans="1:1">
      <c r="A41609" s="56"/>
    </row>
    <row r="41610" spans="1:1">
      <c r="A41610" s="56"/>
    </row>
    <row r="41611" spans="1:1">
      <c r="A41611" s="56"/>
    </row>
    <row r="41612" spans="1:1">
      <c r="A41612" s="56"/>
    </row>
    <row r="41613" spans="1:1">
      <c r="A41613" s="56"/>
    </row>
    <row r="41614" spans="1:1">
      <c r="A41614" s="56"/>
    </row>
    <row r="41615" spans="1:1">
      <c r="A41615" s="56"/>
    </row>
    <row r="41616" spans="1:1">
      <c r="A41616" s="56"/>
    </row>
    <row r="41617" spans="1:1">
      <c r="A41617" s="56"/>
    </row>
    <row r="41618" spans="1:1">
      <c r="A41618" s="56"/>
    </row>
    <row r="41619" spans="1:1">
      <c r="A41619" s="56"/>
    </row>
    <row r="41620" spans="1:1">
      <c r="A41620" s="56"/>
    </row>
    <row r="41621" spans="1:1">
      <c r="A41621" s="56"/>
    </row>
    <row r="41622" spans="1:1">
      <c r="A41622" s="56"/>
    </row>
    <row r="41623" spans="1:1">
      <c r="A41623" s="56"/>
    </row>
    <row r="41624" spans="1:1">
      <c r="A41624" s="56"/>
    </row>
    <row r="41625" spans="1:1">
      <c r="A41625" s="56"/>
    </row>
    <row r="41626" spans="1:1">
      <c r="A41626" s="56"/>
    </row>
    <row r="41627" spans="1:1">
      <c r="A41627" s="56"/>
    </row>
    <row r="41628" spans="1:1">
      <c r="A41628" s="56"/>
    </row>
    <row r="41629" spans="1:1">
      <c r="A41629" s="56"/>
    </row>
    <row r="41630" spans="1:1">
      <c r="A41630" s="56"/>
    </row>
    <row r="41631" spans="1:1">
      <c r="A41631" s="56"/>
    </row>
    <row r="41632" spans="1:1">
      <c r="A41632" s="56"/>
    </row>
    <row r="41633" spans="1:1">
      <c r="A41633" s="56"/>
    </row>
    <row r="41634" spans="1:1">
      <c r="A41634" s="56"/>
    </row>
    <row r="41635" spans="1:1">
      <c r="A41635" s="56"/>
    </row>
    <row r="41636" spans="1:1">
      <c r="A41636" s="56"/>
    </row>
    <row r="41637" spans="1:1">
      <c r="A41637" s="56"/>
    </row>
    <row r="41638" spans="1:1">
      <c r="A41638" s="56"/>
    </row>
    <row r="41639" spans="1:1">
      <c r="A41639" s="56"/>
    </row>
    <row r="41640" spans="1:1">
      <c r="A41640" s="56"/>
    </row>
    <row r="41641" spans="1:1">
      <c r="A41641" s="56"/>
    </row>
    <row r="41642" spans="1:1">
      <c r="A41642" s="56"/>
    </row>
    <row r="41643" spans="1:1">
      <c r="A41643" s="56"/>
    </row>
    <row r="41644" spans="1:1">
      <c r="A41644" s="56"/>
    </row>
    <row r="41645" spans="1:1">
      <c r="A41645" s="56"/>
    </row>
    <row r="41646" spans="1:1">
      <c r="A41646" s="56"/>
    </row>
    <row r="41647" spans="1:1">
      <c r="A41647" s="56"/>
    </row>
    <row r="41648" spans="1:1">
      <c r="A41648" s="56"/>
    </row>
    <row r="41649" spans="1:1">
      <c r="A41649" s="56"/>
    </row>
    <row r="41650" spans="1:1">
      <c r="A41650" s="56"/>
    </row>
    <row r="41651" spans="1:1">
      <c r="A41651" s="56"/>
    </row>
    <row r="41652" spans="1:1">
      <c r="A41652" s="56"/>
    </row>
    <row r="41653" spans="1:1">
      <c r="A41653" s="56"/>
    </row>
    <row r="41654" spans="1:1">
      <c r="A41654" s="56"/>
    </row>
    <row r="41655" spans="1:1">
      <c r="A41655" s="56"/>
    </row>
    <row r="41656" spans="1:1">
      <c r="A41656" s="56"/>
    </row>
    <row r="41657" spans="1:1">
      <c r="A41657" s="56"/>
    </row>
    <row r="41658" spans="1:1">
      <c r="A41658" s="56"/>
    </row>
    <row r="41659" spans="1:1">
      <c r="A41659" s="56"/>
    </row>
    <row r="41660" spans="1:1">
      <c r="A41660" s="56"/>
    </row>
    <row r="41661" spans="1:1">
      <c r="A41661" s="56"/>
    </row>
    <row r="41662" spans="1:1">
      <c r="A41662" s="56"/>
    </row>
    <row r="41663" spans="1:1">
      <c r="A41663" s="56"/>
    </row>
    <row r="41664" spans="1:1">
      <c r="A41664" s="56"/>
    </row>
    <row r="41665" spans="1:1">
      <c r="A41665" s="56"/>
    </row>
    <row r="41666" spans="1:1">
      <c r="A41666" s="56"/>
    </row>
    <row r="41667" spans="1:1">
      <c r="A41667" s="56"/>
    </row>
    <row r="41668" spans="1:1">
      <c r="A41668" s="56"/>
    </row>
    <row r="41669" spans="1:1">
      <c r="A41669" s="56"/>
    </row>
    <row r="41670" spans="1:1">
      <c r="A41670" s="56"/>
    </row>
    <row r="41671" spans="1:1">
      <c r="A41671" s="56"/>
    </row>
    <row r="41672" spans="1:1">
      <c r="A41672" s="56"/>
    </row>
    <row r="41673" spans="1:1">
      <c r="A41673" s="56"/>
    </row>
    <row r="41674" spans="1:1">
      <c r="A41674" s="56"/>
    </row>
    <row r="41675" spans="1:1">
      <c r="A41675" s="56"/>
    </row>
    <row r="41676" spans="1:1">
      <c r="A41676" s="56"/>
    </row>
    <row r="41677" spans="1:1">
      <c r="A41677" s="56"/>
    </row>
    <row r="41678" spans="1:1">
      <c r="A41678" s="56"/>
    </row>
    <row r="41679" spans="1:1">
      <c r="A41679" s="56"/>
    </row>
    <row r="41680" spans="1:1">
      <c r="A41680" s="56"/>
    </row>
    <row r="41681" spans="1:1">
      <c r="A41681" s="56"/>
    </row>
    <row r="41682" spans="1:1">
      <c r="A41682" s="56"/>
    </row>
    <row r="41683" spans="1:1">
      <c r="A41683" s="56"/>
    </row>
    <row r="41684" spans="1:1">
      <c r="A41684" s="56"/>
    </row>
    <row r="41685" spans="1:1">
      <c r="A41685" s="56"/>
    </row>
    <row r="41686" spans="1:1">
      <c r="A41686" s="56"/>
    </row>
    <row r="41687" spans="1:1">
      <c r="A41687" s="56"/>
    </row>
    <row r="41688" spans="1:1">
      <c r="A41688" s="56"/>
    </row>
    <row r="41689" spans="1:1">
      <c r="A41689" s="56"/>
    </row>
    <row r="41690" spans="1:1">
      <c r="A41690" s="56"/>
    </row>
    <row r="41691" spans="1:1">
      <c r="A41691" s="56"/>
    </row>
    <row r="41692" spans="1:1">
      <c r="A41692" s="56"/>
    </row>
    <row r="41693" spans="1:1">
      <c r="A41693" s="56"/>
    </row>
    <row r="41694" spans="1:1">
      <c r="A41694" s="56"/>
    </row>
    <row r="41695" spans="1:1">
      <c r="A41695" s="56"/>
    </row>
    <row r="41696" spans="1:1">
      <c r="A41696" s="56"/>
    </row>
    <row r="41697" spans="1:1">
      <c r="A41697" s="56"/>
    </row>
    <row r="41698" spans="1:1">
      <c r="A41698" s="56"/>
    </row>
    <row r="41699" spans="1:1">
      <c r="A41699" s="56"/>
    </row>
    <row r="41700" spans="1:1">
      <c r="A41700" s="56"/>
    </row>
    <row r="41701" spans="1:1">
      <c r="A41701" s="56"/>
    </row>
    <row r="41702" spans="1:1">
      <c r="A41702" s="56"/>
    </row>
    <row r="41703" spans="1:1">
      <c r="A41703" s="56"/>
    </row>
    <row r="41704" spans="1:1">
      <c r="A41704" s="56"/>
    </row>
    <row r="41705" spans="1:1">
      <c r="A41705" s="56"/>
    </row>
    <row r="41706" spans="1:1">
      <c r="A41706" s="56"/>
    </row>
    <row r="41707" spans="1:1">
      <c r="A41707" s="56"/>
    </row>
    <row r="41708" spans="1:1">
      <c r="A41708" s="56"/>
    </row>
    <row r="41709" spans="1:1">
      <c r="A41709" s="56"/>
    </row>
    <row r="41710" spans="1:1">
      <c r="A41710" s="56"/>
    </row>
    <row r="41711" spans="1:1">
      <c r="A41711" s="56"/>
    </row>
    <row r="41712" spans="1:1">
      <c r="A41712" s="56"/>
    </row>
    <row r="41713" spans="1:1">
      <c r="A41713" s="56"/>
    </row>
    <row r="41714" spans="1:1">
      <c r="A41714" s="56"/>
    </row>
    <row r="41715" spans="1:1">
      <c r="A41715" s="56"/>
    </row>
    <row r="41716" spans="1:1">
      <c r="A41716" s="56"/>
    </row>
    <row r="41717" spans="1:1">
      <c r="A41717" s="56"/>
    </row>
    <row r="41718" spans="1:1">
      <c r="A41718" s="56"/>
    </row>
    <row r="41719" spans="1:1">
      <c r="A41719" s="56"/>
    </row>
    <row r="41720" spans="1:1">
      <c r="A41720" s="56"/>
    </row>
    <row r="41721" spans="1:1">
      <c r="A41721" s="56"/>
    </row>
    <row r="41722" spans="1:1">
      <c r="A41722" s="56"/>
    </row>
    <row r="41723" spans="1:1">
      <c r="A41723" s="56"/>
    </row>
    <row r="41724" spans="1:1">
      <c r="A41724" s="56"/>
    </row>
    <row r="41725" spans="1:1">
      <c r="A41725" s="56"/>
    </row>
    <row r="41726" spans="1:1">
      <c r="A41726" s="56"/>
    </row>
    <row r="41727" spans="1:1">
      <c r="A41727" s="56"/>
    </row>
    <row r="41728" spans="1:1">
      <c r="A41728" s="56"/>
    </row>
    <row r="41729" spans="1:1">
      <c r="A41729" s="56"/>
    </row>
    <row r="41730" spans="1:1">
      <c r="A41730" s="56"/>
    </row>
    <row r="41731" spans="1:1">
      <c r="A41731" s="56"/>
    </row>
    <row r="41732" spans="1:1">
      <c r="A41732" s="56"/>
    </row>
    <row r="41733" spans="1:1">
      <c r="A41733" s="56"/>
    </row>
    <row r="41734" spans="1:1">
      <c r="A41734" s="56"/>
    </row>
    <row r="41735" spans="1:1">
      <c r="A41735" s="56"/>
    </row>
    <row r="41736" spans="1:1">
      <c r="A41736" s="56"/>
    </row>
    <row r="41737" spans="1:1">
      <c r="A41737" s="56"/>
    </row>
    <row r="41738" spans="1:1">
      <c r="A41738" s="56"/>
    </row>
    <row r="41739" spans="1:1">
      <c r="A41739" s="56"/>
    </row>
    <row r="41740" spans="1:1">
      <c r="A41740" s="56"/>
    </row>
    <row r="41741" spans="1:1">
      <c r="A41741" s="56"/>
    </row>
    <row r="41742" spans="1:1">
      <c r="A41742" s="56"/>
    </row>
    <row r="41743" spans="1:1">
      <c r="A41743" s="56"/>
    </row>
    <row r="41744" spans="1:1">
      <c r="A41744" s="56"/>
    </row>
    <row r="41745" spans="1:1">
      <c r="A41745" s="56"/>
    </row>
    <row r="41746" spans="1:1">
      <c r="A41746" s="56"/>
    </row>
    <row r="41747" spans="1:1">
      <c r="A41747" s="56"/>
    </row>
    <row r="41748" spans="1:1">
      <c r="A41748" s="56"/>
    </row>
    <row r="41749" spans="1:1">
      <c r="A41749" s="56"/>
    </row>
    <row r="41750" spans="1:1">
      <c r="A41750" s="56"/>
    </row>
    <row r="41751" spans="1:1">
      <c r="A41751" s="56"/>
    </row>
    <row r="41752" spans="1:1">
      <c r="A41752" s="56"/>
    </row>
    <row r="41753" spans="1:1">
      <c r="A41753" s="56"/>
    </row>
    <row r="41754" spans="1:1">
      <c r="A41754" s="56"/>
    </row>
    <row r="41755" spans="1:1">
      <c r="A41755" s="56"/>
    </row>
    <row r="41756" spans="1:1">
      <c r="A41756" s="56"/>
    </row>
    <row r="41757" spans="1:1">
      <c r="A41757" s="56"/>
    </row>
    <row r="41758" spans="1:1">
      <c r="A41758" s="56"/>
    </row>
    <row r="41759" spans="1:1">
      <c r="A41759" s="56"/>
    </row>
    <row r="41760" spans="1:1">
      <c r="A41760" s="56"/>
    </row>
    <row r="41761" spans="1:1">
      <c r="A41761" s="56"/>
    </row>
    <row r="41762" spans="1:1">
      <c r="A41762" s="56"/>
    </row>
    <row r="41763" spans="1:1">
      <c r="A41763" s="56"/>
    </row>
    <row r="41764" spans="1:1">
      <c r="A41764" s="56"/>
    </row>
    <row r="41765" spans="1:1">
      <c r="A41765" s="56"/>
    </row>
    <row r="41766" spans="1:1">
      <c r="A41766" s="56"/>
    </row>
    <row r="41767" spans="1:1">
      <c r="A41767" s="56"/>
    </row>
    <row r="41768" spans="1:1">
      <c r="A41768" s="56"/>
    </row>
    <row r="41769" spans="1:1">
      <c r="A41769" s="56"/>
    </row>
    <row r="41770" spans="1:1">
      <c r="A41770" s="56"/>
    </row>
    <row r="41771" spans="1:1">
      <c r="A41771" s="56"/>
    </row>
    <row r="41772" spans="1:1">
      <c r="A41772" s="56"/>
    </row>
    <row r="41773" spans="1:1">
      <c r="A41773" s="56"/>
    </row>
    <row r="41774" spans="1:1">
      <c r="A41774" s="56"/>
    </row>
    <row r="41775" spans="1:1">
      <c r="A41775" s="56"/>
    </row>
    <row r="41776" spans="1:1">
      <c r="A41776" s="56"/>
    </row>
    <row r="41777" spans="1:1">
      <c r="A41777" s="56"/>
    </row>
    <row r="41778" spans="1:1">
      <c r="A41778" s="56"/>
    </row>
    <row r="41779" spans="1:1">
      <c r="A41779" s="56"/>
    </row>
    <row r="41780" spans="1:1">
      <c r="A41780" s="56"/>
    </row>
    <row r="41781" spans="1:1">
      <c r="A41781" s="56"/>
    </row>
    <row r="41782" spans="1:1">
      <c r="A41782" s="56"/>
    </row>
    <row r="41783" spans="1:1">
      <c r="A41783" s="56"/>
    </row>
    <row r="41784" spans="1:1">
      <c r="A41784" s="56"/>
    </row>
    <row r="41785" spans="1:1">
      <c r="A41785" s="56"/>
    </row>
    <row r="41786" spans="1:1">
      <c r="A41786" s="56"/>
    </row>
    <row r="41787" spans="1:1">
      <c r="A41787" s="56"/>
    </row>
    <row r="41788" spans="1:1">
      <c r="A41788" s="56"/>
    </row>
    <row r="41789" spans="1:1">
      <c r="A41789" s="56"/>
    </row>
    <row r="41790" spans="1:1">
      <c r="A41790" s="56"/>
    </row>
    <row r="41791" spans="1:1">
      <c r="A41791" s="56"/>
    </row>
    <row r="41792" spans="1:1">
      <c r="A41792" s="56"/>
    </row>
    <row r="41793" spans="1:1">
      <c r="A41793" s="56"/>
    </row>
    <row r="41794" spans="1:1">
      <c r="A41794" s="56"/>
    </row>
    <row r="41795" spans="1:1">
      <c r="A41795" s="56"/>
    </row>
    <row r="41796" spans="1:1">
      <c r="A41796" s="56"/>
    </row>
    <row r="41797" spans="1:1">
      <c r="A41797" s="56"/>
    </row>
    <row r="41798" spans="1:1">
      <c r="A41798" s="56"/>
    </row>
    <row r="41799" spans="1:1">
      <c r="A41799" s="56"/>
    </row>
    <row r="41800" spans="1:1">
      <c r="A41800" s="56"/>
    </row>
    <row r="41801" spans="1:1">
      <c r="A41801" s="56"/>
    </row>
    <row r="41802" spans="1:1">
      <c r="A41802" s="56"/>
    </row>
    <row r="41803" spans="1:1">
      <c r="A41803" s="56"/>
    </row>
    <row r="41804" spans="1:1">
      <c r="A41804" s="56"/>
    </row>
    <row r="41805" spans="1:1">
      <c r="A41805" s="56"/>
    </row>
    <row r="41806" spans="1:1">
      <c r="A41806" s="56"/>
    </row>
    <row r="41807" spans="1:1">
      <c r="A41807" s="56"/>
    </row>
    <row r="41808" spans="1:1">
      <c r="A41808" s="56"/>
    </row>
    <row r="41809" spans="1:1">
      <c r="A41809" s="56"/>
    </row>
    <row r="41810" spans="1:1">
      <c r="A41810" s="56"/>
    </row>
    <row r="41811" spans="1:1">
      <c r="A41811" s="56"/>
    </row>
    <row r="41812" spans="1:1">
      <c r="A41812" s="56"/>
    </row>
    <row r="41813" spans="1:1">
      <c r="A41813" s="56"/>
    </row>
    <row r="41814" spans="1:1">
      <c r="A41814" s="56"/>
    </row>
    <row r="41815" spans="1:1">
      <c r="A41815" s="56"/>
    </row>
    <row r="41816" spans="1:1">
      <c r="A41816" s="56"/>
    </row>
    <row r="41817" spans="1:1">
      <c r="A41817" s="56"/>
    </row>
    <row r="41818" spans="1:1">
      <c r="A41818" s="56"/>
    </row>
    <row r="41819" spans="1:1">
      <c r="A41819" s="56"/>
    </row>
    <row r="41820" spans="1:1">
      <c r="A41820" s="56"/>
    </row>
    <row r="41821" spans="1:1">
      <c r="A41821" s="56"/>
    </row>
    <row r="41822" spans="1:1">
      <c r="A41822" s="56"/>
    </row>
    <row r="41823" spans="1:1">
      <c r="A41823" s="56"/>
    </row>
    <row r="41824" spans="1:1">
      <c r="A41824" s="56"/>
    </row>
    <row r="41825" spans="1:1">
      <c r="A41825" s="56"/>
    </row>
    <row r="41826" spans="1:1">
      <c r="A41826" s="56"/>
    </row>
    <row r="41827" spans="1:1">
      <c r="A41827" s="56"/>
    </row>
    <row r="41828" spans="1:1">
      <c r="A41828" s="56"/>
    </row>
    <row r="41829" spans="1:1">
      <c r="A41829" s="56"/>
    </row>
    <row r="41830" spans="1:1">
      <c r="A41830" s="56"/>
    </row>
    <row r="41831" spans="1:1">
      <c r="A41831" s="56"/>
    </row>
    <row r="41832" spans="1:1">
      <c r="A41832" s="56"/>
    </row>
    <row r="41833" spans="1:1">
      <c r="A41833" s="56"/>
    </row>
    <row r="41834" spans="1:1">
      <c r="A41834" s="56"/>
    </row>
    <row r="41835" spans="1:1">
      <c r="A41835" s="56"/>
    </row>
    <row r="41836" spans="1:1">
      <c r="A41836" s="56"/>
    </row>
    <row r="41837" spans="1:1">
      <c r="A41837" s="56"/>
    </row>
    <row r="41838" spans="1:1">
      <c r="A41838" s="56"/>
    </row>
    <row r="41839" spans="1:1">
      <c r="A41839" s="56"/>
    </row>
    <row r="41840" spans="1:1">
      <c r="A41840" s="56"/>
    </row>
    <row r="41841" spans="1:1">
      <c r="A41841" s="56"/>
    </row>
    <row r="41842" spans="1:1">
      <c r="A41842" s="56"/>
    </row>
    <row r="41843" spans="1:1">
      <c r="A41843" s="56"/>
    </row>
    <row r="41844" spans="1:1">
      <c r="A41844" s="56"/>
    </row>
    <row r="41845" spans="1:1">
      <c r="A41845" s="56"/>
    </row>
    <row r="41846" spans="1:1">
      <c r="A41846" s="56"/>
    </row>
    <row r="41847" spans="1:1">
      <c r="A41847" s="56"/>
    </row>
    <row r="41848" spans="1:1">
      <c r="A41848" s="56"/>
    </row>
    <row r="41849" spans="1:1">
      <c r="A41849" s="56"/>
    </row>
    <row r="41850" spans="1:1">
      <c r="A41850" s="56"/>
    </row>
    <row r="41851" spans="1:1">
      <c r="A41851" s="56"/>
    </row>
    <row r="41852" spans="1:1">
      <c r="A41852" s="56"/>
    </row>
    <row r="41853" spans="1:1">
      <c r="A41853" s="56"/>
    </row>
    <row r="41854" spans="1:1">
      <c r="A41854" s="56"/>
    </row>
    <row r="41855" spans="1:1">
      <c r="A41855" s="56"/>
    </row>
    <row r="41856" spans="1:1">
      <c r="A41856" s="56"/>
    </row>
    <row r="41857" spans="1:1">
      <c r="A41857" s="56"/>
    </row>
    <row r="41858" spans="1:1">
      <c r="A41858" s="56"/>
    </row>
    <row r="41859" spans="1:1">
      <c r="A41859" s="56"/>
    </row>
    <row r="41860" spans="1:1">
      <c r="A41860" s="56"/>
    </row>
    <row r="41861" spans="1:1">
      <c r="A41861" s="56"/>
    </row>
    <row r="41862" spans="1:1">
      <c r="A41862" s="56"/>
    </row>
    <row r="41863" spans="1:1">
      <c r="A41863" s="56"/>
    </row>
    <row r="41864" spans="1:1">
      <c r="A41864" s="56"/>
    </row>
    <row r="41865" spans="1:1">
      <c r="A41865" s="56"/>
    </row>
    <row r="41866" spans="1:1">
      <c r="A41866" s="56"/>
    </row>
    <row r="41867" spans="1:1">
      <c r="A41867" s="56"/>
    </row>
    <row r="41868" spans="1:1">
      <c r="A41868" s="56"/>
    </row>
    <row r="41869" spans="1:1">
      <c r="A41869" s="56"/>
    </row>
    <row r="41870" spans="1:1">
      <c r="A41870" s="56"/>
    </row>
    <row r="41871" spans="1:1">
      <c r="A41871" s="56"/>
    </row>
    <row r="41872" spans="1:1">
      <c r="A41872" s="56"/>
    </row>
    <row r="41873" spans="1:1">
      <c r="A41873" s="56"/>
    </row>
    <row r="41874" spans="1:1">
      <c r="A41874" s="56"/>
    </row>
    <row r="41875" spans="1:1">
      <c r="A41875" s="56"/>
    </row>
    <row r="41876" spans="1:1">
      <c r="A41876" s="56"/>
    </row>
    <row r="41877" spans="1:1">
      <c r="A41877" s="56"/>
    </row>
    <row r="41878" spans="1:1">
      <c r="A41878" s="56"/>
    </row>
    <row r="41879" spans="1:1">
      <c r="A41879" s="56"/>
    </row>
    <row r="41880" spans="1:1">
      <c r="A41880" s="56"/>
    </row>
    <row r="41881" spans="1:1">
      <c r="A41881" s="56"/>
    </row>
    <row r="41882" spans="1:1">
      <c r="A41882" s="56"/>
    </row>
    <row r="41883" spans="1:1">
      <c r="A41883" s="56"/>
    </row>
    <row r="41884" spans="1:1">
      <c r="A41884" s="56"/>
    </row>
    <row r="41885" spans="1:1">
      <c r="A41885" s="56"/>
    </row>
    <row r="41886" spans="1:1">
      <c r="A41886" s="56"/>
    </row>
    <row r="41887" spans="1:1">
      <c r="A41887" s="56"/>
    </row>
    <row r="41888" spans="1:1">
      <c r="A41888" s="56"/>
    </row>
    <row r="41889" spans="1:1">
      <c r="A41889" s="56"/>
    </row>
    <row r="41890" spans="1:1">
      <c r="A41890" s="56"/>
    </row>
    <row r="41891" spans="1:1">
      <c r="A41891" s="56"/>
    </row>
    <row r="41892" spans="1:1">
      <c r="A41892" s="56"/>
    </row>
    <row r="41893" spans="1:1">
      <c r="A41893" s="56"/>
    </row>
    <row r="41894" spans="1:1">
      <c r="A41894" s="56"/>
    </row>
    <row r="41895" spans="1:1">
      <c r="A41895" s="56"/>
    </row>
    <row r="41896" spans="1:1">
      <c r="A41896" s="56"/>
    </row>
    <row r="41897" spans="1:1">
      <c r="A41897" s="56"/>
    </row>
    <row r="41898" spans="1:1">
      <c r="A41898" s="56"/>
    </row>
    <row r="41899" spans="1:1">
      <c r="A41899" s="56"/>
    </row>
    <row r="41900" spans="1:1">
      <c r="A41900" s="56"/>
    </row>
    <row r="41901" spans="1:1">
      <c r="A41901" s="56"/>
    </row>
    <row r="41902" spans="1:1">
      <c r="A41902" s="56"/>
    </row>
    <row r="41903" spans="1:1">
      <c r="A41903" s="56"/>
    </row>
    <row r="41904" spans="1:1">
      <c r="A41904" s="56"/>
    </row>
    <row r="41905" spans="1:1">
      <c r="A41905" s="56"/>
    </row>
    <row r="41906" spans="1:1">
      <c r="A41906" s="56"/>
    </row>
    <row r="41907" spans="1:1">
      <c r="A41907" s="56"/>
    </row>
    <row r="41908" spans="1:1">
      <c r="A41908" s="56"/>
    </row>
    <row r="41909" spans="1:1">
      <c r="A41909" s="56"/>
    </row>
    <row r="41910" spans="1:1">
      <c r="A41910" s="56"/>
    </row>
    <row r="41911" spans="1:1">
      <c r="A41911" s="56"/>
    </row>
    <row r="41912" spans="1:1">
      <c r="A41912" s="56"/>
    </row>
    <row r="41913" spans="1:1">
      <c r="A41913" s="56"/>
    </row>
    <row r="41914" spans="1:1">
      <c r="A41914" s="56"/>
    </row>
    <row r="41915" spans="1:1">
      <c r="A41915" s="56"/>
    </row>
    <row r="41916" spans="1:1">
      <c r="A41916" s="56"/>
    </row>
    <row r="41917" spans="1:1">
      <c r="A41917" s="56"/>
    </row>
    <row r="41918" spans="1:1">
      <c r="A41918" s="56"/>
    </row>
    <row r="41919" spans="1:1">
      <c r="A41919" s="56"/>
    </row>
    <row r="41920" spans="1:1">
      <c r="A41920" s="56"/>
    </row>
    <row r="41921" spans="1:1">
      <c r="A41921" s="56"/>
    </row>
    <row r="41922" spans="1:1">
      <c r="A41922" s="56"/>
    </row>
    <row r="41923" spans="1:1">
      <c r="A41923" s="56"/>
    </row>
    <row r="41924" spans="1:1">
      <c r="A41924" s="56"/>
    </row>
    <row r="41925" spans="1:1">
      <c r="A41925" s="56"/>
    </row>
    <row r="41926" spans="1:1">
      <c r="A41926" s="56"/>
    </row>
    <row r="41927" spans="1:1">
      <c r="A41927" s="56"/>
    </row>
    <row r="41928" spans="1:1">
      <c r="A41928" s="56"/>
    </row>
    <row r="41929" spans="1:1">
      <c r="A41929" s="56"/>
    </row>
    <row r="41930" spans="1:1">
      <c r="A41930" s="56"/>
    </row>
    <row r="41931" spans="1:1">
      <c r="A41931" s="56"/>
    </row>
    <row r="41932" spans="1:1">
      <c r="A41932" s="56"/>
    </row>
    <row r="41933" spans="1:1">
      <c r="A41933" s="56"/>
    </row>
    <row r="41934" spans="1:1">
      <c r="A41934" s="56"/>
    </row>
    <row r="41935" spans="1:1">
      <c r="A41935" s="56"/>
    </row>
    <row r="41936" spans="1:1">
      <c r="A41936" s="56"/>
    </row>
    <row r="41937" spans="1:1">
      <c r="A41937" s="56"/>
    </row>
    <row r="41938" spans="1:1">
      <c r="A41938" s="56"/>
    </row>
    <row r="41939" spans="1:1">
      <c r="A41939" s="56"/>
    </row>
    <row r="41940" spans="1:1">
      <c r="A41940" s="56"/>
    </row>
    <row r="41941" spans="1:1">
      <c r="A41941" s="56"/>
    </row>
    <row r="41942" spans="1:1">
      <c r="A41942" s="56"/>
    </row>
    <row r="41943" spans="1:1">
      <c r="A41943" s="56"/>
    </row>
    <row r="41944" spans="1:1">
      <c r="A41944" s="56"/>
    </row>
    <row r="41945" spans="1:1">
      <c r="A41945" s="56"/>
    </row>
    <row r="41946" spans="1:1">
      <c r="A41946" s="56"/>
    </row>
    <row r="41947" spans="1:1">
      <c r="A41947" s="56"/>
    </row>
    <row r="41948" spans="1:1">
      <c r="A41948" s="56"/>
    </row>
    <row r="41949" spans="1:1">
      <c r="A41949" s="56"/>
    </row>
    <row r="41950" spans="1:1">
      <c r="A41950" s="56"/>
    </row>
    <row r="41951" spans="1:1">
      <c r="A41951" s="56"/>
    </row>
    <row r="41952" spans="1:1">
      <c r="A41952" s="56"/>
    </row>
    <row r="41953" spans="1:1">
      <c r="A41953" s="56"/>
    </row>
    <row r="41954" spans="1:1">
      <c r="A41954" s="56"/>
    </row>
    <row r="41955" spans="1:1">
      <c r="A41955" s="56"/>
    </row>
    <row r="41956" spans="1:1">
      <c r="A41956" s="56"/>
    </row>
    <row r="41957" spans="1:1">
      <c r="A41957" s="56"/>
    </row>
    <row r="41958" spans="1:1">
      <c r="A41958" s="56"/>
    </row>
    <row r="41959" spans="1:1">
      <c r="A41959" s="56"/>
    </row>
    <row r="41960" spans="1:1">
      <c r="A41960" s="56"/>
    </row>
    <row r="41961" spans="1:1">
      <c r="A41961" s="56"/>
    </row>
    <row r="41962" spans="1:1">
      <c r="A41962" s="56"/>
    </row>
    <row r="41963" spans="1:1">
      <c r="A41963" s="56"/>
    </row>
    <row r="41964" spans="1:1">
      <c r="A41964" s="56"/>
    </row>
    <row r="41965" spans="1:1">
      <c r="A41965" s="56"/>
    </row>
    <row r="41966" spans="1:1">
      <c r="A41966" s="56"/>
    </row>
    <row r="41967" spans="1:1">
      <c r="A41967" s="56"/>
    </row>
    <row r="41968" spans="1:1">
      <c r="A41968" s="56"/>
    </row>
    <row r="41969" spans="1:1">
      <c r="A41969" s="56"/>
    </row>
    <row r="41970" spans="1:1">
      <c r="A41970" s="56"/>
    </row>
    <row r="41971" spans="1:1">
      <c r="A41971" s="56"/>
    </row>
    <row r="41972" spans="1:1">
      <c r="A41972" s="56"/>
    </row>
    <row r="41973" spans="1:1">
      <c r="A41973" s="56"/>
    </row>
    <row r="41974" spans="1:1">
      <c r="A41974" s="56"/>
    </row>
    <row r="41975" spans="1:1">
      <c r="A41975" s="56"/>
    </row>
    <row r="41976" spans="1:1">
      <c r="A41976" s="56"/>
    </row>
    <row r="41977" spans="1:1">
      <c r="A41977" s="56"/>
    </row>
    <row r="41978" spans="1:1">
      <c r="A41978" s="56"/>
    </row>
    <row r="41979" spans="1:1">
      <c r="A41979" s="56"/>
    </row>
    <row r="41980" spans="1:1">
      <c r="A41980" s="56"/>
    </row>
    <row r="41981" spans="1:1">
      <c r="A41981" s="56"/>
    </row>
    <row r="41982" spans="1:1">
      <c r="A41982" s="56"/>
    </row>
    <row r="41983" spans="1:1">
      <c r="A41983" s="56"/>
    </row>
    <row r="41984" spans="1:1">
      <c r="A41984" s="56"/>
    </row>
    <row r="41985" spans="1:1">
      <c r="A41985" s="56"/>
    </row>
    <row r="41986" spans="1:1">
      <c r="A41986" s="56"/>
    </row>
    <row r="41987" spans="1:1">
      <c r="A41987" s="56"/>
    </row>
    <row r="41988" spans="1:1">
      <c r="A41988" s="56"/>
    </row>
    <row r="41989" spans="1:1">
      <c r="A41989" s="56"/>
    </row>
    <row r="41990" spans="1:1">
      <c r="A41990" s="56"/>
    </row>
    <row r="41991" spans="1:1">
      <c r="A41991" s="56"/>
    </row>
    <row r="41992" spans="1:1">
      <c r="A41992" s="56"/>
    </row>
    <row r="41993" spans="1:1">
      <c r="A41993" s="56"/>
    </row>
    <row r="41994" spans="1:1">
      <c r="A41994" s="56"/>
    </row>
    <row r="41995" spans="1:1">
      <c r="A41995" s="56"/>
    </row>
    <row r="41996" spans="1:1">
      <c r="A41996" s="56"/>
    </row>
    <row r="41997" spans="1:1">
      <c r="A41997" s="56"/>
    </row>
    <row r="41998" spans="1:1">
      <c r="A41998" s="56"/>
    </row>
    <row r="41999" spans="1:1">
      <c r="A41999" s="56"/>
    </row>
    <row r="42000" spans="1:1">
      <c r="A42000" s="56"/>
    </row>
    <row r="42001" spans="1:1">
      <c r="A42001" s="56"/>
    </row>
    <row r="42002" spans="1:1">
      <c r="A42002" s="56"/>
    </row>
    <row r="42003" spans="1:1">
      <c r="A42003" s="56"/>
    </row>
    <row r="42004" spans="1:1">
      <c r="A42004" s="56"/>
    </row>
    <row r="42005" spans="1:1">
      <c r="A42005" s="56"/>
    </row>
    <row r="42006" spans="1:1">
      <c r="A42006" s="56"/>
    </row>
    <row r="42007" spans="1:1">
      <c r="A42007" s="56"/>
    </row>
    <row r="42008" spans="1:1">
      <c r="A42008" s="56"/>
    </row>
    <row r="42009" spans="1:1">
      <c r="A42009" s="56"/>
    </row>
    <row r="42010" spans="1:1">
      <c r="A42010" s="56"/>
    </row>
    <row r="42011" spans="1:1">
      <c r="A42011" s="56"/>
    </row>
    <row r="42012" spans="1:1">
      <c r="A42012" s="56"/>
    </row>
    <row r="42013" spans="1:1">
      <c r="A42013" s="56"/>
    </row>
    <row r="42014" spans="1:1">
      <c r="A42014" s="56"/>
    </row>
    <row r="42015" spans="1:1">
      <c r="A42015" s="56"/>
    </row>
    <row r="42016" spans="1:1">
      <c r="A42016" s="56"/>
    </row>
    <row r="42017" spans="1:1">
      <c r="A42017" s="56"/>
    </row>
    <row r="42018" spans="1:1">
      <c r="A42018" s="56"/>
    </row>
    <row r="42019" spans="1:1">
      <c r="A42019" s="56"/>
    </row>
    <row r="42020" spans="1:1">
      <c r="A42020" s="56"/>
    </row>
    <row r="42021" spans="1:1">
      <c r="A42021" s="56"/>
    </row>
    <row r="42022" spans="1:1">
      <c r="A42022" s="56"/>
    </row>
    <row r="42023" spans="1:1">
      <c r="A42023" s="56"/>
    </row>
    <row r="42024" spans="1:1">
      <c r="A42024" s="56"/>
    </row>
    <row r="42025" spans="1:1">
      <c r="A42025" s="56"/>
    </row>
    <row r="42026" spans="1:1">
      <c r="A42026" s="56"/>
    </row>
    <row r="42027" spans="1:1">
      <c r="A42027" s="56"/>
    </row>
    <row r="42028" spans="1:1">
      <c r="A42028" s="56"/>
    </row>
    <row r="42029" spans="1:1">
      <c r="A42029" s="56"/>
    </row>
    <row r="42030" spans="1:1">
      <c r="A42030" s="56"/>
    </row>
    <row r="42031" spans="1:1">
      <c r="A42031" s="56"/>
    </row>
    <row r="42032" spans="1:1">
      <c r="A42032" s="56"/>
    </row>
    <row r="42033" spans="1:1">
      <c r="A42033" s="56"/>
    </row>
    <row r="42034" spans="1:1">
      <c r="A42034" s="56"/>
    </row>
    <row r="42035" spans="1:1">
      <c r="A42035" s="56"/>
    </row>
    <row r="42036" spans="1:1">
      <c r="A42036" s="56"/>
    </row>
    <row r="42037" spans="1:1">
      <c r="A42037" s="56"/>
    </row>
    <row r="42038" spans="1:1">
      <c r="A42038" s="56"/>
    </row>
    <row r="42039" spans="1:1">
      <c r="A42039" s="56"/>
    </row>
    <row r="42040" spans="1:1">
      <c r="A42040" s="56"/>
    </row>
    <row r="42041" spans="1:1">
      <c r="A42041" s="56"/>
    </row>
    <row r="42042" spans="1:1">
      <c r="A42042" s="56"/>
    </row>
    <row r="42043" spans="1:1">
      <c r="A42043" s="56"/>
    </row>
    <row r="42044" spans="1:1">
      <c r="A42044" s="56"/>
    </row>
    <row r="42045" spans="1:1">
      <c r="A42045" s="56"/>
    </row>
    <row r="42046" spans="1:1">
      <c r="A42046" s="56"/>
    </row>
    <row r="42047" spans="1:1">
      <c r="A42047" s="56"/>
    </row>
    <row r="42048" spans="1:1">
      <c r="A42048" s="56"/>
    </row>
    <row r="42049" spans="1:1">
      <c r="A42049" s="56"/>
    </row>
    <row r="42050" spans="1:1">
      <c r="A42050" s="56"/>
    </row>
    <row r="42051" spans="1:1">
      <c r="A42051" s="56"/>
    </row>
    <row r="42052" spans="1:1">
      <c r="A42052" s="56"/>
    </row>
    <row r="42053" spans="1:1">
      <c r="A42053" s="56"/>
    </row>
    <row r="42054" spans="1:1">
      <c r="A42054" s="56"/>
    </row>
    <row r="42055" spans="1:1">
      <c r="A42055" s="56"/>
    </row>
    <row r="42056" spans="1:1">
      <c r="A42056" s="56"/>
    </row>
    <row r="42057" spans="1:1">
      <c r="A42057" s="56"/>
    </row>
    <row r="42058" spans="1:1">
      <c r="A42058" s="56"/>
    </row>
    <row r="42059" spans="1:1">
      <c r="A42059" s="56"/>
    </row>
    <row r="42060" spans="1:1">
      <c r="A42060" s="56"/>
    </row>
    <row r="42061" spans="1:1">
      <c r="A42061" s="56"/>
    </row>
    <row r="42062" spans="1:1">
      <c r="A42062" s="56"/>
    </row>
    <row r="42063" spans="1:1">
      <c r="A42063" s="56"/>
    </row>
    <row r="42064" spans="1:1">
      <c r="A42064" s="56"/>
    </row>
    <row r="42065" spans="1:1">
      <c r="A42065" s="56"/>
    </row>
    <row r="42066" spans="1:1">
      <c r="A42066" s="56"/>
    </row>
    <row r="42067" spans="1:1">
      <c r="A42067" s="56"/>
    </row>
    <row r="42068" spans="1:1">
      <c r="A42068" s="56"/>
    </row>
    <row r="42069" spans="1:1">
      <c r="A42069" s="56"/>
    </row>
    <row r="42070" spans="1:1">
      <c r="A42070" s="56"/>
    </row>
    <row r="42071" spans="1:1">
      <c r="A42071" s="56"/>
    </row>
    <row r="42072" spans="1:1">
      <c r="A42072" s="56"/>
    </row>
    <row r="42073" spans="1:1">
      <c r="A42073" s="56"/>
    </row>
    <row r="42074" spans="1:1">
      <c r="A42074" s="56"/>
    </row>
    <row r="42075" spans="1:1">
      <c r="A42075" s="56"/>
    </row>
    <row r="42076" spans="1:1">
      <c r="A42076" s="56"/>
    </row>
    <row r="42077" spans="1:1">
      <c r="A42077" s="56"/>
    </row>
    <row r="42078" spans="1:1">
      <c r="A42078" s="56"/>
    </row>
    <row r="42079" spans="1:1">
      <c r="A42079" s="56"/>
    </row>
    <row r="42080" spans="1:1">
      <c r="A42080" s="56"/>
    </row>
    <row r="42081" spans="1:1">
      <c r="A42081" s="56"/>
    </row>
    <row r="42082" spans="1:1">
      <c r="A42082" s="56"/>
    </row>
    <row r="42083" spans="1:1">
      <c r="A42083" s="56"/>
    </row>
    <row r="42084" spans="1:1">
      <c r="A42084" s="56"/>
    </row>
    <row r="42085" spans="1:1">
      <c r="A42085" s="56"/>
    </row>
    <row r="42086" spans="1:1">
      <c r="A42086" s="56"/>
    </row>
    <row r="42087" spans="1:1">
      <c r="A42087" s="56"/>
    </row>
    <row r="42088" spans="1:1">
      <c r="A42088" s="56"/>
    </row>
    <row r="42089" spans="1:1">
      <c r="A42089" s="56"/>
    </row>
    <row r="42090" spans="1:1">
      <c r="A42090" s="56"/>
    </row>
    <row r="42091" spans="1:1">
      <c r="A42091" s="56"/>
    </row>
    <row r="42092" spans="1:1">
      <c r="A42092" s="56"/>
    </row>
    <row r="42093" spans="1:1">
      <c r="A42093" s="56"/>
    </row>
    <row r="42094" spans="1:1">
      <c r="A42094" s="56"/>
    </row>
    <row r="42095" spans="1:1">
      <c r="A42095" s="56"/>
    </row>
    <row r="42096" spans="1:1">
      <c r="A42096" s="56"/>
    </row>
    <row r="42097" spans="1:1">
      <c r="A42097" s="56"/>
    </row>
    <row r="42098" spans="1:1">
      <c r="A42098" s="56"/>
    </row>
    <row r="42099" spans="1:1">
      <c r="A42099" s="56"/>
    </row>
    <row r="42100" spans="1:1">
      <c r="A42100" s="56"/>
    </row>
    <row r="42101" spans="1:1">
      <c r="A42101" s="56"/>
    </row>
    <row r="42102" spans="1:1">
      <c r="A42102" s="56"/>
    </row>
    <row r="42103" spans="1:1">
      <c r="A42103" s="56"/>
    </row>
    <row r="42104" spans="1:1">
      <c r="A42104" s="56"/>
    </row>
    <row r="42105" spans="1:1">
      <c r="A42105" s="56"/>
    </row>
    <row r="42106" spans="1:1">
      <c r="A42106" s="56"/>
    </row>
    <row r="42107" spans="1:1">
      <c r="A42107" s="56"/>
    </row>
    <row r="42108" spans="1:1">
      <c r="A42108" s="56"/>
    </row>
    <row r="42109" spans="1:1">
      <c r="A42109" s="56"/>
    </row>
    <row r="42110" spans="1:1">
      <c r="A42110" s="56"/>
    </row>
    <row r="42111" spans="1:1">
      <c r="A42111" s="56"/>
    </row>
    <row r="42112" spans="1:1">
      <c r="A42112" s="56"/>
    </row>
    <row r="42113" spans="1:1">
      <c r="A42113" s="56"/>
    </row>
    <row r="42114" spans="1:1">
      <c r="A42114" s="56"/>
    </row>
    <row r="42115" spans="1:1">
      <c r="A42115" s="56"/>
    </row>
    <row r="42116" spans="1:1">
      <c r="A42116" s="56"/>
    </row>
    <row r="42117" spans="1:1">
      <c r="A42117" s="56"/>
    </row>
    <row r="42118" spans="1:1">
      <c r="A42118" s="56"/>
    </row>
    <row r="42119" spans="1:1">
      <c r="A42119" s="56"/>
    </row>
    <row r="42120" spans="1:1">
      <c r="A42120" s="56"/>
    </row>
    <row r="42121" spans="1:1">
      <c r="A42121" s="56"/>
    </row>
    <row r="42122" spans="1:1">
      <c r="A42122" s="56"/>
    </row>
    <row r="42123" spans="1:1">
      <c r="A42123" s="56"/>
    </row>
    <row r="42124" spans="1:1">
      <c r="A42124" s="56"/>
    </row>
    <row r="42125" spans="1:1">
      <c r="A42125" s="56"/>
    </row>
    <row r="42126" spans="1:1">
      <c r="A42126" s="56"/>
    </row>
    <row r="42127" spans="1:1">
      <c r="A42127" s="56"/>
    </row>
    <row r="42128" spans="1:1">
      <c r="A42128" s="56"/>
    </row>
    <row r="42129" spans="1:1">
      <c r="A42129" s="56"/>
    </row>
    <row r="42130" spans="1:1">
      <c r="A42130" s="56"/>
    </row>
    <row r="42131" spans="1:1">
      <c r="A42131" s="56"/>
    </row>
    <row r="42132" spans="1:1">
      <c r="A42132" s="56"/>
    </row>
    <row r="42133" spans="1:1">
      <c r="A42133" s="56"/>
    </row>
    <row r="42134" spans="1:1">
      <c r="A42134" s="56"/>
    </row>
    <row r="42135" spans="1:1">
      <c r="A42135" s="56"/>
    </row>
    <row r="42136" spans="1:1">
      <c r="A42136" s="56"/>
    </row>
    <row r="42137" spans="1:1">
      <c r="A42137" s="56"/>
    </row>
    <row r="42138" spans="1:1">
      <c r="A42138" s="56"/>
    </row>
    <row r="42139" spans="1:1">
      <c r="A42139" s="56"/>
    </row>
    <row r="42140" spans="1:1">
      <c r="A42140" s="56"/>
    </row>
    <row r="42141" spans="1:1">
      <c r="A42141" s="56"/>
    </row>
    <row r="42142" spans="1:1">
      <c r="A42142" s="56"/>
    </row>
    <row r="42143" spans="1:1">
      <c r="A42143" s="56"/>
    </row>
    <row r="42144" spans="1:1">
      <c r="A42144" s="56"/>
    </row>
    <row r="42145" spans="1:1">
      <c r="A42145" s="56"/>
    </row>
    <row r="42146" spans="1:1">
      <c r="A42146" s="56"/>
    </row>
    <row r="42147" spans="1:1">
      <c r="A42147" s="56"/>
    </row>
    <row r="42148" spans="1:1">
      <c r="A42148" s="56"/>
    </row>
    <row r="42149" spans="1:1">
      <c r="A42149" s="56"/>
    </row>
    <row r="42150" spans="1:1">
      <c r="A42150" s="56"/>
    </row>
    <row r="42151" spans="1:1">
      <c r="A42151" s="56"/>
    </row>
    <row r="42152" spans="1:1">
      <c r="A42152" s="56"/>
    </row>
    <row r="42153" spans="1:1">
      <c r="A42153" s="56"/>
    </row>
    <row r="42154" spans="1:1">
      <c r="A42154" s="56"/>
    </row>
    <row r="42155" spans="1:1">
      <c r="A42155" s="56"/>
    </row>
    <row r="42156" spans="1:1">
      <c r="A42156" s="56"/>
    </row>
    <row r="42157" spans="1:1">
      <c r="A42157" s="56"/>
    </row>
    <row r="42158" spans="1:1">
      <c r="A42158" s="56"/>
    </row>
    <row r="42159" spans="1:1">
      <c r="A42159" s="56"/>
    </row>
    <row r="42160" spans="1:1">
      <c r="A42160" s="56"/>
    </row>
    <row r="42161" spans="1:1">
      <c r="A42161" s="56"/>
    </row>
    <row r="42162" spans="1:1">
      <c r="A42162" s="56"/>
    </row>
    <row r="42163" spans="1:1">
      <c r="A42163" s="56"/>
    </row>
    <row r="42164" spans="1:1">
      <c r="A42164" s="56"/>
    </row>
    <row r="42165" spans="1:1">
      <c r="A42165" s="56"/>
    </row>
    <row r="42166" spans="1:1">
      <c r="A42166" s="56"/>
    </row>
    <row r="42167" spans="1:1">
      <c r="A42167" s="56"/>
    </row>
    <row r="42168" spans="1:1">
      <c r="A42168" s="56"/>
    </row>
    <row r="42169" spans="1:1">
      <c r="A42169" s="56"/>
    </row>
    <row r="42170" spans="1:1">
      <c r="A42170" s="56"/>
    </row>
    <row r="42171" spans="1:1">
      <c r="A42171" s="56"/>
    </row>
    <row r="42172" spans="1:1">
      <c r="A42172" s="56"/>
    </row>
    <row r="42173" spans="1:1">
      <c r="A42173" s="56"/>
    </row>
    <row r="42174" spans="1:1">
      <c r="A42174" s="56"/>
    </row>
    <row r="42175" spans="1:1">
      <c r="A42175" s="56"/>
    </row>
    <row r="42176" spans="1:1">
      <c r="A42176" s="56"/>
    </row>
    <row r="42177" spans="1:1">
      <c r="A42177" s="56"/>
    </row>
    <row r="42178" spans="1:1">
      <c r="A42178" s="56"/>
    </row>
    <row r="42179" spans="1:1">
      <c r="A42179" s="56"/>
    </row>
    <row r="42180" spans="1:1">
      <c r="A42180" s="56"/>
    </row>
    <row r="42181" spans="1:1">
      <c r="A42181" s="56"/>
    </row>
    <row r="42182" spans="1:1">
      <c r="A42182" s="56"/>
    </row>
    <row r="42183" spans="1:1">
      <c r="A42183" s="56"/>
    </row>
    <row r="42184" spans="1:1">
      <c r="A42184" s="56"/>
    </row>
    <row r="42185" spans="1:1">
      <c r="A42185" s="56"/>
    </row>
    <row r="42186" spans="1:1">
      <c r="A42186" s="56"/>
    </row>
    <row r="42187" spans="1:1">
      <c r="A42187" s="56"/>
    </row>
    <row r="42188" spans="1:1">
      <c r="A42188" s="56"/>
    </row>
    <row r="42189" spans="1:1">
      <c r="A42189" s="56"/>
    </row>
    <row r="42190" spans="1:1">
      <c r="A42190" s="56"/>
    </row>
    <row r="42191" spans="1:1">
      <c r="A42191" s="56"/>
    </row>
    <row r="42192" spans="1:1">
      <c r="A42192" s="56"/>
    </row>
    <row r="42193" spans="1:1">
      <c r="A42193" s="56"/>
    </row>
    <row r="42194" spans="1:1">
      <c r="A42194" s="56"/>
    </row>
    <row r="42195" spans="1:1">
      <c r="A42195" s="56"/>
    </row>
    <row r="42196" spans="1:1">
      <c r="A42196" s="56"/>
    </row>
    <row r="42197" spans="1:1">
      <c r="A42197" s="56"/>
    </row>
    <row r="42198" spans="1:1">
      <c r="A42198" s="56"/>
    </row>
    <row r="42199" spans="1:1">
      <c r="A42199" s="56"/>
    </row>
    <row r="42200" spans="1:1">
      <c r="A42200" s="56"/>
    </row>
    <row r="42201" spans="1:1">
      <c r="A42201" s="56"/>
    </row>
    <row r="42202" spans="1:1">
      <c r="A42202" s="56"/>
    </row>
    <row r="42203" spans="1:1">
      <c r="A42203" s="56"/>
    </row>
    <row r="42204" spans="1:1">
      <c r="A42204" s="56"/>
    </row>
    <row r="42205" spans="1:1">
      <c r="A42205" s="56"/>
    </row>
    <row r="42206" spans="1:1">
      <c r="A42206" s="56"/>
    </row>
    <row r="42207" spans="1:1">
      <c r="A42207" s="56"/>
    </row>
    <row r="42208" spans="1:1">
      <c r="A42208" s="56"/>
    </row>
    <row r="42209" spans="1:1">
      <c r="A42209" s="56"/>
    </row>
    <row r="42210" spans="1:1">
      <c r="A42210" s="56"/>
    </row>
    <row r="42211" spans="1:1">
      <c r="A42211" s="56"/>
    </row>
    <row r="42212" spans="1:1">
      <c r="A42212" s="56"/>
    </row>
    <row r="42213" spans="1:1">
      <c r="A42213" s="56"/>
    </row>
    <row r="42214" spans="1:1">
      <c r="A42214" s="56"/>
    </row>
    <row r="42215" spans="1:1">
      <c r="A42215" s="56"/>
    </row>
    <row r="42216" spans="1:1">
      <c r="A42216" s="56"/>
    </row>
    <row r="42217" spans="1:1">
      <c r="A42217" s="56"/>
    </row>
    <row r="42218" spans="1:1">
      <c r="A42218" s="56"/>
    </row>
    <row r="42219" spans="1:1">
      <c r="A42219" s="56"/>
    </row>
    <row r="42220" spans="1:1">
      <c r="A42220" s="56"/>
    </row>
    <row r="42221" spans="1:1">
      <c r="A42221" s="56"/>
    </row>
    <row r="42222" spans="1:1">
      <c r="A42222" s="56"/>
    </row>
    <row r="42223" spans="1:1">
      <c r="A42223" s="56"/>
    </row>
    <row r="42224" spans="1:1">
      <c r="A42224" s="56"/>
    </row>
    <row r="42225" spans="1:1">
      <c r="A42225" s="56"/>
    </row>
    <row r="42226" spans="1:1">
      <c r="A42226" s="56"/>
    </row>
    <row r="42227" spans="1:1">
      <c r="A42227" s="56"/>
    </row>
    <row r="42228" spans="1:1">
      <c r="A42228" s="56"/>
    </row>
    <row r="42229" spans="1:1">
      <c r="A42229" s="56"/>
    </row>
    <row r="42230" spans="1:1">
      <c r="A42230" s="56"/>
    </row>
    <row r="42231" spans="1:1">
      <c r="A42231" s="56"/>
    </row>
    <row r="42232" spans="1:1">
      <c r="A42232" s="56"/>
    </row>
    <row r="42233" spans="1:1">
      <c r="A42233" s="56"/>
    </row>
    <row r="42234" spans="1:1">
      <c r="A42234" s="56"/>
    </row>
    <row r="42235" spans="1:1">
      <c r="A42235" s="56"/>
    </row>
    <row r="42236" spans="1:1">
      <c r="A42236" s="56"/>
    </row>
    <row r="42237" spans="1:1">
      <c r="A42237" s="56"/>
    </row>
    <row r="42238" spans="1:1">
      <c r="A42238" s="56"/>
    </row>
    <row r="42239" spans="1:1">
      <c r="A42239" s="56"/>
    </row>
    <row r="42240" spans="1:1">
      <c r="A42240" s="56"/>
    </row>
    <row r="42241" spans="1:1">
      <c r="A42241" s="56"/>
    </row>
    <row r="42242" spans="1:1">
      <c r="A42242" s="56"/>
    </row>
    <row r="42243" spans="1:1">
      <c r="A42243" s="56"/>
    </row>
    <row r="42244" spans="1:1">
      <c r="A42244" s="56"/>
    </row>
    <row r="42245" spans="1:1">
      <c r="A42245" s="56"/>
    </row>
    <row r="42246" spans="1:1">
      <c r="A42246" s="56"/>
    </row>
    <row r="42247" spans="1:1">
      <c r="A42247" s="56"/>
    </row>
    <row r="42248" spans="1:1">
      <c r="A42248" s="56"/>
    </row>
    <row r="42249" spans="1:1">
      <c r="A42249" s="56"/>
    </row>
    <row r="42250" spans="1:1">
      <c r="A42250" s="56"/>
    </row>
    <row r="42251" spans="1:1">
      <c r="A42251" s="56"/>
    </row>
    <row r="42252" spans="1:1">
      <c r="A42252" s="56"/>
    </row>
    <row r="42253" spans="1:1">
      <c r="A42253" s="56"/>
    </row>
    <row r="42254" spans="1:1">
      <c r="A42254" s="56"/>
    </row>
    <row r="42255" spans="1:1">
      <c r="A42255" s="56"/>
    </row>
    <row r="42256" spans="1:1">
      <c r="A42256" s="56"/>
    </row>
    <row r="42257" spans="1:1">
      <c r="A42257" s="56"/>
    </row>
    <row r="42258" spans="1:1">
      <c r="A42258" s="56"/>
    </row>
    <row r="42259" spans="1:1">
      <c r="A42259" s="56"/>
    </row>
    <row r="42260" spans="1:1">
      <c r="A42260" s="56"/>
    </row>
    <row r="42261" spans="1:1">
      <c r="A42261" s="56"/>
    </row>
    <row r="42262" spans="1:1">
      <c r="A42262" s="56"/>
    </row>
    <row r="42263" spans="1:1">
      <c r="A42263" s="56"/>
    </row>
    <row r="42264" spans="1:1">
      <c r="A42264" s="56"/>
    </row>
    <row r="42265" spans="1:1">
      <c r="A42265" s="56"/>
    </row>
    <row r="42266" spans="1:1">
      <c r="A42266" s="56"/>
    </row>
    <row r="42267" spans="1:1">
      <c r="A42267" s="56"/>
    </row>
    <row r="42268" spans="1:1">
      <c r="A42268" s="56"/>
    </row>
    <row r="42269" spans="1:1">
      <c r="A42269" s="56"/>
    </row>
    <row r="42270" spans="1:1">
      <c r="A42270" s="56"/>
    </row>
    <row r="42271" spans="1:1">
      <c r="A42271" s="56"/>
    </row>
    <row r="42272" spans="1:1">
      <c r="A42272" s="56"/>
    </row>
    <row r="42273" spans="1:1">
      <c r="A42273" s="56"/>
    </row>
    <row r="42274" spans="1:1">
      <c r="A42274" s="56"/>
    </row>
    <row r="42275" spans="1:1">
      <c r="A42275" s="56"/>
    </row>
    <row r="42276" spans="1:1">
      <c r="A42276" s="56"/>
    </row>
    <row r="42277" spans="1:1">
      <c r="A42277" s="56"/>
    </row>
    <row r="42278" spans="1:1">
      <c r="A42278" s="56"/>
    </row>
    <row r="42279" spans="1:1">
      <c r="A42279" s="56"/>
    </row>
    <row r="42280" spans="1:1">
      <c r="A42280" s="56"/>
    </row>
    <row r="42281" spans="1:1">
      <c r="A42281" s="56"/>
    </row>
    <row r="42282" spans="1:1">
      <c r="A42282" s="56"/>
    </row>
    <row r="42283" spans="1:1">
      <c r="A42283" s="56"/>
    </row>
    <row r="42284" spans="1:1">
      <c r="A42284" s="56"/>
    </row>
    <row r="42285" spans="1:1">
      <c r="A42285" s="56"/>
    </row>
    <row r="42286" spans="1:1">
      <c r="A42286" s="56"/>
    </row>
    <row r="42287" spans="1:1">
      <c r="A42287" s="56"/>
    </row>
    <row r="42288" spans="1:1">
      <c r="A42288" s="56"/>
    </row>
    <row r="42289" spans="1:1">
      <c r="A42289" s="56"/>
    </row>
    <row r="42290" spans="1:1">
      <c r="A42290" s="56"/>
    </row>
    <row r="42291" spans="1:1">
      <c r="A42291" s="56"/>
    </row>
    <row r="42292" spans="1:1">
      <c r="A42292" s="56"/>
    </row>
    <row r="42293" spans="1:1">
      <c r="A42293" s="56"/>
    </row>
    <row r="42294" spans="1:1">
      <c r="A42294" s="56"/>
    </row>
    <row r="42295" spans="1:1">
      <c r="A42295" s="56"/>
    </row>
    <row r="42296" spans="1:1">
      <c r="A42296" s="56"/>
    </row>
    <row r="42297" spans="1:1">
      <c r="A42297" s="56"/>
    </row>
    <row r="42298" spans="1:1">
      <c r="A42298" s="56"/>
    </row>
    <row r="42299" spans="1:1">
      <c r="A42299" s="56"/>
    </row>
    <row r="42300" spans="1:1">
      <c r="A42300" s="56"/>
    </row>
    <row r="42301" spans="1:1">
      <c r="A42301" s="56"/>
    </row>
    <row r="42302" spans="1:1">
      <c r="A42302" s="56"/>
    </row>
    <row r="42303" spans="1:1">
      <c r="A42303" s="56"/>
    </row>
    <row r="42304" spans="1:1">
      <c r="A42304" s="56"/>
    </row>
    <row r="42305" spans="1:1">
      <c r="A42305" s="56"/>
    </row>
    <row r="42306" spans="1:1">
      <c r="A42306" s="56"/>
    </row>
    <row r="42307" spans="1:1">
      <c r="A42307" s="56"/>
    </row>
    <row r="42308" spans="1:1">
      <c r="A42308" s="56"/>
    </row>
    <row r="42309" spans="1:1">
      <c r="A42309" s="56"/>
    </row>
    <row r="42310" spans="1:1">
      <c r="A42310" s="56"/>
    </row>
    <row r="42311" spans="1:1">
      <c r="A42311" s="56"/>
    </row>
    <row r="42312" spans="1:1">
      <c r="A42312" s="56"/>
    </row>
    <row r="42313" spans="1:1">
      <c r="A42313" s="56"/>
    </row>
    <row r="42314" spans="1:1">
      <c r="A42314" s="56"/>
    </row>
    <row r="42315" spans="1:1">
      <c r="A42315" s="56"/>
    </row>
    <row r="42316" spans="1:1">
      <c r="A42316" s="56"/>
    </row>
    <row r="42317" spans="1:1">
      <c r="A42317" s="56"/>
    </row>
    <row r="42318" spans="1:1">
      <c r="A42318" s="56"/>
    </row>
    <row r="42319" spans="1:1">
      <c r="A42319" s="56"/>
    </row>
    <row r="42320" spans="1:1">
      <c r="A42320" s="56"/>
    </row>
    <row r="42321" spans="1:1">
      <c r="A42321" s="56"/>
    </row>
    <row r="42322" spans="1:1">
      <c r="A42322" s="56"/>
    </row>
    <row r="42323" spans="1:1">
      <c r="A42323" s="56"/>
    </row>
    <row r="42324" spans="1:1">
      <c r="A42324" s="56"/>
    </row>
    <row r="42325" spans="1:1">
      <c r="A42325" s="56"/>
    </row>
    <row r="42326" spans="1:1">
      <c r="A42326" s="56"/>
    </row>
    <row r="42327" spans="1:1">
      <c r="A42327" s="56"/>
    </row>
    <row r="42328" spans="1:1">
      <c r="A42328" s="56"/>
    </row>
    <row r="42329" spans="1:1">
      <c r="A42329" s="56"/>
    </row>
    <row r="42330" spans="1:1">
      <c r="A42330" s="56"/>
    </row>
    <row r="42331" spans="1:1">
      <c r="A42331" s="56"/>
    </row>
    <row r="42332" spans="1:1">
      <c r="A42332" s="56"/>
    </row>
    <row r="42333" spans="1:1">
      <c r="A42333" s="56"/>
    </row>
    <row r="42334" spans="1:1">
      <c r="A42334" s="56"/>
    </row>
    <row r="42335" spans="1:1">
      <c r="A42335" s="56"/>
    </row>
    <row r="42336" spans="1:1">
      <c r="A42336" s="56"/>
    </row>
    <row r="42337" spans="1:1">
      <c r="A42337" s="56"/>
    </row>
    <row r="42338" spans="1:1">
      <c r="A42338" s="56"/>
    </row>
    <row r="42339" spans="1:1">
      <c r="A42339" s="56"/>
    </row>
    <row r="42340" spans="1:1">
      <c r="A42340" s="56"/>
    </row>
    <row r="42341" spans="1:1">
      <c r="A42341" s="56"/>
    </row>
    <row r="42342" spans="1:1">
      <c r="A42342" s="56"/>
    </row>
    <row r="42343" spans="1:1">
      <c r="A42343" s="56"/>
    </row>
    <row r="42344" spans="1:1">
      <c r="A42344" s="56"/>
    </row>
    <row r="42345" spans="1:1">
      <c r="A42345" s="56"/>
    </row>
    <row r="42346" spans="1:1">
      <c r="A42346" s="56"/>
    </row>
    <row r="42347" spans="1:1">
      <c r="A42347" s="56"/>
    </row>
    <row r="42348" spans="1:1">
      <c r="A42348" s="56"/>
    </row>
    <row r="42349" spans="1:1">
      <c r="A42349" s="56"/>
    </row>
    <row r="42350" spans="1:1">
      <c r="A42350" s="56"/>
    </row>
    <row r="42351" spans="1:1">
      <c r="A42351" s="56"/>
    </row>
    <row r="42352" spans="1:1">
      <c r="A42352" s="56"/>
    </row>
    <row r="42353" spans="1:1">
      <c r="A42353" s="56"/>
    </row>
    <row r="42354" spans="1:1">
      <c r="A42354" s="56"/>
    </row>
    <row r="42355" spans="1:1">
      <c r="A42355" s="56"/>
    </row>
    <row r="42356" spans="1:1">
      <c r="A42356" s="56"/>
    </row>
    <row r="42357" spans="1:1">
      <c r="A42357" s="56"/>
    </row>
    <row r="42358" spans="1:1">
      <c r="A42358" s="56"/>
    </row>
    <row r="42359" spans="1:1">
      <c r="A42359" s="56"/>
    </row>
    <row r="42360" spans="1:1">
      <c r="A42360" s="56"/>
    </row>
    <row r="42361" spans="1:1">
      <c r="A42361" s="56"/>
    </row>
    <row r="42362" spans="1:1">
      <c r="A42362" s="56"/>
    </row>
    <row r="42363" spans="1:1">
      <c r="A42363" s="56"/>
    </row>
    <row r="42364" spans="1:1">
      <c r="A42364" s="56"/>
    </row>
    <row r="42365" spans="1:1">
      <c r="A42365" s="56"/>
    </row>
    <row r="42366" spans="1:1">
      <c r="A42366" s="56"/>
    </row>
    <row r="42367" spans="1:1">
      <c r="A42367" s="56"/>
    </row>
    <row r="42368" spans="1:1">
      <c r="A42368" s="56"/>
    </row>
    <row r="42369" spans="1:1">
      <c r="A42369" s="56"/>
    </row>
    <row r="42370" spans="1:1">
      <c r="A42370" s="56"/>
    </row>
    <row r="42371" spans="1:1">
      <c r="A42371" s="56"/>
    </row>
    <row r="42372" spans="1:1">
      <c r="A42372" s="56"/>
    </row>
    <row r="42373" spans="1:1">
      <c r="A42373" s="56"/>
    </row>
    <row r="42374" spans="1:1">
      <c r="A42374" s="56"/>
    </row>
    <row r="42375" spans="1:1">
      <c r="A42375" s="56"/>
    </row>
    <row r="42376" spans="1:1">
      <c r="A42376" s="56"/>
    </row>
    <row r="42377" spans="1:1">
      <c r="A42377" s="56"/>
    </row>
    <row r="42378" spans="1:1">
      <c r="A42378" s="56"/>
    </row>
    <row r="42379" spans="1:1">
      <c r="A42379" s="56"/>
    </row>
    <row r="42380" spans="1:1">
      <c r="A42380" s="56"/>
    </row>
    <row r="42381" spans="1:1">
      <c r="A42381" s="56"/>
    </row>
    <row r="42382" spans="1:1">
      <c r="A42382" s="56"/>
    </row>
    <row r="42383" spans="1:1">
      <c r="A42383" s="56"/>
    </row>
    <row r="42384" spans="1:1">
      <c r="A42384" s="56"/>
    </row>
    <row r="42385" spans="1:1">
      <c r="A42385" s="56"/>
    </row>
    <row r="42386" spans="1:1">
      <c r="A42386" s="56"/>
    </row>
    <row r="42387" spans="1:1">
      <c r="A42387" s="56"/>
    </row>
    <row r="42388" spans="1:1">
      <c r="A42388" s="56"/>
    </row>
    <row r="42389" spans="1:1">
      <c r="A42389" s="56"/>
    </row>
    <row r="42390" spans="1:1">
      <c r="A42390" s="56"/>
    </row>
    <row r="42391" spans="1:1">
      <c r="A42391" s="56"/>
    </row>
    <row r="42392" spans="1:1">
      <c r="A42392" s="56"/>
    </row>
    <row r="42393" spans="1:1">
      <c r="A42393" s="56"/>
    </row>
    <row r="42394" spans="1:1">
      <c r="A42394" s="56"/>
    </row>
    <row r="42395" spans="1:1">
      <c r="A42395" s="56"/>
    </row>
    <row r="42396" spans="1:1">
      <c r="A42396" s="56"/>
    </row>
    <row r="42397" spans="1:1">
      <c r="A42397" s="56"/>
    </row>
    <row r="42398" spans="1:1">
      <c r="A42398" s="56"/>
    </row>
    <row r="42399" spans="1:1">
      <c r="A42399" s="56"/>
    </row>
    <row r="42400" spans="1:1">
      <c r="A42400" s="56"/>
    </row>
    <row r="42401" spans="1:1">
      <c r="A42401" s="56"/>
    </row>
    <row r="42402" spans="1:1">
      <c r="A42402" s="56"/>
    </row>
    <row r="42403" spans="1:1">
      <c r="A42403" s="56"/>
    </row>
    <row r="42404" spans="1:1">
      <c r="A42404" s="56"/>
    </row>
    <row r="42405" spans="1:1">
      <c r="A42405" s="56"/>
    </row>
    <row r="42406" spans="1:1">
      <c r="A42406" s="56"/>
    </row>
    <row r="42407" spans="1:1">
      <c r="A42407" s="56"/>
    </row>
    <row r="42408" spans="1:1">
      <c r="A42408" s="56"/>
    </row>
    <row r="42409" spans="1:1">
      <c r="A42409" s="56"/>
    </row>
    <row r="42410" spans="1:1">
      <c r="A42410" s="56"/>
    </row>
    <row r="42411" spans="1:1">
      <c r="A42411" s="56"/>
    </row>
    <row r="42412" spans="1:1">
      <c r="A42412" s="56"/>
    </row>
    <row r="42413" spans="1:1">
      <c r="A42413" s="56"/>
    </row>
    <row r="42414" spans="1:1">
      <c r="A42414" s="56"/>
    </row>
    <row r="42415" spans="1:1">
      <c r="A42415" s="56"/>
    </row>
    <row r="42416" spans="1:1">
      <c r="A42416" s="56"/>
    </row>
    <row r="42417" spans="1:1">
      <c r="A42417" s="56"/>
    </row>
    <row r="42418" spans="1:1">
      <c r="A42418" s="56"/>
    </row>
    <row r="42419" spans="1:1">
      <c r="A42419" s="56"/>
    </row>
    <row r="42420" spans="1:1">
      <c r="A42420" s="56"/>
    </row>
    <row r="42421" spans="1:1">
      <c r="A42421" s="56"/>
    </row>
    <row r="42422" spans="1:1">
      <c r="A42422" s="56"/>
    </row>
    <row r="42423" spans="1:1">
      <c r="A42423" s="56"/>
    </row>
    <row r="42424" spans="1:1">
      <c r="A42424" s="56"/>
    </row>
    <row r="42425" spans="1:1">
      <c r="A42425" s="56"/>
    </row>
    <row r="42426" spans="1:1">
      <c r="A42426" s="56"/>
    </row>
    <row r="42427" spans="1:1">
      <c r="A42427" s="56"/>
    </row>
    <row r="42428" spans="1:1">
      <c r="A42428" s="56"/>
    </row>
    <row r="42429" spans="1:1">
      <c r="A42429" s="56"/>
    </row>
    <row r="42430" spans="1:1">
      <c r="A42430" s="56"/>
    </row>
    <row r="42431" spans="1:1">
      <c r="A42431" s="56"/>
    </row>
    <row r="42432" spans="1:1">
      <c r="A42432" s="56"/>
    </row>
    <row r="42433" spans="1:1">
      <c r="A42433" s="56"/>
    </row>
    <row r="42434" spans="1:1">
      <c r="A42434" s="56"/>
    </row>
    <row r="42435" spans="1:1">
      <c r="A42435" s="56"/>
    </row>
    <row r="42436" spans="1:1">
      <c r="A42436" s="56"/>
    </row>
    <row r="42437" spans="1:1">
      <c r="A42437" s="56"/>
    </row>
    <row r="42438" spans="1:1">
      <c r="A42438" s="56"/>
    </row>
    <row r="42439" spans="1:1">
      <c r="A42439" s="56"/>
    </row>
    <row r="42440" spans="1:1">
      <c r="A42440" s="56"/>
    </row>
    <row r="42441" spans="1:1">
      <c r="A42441" s="56"/>
    </row>
    <row r="42442" spans="1:1">
      <c r="A42442" s="56"/>
    </row>
    <row r="42443" spans="1:1">
      <c r="A42443" s="56"/>
    </row>
    <row r="42444" spans="1:1">
      <c r="A42444" s="56"/>
    </row>
    <row r="42445" spans="1:1">
      <c r="A42445" s="56"/>
    </row>
    <row r="42446" spans="1:1">
      <c r="A42446" s="56"/>
    </row>
    <row r="42447" spans="1:1">
      <c r="A42447" s="56"/>
    </row>
    <row r="42448" spans="1:1">
      <c r="A42448" s="56"/>
    </row>
    <row r="42449" spans="1:1">
      <c r="A42449" s="56"/>
    </row>
    <row r="42450" spans="1:1">
      <c r="A42450" s="56"/>
    </row>
    <row r="42451" spans="1:1">
      <c r="A42451" s="56"/>
    </row>
    <row r="42452" spans="1:1">
      <c r="A42452" s="56"/>
    </row>
    <row r="42453" spans="1:1">
      <c r="A42453" s="56"/>
    </row>
    <row r="42454" spans="1:1">
      <c r="A42454" s="56"/>
    </row>
    <row r="42455" spans="1:1">
      <c r="A42455" s="56"/>
    </row>
    <row r="42456" spans="1:1">
      <c r="A42456" s="56"/>
    </row>
    <row r="42457" spans="1:1">
      <c r="A42457" s="56"/>
    </row>
    <row r="42458" spans="1:1">
      <c r="A42458" s="56"/>
    </row>
    <row r="42459" spans="1:1">
      <c r="A42459" s="56"/>
    </row>
    <row r="42460" spans="1:1">
      <c r="A42460" s="56"/>
    </row>
    <row r="42461" spans="1:1">
      <c r="A42461" s="56"/>
    </row>
    <row r="42462" spans="1:1">
      <c r="A42462" s="56"/>
    </row>
    <row r="42463" spans="1:1">
      <c r="A42463" s="56"/>
    </row>
    <row r="42464" spans="1:1">
      <c r="A42464" s="56"/>
    </row>
    <row r="42465" spans="1:1">
      <c r="A42465" s="56"/>
    </row>
    <row r="42466" spans="1:1">
      <c r="A42466" s="56"/>
    </row>
    <row r="42467" spans="1:1">
      <c r="A42467" s="56"/>
    </row>
    <row r="42468" spans="1:1">
      <c r="A42468" s="56"/>
    </row>
    <row r="42469" spans="1:1">
      <c r="A42469" s="56"/>
    </row>
    <row r="42470" spans="1:1">
      <c r="A42470" s="56"/>
    </row>
    <row r="42471" spans="1:1">
      <c r="A42471" s="56"/>
    </row>
    <row r="42472" spans="1:1">
      <c r="A42472" s="56"/>
    </row>
    <row r="42473" spans="1:1">
      <c r="A42473" s="56"/>
    </row>
    <row r="42474" spans="1:1">
      <c r="A42474" s="56"/>
    </row>
    <row r="42475" spans="1:1">
      <c r="A42475" s="56"/>
    </row>
    <row r="42476" spans="1:1">
      <c r="A42476" s="56"/>
    </row>
    <row r="42477" spans="1:1">
      <c r="A42477" s="56"/>
    </row>
    <row r="42478" spans="1:1">
      <c r="A42478" s="56"/>
    </row>
    <row r="42479" spans="1:1">
      <c r="A42479" s="56"/>
    </row>
    <row r="42480" spans="1:1">
      <c r="A42480" s="56"/>
    </row>
    <row r="42481" spans="1:1">
      <c r="A42481" s="56"/>
    </row>
    <row r="42482" spans="1:1">
      <c r="A42482" s="56"/>
    </row>
    <row r="42483" spans="1:1">
      <c r="A42483" s="56"/>
    </row>
    <row r="42484" spans="1:1">
      <c r="A42484" s="56"/>
    </row>
    <row r="42485" spans="1:1">
      <c r="A42485" s="56"/>
    </row>
    <row r="42486" spans="1:1">
      <c r="A42486" s="56"/>
    </row>
    <row r="42487" spans="1:1">
      <c r="A42487" s="56"/>
    </row>
    <row r="42488" spans="1:1">
      <c r="A42488" s="56"/>
    </row>
    <row r="42489" spans="1:1">
      <c r="A42489" s="56"/>
    </row>
    <row r="42490" spans="1:1">
      <c r="A42490" s="56"/>
    </row>
    <row r="42491" spans="1:1">
      <c r="A42491" s="56"/>
    </row>
    <row r="42492" spans="1:1">
      <c r="A42492" s="56"/>
    </row>
    <row r="42493" spans="1:1">
      <c r="A42493" s="56"/>
    </row>
    <row r="42494" spans="1:1">
      <c r="A42494" s="56"/>
    </row>
    <row r="42495" spans="1:1">
      <c r="A42495" s="56"/>
    </row>
    <row r="42496" spans="1:1">
      <c r="A42496" s="56"/>
    </row>
    <row r="42497" spans="1:1">
      <c r="A42497" s="56"/>
    </row>
    <row r="42498" spans="1:1">
      <c r="A42498" s="56"/>
    </row>
    <row r="42499" spans="1:1">
      <c r="A42499" s="56"/>
    </row>
    <row r="42500" spans="1:1">
      <c r="A42500" s="56"/>
    </row>
    <row r="42501" spans="1:1">
      <c r="A42501" s="56"/>
    </row>
    <row r="42502" spans="1:1">
      <c r="A42502" s="56"/>
    </row>
    <row r="42503" spans="1:1">
      <c r="A42503" s="56"/>
    </row>
    <row r="42504" spans="1:1">
      <c r="A42504" s="56"/>
    </row>
    <row r="42505" spans="1:1">
      <c r="A42505" s="56"/>
    </row>
    <row r="42506" spans="1:1">
      <c r="A42506" s="56"/>
    </row>
    <row r="42507" spans="1:1">
      <c r="A42507" s="56"/>
    </row>
    <row r="42508" spans="1:1">
      <c r="A42508" s="56"/>
    </row>
    <row r="42509" spans="1:1">
      <c r="A42509" s="56"/>
    </row>
    <row r="42510" spans="1:1">
      <c r="A42510" s="56"/>
    </row>
    <row r="42511" spans="1:1">
      <c r="A42511" s="56"/>
    </row>
    <row r="42512" spans="1:1">
      <c r="A42512" s="56"/>
    </row>
    <row r="42513" spans="1:1">
      <c r="A42513" s="56"/>
    </row>
    <row r="42514" spans="1:1">
      <c r="A42514" s="56"/>
    </row>
    <row r="42515" spans="1:1">
      <c r="A42515" s="56"/>
    </row>
    <row r="42516" spans="1:1">
      <c r="A42516" s="56"/>
    </row>
    <row r="42517" spans="1:1">
      <c r="A42517" s="56"/>
    </row>
    <row r="42518" spans="1:1">
      <c r="A42518" s="56"/>
    </row>
    <row r="42519" spans="1:1">
      <c r="A42519" s="56"/>
    </row>
    <row r="42520" spans="1:1">
      <c r="A42520" s="56"/>
    </row>
    <row r="42521" spans="1:1">
      <c r="A42521" s="56"/>
    </row>
    <row r="42522" spans="1:1">
      <c r="A42522" s="56"/>
    </row>
    <row r="42523" spans="1:1">
      <c r="A42523" s="56"/>
    </row>
    <row r="42524" spans="1:1">
      <c r="A42524" s="56"/>
    </row>
    <row r="42525" spans="1:1">
      <c r="A42525" s="56"/>
    </row>
    <row r="42526" spans="1:1">
      <c r="A42526" s="56"/>
    </row>
    <row r="42527" spans="1:1">
      <c r="A42527" s="56"/>
    </row>
    <row r="42528" spans="1:1">
      <c r="A42528" s="56"/>
    </row>
    <row r="42529" spans="1:1">
      <c r="A42529" s="56"/>
    </row>
    <row r="42530" spans="1:1">
      <c r="A42530" s="56"/>
    </row>
    <row r="42531" spans="1:1">
      <c r="A42531" s="56"/>
    </row>
    <row r="42532" spans="1:1">
      <c r="A42532" s="56"/>
    </row>
    <row r="42533" spans="1:1">
      <c r="A42533" s="56"/>
    </row>
    <row r="42534" spans="1:1">
      <c r="A42534" s="56"/>
    </row>
    <row r="42535" spans="1:1">
      <c r="A42535" s="56"/>
    </row>
    <row r="42536" spans="1:1">
      <c r="A42536" s="56"/>
    </row>
    <row r="42537" spans="1:1">
      <c r="A42537" s="56"/>
    </row>
    <row r="42538" spans="1:1">
      <c r="A42538" s="56"/>
    </row>
    <row r="42539" spans="1:1">
      <c r="A42539" s="56"/>
    </row>
    <row r="42540" spans="1:1">
      <c r="A42540" s="56"/>
    </row>
    <row r="42541" spans="1:1">
      <c r="A42541" s="56"/>
    </row>
    <row r="42542" spans="1:1">
      <c r="A42542" s="56"/>
    </row>
    <row r="42543" spans="1:1">
      <c r="A42543" s="56"/>
    </row>
    <row r="42544" spans="1:1">
      <c r="A42544" s="56"/>
    </row>
    <row r="42545" spans="1:1">
      <c r="A42545" s="56"/>
    </row>
    <row r="42546" spans="1:1">
      <c r="A42546" s="56"/>
    </row>
    <row r="42547" spans="1:1">
      <c r="A42547" s="56"/>
    </row>
    <row r="42548" spans="1:1">
      <c r="A42548" s="56"/>
    </row>
    <row r="42549" spans="1:1">
      <c r="A42549" s="56"/>
    </row>
    <row r="42550" spans="1:1">
      <c r="A42550" s="56"/>
    </row>
    <row r="42551" spans="1:1">
      <c r="A42551" s="56"/>
    </row>
    <row r="42552" spans="1:1">
      <c r="A42552" s="56"/>
    </row>
    <row r="42553" spans="1:1">
      <c r="A42553" s="56"/>
    </row>
    <row r="42554" spans="1:1">
      <c r="A42554" s="56"/>
    </row>
    <row r="42555" spans="1:1">
      <c r="A42555" s="56"/>
    </row>
    <row r="42556" spans="1:1">
      <c r="A42556" s="56"/>
    </row>
    <row r="42557" spans="1:1">
      <c r="A42557" s="56"/>
    </row>
    <row r="42558" spans="1:1">
      <c r="A42558" s="56"/>
    </row>
    <row r="42559" spans="1:1">
      <c r="A42559" s="56"/>
    </row>
    <row r="42560" spans="1:1">
      <c r="A42560" s="56"/>
    </row>
    <row r="42561" spans="1:1">
      <c r="A42561" s="56"/>
    </row>
    <row r="42562" spans="1:1">
      <c r="A42562" s="56"/>
    </row>
    <row r="42563" spans="1:1">
      <c r="A42563" s="56"/>
    </row>
    <row r="42564" spans="1:1">
      <c r="A42564" s="56"/>
    </row>
    <row r="42565" spans="1:1">
      <c r="A42565" s="56"/>
    </row>
    <row r="42566" spans="1:1">
      <c r="A42566" s="56"/>
    </row>
    <row r="42567" spans="1:1">
      <c r="A42567" s="56"/>
    </row>
    <row r="42568" spans="1:1">
      <c r="A42568" s="56"/>
    </row>
    <row r="42569" spans="1:1">
      <c r="A42569" s="56"/>
    </row>
    <row r="42570" spans="1:1">
      <c r="A42570" s="56"/>
    </row>
    <row r="42571" spans="1:1">
      <c r="A42571" s="56"/>
    </row>
    <row r="42572" spans="1:1">
      <c r="A42572" s="56"/>
    </row>
    <row r="42573" spans="1:1">
      <c r="A42573" s="56"/>
    </row>
    <row r="42574" spans="1:1">
      <c r="A42574" s="56"/>
    </row>
    <row r="42575" spans="1:1">
      <c r="A42575" s="56"/>
    </row>
    <row r="42576" spans="1:1">
      <c r="A42576" s="56"/>
    </row>
    <row r="42577" spans="1:1">
      <c r="A42577" s="56"/>
    </row>
    <row r="42578" spans="1:1">
      <c r="A42578" s="56"/>
    </row>
    <row r="42579" spans="1:1">
      <c r="A42579" s="56"/>
    </row>
    <row r="42580" spans="1:1">
      <c r="A42580" s="56"/>
    </row>
    <row r="42581" spans="1:1">
      <c r="A42581" s="56"/>
    </row>
    <row r="42582" spans="1:1">
      <c r="A42582" s="56"/>
    </row>
    <row r="42583" spans="1:1">
      <c r="A42583" s="56"/>
    </row>
    <row r="42584" spans="1:1">
      <c r="A42584" s="56"/>
    </row>
    <row r="42585" spans="1:1">
      <c r="A42585" s="56"/>
    </row>
    <row r="42586" spans="1:1">
      <c r="A42586" s="56"/>
    </row>
    <row r="42587" spans="1:1">
      <c r="A42587" s="56"/>
    </row>
    <row r="42588" spans="1:1">
      <c r="A42588" s="56"/>
    </row>
    <row r="42589" spans="1:1">
      <c r="A42589" s="56"/>
    </row>
    <row r="42590" spans="1:1">
      <c r="A42590" s="56"/>
    </row>
    <row r="42591" spans="1:1">
      <c r="A42591" s="56"/>
    </row>
    <row r="42592" spans="1:1">
      <c r="A42592" s="56"/>
    </row>
    <row r="42593" spans="1:1">
      <c r="A42593" s="56"/>
    </row>
    <row r="42594" spans="1:1">
      <c r="A42594" s="56"/>
    </row>
    <row r="42595" spans="1:1">
      <c r="A42595" s="56"/>
    </row>
    <row r="42596" spans="1:1">
      <c r="A42596" s="56"/>
    </row>
    <row r="42597" spans="1:1">
      <c r="A42597" s="56"/>
    </row>
    <row r="42598" spans="1:1">
      <c r="A42598" s="56"/>
    </row>
    <row r="42599" spans="1:1">
      <c r="A42599" s="56"/>
    </row>
    <row r="42600" spans="1:1">
      <c r="A42600" s="56"/>
    </row>
    <row r="42601" spans="1:1">
      <c r="A42601" s="56"/>
    </row>
    <row r="42602" spans="1:1">
      <c r="A42602" s="56"/>
    </row>
    <row r="42603" spans="1:1">
      <c r="A42603" s="56"/>
    </row>
    <row r="42604" spans="1:1">
      <c r="A42604" s="56"/>
    </row>
    <row r="42605" spans="1:1">
      <c r="A42605" s="56"/>
    </row>
    <row r="42606" spans="1:1">
      <c r="A42606" s="56"/>
    </row>
    <row r="42607" spans="1:1">
      <c r="A42607" s="56"/>
    </row>
    <row r="42608" spans="1:1">
      <c r="A42608" s="56"/>
    </row>
    <row r="42609" spans="1:1">
      <c r="A42609" s="56"/>
    </row>
    <row r="42610" spans="1:1">
      <c r="A42610" s="56"/>
    </row>
    <row r="42611" spans="1:1">
      <c r="A42611" s="56"/>
    </row>
    <row r="42612" spans="1:1">
      <c r="A42612" s="56"/>
    </row>
    <row r="42613" spans="1:1">
      <c r="A42613" s="56"/>
    </row>
    <row r="42614" spans="1:1">
      <c r="A42614" s="56"/>
    </row>
    <row r="42615" spans="1:1">
      <c r="A42615" s="56"/>
    </row>
    <row r="42616" spans="1:1">
      <c r="A42616" s="56"/>
    </row>
    <row r="42617" spans="1:1">
      <c r="A42617" s="56"/>
    </row>
    <row r="42618" spans="1:1">
      <c r="A42618" s="56"/>
    </row>
    <row r="42619" spans="1:1">
      <c r="A42619" s="56"/>
    </row>
    <row r="42620" spans="1:1">
      <c r="A42620" s="56"/>
    </row>
    <row r="42621" spans="1:1">
      <c r="A42621" s="56"/>
    </row>
    <row r="42622" spans="1:1">
      <c r="A42622" s="56"/>
    </row>
    <row r="42623" spans="1:1">
      <c r="A42623" s="56"/>
    </row>
    <row r="42624" spans="1:1">
      <c r="A42624" s="56"/>
    </row>
    <row r="42625" spans="1:1">
      <c r="A42625" s="56"/>
    </row>
    <row r="42626" spans="1:1">
      <c r="A42626" s="56"/>
    </row>
    <row r="42627" spans="1:1">
      <c r="A42627" s="56"/>
    </row>
    <row r="42628" spans="1:1">
      <c r="A42628" s="56"/>
    </row>
    <row r="42629" spans="1:1">
      <c r="A42629" s="56"/>
    </row>
    <row r="42630" spans="1:1">
      <c r="A42630" s="56"/>
    </row>
    <row r="42631" spans="1:1">
      <c r="A42631" s="56"/>
    </row>
    <row r="42632" spans="1:1">
      <c r="A42632" s="56"/>
    </row>
    <row r="42633" spans="1:1">
      <c r="A42633" s="56"/>
    </row>
    <row r="42634" spans="1:1">
      <c r="A42634" s="56"/>
    </row>
    <row r="42635" spans="1:1">
      <c r="A42635" s="56"/>
    </row>
    <row r="42636" spans="1:1">
      <c r="A42636" s="56"/>
    </row>
    <row r="42637" spans="1:1">
      <c r="A42637" s="56"/>
    </row>
    <row r="42638" spans="1:1">
      <c r="A42638" s="56"/>
    </row>
    <row r="42639" spans="1:1">
      <c r="A42639" s="56"/>
    </row>
    <row r="42640" spans="1:1">
      <c r="A42640" s="56"/>
    </row>
    <row r="42641" spans="1:1">
      <c r="A42641" s="56"/>
    </row>
    <row r="42642" spans="1:1">
      <c r="A42642" s="56"/>
    </row>
    <row r="42643" spans="1:1">
      <c r="A42643" s="56"/>
    </row>
    <row r="42644" spans="1:1">
      <c r="A42644" s="56"/>
    </row>
    <row r="42645" spans="1:1">
      <c r="A42645" s="56"/>
    </row>
    <row r="42646" spans="1:1">
      <c r="A42646" s="56"/>
    </row>
    <row r="42647" spans="1:1">
      <c r="A42647" s="56"/>
    </row>
    <row r="42648" spans="1:1">
      <c r="A42648" s="56"/>
    </row>
    <row r="42649" spans="1:1">
      <c r="A42649" s="56"/>
    </row>
    <row r="42650" spans="1:1">
      <c r="A42650" s="56"/>
    </row>
    <row r="42651" spans="1:1">
      <c r="A42651" s="56"/>
    </row>
    <row r="42652" spans="1:1">
      <c r="A42652" s="56"/>
    </row>
    <row r="42653" spans="1:1">
      <c r="A42653" s="56"/>
    </row>
    <row r="42654" spans="1:1">
      <c r="A42654" s="56"/>
    </row>
    <row r="42655" spans="1:1">
      <c r="A42655" s="56"/>
    </row>
    <row r="42656" spans="1:1">
      <c r="A42656" s="56"/>
    </row>
    <row r="42657" spans="1:1">
      <c r="A42657" s="56"/>
    </row>
    <row r="42658" spans="1:1">
      <c r="A42658" s="56"/>
    </row>
    <row r="42659" spans="1:1">
      <c r="A42659" s="56"/>
    </row>
    <row r="42660" spans="1:1">
      <c r="A42660" s="56"/>
    </row>
    <row r="42661" spans="1:1">
      <c r="A42661" s="56"/>
    </row>
    <row r="42662" spans="1:1">
      <c r="A42662" s="56"/>
    </row>
    <row r="42663" spans="1:1">
      <c r="A42663" s="56"/>
    </row>
    <row r="42664" spans="1:1">
      <c r="A42664" s="56"/>
    </row>
    <row r="42665" spans="1:1">
      <c r="A42665" s="56"/>
    </row>
    <row r="42666" spans="1:1">
      <c r="A42666" s="56"/>
    </row>
    <row r="42667" spans="1:1">
      <c r="A42667" s="56"/>
    </row>
    <row r="42668" spans="1:1">
      <c r="A42668" s="56"/>
    </row>
    <row r="42669" spans="1:1">
      <c r="A42669" s="56"/>
    </row>
    <row r="42670" spans="1:1">
      <c r="A42670" s="56"/>
    </row>
    <row r="42671" spans="1:1">
      <c r="A42671" s="56"/>
    </row>
    <row r="42672" spans="1:1">
      <c r="A42672" s="56"/>
    </row>
    <row r="42673" spans="1:1">
      <c r="A42673" s="56"/>
    </row>
    <row r="42674" spans="1:1">
      <c r="A42674" s="56"/>
    </row>
    <row r="42675" spans="1:1">
      <c r="A42675" s="56"/>
    </row>
    <row r="42676" spans="1:1">
      <c r="A42676" s="56"/>
    </row>
    <row r="42677" spans="1:1">
      <c r="A42677" s="56"/>
    </row>
    <row r="42678" spans="1:1">
      <c r="A42678" s="56"/>
    </row>
    <row r="42679" spans="1:1">
      <c r="A42679" s="56"/>
    </row>
    <row r="42680" spans="1:1">
      <c r="A42680" s="56"/>
    </row>
    <row r="42681" spans="1:1">
      <c r="A42681" s="56"/>
    </row>
    <row r="42682" spans="1:1">
      <c r="A42682" s="56"/>
    </row>
    <row r="42683" spans="1:1">
      <c r="A42683" s="56"/>
    </row>
    <row r="42684" spans="1:1">
      <c r="A42684" s="56"/>
    </row>
    <row r="42685" spans="1:1">
      <c r="A42685" s="56"/>
    </row>
    <row r="42686" spans="1:1">
      <c r="A42686" s="56"/>
    </row>
    <row r="42687" spans="1:1">
      <c r="A42687" s="56"/>
    </row>
    <row r="42688" spans="1:1">
      <c r="A42688" s="56"/>
    </row>
    <row r="42689" spans="1:1">
      <c r="A42689" s="56"/>
    </row>
    <row r="42690" spans="1:1">
      <c r="A42690" s="56"/>
    </row>
    <row r="42691" spans="1:1">
      <c r="A42691" s="56"/>
    </row>
    <row r="42692" spans="1:1">
      <c r="A42692" s="56"/>
    </row>
    <row r="42693" spans="1:1">
      <c r="A42693" s="56"/>
    </row>
    <row r="42694" spans="1:1">
      <c r="A42694" s="56"/>
    </row>
    <row r="42695" spans="1:1">
      <c r="A42695" s="56"/>
    </row>
    <row r="42696" spans="1:1">
      <c r="A42696" s="56"/>
    </row>
    <row r="42697" spans="1:1">
      <c r="A42697" s="56"/>
    </row>
    <row r="42698" spans="1:1">
      <c r="A42698" s="56"/>
    </row>
    <row r="42699" spans="1:1">
      <c r="A42699" s="56"/>
    </row>
    <row r="42700" spans="1:1">
      <c r="A42700" s="56"/>
    </row>
    <row r="42701" spans="1:1">
      <c r="A42701" s="56"/>
    </row>
    <row r="42702" spans="1:1">
      <c r="A42702" s="56"/>
    </row>
    <row r="42703" spans="1:1">
      <c r="A42703" s="56"/>
    </row>
    <row r="42704" spans="1:1">
      <c r="A42704" s="56"/>
    </row>
    <row r="42705" spans="1:1">
      <c r="A42705" s="56"/>
    </row>
    <row r="42706" spans="1:1">
      <c r="A42706" s="56"/>
    </row>
    <row r="42707" spans="1:1">
      <c r="A42707" s="56"/>
    </row>
    <row r="42708" spans="1:1">
      <c r="A42708" s="56"/>
    </row>
    <row r="42709" spans="1:1">
      <c r="A42709" s="56"/>
    </row>
    <row r="42710" spans="1:1">
      <c r="A42710" s="56"/>
    </row>
    <row r="42711" spans="1:1">
      <c r="A42711" s="56"/>
    </row>
    <row r="42712" spans="1:1">
      <c r="A42712" s="56"/>
    </row>
    <row r="42713" spans="1:1">
      <c r="A42713" s="56"/>
    </row>
    <row r="42714" spans="1:1">
      <c r="A42714" s="56"/>
    </row>
    <row r="42715" spans="1:1">
      <c r="A42715" s="56"/>
    </row>
    <row r="42716" spans="1:1">
      <c r="A42716" s="56"/>
    </row>
    <row r="42717" spans="1:1">
      <c r="A42717" s="56"/>
    </row>
    <row r="42718" spans="1:1">
      <c r="A42718" s="56"/>
    </row>
    <row r="42719" spans="1:1">
      <c r="A42719" s="56"/>
    </row>
    <row r="42720" spans="1:1">
      <c r="A42720" s="56"/>
    </row>
    <row r="42721" spans="1:1">
      <c r="A42721" s="56"/>
    </row>
    <row r="42722" spans="1:1">
      <c r="A42722" s="56"/>
    </row>
    <row r="42723" spans="1:1">
      <c r="A42723" s="56"/>
    </row>
    <row r="42724" spans="1:1">
      <c r="A42724" s="56"/>
    </row>
    <row r="42725" spans="1:1">
      <c r="A42725" s="56"/>
    </row>
    <row r="42726" spans="1:1">
      <c r="A42726" s="56"/>
    </row>
    <row r="42727" spans="1:1">
      <c r="A42727" s="56"/>
    </row>
    <row r="42728" spans="1:1">
      <c r="A42728" s="56"/>
    </row>
    <row r="42729" spans="1:1">
      <c r="A42729" s="56"/>
    </row>
    <row r="42730" spans="1:1">
      <c r="A42730" s="56"/>
    </row>
    <row r="42731" spans="1:1">
      <c r="A42731" s="56"/>
    </row>
    <row r="42732" spans="1:1">
      <c r="A42732" s="56"/>
    </row>
    <row r="42733" spans="1:1">
      <c r="A42733" s="56"/>
    </row>
    <row r="42734" spans="1:1">
      <c r="A42734" s="56"/>
    </row>
    <row r="42735" spans="1:1">
      <c r="A42735" s="56"/>
    </row>
    <row r="42736" spans="1:1">
      <c r="A42736" s="56"/>
    </row>
    <row r="42737" spans="1:1">
      <c r="A42737" s="56"/>
    </row>
    <row r="42738" spans="1:1">
      <c r="A42738" s="56"/>
    </row>
    <row r="42739" spans="1:1">
      <c r="A42739" s="56"/>
    </row>
    <row r="42740" spans="1:1">
      <c r="A42740" s="56"/>
    </row>
    <row r="42741" spans="1:1">
      <c r="A42741" s="56"/>
    </row>
    <row r="42742" spans="1:1">
      <c r="A42742" s="56"/>
    </row>
    <row r="42743" spans="1:1">
      <c r="A42743" s="56"/>
    </row>
    <row r="42744" spans="1:1">
      <c r="A42744" s="56"/>
    </row>
    <row r="42745" spans="1:1">
      <c r="A42745" s="56"/>
    </row>
    <row r="42746" spans="1:1">
      <c r="A42746" s="56"/>
    </row>
    <row r="42747" spans="1:1">
      <c r="A42747" s="56"/>
    </row>
    <row r="42748" spans="1:1">
      <c r="A42748" s="56"/>
    </row>
    <row r="42749" spans="1:1">
      <c r="A42749" s="56"/>
    </row>
    <row r="42750" spans="1:1">
      <c r="A42750" s="56"/>
    </row>
    <row r="42751" spans="1:1">
      <c r="A42751" s="56"/>
    </row>
    <row r="42752" spans="1:1">
      <c r="A42752" s="56"/>
    </row>
    <row r="42753" spans="1:1">
      <c r="A42753" s="56"/>
    </row>
    <row r="42754" spans="1:1">
      <c r="A42754" s="56"/>
    </row>
    <row r="42755" spans="1:1">
      <c r="A42755" s="56"/>
    </row>
    <row r="42756" spans="1:1">
      <c r="A42756" s="56"/>
    </row>
    <row r="42757" spans="1:1">
      <c r="A42757" s="56"/>
    </row>
    <row r="42758" spans="1:1">
      <c r="A42758" s="56"/>
    </row>
    <row r="42759" spans="1:1">
      <c r="A42759" s="56"/>
    </row>
    <row r="42760" spans="1:1">
      <c r="A42760" s="56"/>
    </row>
    <row r="42761" spans="1:1">
      <c r="A42761" s="56"/>
    </row>
    <row r="42762" spans="1:1">
      <c r="A42762" s="56"/>
    </row>
    <row r="42763" spans="1:1">
      <c r="A42763" s="56"/>
    </row>
    <row r="42764" spans="1:1">
      <c r="A42764" s="56"/>
    </row>
    <row r="42765" spans="1:1">
      <c r="A42765" s="56"/>
    </row>
    <row r="42766" spans="1:1">
      <c r="A42766" s="56"/>
    </row>
    <row r="42767" spans="1:1">
      <c r="A42767" s="56"/>
    </row>
    <row r="42768" spans="1:1">
      <c r="A42768" s="56"/>
    </row>
    <row r="42769" spans="1:1">
      <c r="A42769" s="56"/>
    </row>
    <row r="42770" spans="1:1">
      <c r="A42770" s="56"/>
    </row>
    <row r="42771" spans="1:1">
      <c r="A42771" s="56"/>
    </row>
    <row r="42772" spans="1:1">
      <c r="A42772" s="56"/>
    </row>
    <row r="42773" spans="1:1">
      <c r="A42773" s="56"/>
    </row>
    <row r="42774" spans="1:1">
      <c r="A42774" s="56"/>
    </row>
    <row r="42775" spans="1:1">
      <c r="A42775" s="56"/>
    </row>
    <row r="42776" spans="1:1">
      <c r="A42776" s="56"/>
    </row>
    <row r="42777" spans="1:1">
      <c r="A42777" s="56"/>
    </row>
    <row r="42778" spans="1:1">
      <c r="A42778" s="56"/>
    </row>
    <row r="42779" spans="1:1">
      <c r="A42779" s="56"/>
    </row>
    <row r="42780" spans="1:1">
      <c r="A42780" s="56"/>
    </row>
    <row r="42781" spans="1:1">
      <c r="A42781" s="56"/>
    </row>
    <row r="42782" spans="1:1">
      <c r="A42782" s="56"/>
    </row>
    <row r="42783" spans="1:1">
      <c r="A42783" s="56"/>
    </row>
    <row r="42784" spans="1:1">
      <c r="A42784" s="56"/>
    </row>
    <row r="42785" spans="1:1">
      <c r="A42785" s="56"/>
    </row>
    <row r="42786" spans="1:1">
      <c r="A42786" s="56"/>
    </row>
    <row r="42787" spans="1:1">
      <c r="A42787" s="56"/>
    </row>
    <row r="42788" spans="1:1">
      <c r="A42788" s="56"/>
    </row>
    <row r="42789" spans="1:1">
      <c r="A42789" s="56"/>
    </row>
    <row r="42790" spans="1:1">
      <c r="A42790" s="56"/>
    </row>
    <row r="42791" spans="1:1">
      <c r="A42791" s="56"/>
    </row>
    <row r="42792" spans="1:1">
      <c r="A42792" s="56"/>
    </row>
    <row r="42793" spans="1:1">
      <c r="A42793" s="56"/>
    </row>
    <row r="42794" spans="1:1">
      <c r="A42794" s="56"/>
    </row>
    <row r="42795" spans="1:1">
      <c r="A42795" s="56"/>
    </row>
    <row r="42796" spans="1:1">
      <c r="A42796" s="56"/>
    </row>
    <row r="42797" spans="1:1">
      <c r="A42797" s="56"/>
    </row>
    <row r="42798" spans="1:1">
      <c r="A42798" s="56"/>
    </row>
    <row r="42799" spans="1:1">
      <c r="A42799" s="56"/>
    </row>
    <row r="42800" spans="1:1">
      <c r="A42800" s="56"/>
    </row>
    <row r="42801" spans="1:1">
      <c r="A42801" s="56"/>
    </row>
    <row r="42802" spans="1:1">
      <c r="A42802" s="56"/>
    </row>
    <row r="42803" spans="1:1">
      <c r="A42803" s="56"/>
    </row>
    <row r="42804" spans="1:1">
      <c r="A42804" s="56"/>
    </row>
    <row r="42805" spans="1:1">
      <c r="A42805" s="56"/>
    </row>
    <row r="42806" spans="1:1">
      <c r="A42806" s="56"/>
    </row>
    <row r="42807" spans="1:1">
      <c r="A42807" s="56"/>
    </row>
    <row r="42808" spans="1:1">
      <c r="A42808" s="56"/>
    </row>
    <row r="42809" spans="1:1">
      <c r="A42809" s="56"/>
    </row>
    <row r="42810" spans="1:1">
      <c r="A42810" s="56"/>
    </row>
    <row r="42811" spans="1:1">
      <c r="A42811" s="56"/>
    </row>
    <row r="42812" spans="1:1">
      <c r="A42812" s="56"/>
    </row>
    <row r="42813" spans="1:1">
      <c r="A42813" s="56"/>
    </row>
    <row r="42814" spans="1:1">
      <c r="A42814" s="56"/>
    </row>
    <row r="42815" spans="1:1">
      <c r="A42815" s="56"/>
    </row>
    <row r="42816" spans="1:1">
      <c r="A42816" s="56"/>
    </row>
    <row r="42817" spans="1:1">
      <c r="A42817" s="56"/>
    </row>
    <row r="42818" spans="1:1">
      <c r="A42818" s="56"/>
    </row>
    <row r="42819" spans="1:1">
      <c r="A42819" s="56"/>
    </row>
    <row r="42820" spans="1:1">
      <c r="A42820" s="56"/>
    </row>
    <row r="42821" spans="1:1">
      <c r="A42821" s="56"/>
    </row>
    <row r="42822" spans="1:1">
      <c r="A42822" s="56"/>
    </row>
    <row r="42823" spans="1:1">
      <c r="A42823" s="56"/>
    </row>
    <row r="42824" spans="1:1">
      <c r="A42824" s="56"/>
    </row>
    <row r="42825" spans="1:1">
      <c r="A42825" s="56"/>
    </row>
    <row r="42826" spans="1:1">
      <c r="A42826" s="56"/>
    </row>
    <row r="42827" spans="1:1">
      <c r="A42827" s="56"/>
    </row>
    <row r="42828" spans="1:1">
      <c r="A42828" s="56"/>
    </row>
    <row r="42829" spans="1:1">
      <c r="A42829" s="56"/>
    </row>
    <row r="42830" spans="1:1">
      <c r="A42830" s="56"/>
    </row>
    <row r="42831" spans="1:1">
      <c r="A42831" s="56"/>
    </row>
    <row r="42832" spans="1:1">
      <c r="A42832" s="56"/>
    </row>
    <row r="42833" spans="1:1">
      <c r="A42833" s="56"/>
    </row>
    <row r="42834" spans="1:1">
      <c r="A42834" s="56"/>
    </row>
    <row r="42835" spans="1:1">
      <c r="A42835" s="56"/>
    </row>
    <row r="42836" spans="1:1">
      <c r="A42836" s="56"/>
    </row>
    <row r="42837" spans="1:1">
      <c r="A42837" s="56"/>
    </row>
    <row r="42838" spans="1:1">
      <c r="A42838" s="56"/>
    </row>
    <row r="42839" spans="1:1">
      <c r="A42839" s="56"/>
    </row>
    <row r="42840" spans="1:1">
      <c r="A42840" s="56"/>
    </row>
    <row r="42841" spans="1:1">
      <c r="A42841" s="56"/>
    </row>
    <row r="42842" spans="1:1">
      <c r="A42842" s="56"/>
    </row>
    <row r="42843" spans="1:1">
      <c r="A42843" s="56"/>
    </row>
    <row r="42844" spans="1:1">
      <c r="A42844" s="56"/>
    </row>
    <row r="42845" spans="1:1">
      <c r="A42845" s="56"/>
    </row>
    <row r="42846" spans="1:1">
      <c r="A42846" s="56"/>
    </row>
    <row r="42847" spans="1:1">
      <c r="A42847" s="56"/>
    </row>
    <row r="42848" spans="1:1">
      <c r="A42848" s="56"/>
    </row>
    <row r="42849" spans="1:1">
      <c r="A42849" s="56"/>
    </row>
    <row r="42850" spans="1:1">
      <c r="A42850" s="56"/>
    </row>
    <row r="42851" spans="1:1">
      <c r="A42851" s="56"/>
    </row>
    <row r="42852" spans="1:1">
      <c r="A42852" s="56"/>
    </row>
    <row r="42853" spans="1:1">
      <c r="A42853" s="56"/>
    </row>
    <row r="42854" spans="1:1">
      <c r="A42854" s="56"/>
    </row>
    <row r="42855" spans="1:1">
      <c r="A42855" s="56"/>
    </row>
    <row r="42856" spans="1:1">
      <c r="A42856" s="56"/>
    </row>
    <row r="42857" spans="1:1">
      <c r="A42857" s="56"/>
    </row>
    <row r="42858" spans="1:1">
      <c r="A42858" s="56"/>
    </row>
    <row r="42859" spans="1:1">
      <c r="A42859" s="56"/>
    </row>
    <row r="42860" spans="1:1">
      <c r="A42860" s="56"/>
    </row>
    <row r="42861" spans="1:1">
      <c r="A42861" s="56"/>
    </row>
    <row r="42862" spans="1:1">
      <c r="A42862" s="56"/>
    </row>
    <row r="42863" spans="1:1">
      <c r="A42863" s="56"/>
    </row>
    <row r="42864" spans="1:1">
      <c r="A42864" s="56"/>
    </row>
    <row r="42865" spans="1:1">
      <c r="A42865" s="56"/>
    </row>
    <row r="42866" spans="1:1">
      <c r="A42866" s="56"/>
    </row>
    <row r="42867" spans="1:1">
      <c r="A42867" s="56"/>
    </row>
    <row r="42868" spans="1:1">
      <c r="A42868" s="56"/>
    </row>
    <row r="42869" spans="1:1">
      <c r="A42869" s="56"/>
    </row>
    <row r="42870" spans="1:1">
      <c r="A42870" s="56"/>
    </row>
    <row r="42871" spans="1:1">
      <c r="A42871" s="56"/>
    </row>
    <row r="42872" spans="1:1">
      <c r="A42872" s="56"/>
    </row>
    <row r="42873" spans="1:1">
      <c r="A42873" s="56"/>
    </row>
    <row r="42874" spans="1:1">
      <c r="A42874" s="56"/>
    </row>
    <row r="42875" spans="1:1">
      <c r="A42875" s="56"/>
    </row>
    <row r="42876" spans="1:1">
      <c r="A42876" s="56"/>
    </row>
    <row r="42877" spans="1:1">
      <c r="A42877" s="56"/>
    </row>
    <row r="42878" spans="1:1">
      <c r="A42878" s="56"/>
    </row>
    <row r="42879" spans="1:1">
      <c r="A42879" s="56"/>
    </row>
    <row r="42880" spans="1:1">
      <c r="A42880" s="56"/>
    </row>
    <row r="42881" spans="1:1">
      <c r="A42881" s="56"/>
    </row>
    <row r="42882" spans="1:1">
      <c r="A42882" s="56"/>
    </row>
    <row r="42883" spans="1:1">
      <c r="A42883" s="56"/>
    </row>
    <row r="42884" spans="1:1">
      <c r="A42884" s="56"/>
    </row>
    <row r="42885" spans="1:1">
      <c r="A42885" s="56"/>
    </row>
    <row r="42886" spans="1:1">
      <c r="A42886" s="56"/>
    </row>
    <row r="42887" spans="1:1">
      <c r="A42887" s="56"/>
    </row>
    <row r="42888" spans="1:1">
      <c r="A42888" s="56"/>
    </row>
    <row r="42889" spans="1:1">
      <c r="A42889" s="56"/>
    </row>
    <row r="42890" spans="1:1">
      <c r="A42890" s="56"/>
    </row>
    <row r="42891" spans="1:1">
      <c r="A42891" s="56"/>
    </row>
    <row r="42892" spans="1:1">
      <c r="A42892" s="56"/>
    </row>
    <row r="42893" spans="1:1">
      <c r="A42893" s="56"/>
    </row>
    <row r="42894" spans="1:1">
      <c r="A42894" s="56"/>
    </row>
    <row r="42895" spans="1:1">
      <c r="A42895" s="56"/>
    </row>
    <row r="42896" spans="1:1">
      <c r="A42896" s="56"/>
    </row>
    <row r="42897" spans="1:1">
      <c r="A42897" s="56"/>
    </row>
    <row r="42898" spans="1:1">
      <c r="A42898" s="56"/>
    </row>
    <row r="42899" spans="1:1">
      <c r="A42899" s="56"/>
    </row>
    <row r="42900" spans="1:1">
      <c r="A42900" s="56"/>
    </row>
    <row r="42901" spans="1:1">
      <c r="A42901" s="56"/>
    </row>
    <row r="42902" spans="1:1">
      <c r="A42902" s="56"/>
    </row>
    <row r="42903" spans="1:1">
      <c r="A42903" s="56"/>
    </row>
    <row r="42904" spans="1:1">
      <c r="A42904" s="56"/>
    </row>
    <row r="42905" spans="1:1">
      <c r="A42905" s="56"/>
    </row>
    <row r="42906" spans="1:1">
      <c r="A42906" s="56"/>
    </row>
    <row r="42907" spans="1:1">
      <c r="A42907" s="56"/>
    </row>
    <row r="42908" spans="1:1">
      <c r="A42908" s="56"/>
    </row>
    <row r="42909" spans="1:1">
      <c r="A42909" s="56"/>
    </row>
    <row r="42910" spans="1:1">
      <c r="A42910" s="56"/>
    </row>
    <row r="42911" spans="1:1">
      <c r="A42911" s="56"/>
    </row>
    <row r="42912" spans="1:1">
      <c r="A42912" s="56"/>
    </row>
    <row r="42913" spans="1:1">
      <c r="A42913" s="56"/>
    </row>
    <row r="42914" spans="1:1">
      <c r="A42914" s="56"/>
    </row>
    <row r="42915" spans="1:1">
      <c r="A42915" s="56"/>
    </row>
    <row r="42916" spans="1:1">
      <c r="A42916" s="56"/>
    </row>
    <row r="42917" spans="1:1">
      <c r="A42917" s="56"/>
    </row>
    <row r="42918" spans="1:1">
      <c r="A42918" s="56"/>
    </row>
    <row r="42919" spans="1:1">
      <c r="A42919" s="56"/>
    </row>
    <row r="42920" spans="1:1">
      <c r="A42920" s="56"/>
    </row>
    <row r="42921" spans="1:1">
      <c r="A42921" s="56"/>
    </row>
    <row r="42922" spans="1:1">
      <c r="A42922" s="56"/>
    </row>
    <row r="42923" spans="1:1">
      <c r="A42923" s="56"/>
    </row>
    <row r="42924" spans="1:1">
      <c r="A42924" s="56"/>
    </row>
    <row r="42925" spans="1:1">
      <c r="A42925" s="56"/>
    </row>
    <row r="42926" spans="1:1">
      <c r="A42926" s="56"/>
    </row>
    <row r="42927" spans="1:1">
      <c r="A42927" s="56"/>
    </row>
    <row r="42928" spans="1:1">
      <c r="A42928" s="56"/>
    </row>
    <row r="42929" spans="1:1">
      <c r="A42929" s="56"/>
    </row>
    <row r="42930" spans="1:1">
      <c r="A42930" s="56"/>
    </row>
    <row r="42931" spans="1:1">
      <c r="A42931" s="56"/>
    </row>
    <row r="42932" spans="1:1">
      <c r="A42932" s="56"/>
    </row>
    <row r="42933" spans="1:1">
      <c r="A42933" s="56"/>
    </row>
    <row r="42934" spans="1:1">
      <c r="A42934" s="56"/>
    </row>
    <row r="42935" spans="1:1">
      <c r="A42935" s="56"/>
    </row>
    <row r="42936" spans="1:1">
      <c r="A42936" s="56"/>
    </row>
    <row r="42937" spans="1:1">
      <c r="A42937" s="56"/>
    </row>
    <row r="42938" spans="1:1">
      <c r="A42938" s="56"/>
    </row>
    <row r="42939" spans="1:1">
      <c r="A42939" s="56"/>
    </row>
    <row r="42940" spans="1:1">
      <c r="A42940" s="56"/>
    </row>
    <row r="42941" spans="1:1">
      <c r="A42941" s="56"/>
    </row>
    <row r="42942" spans="1:1">
      <c r="A42942" s="56"/>
    </row>
    <row r="42943" spans="1:1">
      <c r="A42943" s="56"/>
    </row>
    <row r="42944" spans="1:1">
      <c r="A42944" s="56"/>
    </row>
    <row r="42945" spans="1:1">
      <c r="A42945" s="56"/>
    </row>
    <row r="42946" spans="1:1">
      <c r="A42946" s="56"/>
    </row>
    <row r="42947" spans="1:1">
      <c r="A42947" s="56"/>
    </row>
    <row r="42948" spans="1:1">
      <c r="A42948" s="56"/>
    </row>
    <row r="42949" spans="1:1">
      <c r="A42949" s="56"/>
    </row>
    <row r="42950" spans="1:1">
      <c r="A42950" s="56"/>
    </row>
    <row r="42951" spans="1:1">
      <c r="A42951" s="56"/>
    </row>
    <row r="42952" spans="1:1">
      <c r="A42952" s="56"/>
    </row>
    <row r="42953" spans="1:1">
      <c r="A42953" s="56"/>
    </row>
    <row r="42954" spans="1:1">
      <c r="A42954" s="56"/>
    </row>
    <row r="42955" spans="1:1">
      <c r="A42955" s="56"/>
    </row>
    <row r="42956" spans="1:1">
      <c r="A42956" s="56"/>
    </row>
    <row r="42957" spans="1:1">
      <c r="A42957" s="56"/>
    </row>
    <row r="42958" spans="1:1">
      <c r="A42958" s="56"/>
    </row>
    <row r="42959" spans="1:1">
      <c r="A42959" s="56"/>
    </row>
    <row r="42960" spans="1:1">
      <c r="A42960" s="56"/>
    </row>
    <row r="42961" spans="1:1">
      <c r="A42961" s="56"/>
    </row>
    <row r="42962" spans="1:1">
      <c r="A42962" s="56"/>
    </row>
    <row r="42963" spans="1:1">
      <c r="A42963" s="56"/>
    </row>
    <row r="42964" spans="1:1">
      <c r="A42964" s="56"/>
    </row>
    <row r="42965" spans="1:1">
      <c r="A42965" s="56"/>
    </row>
    <row r="42966" spans="1:1">
      <c r="A42966" s="56"/>
    </row>
    <row r="42967" spans="1:1">
      <c r="A42967" s="56"/>
    </row>
    <row r="42968" spans="1:1">
      <c r="A42968" s="56"/>
    </row>
    <row r="42969" spans="1:1">
      <c r="A42969" s="56"/>
    </row>
    <row r="42970" spans="1:1">
      <c r="A42970" s="56"/>
    </row>
    <row r="42971" spans="1:1">
      <c r="A42971" s="56"/>
    </row>
    <row r="42972" spans="1:1">
      <c r="A42972" s="56"/>
    </row>
    <row r="42973" spans="1:1">
      <c r="A42973" s="56"/>
    </row>
    <row r="42974" spans="1:1">
      <c r="A42974" s="56"/>
    </row>
    <row r="42975" spans="1:1">
      <c r="A42975" s="56"/>
    </row>
    <row r="42976" spans="1:1">
      <c r="A42976" s="56"/>
    </row>
    <row r="42977" spans="1:1">
      <c r="A42977" s="56"/>
    </row>
    <row r="42978" spans="1:1">
      <c r="A42978" s="56"/>
    </row>
    <row r="42979" spans="1:1">
      <c r="A42979" s="56"/>
    </row>
    <row r="42980" spans="1:1">
      <c r="A42980" s="56"/>
    </row>
    <row r="42981" spans="1:1">
      <c r="A42981" s="56"/>
    </row>
    <row r="42982" spans="1:1">
      <c r="A42982" s="56"/>
    </row>
    <row r="42983" spans="1:1">
      <c r="A42983" s="56"/>
    </row>
    <row r="42984" spans="1:1">
      <c r="A42984" s="56"/>
    </row>
    <row r="42985" spans="1:1">
      <c r="A42985" s="56"/>
    </row>
    <row r="42986" spans="1:1">
      <c r="A42986" s="56"/>
    </row>
    <row r="42987" spans="1:1">
      <c r="A42987" s="56"/>
    </row>
    <row r="42988" spans="1:1">
      <c r="A42988" s="56"/>
    </row>
    <row r="42989" spans="1:1">
      <c r="A42989" s="56"/>
    </row>
    <row r="42990" spans="1:1">
      <c r="A42990" s="56"/>
    </row>
    <row r="42991" spans="1:1">
      <c r="A42991" s="56"/>
    </row>
    <row r="42992" spans="1:1">
      <c r="A42992" s="56"/>
    </row>
    <row r="42993" spans="1:1">
      <c r="A42993" s="56"/>
    </row>
    <row r="42994" spans="1:1">
      <c r="A42994" s="56"/>
    </row>
    <row r="42995" spans="1:1">
      <c r="A42995" s="56"/>
    </row>
    <row r="42996" spans="1:1">
      <c r="A42996" s="56"/>
    </row>
    <row r="42997" spans="1:1">
      <c r="A42997" s="56"/>
    </row>
    <row r="42998" spans="1:1">
      <c r="A42998" s="56"/>
    </row>
    <row r="42999" spans="1:1">
      <c r="A42999" s="56"/>
    </row>
    <row r="43000" spans="1:1">
      <c r="A43000" s="56"/>
    </row>
    <row r="43001" spans="1:1">
      <c r="A43001" s="56"/>
    </row>
    <row r="43002" spans="1:1">
      <c r="A43002" s="56"/>
    </row>
    <row r="43003" spans="1:1">
      <c r="A43003" s="56"/>
    </row>
    <row r="43004" spans="1:1">
      <c r="A43004" s="56"/>
    </row>
    <row r="43005" spans="1:1">
      <c r="A43005" s="56"/>
    </row>
    <row r="43006" spans="1:1">
      <c r="A43006" s="56"/>
    </row>
    <row r="43007" spans="1:1">
      <c r="A43007" s="56"/>
    </row>
    <row r="43008" spans="1:1">
      <c r="A43008" s="56"/>
    </row>
    <row r="43009" spans="1:1">
      <c r="A43009" s="56"/>
    </row>
    <row r="43010" spans="1:1">
      <c r="A43010" s="56"/>
    </row>
    <row r="43011" spans="1:1">
      <c r="A43011" s="56"/>
    </row>
    <row r="43012" spans="1:1">
      <c r="A43012" s="56"/>
    </row>
    <row r="43013" spans="1:1">
      <c r="A43013" s="56"/>
    </row>
    <row r="43014" spans="1:1">
      <c r="A43014" s="56"/>
    </row>
    <row r="43015" spans="1:1">
      <c r="A43015" s="56"/>
    </row>
    <row r="43016" spans="1:1">
      <c r="A43016" s="56"/>
    </row>
    <row r="43017" spans="1:1">
      <c r="A43017" s="56"/>
    </row>
    <row r="43018" spans="1:1">
      <c r="A43018" s="56"/>
    </row>
    <row r="43019" spans="1:1">
      <c r="A43019" s="56"/>
    </row>
    <row r="43020" spans="1:1">
      <c r="A43020" s="56"/>
    </row>
    <row r="43021" spans="1:1">
      <c r="A43021" s="56"/>
    </row>
    <row r="43022" spans="1:1">
      <c r="A43022" s="56"/>
    </row>
    <row r="43023" spans="1:1">
      <c r="A43023" s="56"/>
    </row>
    <row r="43024" spans="1:1">
      <c r="A43024" s="56"/>
    </row>
    <row r="43025" spans="1:1">
      <c r="A43025" s="56"/>
    </row>
    <row r="43026" spans="1:1">
      <c r="A43026" s="56"/>
    </row>
    <row r="43027" spans="1:1">
      <c r="A43027" s="56"/>
    </row>
    <row r="43028" spans="1:1">
      <c r="A43028" s="56"/>
    </row>
    <row r="43029" spans="1:1">
      <c r="A43029" s="56"/>
    </row>
    <row r="43030" spans="1:1">
      <c r="A43030" s="56"/>
    </row>
    <row r="43031" spans="1:1">
      <c r="A43031" s="56"/>
    </row>
    <row r="43032" spans="1:1">
      <c r="A43032" s="56"/>
    </row>
    <row r="43033" spans="1:1">
      <c r="A43033" s="56"/>
    </row>
    <row r="43034" spans="1:1">
      <c r="A43034" s="56"/>
    </row>
    <row r="43035" spans="1:1">
      <c r="A43035" s="56"/>
    </row>
    <row r="43036" spans="1:1">
      <c r="A43036" s="56"/>
    </row>
    <row r="43037" spans="1:1">
      <c r="A43037" s="56"/>
    </row>
    <row r="43038" spans="1:1">
      <c r="A43038" s="56"/>
    </row>
    <row r="43039" spans="1:1">
      <c r="A43039" s="56"/>
    </row>
    <row r="43040" spans="1:1">
      <c r="A43040" s="56"/>
    </row>
    <row r="43041" spans="1:1">
      <c r="A43041" s="56"/>
    </row>
    <row r="43042" spans="1:1">
      <c r="A43042" s="56"/>
    </row>
    <row r="43043" spans="1:1">
      <c r="A43043" s="56"/>
    </row>
    <row r="43044" spans="1:1">
      <c r="A43044" s="56"/>
    </row>
    <row r="43045" spans="1:1">
      <c r="A43045" s="56"/>
    </row>
    <row r="43046" spans="1:1">
      <c r="A43046" s="56"/>
    </row>
    <row r="43047" spans="1:1">
      <c r="A43047" s="56"/>
    </row>
    <row r="43048" spans="1:1">
      <c r="A43048" s="56"/>
    </row>
    <row r="43049" spans="1:1">
      <c r="A43049" s="56"/>
    </row>
    <row r="43050" spans="1:1">
      <c r="A43050" s="56"/>
    </row>
    <row r="43051" spans="1:1">
      <c r="A43051" s="56"/>
    </row>
    <row r="43052" spans="1:1">
      <c r="A43052" s="56"/>
    </row>
    <row r="43053" spans="1:1">
      <c r="A43053" s="56"/>
    </row>
    <row r="43054" spans="1:1">
      <c r="A43054" s="56"/>
    </row>
    <row r="43055" spans="1:1">
      <c r="A43055" s="56"/>
    </row>
    <row r="43056" spans="1:1">
      <c r="A43056" s="56"/>
    </row>
    <row r="43057" spans="1:1">
      <c r="A43057" s="56"/>
    </row>
    <row r="43058" spans="1:1">
      <c r="A43058" s="56"/>
    </row>
    <row r="43059" spans="1:1">
      <c r="A43059" s="56"/>
    </row>
    <row r="43060" spans="1:1">
      <c r="A43060" s="56"/>
    </row>
    <row r="43061" spans="1:1">
      <c r="A43061" s="56"/>
    </row>
    <row r="43062" spans="1:1">
      <c r="A43062" s="56"/>
    </row>
    <row r="43063" spans="1:1">
      <c r="A43063" s="56"/>
    </row>
    <row r="43064" spans="1:1">
      <c r="A43064" s="56"/>
    </row>
    <row r="43065" spans="1:1">
      <c r="A43065" s="56"/>
    </row>
    <row r="43066" spans="1:1">
      <c r="A43066" s="56"/>
    </row>
    <row r="43067" spans="1:1">
      <c r="A43067" s="56"/>
    </row>
    <row r="43068" spans="1:1">
      <c r="A43068" s="56"/>
    </row>
    <row r="43069" spans="1:1">
      <c r="A43069" s="56"/>
    </row>
    <row r="43070" spans="1:1">
      <c r="A43070" s="56"/>
    </row>
    <row r="43071" spans="1:1">
      <c r="A43071" s="56"/>
    </row>
    <row r="43072" spans="1:1">
      <c r="A43072" s="56"/>
    </row>
    <row r="43073" spans="1:1">
      <c r="A43073" s="56"/>
    </row>
    <row r="43074" spans="1:1">
      <c r="A43074" s="56"/>
    </row>
    <row r="43075" spans="1:1">
      <c r="A43075" s="56"/>
    </row>
    <row r="43076" spans="1:1">
      <c r="A43076" s="56"/>
    </row>
    <row r="43077" spans="1:1">
      <c r="A43077" s="56"/>
    </row>
    <row r="43078" spans="1:1">
      <c r="A43078" s="56"/>
    </row>
    <row r="43079" spans="1:1">
      <c r="A43079" s="56"/>
    </row>
    <row r="43080" spans="1:1">
      <c r="A43080" s="56"/>
    </row>
    <row r="43081" spans="1:1">
      <c r="A43081" s="56"/>
    </row>
    <row r="43082" spans="1:1">
      <c r="A43082" s="56"/>
    </row>
    <row r="43083" spans="1:1">
      <c r="A43083" s="56"/>
    </row>
    <row r="43084" spans="1:1">
      <c r="A43084" s="56"/>
    </row>
    <row r="43085" spans="1:1">
      <c r="A43085" s="56"/>
    </row>
    <row r="43086" spans="1:1">
      <c r="A43086" s="56"/>
    </row>
    <row r="43087" spans="1:1">
      <c r="A43087" s="56"/>
    </row>
    <row r="43088" spans="1:1">
      <c r="A43088" s="56"/>
    </row>
    <row r="43089" spans="1:1">
      <c r="A43089" s="56"/>
    </row>
    <row r="43090" spans="1:1">
      <c r="A43090" s="56"/>
    </row>
    <row r="43091" spans="1:1">
      <c r="A43091" s="56"/>
    </row>
    <row r="43092" spans="1:1">
      <c r="A43092" s="56"/>
    </row>
    <row r="43093" spans="1:1">
      <c r="A43093" s="56"/>
    </row>
    <row r="43094" spans="1:1">
      <c r="A43094" s="56"/>
    </row>
    <row r="43095" spans="1:1">
      <c r="A43095" s="56"/>
    </row>
    <row r="43096" spans="1:1">
      <c r="A43096" s="56"/>
    </row>
    <row r="43097" spans="1:1">
      <c r="A43097" s="56"/>
    </row>
    <row r="43098" spans="1:1">
      <c r="A43098" s="56"/>
    </row>
    <row r="43099" spans="1:1">
      <c r="A43099" s="56"/>
    </row>
    <row r="43100" spans="1:1">
      <c r="A43100" s="56"/>
    </row>
    <row r="43101" spans="1:1">
      <c r="A43101" s="56"/>
    </row>
    <row r="43102" spans="1:1">
      <c r="A43102" s="56"/>
    </row>
    <row r="43103" spans="1:1">
      <c r="A43103" s="56"/>
    </row>
    <row r="43104" spans="1:1">
      <c r="A43104" s="56"/>
    </row>
    <row r="43105" spans="1:1">
      <c r="A43105" s="56"/>
    </row>
    <row r="43106" spans="1:1">
      <c r="A43106" s="56"/>
    </row>
    <row r="43107" spans="1:1">
      <c r="A43107" s="56"/>
    </row>
    <row r="43108" spans="1:1">
      <c r="A43108" s="56"/>
    </row>
    <row r="43109" spans="1:1">
      <c r="A43109" s="56"/>
    </row>
    <row r="43110" spans="1:1">
      <c r="A43110" s="56"/>
    </row>
    <row r="43111" spans="1:1">
      <c r="A43111" s="56"/>
    </row>
    <row r="43112" spans="1:1">
      <c r="A43112" s="56"/>
    </row>
    <row r="43113" spans="1:1">
      <c r="A43113" s="56"/>
    </row>
    <row r="43114" spans="1:1">
      <c r="A43114" s="56"/>
    </row>
    <row r="43115" spans="1:1">
      <c r="A43115" s="56"/>
    </row>
    <row r="43116" spans="1:1">
      <c r="A43116" s="56"/>
    </row>
    <row r="43117" spans="1:1">
      <c r="A43117" s="56"/>
    </row>
    <row r="43118" spans="1:1">
      <c r="A43118" s="56"/>
    </row>
    <row r="43119" spans="1:1">
      <c r="A43119" s="56"/>
    </row>
    <row r="43120" spans="1:1">
      <c r="A43120" s="56"/>
    </row>
    <row r="43121" spans="1:1">
      <c r="A43121" s="56"/>
    </row>
    <row r="43122" spans="1:1">
      <c r="A43122" s="56"/>
    </row>
    <row r="43123" spans="1:1">
      <c r="A43123" s="56"/>
    </row>
    <row r="43124" spans="1:1">
      <c r="A43124" s="56"/>
    </row>
    <row r="43125" spans="1:1">
      <c r="A43125" s="56"/>
    </row>
    <row r="43126" spans="1:1">
      <c r="A43126" s="56"/>
    </row>
    <row r="43127" spans="1:1">
      <c r="A43127" s="56"/>
    </row>
    <row r="43128" spans="1:1">
      <c r="A43128" s="56"/>
    </row>
    <row r="43129" spans="1:1">
      <c r="A43129" s="56"/>
    </row>
    <row r="43130" spans="1:1">
      <c r="A43130" s="56"/>
    </row>
    <row r="43131" spans="1:1">
      <c r="A43131" s="56"/>
    </row>
    <row r="43132" spans="1:1">
      <c r="A43132" s="56"/>
    </row>
    <row r="43133" spans="1:1">
      <c r="A43133" s="56"/>
    </row>
    <row r="43134" spans="1:1">
      <c r="A43134" s="56"/>
    </row>
    <row r="43135" spans="1:1">
      <c r="A43135" s="56"/>
    </row>
    <row r="43136" spans="1:1">
      <c r="A43136" s="56"/>
    </row>
    <row r="43137" spans="1:1">
      <c r="A43137" s="56"/>
    </row>
    <row r="43138" spans="1:1">
      <c r="A43138" s="56"/>
    </row>
    <row r="43139" spans="1:1">
      <c r="A43139" s="56"/>
    </row>
    <row r="43140" spans="1:1">
      <c r="A43140" s="56"/>
    </row>
    <row r="43141" spans="1:1">
      <c r="A43141" s="56"/>
    </row>
    <row r="43142" spans="1:1">
      <c r="A43142" s="56"/>
    </row>
    <row r="43143" spans="1:1">
      <c r="A43143" s="56"/>
    </row>
    <row r="43144" spans="1:1">
      <c r="A43144" s="56"/>
    </row>
    <row r="43145" spans="1:1">
      <c r="A43145" s="56"/>
    </row>
    <row r="43146" spans="1:1">
      <c r="A43146" s="56"/>
    </row>
    <row r="43147" spans="1:1">
      <c r="A43147" s="56"/>
    </row>
    <row r="43148" spans="1:1">
      <c r="A43148" s="56"/>
    </row>
    <row r="43149" spans="1:1">
      <c r="A43149" s="56"/>
    </row>
    <row r="43150" spans="1:1">
      <c r="A43150" s="56"/>
    </row>
    <row r="43151" spans="1:1">
      <c r="A43151" s="56"/>
    </row>
    <row r="43152" spans="1:1">
      <c r="A43152" s="56"/>
    </row>
    <row r="43153" spans="1:1">
      <c r="A43153" s="56"/>
    </row>
    <row r="43154" spans="1:1">
      <c r="A43154" s="56"/>
    </row>
    <row r="43155" spans="1:1">
      <c r="A43155" s="56"/>
    </row>
    <row r="43156" spans="1:1">
      <c r="A43156" s="56"/>
    </row>
    <row r="43157" spans="1:1">
      <c r="A43157" s="56"/>
    </row>
    <row r="43158" spans="1:1">
      <c r="A43158" s="56"/>
    </row>
    <row r="43159" spans="1:1">
      <c r="A43159" s="56"/>
    </row>
    <row r="43160" spans="1:1">
      <c r="A43160" s="56"/>
    </row>
    <row r="43161" spans="1:1">
      <c r="A43161" s="56"/>
    </row>
    <row r="43162" spans="1:1">
      <c r="A43162" s="56"/>
    </row>
    <row r="43163" spans="1:1">
      <c r="A43163" s="56"/>
    </row>
    <row r="43164" spans="1:1">
      <c r="A43164" s="56"/>
    </row>
    <row r="43165" spans="1:1">
      <c r="A43165" s="56"/>
    </row>
    <row r="43166" spans="1:1">
      <c r="A43166" s="56"/>
    </row>
    <row r="43167" spans="1:1">
      <c r="A43167" s="56"/>
    </row>
    <row r="43168" spans="1:1">
      <c r="A43168" s="56"/>
    </row>
    <row r="43169" spans="1:1">
      <c r="A43169" s="56"/>
    </row>
    <row r="43170" spans="1:1">
      <c r="A43170" s="56"/>
    </row>
    <row r="43171" spans="1:1">
      <c r="A43171" s="56"/>
    </row>
    <row r="43172" spans="1:1">
      <c r="A43172" s="56"/>
    </row>
    <row r="43173" spans="1:1">
      <c r="A43173" s="56"/>
    </row>
    <row r="43174" spans="1:1">
      <c r="A43174" s="56"/>
    </row>
    <row r="43175" spans="1:1">
      <c r="A43175" s="56"/>
    </row>
    <row r="43176" spans="1:1">
      <c r="A43176" s="56"/>
    </row>
    <row r="43177" spans="1:1">
      <c r="A43177" s="56"/>
    </row>
    <row r="43178" spans="1:1">
      <c r="A43178" s="56"/>
    </row>
    <row r="43179" spans="1:1">
      <c r="A43179" s="56"/>
    </row>
    <row r="43180" spans="1:1">
      <c r="A43180" s="56"/>
    </row>
    <row r="43181" spans="1:1">
      <c r="A43181" s="56"/>
    </row>
    <row r="43182" spans="1:1">
      <c r="A43182" s="56"/>
    </row>
    <row r="43183" spans="1:1">
      <c r="A43183" s="56"/>
    </row>
    <row r="43184" spans="1:1">
      <c r="A43184" s="56"/>
    </row>
    <row r="43185" spans="1:1">
      <c r="A43185" s="56"/>
    </row>
    <row r="43186" spans="1:1">
      <c r="A43186" s="56"/>
    </row>
    <row r="43187" spans="1:1">
      <c r="A43187" s="56"/>
    </row>
    <row r="43188" spans="1:1">
      <c r="A43188" s="56"/>
    </row>
    <row r="43189" spans="1:1">
      <c r="A43189" s="56"/>
    </row>
    <row r="43190" spans="1:1">
      <c r="A43190" s="56"/>
    </row>
    <row r="43191" spans="1:1">
      <c r="A43191" s="56"/>
    </row>
    <row r="43192" spans="1:1">
      <c r="A43192" s="56"/>
    </row>
    <row r="43193" spans="1:1">
      <c r="A43193" s="56"/>
    </row>
    <row r="43194" spans="1:1">
      <c r="A43194" s="56"/>
    </row>
    <row r="43195" spans="1:1">
      <c r="A43195" s="56"/>
    </row>
    <row r="43196" spans="1:1">
      <c r="A43196" s="56"/>
    </row>
    <row r="43197" spans="1:1">
      <c r="A43197" s="56"/>
    </row>
    <row r="43198" spans="1:1">
      <c r="A43198" s="56"/>
    </row>
    <row r="43199" spans="1:1">
      <c r="A43199" s="56"/>
    </row>
    <row r="43200" spans="1:1">
      <c r="A43200" s="56"/>
    </row>
    <row r="43201" spans="1:1">
      <c r="A43201" s="56"/>
    </row>
    <row r="43202" spans="1:1">
      <c r="A43202" s="56"/>
    </row>
    <row r="43203" spans="1:1">
      <c r="A43203" s="56"/>
    </row>
    <row r="43204" spans="1:1">
      <c r="A43204" s="56"/>
    </row>
    <row r="43205" spans="1:1">
      <c r="A43205" s="56"/>
    </row>
    <row r="43206" spans="1:1">
      <c r="A43206" s="56"/>
    </row>
    <row r="43207" spans="1:1">
      <c r="A43207" s="56"/>
    </row>
    <row r="43208" spans="1:1">
      <c r="A43208" s="56"/>
    </row>
    <row r="43209" spans="1:1">
      <c r="A43209" s="56"/>
    </row>
    <row r="43210" spans="1:1">
      <c r="A43210" s="56"/>
    </row>
    <row r="43211" spans="1:1">
      <c r="A43211" s="56"/>
    </row>
    <row r="43212" spans="1:1">
      <c r="A43212" s="56"/>
    </row>
    <row r="43213" spans="1:1">
      <c r="A43213" s="56"/>
    </row>
    <row r="43214" spans="1:1">
      <c r="A43214" s="56"/>
    </row>
    <row r="43215" spans="1:1">
      <c r="A43215" s="56"/>
    </row>
    <row r="43216" spans="1:1">
      <c r="A43216" s="56"/>
    </row>
    <row r="43217" spans="1:1">
      <c r="A43217" s="56"/>
    </row>
    <row r="43218" spans="1:1">
      <c r="A43218" s="56"/>
    </row>
    <row r="43219" spans="1:1">
      <c r="A43219" s="56"/>
    </row>
    <row r="43220" spans="1:1">
      <c r="A43220" s="56"/>
    </row>
    <row r="43221" spans="1:1">
      <c r="A43221" s="56"/>
    </row>
    <row r="43222" spans="1:1">
      <c r="A43222" s="56"/>
    </row>
    <row r="43223" spans="1:1">
      <c r="A43223" s="56"/>
    </row>
    <row r="43224" spans="1:1">
      <c r="A43224" s="56"/>
    </row>
    <row r="43225" spans="1:1">
      <c r="A43225" s="56"/>
    </row>
    <row r="43226" spans="1:1">
      <c r="A43226" s="56"/>
    </row>
    <row r="43227" spans="1:1">
      <c r="A43227" s="56"/>
    </row>
    <row r="43228" spans="1:1">
      <c r="A43228" s="56"/>
    </row>
    <row r="43229" spans="1:1">
      <c r="A43229" s="56"/>
    </row>
    <row r="43230" spans="1:1">
      <c r="A43230" s="56"/>
    </row>
    <row r="43231" spans="1:1">
      <c r="A43231" s="56"/>
    </row>
    <row r="43232" spans="1:1">
      <c r="A43232" s="56"/>
    </row>
    <row r="43233" spans="1:1">
      <c r="A43233" s="56"/>
    </row>
    <row r="43234" spans="1:1">
      <c r="A43234" s="56"/>
    </row>
    <row r="43235" spans="1:1">
      <c r="A43235" s="56"/>
    </row>
    <row r="43236" spans="1:1">
      <c r="A43236" s="56"/>
    </row>
    <row r="43237" spans="1:1">
      <c r="A43237" s="56"/>
    </row>
    <row r="43238" spans="1:1">
      <c r="A43238" s="56"/>
    </row>
    <row r="43239" spans="1:1">
      <c r="A43239" s="56"/>
    </row>
    <row r="43240" spans="1:1">
      <c r="A43240" s="56"/>
    </row>
    <row r="43241" spans="1:1">
      <c r="A43241" s="56"/>
    </row>
    <row r="43242" spans="1:1">
      <c r="A43242" s="56"/>
    </row>
    <row r="43243" spans="1:1">
      <c r="A43243" s="56"/>
    </row>
    <row r="43244" spans="1:1">
      <c r="A43244" s="56"/>
    </row>
    <row r="43245" spans="1:1">
      <c r="A43245" s="56"/>
    </row>
    <row r="43246" spans="1:1">
      <c r="A43246" s="56"/>
    </row>
    <row r="43247" spans="1:1">
      <c r="A43247" s="56"/>
    </row>
    <row r="43248" spans="1:1">
      <c r="A43248" s="56"/>
    </row>
    <row r="43249" spans="1:1">
      <c r="A43249" s="56"/>
    </row>
    <row r="43250" spans="1:1">
      <c r="A43250" s="56"/>
    </row>
    <row r="43251" spans="1:1">
      <c r="A43251" s="56"/>
    </row>
    <row r="43252" spans="1:1">
      <c r="A43252" s="56"/>
    </row>
    <row r="43253" spans="1:1">
      <c r="A43253" s="56"/>
    </row>
    <row r="43254" spans="1:1">
      <c r="A43254" s="56"/>
    </row>
    <row r="43255" spans="1:1">
      <c r="A43255" s="56"/>
    </row>
    <row r="43256" spans="1:1">
      <c r="A43256" s="56"/>
    </row>
    <row r="43257" spans="1:1">
      <c r="A43257" s="56"/>
    </row>
    <row r="43258" spans="1:1">
      <c r="A43258" s="56"/>
    </row>
    <row r="43259" spans="1:1">
      <c r="A43259" s="56"/>
    </row>
    <row r="43260" spans="1:1">
      <c r="A43260" s="56"/>
    </row>
    <row r="43261" spans="1:1">
      <c r="A43261" s="56"/>
    </row>
    <row r="43262" spans="1:1">
      <c r="A43262" s="56"/>
    </row>
    <row r="43263" spans="1:1">
      <c r="A43263" s="56"/>
    </row>
    <row r="43264" spans="1:1">
      <c r="A43264" s="56"/>
    </row>
    <row r="43265" spans="1:1">
      <c r="A43265" s="56"/>
    </row>
    <row r="43266" spans="1:1">
      <c r="A43266" s="56"/>
    </row>
    <row r="43267" spans="1:1">
      <c r="A43267" s="56"/>
    </row>
    <row r="43268" spans="1:1">
      <c r="A43268" s="56"/>
    </row>
    <row r="43269" spans="1:1">
      <c r="A43269" s="56"/>
    </row>
    <row r="43270" spans="1:1">
      <c r="A43270" s="56"/>
    </row>
    <row r="43271" spans="1:1">
      <c r="A43271" s="56"/>
    </row>
    <row r="43272" spans="1:1">
      <c r="A43272" s="56"/>
    </row>
    <row r="43273" spans="1:1">
      <c r="A43273" s="56"/>
    </row>
    <row r="43274" spans="1:1">
      <c r="A43274" s="56"/>
    </row>
    <row r="43275" spans="1:1">
      <c r="A43275" s="56"/>
    </row>
    <row r="43276" spans="1:1">
      <c r="A43276" s="56"/>
    </row>
    <row r="43277" spans="1:1">
      <c r="A43277" s="56"/>
    </row>
    <row r="43278" spans="1:1">
      <c r="A43278" s="56"/>
    </row>
    <row r="43279" spans="1:1">
      <c r="A43279" s="56"/>
    </row>
    <row r="43280" spans="1:1">
      <c r="A43280" s="56"/>
    </row>
    <row r="43281" spans="1:1">
      <c r="A43281" s="56"/>
    </row>
    <row r="43282" spans="1:1">
      <c r="A43282" s="56"/>
    </row>
    <row r="43283" spans="1:1">
      <c r="A43283" s="56"/>
    </row>
    <row r="43284" spans="1:1">
      <c r="A43284" s="56"/>
    </row>
    <row r="43285" spans="1:1">
      <c r="A43285" s="56"/>
    </row>
    <row r="43286" spans="1:1">
      <c r="A43286" s="56"/>
    </row>
    <row r="43287" spans="1:1">
      <c r="A43287" s="56"/>
    </row>
    <row r="43288" spans="1:1">
      <c r="A43288" s="56"/>
    </row>
    <row r="43289" spans="1:1">
      <c r="A43289" s="56"/>
    </row>
    <row r="43290" spans="1:1">
      <c r="A43290" s="56"/>
    </row>
    <row r="43291" spans="1:1">
      <c r="A43291" s="56"/>
    </row>
    <row r="43292" spans="1:1">
      <c r="A43292" s="56"/>
    </row>
    <row r="43293" spans="1:1">
      <c r="A43293" s="56"/>
    </row>
    <row r="43294" spans="1:1">
      <c r="A43294" s="56"/>
    </row>
    <row r="43295" spans="1:1">
      <c r="A43295" s="56"/>
    </row>
    <row r="43296" spans="1:1">
      <c r="A43296" s="56"/>
    </row>
    <row r="43297" spans="1:1">
      <c r="A43297" s="56"/>
    </row>
    <row r="43298" spans="1:1">
      <c r="A43298" s="56"/>
    </row>
    <row r="43299" spans="1:1">
      <c r="A43299" s="56"/>
    </row>
    <row r="43300" spans="1:1">
      <c r="A43300" s="56"/>
    </row>
    <row r="43301" spans="1:1">
      <c r="A43301" s="56"/>
    </row>
    <row r="43302" spans="1:1">
      <c r="A43302" s="56"/>
    </row>
    <row r="43303" spans="1:1">
      <c r="A43303" s="56"/>
    </row>
    <row r="43304" spans="1:1">
      <c r="A43304" s="56"/>
    </row>
    <row r="43305" spans="1:1">
      <c r="A43305" s="56"/>
    </row>
    <row r="43306" spans="1:1">
      <c r="A43306" s="56"/>
    </row>
    <row r="43307" spans="1:1">
      <c r="A43307" s="56"/>
    </row>
    <row r="43308" spans="1:1">
      <c r="A43308" s="56"/>
    </row>
    <row r="43309" spans="1:1">
      <c r="A43309" s="56"/>
    </row>
    <row r="43310" spans="1:1">
      <c r="A43310" s="56"/>
    </row>
    <row r="43311" spans="1:1">
      <c r="A43311" s="56"/>
    </row>
    <row r="43312" spans="1:1">
      <c r="A43312" s="56"/>
    </row>
    <row r="43313" spans="1:1">
      <c r="A43313" s="56"/>
    </row>
    <row r="43314" spans="1:1">
      <c r="A43314" s="56"/>
    </row>
    <row r="43315" spans="1:1">
      <c r="A43315" s="56"/>
    </row>
    <row r="43316" spans="1:1">
      <c r="A43316" s="56"/>
    </row>
    <row r="43317" spans="1:1">
      <c r="A43317" s="56"/>
    </row>
    <row r="43318" spans="1:1">
      <c r="A43318" s="56"/>
    </row>
    <row r="43319" spans="1:1">
      <c r="A43319" s="56"/>
    </row>
    <row r="43320" spans="1:1">
      <c r="A43320" s="56"/>
    </row>
    <row r="43321" spans="1:1">
      <c r="A43321" s="56"/>
    </row>
    <row r="43322" spans="1:1">
      <c r="A43322" s="56"/>
    </row>
    <row r="43323" spans="1:1">
      <c r="A43323" s="56"/>
    </row>
    <row r="43324" spans="1:1">
      <c r="A43324" s="56"/>
    </row>
    <row r="43325" spans="1:1">
      <c r="A43325" s="56"/>
    </row>
    <row r="43326" spans="1:1">
      <c r="A43326" s="56"/>
    </row>
    <row r="43327" spans="1:1">
      <c r="A43327" s="56"/>
    </row>
    <row r="43328" spans="1:1">
      <c r="A43328" s="56"/>
    </row>
    <row r="43329" spans="1:1">
      <c r="A43329" s="56"/>
    </row>
    <row r="43330" spans="1:1">
      <c r="A43330" s="56"/>
    </row>
    <row r="43331" spans="1:1">
      <c r="A43331" s="56"/>
    </row>
    <row r="43332" spans="1:1">
      <c r="A43332" s="56"/>
    </row>
    <row r="43333" spans="1:1">
      <c r="A43333" s="56"/>
    </row>
    <row r="43334" spans="1:1">
      <c r="A43334" s="56"/>
    </row>
    <row r="43335" spans="1:1">
      <c r="A43335" s="56"/>
    </row>
    <row r="43336" spans="1:1">
      <c r="A43336" s="56"/>
    </row>
    <row r="43337" spans="1:1">
      <c r="A43337" s="56"/>
    </row>
    <row r="43338" spans="1:1">
      <c r="A43338" s="56"/>
    </row>
    <row r="43339" spans="1:1">
      <c r="A43339" s="56"/>
    </row>
    <row r="43340" spans="1:1">
      <c r="A43340" s="56"/>
    </row>
    <row r="43341" spans="1:1">
      <c r="A43341" s="56"/>
    </row>
    <row r="43342" spans="1:1">
      <c r="A43342" s="56"/>
    </row>
    <row r="43343" spans="1:1">
      <c r="A43343" s="56"/>
    </row>
    <row r="43344" spans="1:1">
      <c r="A43344" s="56"/>
    </row>
    <row r="43345" spans="1:1">
      <c r="A43345" s="56"/>
    </row>
    <row r="43346" spans="1:1">
      <c r="A43346" s="56"/>
    </row>
    <row r="43347" spans="1:1">
      <c r="A43347" s="56"/>
    </row>
    <row r="43348" spans="1:1">
      <c r="A43348" s="56"/>
    </row>
    <row r="43349" spans="1:1">
      <c r="A43349" s="56"/>
    </row>
    <row r="43350" spans="1:1">
      <c r="A43350" s="56"/>
    </row>
    <row r="43351" spans="1:1">
      <c r="A43351" s="56"/>
    </row>
    <row r="43352" spans="1:1">
      <c r="A43352" s="56"/>
    </row>
    <row r="43353" spans="1:1">
      <c r="A43353" s="56"/>
    </row>
    <row r="43354" spans="1:1">
      <c r="A43354" s="56"/>
    </row>
    <row r="43355" spans="1:1">
      <c r="A43355" s="56"/>
    </row>
    <row r="43356" spans="1:1">
      <c r="A43356" s="56"/>
    </row>
    <row r="43357" spans="1:1">
      <c r="A43357" s="56"/>
    </row>
    <row r="43358" spans="1:1">
      <c r="A43358" s="56"/>
    </row>
    <row r="43359" spans="1:1">
      <c r="A43359" s="56"/>
    </row>
    <row r="43360" spans="1:1">
      <c r="A43360" s="56"/>
    </row>
    <row r="43361" spans="1:1">
      <c r="A43361" s="56"/>
    </row>
    <row r="43362" spans="1:1">
      <c r="A43362" s="56"/>
    </row>
    <row r="43363" spans="1:1">
      <c r="A43363" s="56"/>
    </row>
    <row r="43364" spans="1:1">
      <c r="A43364" s="56"/>
    </row>
    <row r="43365" spans="1:1">
      <c r="A43365" s="56"/>
    </row>
    <row r="43366" spans="1:1">
      <c r="A43366" s="56"/>
    </row>
    <row r="43367" spans="1:1">
      <c r="A43367" s="56"/>
    </row>
    <row r="43368" spans="1:1">
      <c r="A43368" s="56"/>
    </row>
    <row r="43369" spans="1:1">
      <c r="A43369" s="56"/>
    </row>
    <row r="43370" spans="1:1">
      <c r="A43370" s="56"/>
    </row>
    <row r="43371" spans="1:1">
      <c r="A43371" s="56"/>
    </row>
    <row r="43372" spans="1:1">
      <c r="A43372" s="56"/>
    </row>
    <row r="43373" spans="1:1">
      <c r="A43373" s="56"/>
    </row>
    <row r="43374" spans="1:1">
      <c r="A43374" s="56"/>
    </row>
    <row r="43375" spans="1:1">
      <c r="A43375" s="56"/>
    </row>
    <row r="43376" spans="1:1">
      <c r="A43376" s="56"/>
    </row>
    <row r="43377" spans="1:1">
      <c r="A43377" s="56"/>
    </row>
    <row r="43378" spans="1:1">
      <c r="A43378" s="56"/>
    </row>
    <row r="43379" spans="1:1">
      <c r="A43379" s="56"/>
    </row>
    <row r="43380" spans="1:1">
      <c r="A43380" s="56"/>
    </row>
    <row r="43381" spans="1:1">
      <c r="A43381" s="56"/>
    </row>
    <row r="43382" spans="1:1">
      <c r="A43382" s="56"/>
    </row>
    <row r="43383" spans="1:1">
      <c r="A43383" s="56"/>
    </row>
    <row r="43384" spans="1:1">
      <c r="A43384" s="56"/>
    </row>
    <row r="43385" spans="1:1">
      <c r="A43385" s="56"/>
    </row>
    <row r="43386" spans="1:1">
      <c r="A43386" s="56"/>
    </row>
    <row r="43387" spans="1:1">
      <c r="A43387" s="56"/>
    </row>
    <row r="43388" spans="1:1">
      <c r="A43388" s="56"/>
    </row>
    <row r="43389" spans="1:1">
      <c r="A43389" s="56"/>
    </row>
    <row r="43390" spans="1:1">
      <c r="A43390" s="56"/>
    </row>
    <row r="43391" spans="1:1">
      <c r="A43391" s="56"/>
    </row>
    <row r="43392" spans="1:1">
      <c r="A43392" s="56"/>
    </row>
    <row r="43393" spans="1:1">
      <c r="A43393" s="56"/>
    </row>
    <row r="43394" spans="1:1">
      <c r="A43394" s="56"/>
    </row>
    <row r="43395" spans="1:1">
      <c r="A43395" s="56"/>
    </row>
    <row r="43396" spans="1:1">
      <c r="A43396" s="56"/>
    </row>
    <row r="43397" spans="1:1">
      <c r="A43397" s="56"/>
    </row>
    <row r="43398" spans="1:1">
      <c r="A43398" s="56"/>
    </row>
    <row r="43399" spans="1:1">
      <c r="A43399" s="56"/>
    </row>
    <row r="43400" spans="1:1">
      <c r="A43400" s="56"/>
    </row>
    <row r="43401" spans="1:1">
      <c r="A43401" s="56"/>
    </row>
    <row r="43402" spans="1:1">
      <c r="A43402" s="56"/>
    </row>
    <row r="43403" spans="1:1">
      <c r="A43403" s="56"/>
    </row>
    <row r="43404" spans="1:1">
      <c r="A43404" s="56"/>
    </row>
    <row r="43405" spans="1:1">
      <c r="A43405" s="56"/>
    </row>
    <row r="43406" spans="1:1">
      <c r="A43406" s="56"/>
    </row>
    <row r="43407" spans="1:1">
      <c r="A43407" s="56"/>
    </row>
    <row r="43408" spans="1:1">
      <c r="A43408" s="56"/>
    </row>
    <row r="43409" spans="1:1">
      <c r="A43409" s="56"/>
    </row>
    <row r="43410" spans="1:1">
      <c r="A43410" s="56"/>
    </row>
    <row r="43411" spans="1:1">
      <c r="A43411" s="56"/>
    </row>
    <row r="43412" spans="1:1">
      <c r="A43412" s="56"/>
    </row>
    <row r="43413" spans="1:1">
      <c r="A43413" s="56"/>
    </row>
    <row r="43414" spans="1:1">
      <c r="A43414" s="56"/>
    </row>
    <row r="43415" spans="1:1">
      <c r="A43415" s="56"/>
    </row>
    <row r="43416" spans="1:1">
      <c r="A43416" s="56"/>
    </row>
    <row r="43417" spans="1:1">
      <c r="A43417" s="56"/>
    </row>
    <row r="43418" spans="1:1">
      <c r="A43418" s="56"/>
    </row>
    <row r="43419" spans="1:1">
      <c r="A43419" s="56"/>
    </row>
    <row r="43420" spans="1:1">
      <c r="A43420" s="56"/>
    </row>
    <row r="43421" spans="1:1">
      <c r="A43421" s="56"/>
    </row>
    <row r="43422" spans="1:1">
      <c r="A43422" s="56"/>
    </row>
    <row r="43423" spans="1:1">
      <c r="A43423" s="56"/>
    </row>
    <row r="43424" spans="1:1">
      <c r="A43424" s="56"/>
    </row>
    <row r="43425" spans="1:1">
      <c r="A43425" s="56"/>
    </row>
    <row r="43426" spans="1:1">
      <c r="A43426" s="56"/>
    </row>
    <row r="43427" spans="1:1">
      <c r="A43427" s="56"/>
    </row>
    <row r="43428" spans="1:1">
      <c r="A43428" s="56"/>
    </row>
    <row r="43429" spans="1:1">
      <c r="A43429" s="56"/>
    </row>
    <row r="43430" spans="1:1">
      <c r="A43430" s="56"/>
    </row>
    <row r="43431" spans="1:1">
      <c r="A43431" s="56"/>
    </row>
    <row r="43432" spans="1:1">
      <c r="A43432" s="56"/>
    </row>
    <row r="43433" spans="1:1">
      <c r="A43433" s="56"/>
    </row>
    <row r="43434" spans="1:1">
      <c r="A43434" s="56"/>
    </row>
    <row r="43435" spans="1:1">
      <c r="A43435" s="56"/>
    </row>
    <row r="43436" spans="1:1">
      <c r="A43436" s="56"/>
    </row>
    <row r="43437" spans="1:1">
      <c r="A43437" s="56"/>
    </row>
    <row r="43438" spans="1:1">
      <c r="A43438" s="56"/>
    </row>
    <row r="43439" spans="1:1">
      <c r="A43439" s="56"/>
    </row>
    <row r="43440" spans="1:1">
      <c r="A43440" s="56"/>
    </row>
    <row r="43441" spans="1:1">
      <c r="A43441" s="56"/>
    </row>
    <row r="43442" spans="1:1">
      <c r="A43442" s="56"/>
    </row>
    <row r="43443" spans="1:1">
      <c r="A43443" s="56"/>
    </row>
    <row r="43444" spans="1:1">
      <c r="A43444" s="56"/>
    </row>
    <row r="43445" spans="1:1">
      <c r="A43445" s="56"/>
    </row>
    <row r="43446" spans="1:1">
      <c r="A43446" s="56"/>
    </row>
    <row r="43447" spans="1:1">
      <c r="A43447" s="56"/>
    </row>
    <row r="43448" spans="1:1">
      <c r="A43448" s="56"/>
    </row>
    <row r="43449" spans="1:1">
      <c r="A43449" s="56"/>
    </row>
    <row r="43450" spans="1:1">
      <c r="A43450" s="56"/>
    </row>
    <row r="43451" spans="1:1">
      <c r="A43451" s="56"/>
    </row>
    <row r="43452" spans="1:1">
      <c r="A43452" s="56"/>
    </row>
    <row r="43453" spans="1:1">
      <c r="A43453" s="56"/>
    </row>
    <row r="43454" spans="1:1">
      <c r="A43454" s="56"/>
    </row>
    <row r="43455" spans="1:1">
      <c r="A43455" s="56"/>
    </row>
    <row r="43456" spans="1:1">
      <c r="A43456" s="56"/>
    </row>
    <row r="43457" spans="1:1">
      <c r="A43457" s="56"/>
    </row>
    <row r="43458" spans="1:1">
      <c r="A43458" s="56"/>
    </row>
    <row r="43459" spans="1:1">
      <c r="A43459" s="56"/>
    </row>
    <row r="43460" spans="1:1">
      <c r="A43460" s="56"/>
    </row>
    <row r="43461" spans="1:1">
      <c r="A43461" s="56"/>
    </row>
    <row r="43462" spans="1:1">
      <c r="A43462" s="56"/>
    </row>
    <row r="43463" spans="1:1">
      <c r="A43463" s="56"/>
    </row>
    <row r="43464" spans="1:1">
      <c r="A43464" s="56"/>
    </row>
    <row r="43465" spans="1:1">
      <c r="A43465" s="56"/>
    </row>
    <row r="43466" spans="1:1">
      <c r="A43466" s="56"/>
    </row>
    <row r="43467" spans="1:1">
      <c r="A43467" s="56"/>
    </row>
    <row r="43468" spans="1:1">
      <c r="A43468" s="56"/>
    </row>
    <row r="43469" spans="1:1">
      <c r="A43469" s="56"/>
    </row>
    <row r="43470" spans="1:1">
      <c r="A43470" s="56"/>
    </row>
    <row r="43471" spans="1:1">
      <c r="A43471" s="56"/>
    </row>
    <row r="43472" spans="1:1">
      <c r="A43472" s="56"/>
    </row>
    <row r="43473" spans="1:1">
      <c r="A43473" s="56"/>
    </row>
    <row r="43474" spans="1:1">
      <c r="A43474" s="56"/>
    </row>
    <row r="43475" spans="1:1">
      <c r="A43475" s="56"/>
    </row>
    <row r="43476" spans="1:1">
      <c r="A43476" s="56"/>
    </row>
    <row r="43477" spans="1:1">
      <c r="A43477" s="56"/>
    </row>
    <row r="43478" spans="1:1">
      <c r="A43478" s="56"/>
    </row>
    <row r="43479" spans="1:1">
      <c r="A43479" s="56"/>
    </row>
    <row r="43480" spans="1:1">
      <c r="A43480" s="56"/>
    </row>
    <row r="43481" spans="1:1">
      <c r="A43481" s="56"/>
    </row>
    <row r="43482" spans="1:1">
      <c r="A43482" s="56"/>
    </row>
    <row r="43483" spans="1:1">
      <c r="A43483" s="56"/>
    </row>
    <row r="43484" spans="1:1">
      <c r="A43484" s="56"/>
    </row>
    <row r="43485" spans="1:1">
      <c r="A43485" s="56"/>
    </row>
    <row r="43486" spans="1:1">
      <c r="A43486" s="56"/>
    </row>
    <row r="43487" spans="1:1">
      <c r="A43487" s="56"/>
    </row>
    <row r="43488" spans="1:1">
      <c r="A43488" s="56"/>
    </row>
    <row r="43489" spans="1:1">
      <c r="A43489" s="56"/>
    </row>
    <row r="43490" spans="1:1">
      <c r="A43490" s="56"/>
    </row>
    <row r="43491" spans="1:1">
      <c r="A43491" s="56"/>
    </row>
    <row r="43492" spans="1:1">
      <c r="A43492" s="56"/>
    </row>
    <row r="43493" spans="1:1">
      <c r="A43493" s="56"/>
    </row>
    <row r="43494" spans="1:1">
      <c r="A43494" s="56"/>
    </row>
    <row r="43495" spans="1:1">
      <c r="A43495" s="56"/>
    </row>
    <row r="43496" spans="1:1">
      <c r="A43496" s="56"/>
    </row>
    <row r="43497" spans="1:1">
      <c r="A43497" s="56"/>
    </row>
    <row r="43498" spans="1:1">
      <c r="A43498" s="56"/>
    </row>
    <row r="43499" spans="1:1">
      <c r="A43499" s="56"/>
    </row>
    <row r="43500" spans="1:1">
      <c r="A43500" s="56"/>
    </row>
    <row r="43501" spans="1:1">
      <c r="A43501" s="56"/>
    </row>
    <row r="43502" spans="1:1">
      <c r="A43502" s="56"/>
    </row>
    <row r="43503" spans="1:1">
      <c r="A43503" s="56"/>
    </row>
    <row r="43504" spans="1:1">
      <c r="A43504" s="56"/>
    </row>
    <row r="43505" spans="1:1">
      <c r="A43505" s="56"/>
    </row>
    <row r="43506" spans="1:1">
      <c r="A43506" s="56"/>
    </row>
    <row r="43507" spans="1:1">
      <c r="A43507" s="56"/>
    </row>
    <row r="43508" spans="1:1">
      <c r="A43508" s="56"/>
    </row>
    <row r="43509" spans="1:1">
      <c r="A43509" s="56"/>
    </row>
    <row r="43510" spans="1:1">
      <c r="A43510" s="56"/>
    </row>
    <row r="43511" spans="1:1">
      <c r="A43511" s="56"/>
    </row>
    <row r="43512" spans="1:1">
      <c r="A43512" s="56"/>
    </row>
    <row r="43513" spans="1:1">
      <c r="A43513" s="56"/>
    </row>
    <row r="43514" spans="1:1">
      <c r="A43514" s="56"/>
    </row>
    <row r="43515" spans="1:1">
      <c r="A43515" s="56"/>
    </row>
    <row r="43516" spans="1:1">
      <c r="A43516" s="56"/>
    </row>
    <row r="43517" spans="1:1">
      <c r="A43517" s="56"/>
    </row>
    <row r="43518" spans="1:1">
      <c r="A43518" s="56"/>
    </row>
    <row r="43519" spans="1:1">
      <c r="A43519" s="56"/>
    </row>
    <row r="43520" spans="1:1">
      <c r="A43520" s="56"/>
    </row>
    <row r="43521" spans="1:1">
      <c r="A43521" s="56"/>
    </row>
    <row r="43522" spans="1:1">
      <c r="A43522" s="56"/>
    </row>
    <row r="43523" spans="1:1">
      <c r="A43523" s="56"/>
    </row>
    <row r="43524" spans="1:1">
      <c r="A43524" s="56"/>
    </row>
    <row r="43525" spans="1:1">
      <c r="A43525" s="56"/>
    </row>
    <row r="43526" spans="1:1">
      <c r="A43526" s="56"/>
    </row>
    <row r="43527" spans="1:1">
      <c r="A43527" s="56"/>
    </row>
    <row r="43528" spans="1:1">
      <c r="A43528" s="56"/>
    </row>
    <row r="43529" spans="1:1">
      <c r="A43529" s="56"/>
    </row>
    <row r="43530" spans="1:1">
      <c r="A43530" s="56"/>
    </row>
    <row r="43531" spans="1:1">
      <c r="A43531" s="56"/>
    </row>
    <row r="43532" spans="1:1">
      <c r="A43532" s="56"/>
    </row>
    <row r="43533" spans="1:1">
      <c r="A43533" s="56"/>
    </row>
    <row r="43534" spans="1:1">
      <c r="A43534" s="56"/>
    </row>
    <row r="43535" spans="1:1">
      <c r="A43535" s="56"/>
    </row>
    <row r="43536" spans="1:1">
      <c r="A43536" s="56"/>
    </row>
    <row r="43537" spans="1:1">
      <c r="A43537" s="56"/>
    </row>
    <row r="43538" spans="1:1">
      <c r="A43538" s="56"/>
    </row>
    <row r="43539" spans="1:1">
      <c r="A43539" s="56"/>
    </row>
    <row r="43540" spans="1:1">
      <c r="A43540" s="56"/>
    </row>
    <row r="43541" spans="1:1">
      <c r="A43541" s="56"/>
    </row>
    <row r="43542" spans="1:1">
      <c r="A43542" s="56"/>
    </row>
    <row r="43543" spans="1:1">
      <c r="A43543" s="56"/>
    </row>
    <row r="43544" spans="1:1">
      <c r="A43544" s="56"/>
    </row>
    <row r="43545" spans="1:1">
      <c r="A43545" s="56"/>
    </row>
    <row r="43546" spans="1:1">
      <c r="A43546" s="56"/>
    </row>
    <row r="43547" spans="1:1">
      <c r="A43547" s="56"/>
    </row>
    <row r="43548" spans="1:1">
      <c r="A43548" s="56"/>
    </row>
    <row r="43549" spans="1:1">
      <c r="A43549" s="56"/>
    </row>
    <row r="43550" spans="1:1">
      <c r="A43550" s="56"/>
    </row>
    <row r="43551" spans="1:1">
      <c r="A43551" s="56"/>
    </row>
    <row r="43552" spans="1:1">
      <c r="A43552" s="56"/>
    </row>
    <row r="43553" spans="1:1">
      <c r="A43553" s="56"/>
    </row>
    <row r="43554" spans="1:1">
      <c r="A43554" s="56"/>
    </row>
    <row r="43555" spans="1:1">
      <c r="A43555" s="56"/>
    </row>
    <row r="43556" spans="1:1">
      <c r="A43556" s="56"/>
    </row>
    <row r="43557" spans="1:1">
      <c r="A43557" s="56"/>
    </row>
    <row r="43558" spans="1:1">
      <c r="A43558" s="56"/>
    </row>
    <row r="43559" spans="1:1">
      <c r="A43559" s="56"/>
    </row>
    <row r="43560" spans="1:1">
      <c r="A43560" s="56"/>
    </row>
    <row r="43561" spans="1:1">
      <c r="A43561" s="56"/>
    </row>
    <row r="43562" spans="1:1">
      <c r="A43562" s="56"/>
    </row>
    <row r="43563" spans="1:1">
      <c r="A43563" s="56"/>
    </row>
    <row r="43564" spans="1:1">
      <c r="A43564" s="56"/>
    </row>
    <row r="43565" spans="1:1">
      <c r="A43565" s="56"/>
    </row>
    <row r="43566" spans="1:1">
      <c r="A43566" s="56"/>
    </row>
    <row r="43567" spans="1:1">
      <c r="A43567" s="56"/>
    </row>
    <row r="43568" spans="1:1">
      <c r="A43568" s="56"/>
    </row>
    <row r="43569" spans="1:1">
      <c r="A43569" s="56"/>
    </row>
    <row r="43570" spans="1:1">
      <c r="A43570" s="56"/>
    </row>
    <row r="43571" spans="1:1">
      <c r="A43571" s="56"/>
    </row>
    <row r="43572" spans="1:1">
      <c r="A43572" s="56"/>
    </row>
    <row r="43573" spans="1:1">
      <c r="A43573" s="56"/>
    </row>
    <row r="43574" spans="1:1">
      <c r="A43574" s="56"/>
    </row>
    <row r="43575" spans="1:1">
      <c r="A43575" s="56"/>
    </row>
    <row r="43576" spans="1:1">
      <c r="A43576" s="56"/>
    </row>
    <row r="43577" spans="1:1">
      <c r="A43577" s="56"/>
    </row>
    <row r="43578" spans="1:1">
      <c r="A43578" s="56"/>
    </row>
    <row r="43579" spans="1:1">
      <c r="A43579" s="56"/>
    </row>
    <row r="43580" spans="1:1">
      <c r="A43580" s="56"/>
    </row>
    <row r="43581" spans="1:1">
      <c r="A43581" s="56"/>
    </row>
    <row r="43582" spans="1:1">
      <c r="A43582" s="56"/>
    </row>
    <row r="43583" spans="1:1">
      <c r="A43583" s="56"/>
    </row>
    <row r="43584" spans="1:1">
      <c r="A43584" s="56"/>
    </row>
    <row r="43585" spans="1:1">
      <c r="A43585" s="56"/>
    </row>
    <row r="43586" spans="1:1">
      <c r="A43586" s="56"/>
    </row>
    <row r="43587" spans="1:1">
      <c r="A43587" s="56"/>
    </row>
    <row r="43588" spans="1:1">
      <c r="A43588" s="56"/>
    </row>
    <row r="43589" spans="1:1">
      <c r="A43589" s="56"/>
    </row>
    <row r="43590" spans="1:1">
      <c r="A43590" s="56"/>
    </row>
    <row r="43591" spans="1:1">
      <c r="A43591" s="56"/>
    </row>
    <row r="43592" spans="1:1">
      <c r="A43592" s="56"/>
    </row>
    <row r="43593" spans="1:1">
      <c r="A43593" s="56"/>
    </row>
    <row r="43594" spans="1:1">
      <c r="A43594" s="56"/>
    </row>
    <row r="43595" spans="1:1">
      <c r="A43595" s="56"/>
    </row>
    <row r="43596" spans="1:1">
      <c r="A43596" s="56"/>
    </row>
    <row r="43597" spans="1:1">
      <c r="A43597" s="56"/>
    </row>
    <row r="43598" spans="1:1">
      <c r="A43598" s="56"/>
    </row>
    <row r="43599" spans="1:1">
      <c r="A43599" s="56"/>
    </row>
    <row r="43600" spans="1:1">
      <c r="A43600" s="56"/>
    </row>
    <row r="43601" spans="1:1">
      <c r="A43601" s="56"/>
    </row>
    <row r="43602" spans="1:1">
      <c r="A43602" s="56"/>
    </row>
    <row r="43603" spans="1:1">
      <c r="A43603" s="56"/>
    </row>
    <row r="43604" spans="1:1">
      <c r="A43604" s="56"/>
    </row>
    <row r="43605" spans="1:1">
      <c r="A43605" s="56"/>
    </row>
    <row r="43606" spans="1:1">
      <c r="A43606" s="56"/>
    </row>
    <row r="43607" spans="1:1">
      <c r="A43607" s="56"/>
    </row>
    <row r="43608" spans="1:1">
      <c r="A43608" s="56"/>
    </row>
    <row r="43609" spans="1:1">
      <c r="A43609" s="56"/>
    </row>
    <row r="43610" spans="1:1">
      <c r="A43610" s="56"/>
    </row>
    <row r="43611" spans="1:1">
      <c r="A43611" s="56"/>
    </row>
    <row r="43612" spans="1:1">
      <c r="A43612" s="56"/>
    </row>
    <row r="43613" spans="1:1">
      <c r="A43613" s="56"/>
    </row>
    <row r="43614" spans="1:1">
      <c r="A43614" s="56"/>
    </row>
    <row r="43615" spans="1:1">
      <c r="A43615" s="56"/>
    </row>
    <row r="43616" spans="1:1">
      <c r="A43616" s="56"/>
    </row>
    <row r="43617" spans="1:1">
      <c r="A43617" s="56"/>
    </row>
    <row r="43618" spans="1:1">
      <c r="A43618" s="56"/>
    </row>
    <row r="43619" spans="1:1">
      <c r="A43619" s="56"/>
    </row>
    <row r="43620" spans="1:1">
      <c r="A43620" s="56"/>
    </row>
    <row r="43621" spans="1:1">
      <c r="A43621" s="56"/>
    </row>
    <row r="43622" spans="1:1">
      <c r="A43622" s="56"/>
    </row>
    <row r="43623" spans="1:1">
      <c r="A43623" s="56"/>
    </row>
    <row r="43624" spans="1:1">
      <c r="A43624" s="56"/>
    </row>
    <row r="43625" spans="1:1">
      <c r="A43625" s="56"/>
    </row>
    <row r="43626" spans="1:1">
      <c r="A43626" s="56"/>
    </row>
    <row r="43627" spans="1:1">
      <c r="A43627" s="56"/>
    </row>
    <row r="43628" spans="1:1">
      <c r="A43628" s="56"/>
    </row>
    <row r="43629" spans="1:1">
      <c r="A43629" s="56"/>
    </row>
    <row r="43630" spans="1:1">
      <c r="A43630" s="56"/>
    </row>
    <row r="43631" spans="1:1">
      <c r="A43631" s="56"/>
    </row>
    <row r="43632" spans="1:1">
      <c r="A43632" s="56"/>
    </row>
    <row r="43633" spans="1:1">
      <c r="A43633" s="56"/>
    </row>
    <row r="43634" spans="1:1">
      <c r="A43634" s="56"/>
    </row>
    <row r="43635" spans="1:1">
      <c r="A43635" s="56"/>
    </row>
    <row r="43636" spans="1:1">
      <c r="A43636" s="56"/>
    </row>
    <row r="43637" spans="1:1">
      <c r="A43637" s="56"/>
    </row>
    <row r="43638" spans="1:1">
      <c r="A43638" s="56"/>
    </row>
    <row r="43639" spans="1:1">
      <c r="A43639" s="56"/>
    </row>
    <row r="43640" spans="1:1">
      <c r="A43640" s="56"/>
    </row>
    <row r="43641" spans="1:1">
      <c r="A43641" s="56"/>
    </row>
    <row r="43642" spans="1:1">
      <c r="A43642" s="56"/>
    </row>
    <row r="43643" spans="1:1">
      <c r="A43643" s="56"/>
    </row>
    <row r="43644" spans="1:1">
      <c r="A43644" s="56"/>
    </row>
    <row r="43645" spans="1:1">
      <c r="A43645" s="56"/>
    </row>
    <row r="43646" spans="1:1">
      <c r="A43646" s="56"/>
    </row>
    <row r="43647" spans="1:1">
      <c r="A43647" s="56"/>
    </row>
    <row r="43648" spans="1:1">
      <c r="A43648" s="56"/>
    </row>
    <row r="43649" spans="1:1">
      <c r="A43649" s="56"/>
    </row>
    <row r="43650" spans="1:1">
      <c r="A43650" s="56"/>
    </row>
    <row r="43651" spans="1:1">
      <c r="A43651" s="56"/>
    </row>
    <row r="43652" spans="1:1">
      <c r="A43652" s="56"/>
    </row>
    <row r="43653" spans="1:1">
      <c r="A43653" s="56"/>
    </row>
    <row r="43654" spans="1:1">
      <c r="A43654" s="56"/>
    </row>
    <row r="43655" spans="1:1">
      <c r="A43655" s="56"/>
    </row>
    <row r="43656" spans="1:1">
      <c r="A43656" s="56"/>
    </row>
    <row r="43657" spans="1:1">
      <c r="A43657" s="56"/>
    </row>
    <row r="43658" spans="1:1">
      <c r="A43658" s="56"/>
    </row>
    <row r="43659" spans="1:1">
      <c r="A43659" s="56"/>
    </row>
    <row r="43660" spans="1:1">
      <c r="A43660" s="56"/>
    </row>
    <row r="43661" spans="1:1">
      <c r="A43661" s="56"/>
    </row>
    <row r="43662" spans="1:1">
      <c r="A43662" s="56"/>
    </row>
    <row r="43663" spans="1:1">
      <c r="A43663" s="56"/>
    </row>
    <row r="43664" spans="1:1">
      <c r="A43664" s="56"/>
    </row>
    <row r="43665" spans="1:1">
      <c r="A43665" s="56"/>
    </row>
    <row r="43666" spans="1:1">
      <c r="A43666" s="56"/>
    </row>
    <row r="43667" spans="1:1">
      <c r="A43667" s="56"/>
    </row>
    <row r="43668" spans="1:1">
      <c r="A43668" s="56"/>
    </row>
    <row r="43669" spans="1:1">
      <c r="A43669" s="56"/>
    </row>
    <row r="43670" spans="1:1">
      <c r="A43670" s="56"/>
    </row>
    <row r="43671" spans="1:1">
      <c r="A43671" s="56"/>
    </row>
    <row r="43672" spans="1:1">
      <c r="A43672" s="56"/>
    </row>
    <row r="43673" spans="1:1">
      <c r="A43673" s="56"/>
    </row>
    <row r="43674" spans="1:1">
      <c r="A43674" s="56"/>
    </row>
    <row r="43675" spans="1:1">
      <c r="A43675" s="56"/>
    </row>
    <row r="43676" spans="1:1">
      <c r="A43676" s="56"/>
    </row>
    <row r="43677" spans="1:1">
      <c r="A43677" s="56"/>
    </row>
    <row r="43678" spans="1:1">
      <c r="A43678" s="56"/>
    </row>
    <row r="43679" spans="1:1">
      <c r="A43679" s="56"/>
    </row>
    <row r="43680" spans="1:1">
      <c r="A43680" s="56"/>
    </row>
    <row r="43681" spans="1:1">
      <c r="A43681" s="56"/>
    </row>
    <row r="43682" spans="1:1">
      <c r="A43682" s="56"/>
    </row>
    <row r="43683" spans="1:1">
      <c r="A43683" s="56"/>
    </row>
    <row r="43684" spans="1:1">
      <c r="A43684" s="56"/>
    </row>
    <row r="43685" spans="1:1">
      <c r="A43685" s="56"/>
    </row>
    <row r="43686" spans="1:1">
      <c r="A43686" s="56"/>
    </row>
    <row r="43687" spans="1:1">
      <c r="A43687" s="56"/>
    </row>
    <row r="43688" spans="1:1">
      <c r="A43688" s="56"/>
    </row>
    <row r="43689" spans="1:1">
      <c r="A43689" s="56"/>
    </row>
    <row r="43690" spans="1:1">
      <c r="A43690" s="56"/>
    </row>
    <row r="43691" spans="1:1">
      <c r="A43691" s="56"/>
    </row>
    <row r="43692" spans="1:1">
      <c r="A43692" s="56"/>
    </row>
    <row r="43693" spans="1:1">
      <c r="A43693" s="56"/>
    </row>
    <row r="43694" spans="1:1">
      <c r="A43694" s="56"/>
    </row>
    <row r="43695" spans="1:1">
      <c r="A43695" s="56"/>
    </row>
    <row r="43696" spans="1:1">
      <c r="A43696" s="56"/>
    </row>
    <row r="43697" spans="1:1">
      <c r="A43697" s="56"/>
    </row>
    <row r="43698" spans="1:1">
      <c r="A43698" s="56"/>
    </row>
    <row r="43699" spans="1:1">
      <c r="A43699" s="56"/>
    </row>
    <row r="43700" spans="1:1">
      <c r="A43700" s="56"/>
    </row>
    <row r="43701" spans="1:1">
      <c r="A43701" s="56"/>
    </row>
    <row r="43702" spans="1:1">
      <c r="A43702" s="56"/>
    </row>
    <row r="43703" spans="1:1">
      <c r="A43703" s="56"/>
    </row>
    <row r="43704" spans="1:1">
      <c r="A43704" s="56"/>
    </row>
    <row r="43705" spans="1:1">
      <c r="A43705" s="56"/>
    </row>
    <row r="43706" spans="1:1">
      <c r="A43706" s="56"/>
    </row>
    <row r="43707" spans="1:1">
      <c r="A43707" s="56"/>
    </row>
    <row r="43708" spans="1:1">
      <c r="A43708" s="56"/>
    </row>
    <row r="43709" spans="1:1">
      <c r="A43709" s="56"/>
    </row>
    <row r="43710" spans="1:1">
      <c r="A43710" s="56"/>
    </row>
    <row r="43711" spans="1:1">
      <c r="A43711" s="56"/>
    </row>
    <row r="43712" spans="1:1">
      <c r="A43712" s="56"/>
    </row>
    <row r="43713" spans="1:1">
      <c r="A43713" s="56"/>
    </row>
    <row r="43714" spans="1:1">
      <c r="A43714" s="56"/>
    </row>
    <row r="43715" spans="1:1">
      <c r="A43715" s="56"/>
    </row>
    <row r="43716" spans="1:1">
      <c r="A43716" s="56"/>
    </row>
    <row r="43717" spans="1:1">
      <c r="A43717" s="56"/>
    </row>
    <row r="43718" spans="1:1">
      <c r="A43718" s="56"/>
    </row>
    <row r="43719" spans="1:1">
      <c r="A43719" s="56"/>
    </row>
    <row r="43720" spans="1:1">
      <c r="A43720" s="56"/>
    </row>
    <row r="43721" spans="1:1">
      <c r="A43721" s="56"/>
    </row>
    <row r="43722" spans="1:1">
      <c r="A43722" s="56"/>
    </row>
    <row r="43723" spans="1:1">
      <c r="A43723" s="56"/>
    </row>
    <row r="43724" spans="1:1">
      <c r="A43724" s="56"/>
    </row>
    <row r="43725" spans="1:1">
      <c r="A43725" s="56"/>
    </row>
    <row r="43726" spans="1:1">
      <c r="A43726" s="56"/>
    </row>
    <row r="43727" spans="1:1">
      <c r="A43727" s="56"/>
    </row>
    <row r="43728" spans="1:1">
      <c r="A43728" s="56"/>
    </row>
    <row r="43729" spans="1:1">
      <c r="A43729" s="56"/>
    </row>
    <row r="43730" spans="1:1">
      <c r="A43730" s="56"/>
    </row>
    <row r="43731" spans="1:1">
      <c r="A43731" s="56"/>
    </row>
    <row r="43732" spans="1:1">
      <c r="A43732" s="56"/>
    </row>
    <row r="43733" spans="1:1">
      <c r="A43733" s="56"/>
    </row>
    <row r="43734" spans="1:1">
      <c r="A43734" s="56"/>
    </row>
    <row r="43735" spans="1:1">
      <c r="A43735" s="56"/>
    </row>
    <row r="43736" spans="1:1">
      <c r="A43736" s="56"/>
    </row>
    <row r="43737" spans="1:1">
      <c r="A43737" s="56"/>
    </row>
    <row r="43738" spans="1:1">
      <c r="A43738" s="56"/>
    </row>
    <row r="43739" spans="1:1">
      <c r="A43739" s="56"/>
    </row>
    <row r="43740" spans="1:1">
      <c r="A43740" s="56"/>
    </row>
    <row r="43741" spans="1:1">
      <c r="A43741" s="56"/>
    </row>
    <row r="43742" spans="1:1">
      <c r="A43742" s="56"/>
    </row>
    <row r="43743" spans="1:1">
      <c r="A43743" s="56"/>
    </row>
    <row r="43744" spans="1:1">
      <c r="A43744" s="56"/>
    </row>
    <row r="43745" spans="1:1">
      <c r="A43745" s="56"/>
    </row>
    <row r="43746" spans="1:1">
      <c r="A43746" s="56"/>
    </row>
    <row r="43747" spans="1:1">
      <c r="A43747" s="56"/>
    </row>
    <row r="43748" spans="1:1">
      <c r="A43748" s="56"/>
    </row>
    <row r="43749" spans="1:1">
      <c r="A43749" s="56"/>
    </row>
    <row r="43750" spans="1:1">
      <c r="A43750" s="56"/>
    </row>
    <row r="43751" spans="1:1">
      <c r="A43751" s="56"/>
    </row>
    <row r="43752" spans="1:1">
      <c r="A43752" s="56"/>
    </row>
    <row r="43753" spans="1:1">
      <c r="A43753" s="56"/>
    </row>
    <row r="43754" spans="1:1">
      <c r="A43754" s="56"/>
    </row>
    <row r="43755" spans="1:1">
      <c r="A43755" s="56"/>
    </row>
    <row r="43756" spans="1:1">
      <c r="A43756" s="56"/>
    </row>
    <row r="43757" spans="1:1">
      <c r="A43757" s="56"/>
    </row>
    <row r="43758" spans="1:1">
      <c r="A43758" s="56"/>
    </row>
    <row r="43759" spans="1:1">
      <c r="A43759" s="56"/>
    </row>
    <row r="43760" spans="1:1">
      <c r="A43760" s="56"/>
    </row>
    <row r="43761" spans="1:1">
      <c r="A43761" s="56"/>
    </row>
    <row r="43762" spans="1:1">
      <c r="A43762" s="56"/>
    </row>
    <row r="43763" spans="1:1">
      <c r="A43763" s="56"/>
    </row>
    <row r="43764" spans="1:1">
      <c r="A43764" s="56"/>
    </row>
    <row r="43765" spans="1:1">
      <c r="A43765" s="56"/>
    </row>
    <row r="43766" spans="1:1">
      <c r="A43766" s="56"/>
    </row>
    <row r="43767" spans="1:1">
      <c r="A43767" s="56"/>
    </row>
    <row r="43768" spans="1:1">
      <c r="A43768" s="56"/>
    </row>
    <row r="43769" spans="1:1">
      <c r="A43769" s="56"/>
    </row>
    <row r="43770" spans="1:1">
      <c r="A43770" s="56"/>
    </row>
    <row r="43771" spans="1:1">
      <c r="A43771" s="56"/>
    </row>
    <row r="43772" spans="1:1">
      <c r="A43772" s="56"/>
    </row>
    <row r="43773" spans="1:1">
      <c r="A43773" s="56"/>
    </row>
    <row r="43774" spans="1:1">
      <c r="A43774" s="56"/>
    </row>
    <row r="43775" spans="1:1">
      <c r="A43775" s="56"/>
    </row>
    <row r="43776" spans="1:1">
      <c r="A43776" s="56"/>
    </row>
    <row r="43777" spans="1:1">
      <c r="A43777" s="56"/>
    </row>
    <row r="43778" spans="1:1">
      <c r="A43778" s="56"/>
    </row>
    <row r="43779" spans="1:1">
      <c r="A43779" s="56"/>
    </row>
    <row r="43780" spans="1:1">
      <c r="A43780" s="56"/>
    </row>
    <row r="43781" spans="1:1">
      <c r="A43781" s="56"/>
    </row>
    <row r="43782" spans="1:1">
      <c r="A43782" s="56"/>
    </row>
    <row r="43783" spans="1:1">
      <c r="A43783" s="56"/>
    </row>
    <row r="43784" spans="1:1">
      <c r="A43784" s="56"/>
    </row>
    <row r="43785" spans="1:1">
      <c r="A43785" s="56"/>
    </row>
    <row r="43786" spans="1:1">
      <c r="A43786" s="56"/>
    </row>
    <row r="43787" spans="1:1">
      <c r="A43787" s="56"/>
    </row>
    <row r="43788" spans="1:1">
      <c r="A43788" s="56"/>
    </row>
    <row r="43789" spans="1:1">
      <c r="A43789" s="56"/>
    </row>
    <row r="43790" spans="1:1">
      <c r="A43790" s="56"/>
    </row>
    <row r="43791" spans="1:1">
      <c r="A43791" s="56"/>
    </row>
    <row r="43792" spans="1:1">
      <c r="A43792" s="56"/>
    </row>
    <row r="43793" spans="1:1">
      <c r="A43793" s="56"/>
    </row>
    <row r="43794" spans="1:1">
      <c r="A43794" s="56"/>
    </row>
    <row r="43795" spans="1:1">
      <c r="A43795" s="56"/>
    </row>
    <row r="43796" spans="1:1">
      <c r="A43796" s="56"/>
    </row>
    <row r="43797" spans="1:1">
      <c r="A43797" s="56"/>
    </row>
    <row r="43798" spans="1:1">
      <c r="A43798" s="56"/>
    </row>
    <row r="43799" spans="1:1">
      <c r="A43799" s="56"/>
    </row>
    <row r="43800" spans="1:1">
      <c r="A43800" s="56"/>
    </row>
    <row r="43801" spans="1:1">
      <c r="A43801" s="56"/>
    </row>
    <row r="43802" spans="1:1">
      <c r="A43802" s="56"/>
    </row>
    <row r="43803" spans="1:1">
      <c r="A43803" s="56"/>
    </row>
    <row r="43804" spans="1:1">
      <c r="A43804" s="56"/>
    </row>
    <row r="43805" spans="1:1">
      <c r="A43805" s="56"/>
    </row>
    <row r="43806" spans="1:1">
      <c r="A43806" s="56"/>
    </row>
    <row r="43807" spans="1:1">
      <c r="A43807" s="56"/>
    </row>
    <row r="43808" spans="1:1">
      <c r="A43808" s="56"/>
    </row>
    <row r="43809" spans="1:1">
      <c r="A43809" s="56"/>
    </row>
    <row r="43810" spans="1:1">
      <c r="A43810" s="56"/>
    </row>
    <row r="43811" spans="1:1">
      <c r="A43811" s="56"/>
    </row>
    <row r="43812" spans="1:1">
      <c r="A43812" s="56"/>
    </row>
    <row r="43813" spans="1:1">
      <c r="A43813" s="56"/>
    </row>
    <row r="43814" spans="1:1">
      <c r="A43814" s="56"/>
    </row>
    <row r="43815" spans="1:1">
      <c r="A43815" s="56"/>
    </row>
    <row r="43816" spans="1:1">
      <c r="A43816" s="56"/>
    </row>
    <row r="43817" spans="1:1">
      <c r="A43817" s="56"/>
    </row>
    <row r="43818" spans="1:1">
      <c r="A43818" s="56"/>
    </row>
    <row r="43819" spans="1:1">
      <c r="A43819" s="56"/>
    </row>
    <row r="43820" spans="1:1">
      <c r="A43820" s="56"/>
    </row>
    <row r="43821" spans="1:1">
      <c r="A43821" s="56"/>
    </row>
    <row r="43822" spans="1:1">
      <c r="A43822" s="56"/>
    </row>
    <row r="43823" spans="1:1">
      <c r="A43823" s="56"/>
    </row>
    <row r="43824" spans="1:1">
      <c r="A43824" s="56"/>
    </row>
    <row r="43825" spans="1:1">
      <c r="A43825" s="56"/>
    </row>
    <row r="43826" spans="1:1">
      <c r="A43826" s="56"/>
    </row>
    <row r="43827" spans="1:1">
      <c r="A43827" s="56"/>
    </row>
    <row r="43828" spans="1:1">
      <c r="A43828" s="56"/>
    </row>
    <row r="43829" spans="1:1">
      <c r="A43829" s="56"/>
    </row>
    <row r="43830" spans="1:1">
      <c r="A43830" s="56"/>
    </row>
    <row r="43831" spans="1:1">
      <c r="A43831" s="56"/>
    </row>
    <row r="43832" spans="1:1">
      <c r="A43832" s="56"/>
    </row>
    <row r="43833" spans="1:1">
      <c r="A43833" s="56"/>
    </row>
    <row r="43834" spans="1:1">
      <c r="A43834" s="56"/>
    </row>
    <row r="43835" spans="1:1">
      <c r="A43835" s="56"/>
    </row>
    <row r="43836" spans="1:1">
      <c r="A43836" s="56"/>
    </row>
    <row r="43837" spans="1:1">
      <c r="A43837" s="56"/>
    </row>
    <row r="43838" spans="1:1">
      <c r="A43838" s="56"/>
    </row>
    <row r="43839" spans="1:1">
      <c r="A43839" s="56"/>
    </row>
    <row r="43840" spans="1:1">
      <c r="A43840" s="56"/>
    </row>
    <row r="43841" spans="1:1">
      <c r="A43841" s="56"/>
    </row>
    <row r="43842" spans="1:1">
      <c r="A43842" s="56"/>
    </row>
    <row r="43843" spans="1:1">
      <c r="A43843" s="56"/>
    </row>
    <row r="43844" spans="1:1">
      <c r="A43844" s="56"/>
    </row>
    <row r="43845" spans="1:1">
      <c r="A43845" s="56"/>
    </row>
    <row r="43846" spans="1:1">
      <c r="A43846" s="56"/>
    </row>
    <row r="43847" spans="1:1">
      <c r="A43847" s="56"/>
    </row>
    <row r="43848" spans="1:1">
      <c r="A43848" s="56"/>
    </row>
    <row r="43849" spans="1:1">
      <c r="A43849" s="56"/>
    </row>
    <row r="43850" spans="1:1">
      <c r="A43850" s="56"/>
    </row>
    <row r="43851" spans="1:1">
      <c r="A43851" s="56"/>
    </row>
    <row r="43852" spans="1:1">
      <c r="A43852" s="56"/>
    </row>
    <row r="43853" spans="1:1">
      <c r="A43853" s="56"/>
    </row>
    <row r="43854" spans="1:1">
      <c r="A43854" s="56"/>
    </row>
    <row r="43855" spans="1:1">
      <c r="A43855" s="56"/>
    </row>
    <row r="43856" spans="1:1">
      <c r="A43856" s="56"/>
    </row>
    <row r="43857" spans="1:1">
      <c r="A43857" s="56"/>
    </row>
    <row r="43858" spans="1:1">
      <c r="A43858" s="56"/>
    </row>
    <row r="43859" spans="1:1">
      <c r="A43859" s="56"/>
    </row>
    <row r="43860" spans="1:1">
      <c r="A43860" s="56"/>
    </row>
    <row r="43861" spans="1:1">
      <c r="A43861" s="56"/>
    </row>
    <row r="43862" spans="1:1">
      <c r="A43862" s="56"/>
    </row>
    <row r="43863" spans="1:1">
      <c r="A43863" s="56"/>
    </row>
    <row r="43864" spans="1:1">
      <c r="A43864" s="56"/>
    </row>
    <row r="43865" spans="1:1">
      <c r="A43865" s="56"/>
    </row>
    <row r="43866" spans="1:1">
      <c r="A43866" s="56"/>
    </row>
    <row r="43867" spans="1:1">
      <c r="A43867" s="56"/>
    </row>
    <row r="43868" spans="1:1">
      <c r="A43868" s="56"/>
    </row>
    <row r="43869" spans="1:1">
      <c r="A43869" s="56"/>
    </row>
    <row r="43870" spans="1:1">
      <c r="A43870" s="56"/>
    </row>
    <row r="43871" spans="1:1">
      <c r="A43871" s="56"/>
    </row>
    <row r="43872" spans="1:1">
      <c r="A43872" s="56"/>
    </row>
    <row r="43873" spans="1:1">
      <c r="A43873" s="56"/>
    </row>
    <row r="43874" spans="1:1">
      <c r="A43874" s="56"/>
    </row>
    <row r="43875" spans="1:1">
      <c r="A43875" s="56"/>
    </row>
    <row r="43876" spans="1:1">
      <c r="A43876" s="56"/>
    </row>
    <row r="43877" spans="1:1">
      <c r="A43877" s="56"/>
    </row>
    <row r="43878" spans="1:1">
      <c r="A43878" s="56"/>
    </row>
    <row r="43879" spans="1:1">
      <c r="A43879" s="56"/>
    </row>
    <row r="43880" spans="1:1">
      <c r="A43880" s="56"/>
    </row>
    <row r="43881" spans="1:1">
      <c r="A43881" s="56"/>
    </row>
    <row r="43882" spans="1:1">
      <c r="A43882" s="56"/>
    </row>
    <row r="43883" spans="1:1">
      <c r="A43883" s="56"/>
    </row>
    <row r="43884" spans="1:1">
      <c r="A43884" s="56"/>
    </row>
    <row r="43885" spans="1:1">
      <c r="A43885" s="56"/>
    </row>
    <row r="43886" spans="1:1">
      <c r="A43886" s="56"/>
    </row>
    <row r="43887" spans="1:1">
      <c r="A43887" s="56"/>
    </row>
    <row r="43888" spans="1:1">
      <c r="A43888" s="56"/>
    </row>
    <row r="43889" spans="1:1">
      <c r="A43889" s="56"/>
    </row>
    <row r="43890" spans="1:1">
      <c r="A43890" s="56"/>
    </row>
    <row r="43891" spans="1:1">
      <c r="A43891" s="56"/>
    </row>
    <row r="43892" spans="1:1">
      <c r="A43892" s="56"/>
    </row>
    <row r="43893" spans="1:1">
      <c r="A43893" s="56"/>
    </row>
    <row r="43894" spans="1:1">
      <c r="A43894" s="56"/>
    </row>
    <row r="43895" spans="1:1">
      <c r="A43895" s="56"/>
    </row>
    <row r="43896" spans="1:1">
      <c r="A43896" s="56"/>
    </row>
    <row r="43897" spans="1:1">
      <c r="A43897" s="56"/>
    </row>
    <row r="43898" spans="1:1">
      <c r="A43898" s="56"/>
    </row>
    <row r="43899" spans="1:1">
      <c r="A43899" s="56"/>
    </row>
    <row r="43900" spans="1:1">
      <c r="A43900" s="56"/>
    </row>
    <row r="43901" spans="1:1">
      <c r="A43901" s="56"/>
    </row>
    <row r="43902" spans="1:1">
      <c r="A43902" s="56"/>
    </row>
    <row r="43903" spans="1:1">
      <c r="A43903" s="56"/>
    </row>
    <row r="43904" spans="1:1">
      <c r="A43904" s="56"/>
    </row>
    <row r="43905" spans="1:1">
      <c r="A43905" s="56"/>
    </row>
    <row r="43906" spans="1:1">
      <c r="A43906" s="56"/>
    </row>
    <row r="43907" spans="1:1">
      <c r="A43907" s="56"/>
    </row>
    <row r="43908" spans="1:1">
      <c r="A43908" s="56"/>
    </row>
    <row r="43909" spans="1:1">
      <c r="A43909" s="56"/>
    </row>
    <row r="43910" spans="1:1">
      <c r="A43910" s="56"/>
    </row>
    <row r="43911" spans="1:1">
      <c r="A43911" s="56"/>
    </row>
    <row r="43912" spans="1:1">
      <c r="A43912" s="56"/>
    </row>
    <row r="43913" spans="1:1">
      <c r="A43913" s="56"/>
    </row>
    <row r="43914" spans="1:1">
      <c r="A43914" s="56"/>
    </row>
    <row r="43915" spans="1:1">
      <c r="A43915" s="56"/>
    </row>
    <row r="43916" spans="1:1">
      <c r="A43916" s="56"/>
    </row>
    <row r="43917" spans="1:1">
      <c r="A43917" s="56"/>
    </row>
    <row r="43918" spans="1:1">
      <c r="A43918" s="56"/>
    </row>
    <row r="43919" spans="1:1">
      <c r="A43919" s="56"/>
    </row>
    <row r="43920" spans="1:1">
      <c r="A43920" s="56"/>
    </row>
    <row r="43921" spans="1:1">
      <c r="A43921" s="56"/>
    </row>
    <row r="43922" spans="1:1">
      <c r="A43922" s="56"/>
    </row>
    <row r="43923" spans="1:1">
      <c r="A43923" s="56"/>
    </row>
    <row r="43924" spans="1:1">
      <c r="A43924" s="56"/>
    </row>
    <row r="43925" spans="1:1">
      <c r="A43925" s="56"/>
    </row>
    <row r="43926" spans="1:1">
      <c r="A43926" s="56"/>
    </row>
    <row r="43927" spans="1:1">
      <c r="A43927" s="56"/>
    </row>
    <row r="43928" spans="1:1">
      <c r="A43928" s="56"/>
    </row>
    <row r="43929" spans="1:1">
      <c r="A43929" s="56"/>
    </row>
    <row r="43930" spans="1:1">
      <c r="A43930" s="56"/>
    </row>
    <row r="43931" spans="1:1">
      <c r="A43931" s="56"/>
    </row>
    <row r="43932" spans="1:1">
      <c r="A43932" s="56"/>
    </row>
    <row r="43933" spans="1:1">
      <c r="A43933" s="56"/>
    </row>
    <row r="43934" spans="1:1">
      <c r="A43934" s="56"/>
    </row>
    <row r="43935" spans="1:1">
      <c r="A43935" s="56"/>
    </row>
    <row r="43936" spans="1:1">
      <c r="A43936" s="56"/>
    </row>
    <row r="43937" spans="1:1">
      <c r="A43937" s="56"/>
    </row>
    <row r="43938" spans="1:1">
      <c r="A43938" s="56"/>
    </row>
    <row r="43939" spans="1:1">
      <c r="A43939" s="56"/>
    </row>
    <row r="43940" spans="1:1">
      <c r="A43940" s="56"/>
    </row>
    <row r="43941" spans="1:1">
      <c r="A43941" s="56"/>
    </row>
    <row r="43942" spans="1:1">
      <c r="A43942" s="56"/>
    </row>
    <row r="43943" spans="1:1">
      <c r="A43943" s="56"/>
    </row>
    <row r="43944" spans="1:1">
      <c r="A43944" s="56"/>
    </row>
    <row r="43945" spans="1:1">
      <c r="A43945" s="56"/>
    </row>
    <row r="43946" spans="1:1">
      <c r="A43946" s="56"/>
    </row>
    <row r="43947" spans="1:1">
      <c r="A43947" s="56"/>
    </row>
    <row r="43948" spans="1:1">
      <c r="A43948" s="56"/>
    </row>
    <row r="43949" spans="1:1">
      <c r="A43949" s="56"/>
    </row>
    <row r="43950" spans="1:1">
      <c r="A43950" s="56"/>
    </row>
    <row r="43951" spans="1:1">
      <c r="A43951" s="56"/>
    </row>
    <row r="43952" spans="1:1">
      <c r="A43952" s="56"/>
    </row>
    <row r="43953" spans="1:1">
      <c r="A43953" s="56"/>
    </row>
    <row r="43954" spans="1:1">
      <c r="A43954" s="56"/>
    </row>
    <row r="43955" spans="1:1">
      <c r="A43955" s="56"/>
    </row>
    <row r="43956" spans="1:1">
      <c r="A43956" s="56"/>
    </row>
    <row r="43957" spans="1:1">
      <c r="A43957" s="56"/>
    </row>
    <row r="43958" spans="1:1">
      <c r="A43958" s="56"/>
    </row>
    <row r="43959" spans="1:1">
      <c r="A43959" s="56"/>
    </row>
    <row r="43960" spans="1:1">
      <c r="A43960" s="56"/>
    </row>
    <row r="43961" spans="1:1">
      <c r="A43961" s="56"/>
    </row>
    <row r="43962" spans="1:1">
      <c r="A43962" s="56"/>
    </row>
    <row r="43963" spans="1:1">
      <c r="A43963" s="56"/>
    </row>
    <row r="43964" spans="1:1">
      <c r="A43964" s="56"/>
    </row>
    <row r="43965" spans="1:1">
      <c r="A43965" s="56"/>
    </row>
    <row r="43966" spans="1:1">
      <c r="A43966" s="56"/>
    </row>
    <row r="43967" spans="1:1">
      <c r="A43967" s="56"/>
    </row>
    <row r="43968" spans="1:1">
      <c r="A43968" s="56"/>
    </row>
    <row r="43969" spans="1:1">
      <c r="A43969" s="56"/>
    </row>
    <row r="43970" spans="1:1">
      <c r="A43970" s="56"/>
    </row>
    <row r="43971" spans="1:1">
      <c r="A43971" s="56"/>
    </row>
    <row r="43972" spans="1:1">
      <c r="A43972" s="56"/>
    </row>
    <row r="43973" spans="1:1">
      <c r="A43973" s="56"/>
    </row>
    <row r="43974" spans="1:1">
      <c r="A43974" s="56"/>
    </row>
    <row r="43975" spans="1:1">
      <c r="A43975" s="56"/>
    </row>
    <row r="43976" spans="1:1">
      <c r="A43976" s="56"/>
    </row>
    <row r="43977" spans="1:1">
      <c r="A43977" s="56"/>
    </row>
    <row r="43978" spans="1:1">
      <c r="A43978" s="56"/>
    </row>
    <row r="43979" spans="1:1">
      <c r="A43979" s="56"/>
    </row>
    <row r="43980" spans="1:1">
      <c r="A43980" s="56"/>
    </row>
    <row r="43981" spans="1:1">
      <c r="A43981" s="56"/>
    </row>
    <row r="43982" spans="1:1">
      <c r="A43982" s="56"/>
    </row>
    <row r="43983" spans="1:1">
      <c r="A43983" s="56"/>
    </row>
    <row r="43984" spans="1:1">
      <c r="A43984" s="56"/>
    </row>
    <row r="43985" spans="1:1">
      <c r="A43985" s="56"/>
    </row>
    <row r="43986" spans="1:1">
      <c r="A43986" s="56"/>
    </row>
    <row r="43987" spans="1:1">
      <c r="A43987" s="56"/>
    </row>
    <row r="43988" spans="1:1">
      <c r="A43988" s="56"/>
    </row>
    <row r="43989" spans="1:1">
      <c r="A43989" s="56"/>
    </row>
    <row r="43990" spans="1:1">
      <c r="A43990" s="56"/>
    </row>
    <row r="43991" spans="1:1">
      <c r="A43991" s="56"/>
    </row>
    <row r="43992" spans="1:1">
      <c r="A43992" s="56"/>
    </row>
    <row r="43993" spans="1:1">
      <c r="A43993" s="56"/>
    </row>
    <row r="43994" spans="1:1">
      <c r="A43994" s="56"/>
    </row>
    <row r="43995" spans="1:1">
      <c r="A43995" s="56"/>
    </row>
    <row r="43996" spans="1:1">
      <c r="A43996" s="56"/>
    </row>
    <row r="43997" spans="1:1">
      <c r="A43997" s="56"/>
    </row>
    <row r="43998" spans="1:1">
      <c r="A43998" s="56"/>
    </row>
    <row r="43999" spans="1:1">
      <c r="A43999" s="56"/>
    </row>
    <row r="44000" spans="1:1">
      <c r="A44000" s="56"/>
    </row>
    <row r="44001" spans="1:1">
      <c r="A44001" s="56"/>
    </row>
    <row r="44002" spans="1:1">
      <c r="A44002" s="56"/>
    </row>
    <row r="44003" spans="1:1">
      <c r="A44003" s="56"/>
    </row>
    <row r="44004" spans="1:1">
      <c r="A44004" s="56"/>
    </row>
    <row r="44005" spans="1:1">
      <c r="A44005" s="56"/>
    </row>
    <row r="44006" spans="1:1">
      <c r="A44006" s="56"/>
    </row>
    <row r="44007" spans="1:1">
      <c r="A44007" s="56"/>
    </row>
    <row r="44008" spans="1:1">
      <c r="A44008" s="56"/>
    </row>
    <row r="44009" spans="1:1">
      <c r="A44009" s="56"/>
    </row>
    <row r="44010" spans="1:1">
      <c r="A44010" s="56"/>
    </row>
    <row r="44011" spans="1:1">
      <c r="A44011" s="56"/>
    </row>
    <row r="44012" spans="1:1">
      <c r="A44012" s="56"/>
    </row>
    <row r="44013" spans="1:1">
      <c r="A44013" s="56"/>
    </row>
    <row r="44014" spans="1:1">
      <c r="A44014" s="56"/>
    </row>
    <row r="44015" spans="1:1">
      <c r="A44015" s="56"/>
    </row>
    <row r="44016" spans="1:1">
      <c r="A44016" s="56"/>
    </row>
    <row r="44017" spans="1:1">
      <c r="A44017" s="56"/>
    </row>
    <row r="44018" spans="1:1">
      <c r="A44018" s="56"/>
    </row>
    <row r="44019" spans="1:1">
      <c r="A44019" s="56"/>
    </row>
    <row r="44020" spans="1:1">
      <c r="A44020" s="56"/>
    </row>
    <row r="44021" spans="1:1">
      <c r="A44021" s="56"/>
    </row>
    <row r="44022" spans="1:1">
      <c r="A44022" s="56"/>
    </row>
    <row r="44023" spans="1:1">
      <c r="A44023" s="56"/>
    </row>
    <row r="44024" spans="1:1">
      <c r="A44024" s="56"/>
    </row>
    <row r="44025" spans="1:1">
      <c r="A44025" s="56"/>
    </row>
    <row r="44026" spans="1:1">
      <c r="A44026" s="56"/>
    </row>
    <row r="44027" spans="1:1">
      <c r="A44027" s="56"/>
    </row>
    <row r="44028" spans="1:1">
      <c r="A44028" s="56"/>
    </row>
    <row r="44029" spans="1:1">
      <c r="A44029" s="56"/>
    </row>
    <row r="44030" spans="1:1">
      <c r="A44030" s="56"/>
    </row>
    <row r="44031" spans="1:1">
      <c r="A44031" s="56"/>
    </row>
    <row r="44032" spans="1:1">
      <c r="A44032" s="56"/>
    </row>
    <row r="44033" spans="1:1">
      <c r="A44033" s="56"/>
    </row>
    <row r="44034" spans="1:1">
      <c r="A44034" s="56"/>
    </row>
    <row r="44035" spans="1:1">
      <c r="A44035" s="56"/>
    </row>
    <row r="44036" spans="1:1">
      <c r="A44036" s="56"/>
    </row>
    <row r="44037" spans="1:1">
      <c r="A44037" s="56"/>
    </row>
    <row r="44038" spans="1:1">
      <c r="A44038" s="56"/>
    </row>
    <row r="44039" spans="1:1">
      <c r="A44039" s="56"/>
    </row>
    <row r="44040" spans="1:1">
      <c r="A44040" s="56"/>
    </row>
    <row r="44041" spans="1:1">
      <c r="A44041" s="56"/>
    </row>
    <row r="44042" spans="1:1">
      <c r="A44042" s="56"/>
    </row>
    <row r="44043" spans="1:1">
      <c r="A44043" s="56"/>
    </row>
    <row r="44044" spans="1:1">
      <c r="A44044" s="56"/>
    </row>
    <row r="44045" spans="1:1">
      <c r="A44045" s="56"/>
    </row>
    <row r="44046" spans="1:1">
      <c r="A44046" s="56"/>
    </row>
    <row r="44047" spans="1:1">
      <c r="A44047" s="56"/>
    </row>
    <row r="44048" spans="1:1">
      <c r="A44048" s="56"/>
    </row>
    <row r="44049" spans="1:1">
      <c r="A44049" s="56"/>
    </row>
    <row r="44050" spans="1:1">
      <c r="A44050" s="56"/>
    </row>
    <row r="44051" spans="1:1">
      <c r="A44051" s="56"/>
    </row>
    <row r="44052" spans="1:1">
      <c r="A44052" s="56"/>
    </row>
    <row r="44053" spans="1:1">
      <c r="A44053" s="56"/>
    </row>
    <row r="44054" spans="1:1">
      <c r="A44054" s="56"/>
    </row>
    <row r="44055" spans="1:1">
      <c r="A44055" s="56"/>
    </row>
    <row r="44056" spans="1:1">
      <c r="A44056" s="56"/>
    </row>
    <row r="44057" spans="1:1">
      <c r="A44057" s="56"/>
    </row>
    <row r="44058" spans="1:1">
      <c r="A44058" s="56"/>
    </row>
    <row r="44059" spans="1:1">
      <c r="A44059" s="56"/>
    </row>
    <row r="44060" spans="1:1">
      <c r="A44060" s="56"/>
    </row>
    <row r="44061" spans="1:1">
      <c r="A44061" s="56"/>
    </row>
    <row r="44062" spans="1:1">
      <c r="A44062" s="56"/>
    </row>
    <row r="44063" spans="1:1">
      <c r="A44063" s="56"/>
    </row>
    <row r="44064" spans="1:1">
      <c r="A44064" s="56"/>
    </row>
    <row r="44065" spans="1:1">
      <c r="A44065" s="56"/>
    </row>
    <row r="44066" spans="1:1">
      <c r="A44066" s="56"/>
    </row>
    <row r="44067" spans="1:1">
      <c r="A44067" s="56"/>
    </row>
    <row r="44068" spans="1:1">
      <c r="A44068" s="56"/>
    </row>
    <row r="44069" spans="1:1">
      <c r="A44069" s="56"/>
    </row>
    <row r="44070" spans="1:1">
      <c r="A44070" s="56"/>
    </row>
    <row r="44071" spans="1:1">
      <c r="A44071" s="56"/>
    </row>
    <row r="44072" spans="1:1">
      <c r="A44072" s="56"/>
    </row>
    <row r="44073" spans="1:1">
      <c r="A44073" s="56"/>
    </row>
    <row r="44074" spans="1:1">
      <c r="A44074" s="56"/>
    </row>
    <row r="44075" spans="1:1">
      <c r="A44075" s="56"/>
    </row>
    <row r="44076" spans="1:1">
      <c r="A44076" s="56"/>
    </row>
    <row r="44077" spans="1:1">
      <c r="A44077" s="56"/>
    </row>
    <row r="44078" spans="1:1">
      <c r="A44078" s="56"/>
    </row>
    <row r="44079" spans="1:1">
      <c r="A44079" s="56"/>
    </row>
    <row r="44080" spans="1:1">
      <c r="A44080" s="56"/>
    </row>
    <row r="44081" spans="1:1">
      <c r="A44081" s="56"/>
    </row>
    <row r="44082" spans="1:1">
      <c r="A44082" s="56"/>
    </row>
    <row r="44083" spans="1:1">
      <c r="A44083" s="56"/>
    </row>
    <row r="44084" spans="1:1">
      <c r="A44084" s="56"/>
    </row>
    <row r="44085" spans="1:1">
      <c r="A44085" s="56"/>
    </row>
    <row r="44086" spans="1:1">
      <c r="A44086" s="56"/>
    </row>
    <row r="44087" spans="1:1">
      <c r="A44087" s="56"/>
    </row>
    <row r="44088" spans="1:1">
      <c r="A44088" s="56"/>
    </row>
    <row r="44089" spans="1:1">
      <c r="A44089" s="56"/>
    </row>
    <row r="44090" spans="1:1">
      <c r="A44090" s="56"/>
    </row>
    <row r="44091" spans="1:1">
      <c r="A44091" s="56"/>
    </row>
    <row r="44092" spans="1:1">
      <c r="A44092" s="56"/>
    </row>
    <row r="44093" spans="1:1">
      <c r="A44093" s="56"/>
    </row>
    <row r="44094" spans="1:1">
      <c r="A44094" s="56"/>
    </row>
    <row r="44095" spans="1:1">
      <c r="A44095" s="56"/>
    </row>
    <row r="44096" spans="1:1">
      <c r="A44096" s="56"/>
    </row>
    <row r="44097" spans="1:1">
      <c r="A44097" s="56"/>
    </row>
    <row r="44098" spans="1:1">
      <c r="A44098" s="56"/>
    </row>
    <row r="44099" spans="1:1">
      <c r="A44099" s="56"/>
    </row>
    <row r="44100" spans="1:1">
      <c r="A44100" s="56"/>
    </row>
    <row r="44101" spans="1:1">
      <c r="A44101" s="56"/>
    </row>
    <row r="44102" spans="1:1">
      <c r="A44102" s="56"/>
    </row>
    <row r="44103" spans="1:1">
      <c r="A44103" s="56"/>
    </row>
    <row r="44104" spans="1:1">
      <c r="A44104" s="56"/>
    </row>
    <row r="44105" spans="1:1">
      <c r="A44105" s="56"/>
    </row>
    <row r="44106" spans="1:1">
      <c r="A44106" s="56"/>
    </row>
    <row r="44107" spans="1:1">
      <c r="A44107" s="56"/>
    </row>
    <row r="44108" spans="1:1">
      <c r="A44108" s="56"/>
    </row>
    <row r="44109" spans="1:1">
      <c r="A44109" s="56"/>
    </row>
    <row r="44110" spans="1:1">
      <c r="A44110" s="56"/>
    </row>
    <row r="44111" spans="1:1">
      <c r="A44111" s="56"/>
    </row>
    <row r="44112" spans="1:1">
      <c r="A44112" s="56"/>
    </row>
    <row r="44113" spans="1:1">
      <c r="A44113" s="56"/>
    </row>
    <row r="44114" spans="1:1">
      <c r="A44114" s="56"/>
    </row>
    <row r="44115" spans="1:1">
      <c r="A44115" s="56"/>
    </row>
    <row r="44116" spans="1:1">
      <c r="A44116" s="56"/>
    </row>
    <row r="44117" spans="1:1">
      <c r="A44117" s="56"/>
    </row>
    <row r="44118" spans="1:1">
      <c r="A44118" s="56"/>
    </row>
    <row r="44119" spans="1:1">
      <c r="A44119" s="56"/>
    </row>
    <row r="44120" spans="1:1">
      <c r="A44120" s="56"/>
    </row>
    <row r="44121" spans="1:1">
      <c r="A44121" s="56"/>
    </row>
    <row r="44122" spans="1:1">
      <c r="A44122" s="56"/>
    </row>
    <row r="44123" spans="1:1">
      <c r="A44123" s="56"/>
    </row>
    <row r="44124" spans="1:1">
      <c r="A44124" s="56"/>
    </row>
    <row r="44125" spans="1:1">
      <c r="A44125" s="56"/>
    </row>
    <row r="44126" spans="1:1">
      <c r="A44126" s="56"/>
    </row>
    <row r="44127" spans="1:1">
      <c r="A44127" s="56"/>
    </row>
    <row r="44128" spans="1:1">
      <c r="A44128" s="56"/>
    </row>
    <row r="44129" spans="1:1">
      <c r="A44129" s="56"/>
    </row>
    <row r="44130" spans="1:1">
      <c r="A44130" s="56"/>
    </row>
    <row r="44131" spans="1:1">
      <c r="A44131" s="56"/>
    </row>
    <row r="44132" spans="1:1">
      <c r="A44132" s="56"/>
    </row>
    <row r="44133" spans="1:1">
      <c r="A44133" s="56"/>
    </row>
    <row r="44134" spans="1:1">
      <c r="A44134" s="56"/>
    </row>
    <row r="44135" spans="1:1">
      <c r="A44135" s="56"/>
    </row>
    <row r="44136" spans="1:1">
      <c r="A44136" s="56"/>
    </row>
    <row r="44137" spans="1:1">
      <c r="A44137" s="56"/>
    </row>
    <row r="44138" spans="1:1">
      <c r="A44138" s="56"/>
    </row>
    <row r="44139" spans="1:1">
      <c r="A44139" s="56"/>
    </row>
    <row r="44140" spans="1:1">
      <c r="A44140" s="56"/>
    </row>
    <row r="44141" spans="1:1">
      <c r="A44141" s="56"/>
    </row>
    <row r="44142" spans="1:1">
      <c r="A44142" s="56"/>
    </row>
    <row r="44143" spans="1:1">
      <c r="A44143" s="56"/>
    </row>
    <row r="44144" spans="1:1">
      <c r="A44144" s="56"/>
    </row>
    <row r="44145" spans="1:1">
      <c r="A44145" s="56"/>
    </row>
    <row r="44146" spans="1:1">
      <c r="A44146" s="56"/>
    </row>
    <row r="44147" spans="1:1">
      <c r="A44147" s="56"/>
    </row>
    <row r="44148" spans="1:1">
      <c r="A44148" s="56"/>
    </row>
    <row r="44149" spans="1:1">
      <c r="A44149" s="56"/>
    </row>
    <row r="44150" spans="1:1">
      <c r="A44150" s="56"/>
    </row>
    <row r="44151" spans="1:1">
      <c r="A44151" s="56"/>
    </row>
    <row r="44152" spans="1:1">
      <c r="A44152" s="56"/>
    </row>
    <row r="44153" spans="1:1">
      <c r="A44153" s="56"/>
    </row>
    <row r="44154" spans="1:1">
      <c r="A44154" s="56"/>
    </row>
    <row r="44155" spans="1:1">
      <c r="A44155" s="56"/>
    </row>
    <row r="44156" spans="1:1">
      <c r="A44156" s="56"/>
    </row>
    <row r="44157" spans="1:1">
      <c r="A44157" s="56"/>
    </row>
    <row r="44158" spans="1:1">
      <c r="A44158" s="56"/>
    </row>
    <row r="44159" spans="1:1">
      <c r="A44159" s="56"/>
    </row>
    <row r="44160" spans="1:1">
      <c r="A44160" s="56"/>
    </row>
    <row r="44161" spans="1:1">
      <c r="A44161" s="56"/>
    </row>
    <row r="44162" spans="1:1">
      <c r="A44162" s="56"/>
    </row>
    <row r="44163" spans="1:1">
      <c r="A44163" s="56"/>
    </row>
    <row r="44164" spans="1:1">
      <c r="A44164" s="56"/>
    </row>
    <row r="44165" spans="1:1">
      <c r="A44165" s="56"/>
    </row>
    <row r="44166" spans="1:1">
      <c r="A44166" s="56"/>
    </row>
    <row r="44167" spans="1:1">
      <c r="A44167" s="56"/>
    </row>
    <row r="44168" spans="1:1">
      <c r="A44168" s="56"/>
    </row>
    <row r="44169" spans="1:1">
      <c r="A44169" s="56"/>
    </row>
    <row r="44170" spans="1:1">
      <c r="A44170" s="56"/>
    </row>
    <row r="44171" spans="1:1">
      <c r="A44171" s="56"/>
    </row>
    <row r="44172" spans="1:1">
      <c r="A44172" s="56"/>
    </row>
    <row r="44173" spans="1:1">
      <c r="A44173" s="56"/>
    </row>
    <row r="44174" spans="1:1">
      <c r="A44174" s="56"/>
    </row>
    <row r="44175" spans="1:1">
      <c r="A44175" s="56"/>
    </row>
    <row r="44176" spans="1:1">
      <c r="A44176" s="56"/>
    </row>
    <row r="44177" spans="1:1">
      <c r="A44177" s="56"/>
    </row>
    <row r="44178" spans="1:1">
      <c r="A44178" s="56"/>
    </row>
    <row r="44179" spans="1:1">
      <c r="A44179" s="56"/>
    </row>
    <row r="44180" spans="1:1">
      <c r="A44180" s="56"/>
    </row>
    <row r="44181" spans="1:1">
      <c r="A44181" s="56"/>
    </row>
    <row r="44182" spans="1:1">
      <c r="A44182" s="56"/>
    </row>
    <row r="44183" spans="1:1">
      <c r="A44183" s="56"/>
    </row>
    <row r="44184" spans="1:1">
      <c r="A44184" s="56"/>
    </row>
    <row r="44185" spans="1:1">
      <c r="A44185" s="56"/>
    </row>
    <row r="44186" spans="1:1">
      <c r="A44186" s="56"/>
    </row>
    <row r="44187" spans="1:1">
      <c r="A44187" s="56"/>
    </row>
    <row r="44188" spans="1:1">
      <c r="A44188" s="56"/>
    </row>
    <row r="44189" spans="1:1">
      <c r="A44189" s="56"/>
    </row>
    <row r="44190" spans="1:1">
      <c r="A44190" s="56"/>
    </row>
    <row r="44191" spans="1:1">
      <c r="A44191" s="56"/>
    </row>
    <row r="44192" spans="1:1">
      <c r="A44192" s="56"/>
    </row>
    <row r="44193" spans="1:1">
      <c r="A44193" s="56"/>
    </row>
    <row r="44194" spans="1:1">
      <c r="A44194" s="56"/>
    </row>
    <row r="44195" spans="1:1">
      <c r="A44195" s="56"/>
    </row>
    <row r="44196" spans="1:1">
      <c r="A44196" s="56"/>
    </row>
    <row r="44197" spans="1:1">
      <c r="A44197" s="56"/>
    </row>
    <row r="44198" spans="1:1">
      <c r="A44198" s="56"/>
    </row>
    <row r="44199" spans="1:1">
      <c r="A44199" s="56"/>
    </row>
    <row r="44200" spans="1:1">
      <c r="A44200" s="56"/>
    </row>
    <row r="44201" spans="1:1">
      <c r="A44201" s="56"/>
    </row>
    <row r="44202" spans="1:1">
      <c r="A44202" s="56"/>
    </row>
    <row r="44203" spans="1:1">
      <c r="A44203" s="56"/>
    </row>
    <row r="44204" spans="1:1">
      <c r="A44204" s="56"/>
    </row>
    <row r="44205" spans="1:1">
      <c r="A44205" s="56"/>
    </row>
    <row r="44206" spans="1:1">
      <c r="A44206" s="56"/>
    </row>
    <row r="44207" spans="1:1">
      <c r="A44207" s="56"/>
    </row>
    <row r="44208" spans="1:1">
      <c r="A44208" s="56"/>
    </row>
    <row r="44209" spans="1:1">
      <c r="A44209" s="56"/>
    </row>
    <row r="44210" spans="1:1">
      <c r="A44210" s="56"/>
    </row>
    <row r="44211" spans="1:1">
      <c r="A44211" s="56"/>
    </row>
    <row r="44212" spans="1:1">
      <c r="A44212" s="56"/>
    </row>
    <row r="44213" spans="1:1">
      <c r="A44213" s="56"/>
    </row>
    <row r="44214" spans="1:1">
      <c r="A44214" s="56"/>
    </row>
    <row r="44215" spans="1:1">
      <c r="A44215" s="56"/>
    </row>
    <row r="44216" spans="1:1">
      <c r="A44216" s="56"/>
    </row>
    <row r="44217" spans="1:1">
      <c r="A44217" s="56"/>
    </row>
    <row r="44218" spans="1:1">
      <c r="A44218" s="56"/>
    </row>
    <row r="44219" spans="1:1">
      <c r="A44219" s="56"/>
    </row>
    <row r="44220" spans="1:1">
      <c r="A44220" s="56"/>
    </row>
    <row r="44221" spans="1:1">
      <c r="A44221" s="56"/>
    </row>
    <row r="44222" spans="1:1">
      <c r="A44222" s="56"/>
    </row>
    <row r="44223" spans="1:1">
      <c r="A44223" s="56"/>
    </row>
    <row r="44224" spans="1:1">
      <c r="A44224" s="56"/>
    </row>
    <row r="44225" spans="1:1">
      <c r="A44225" s="56"/>
    </row>
    <row r="44226" spans="1:1">
      <c r="A44226" s="56"/>
    </row>
    <row r="44227" spans="1:1">
      <c r="A44227" s="56"/>
    </row>
    <row r="44228" spans="1:1">
      <c r="A44228" s="56"/>
    </row>
    <row r="44229" spans="1:1">
      <c r="A44229" s="56"/>
    </row>
    <row r="44230" spans="1:1">
      <c r="A44230" s="56"/>
    </row>
    <row r="44231" spans="1:1">
      <c r="A44231" s="56"/>
    </row>
    <row r="44232" spans="1:1">
      <c r="A44232" s="56"/>
    </row>
    <row r="44233" spans="1:1">
      <c r="A44233" s="56"/>
    </row>
    <row r="44234" spans="1:1">
      <c r="A44234" s="56"/>
    </row>
    <row r="44235" spans="1:1">
      <c r="A44235" s="56"/>
    </row>
    <row r="44236" spans="1:1">
      <c r="A44236" s="56"/>
    </row>
    <row r="44237" spans="1:1">
      <c r="A44237" s="56"/>
    </row>
    <row r="44238" spans="1:1">
      <c r="A44238" s="56"/>
    </row>
    <row r="44239" spans="1:1">
      <c r="A44239" s="56"/>
    </row>
    <row r="44240" spans="1:1">
      <c r="A44240" s="56"/>
    </row>
    <row r="44241" spans="1:1">
      <c r="A44241" s="56"/>
    </row>
    <row r="44242" spans="1:1">
      <c r="A44242" s="56"/>
    </row>
    <row r="44243" spans="1:1">
      <c r="A44243" s="56"/>
    </row>
    <row r="44244" spans="1:1">
      <c r="A44244" s="56"/>
    </row>
    <row r="44245" spans="1:1">
      <c r="A44245" s="56"/>
    </row>
    <row r="44246" spans="1:1">
      <c r="A44246" s="56"/>
    </row>
    <row r="44247" spans="1:1">
      <c r="A44247" s="56"/>
    </row>
    <row r="44248" spans="1:1">
      <c r="A44248" s="56"/>
    </row>
    <row r="44249" spans="1:1">
      <c r="A44249" s="56"/>
    </row>
    <row r="44250" spans="1:1">
      <c r="A44250" s="56"/>
    </row>
    <row r="44251" spans="1:1">
      <c r="A44251" s="56"/>
    </row>
    <row r="44252" spans="1:1">
      <c r="A44252" s="56"/>
    </row>
    <row r="44253" spans="1:1">
      <c r="A44253" s="56"/>
    </row>
    <row r="44254" spans="1:1">
      <c r="A44254" s="56"/>
    </row>
    <row r="44255" spans="1:1">
      <c r="A44255" s="56"/>
    </row>
    <row r="44256" spans="1:1">
      <c r="A44256" s="56"/>
    </row>
    <row r="44257" spans="1:1">
      <c r="A44257" s="56"/>
    </row>
    <row r="44258" spans="1:1">
      <c r="A44258" s="56"/>
    </row>
    <row r="44259" spans="1:1">
      <c r="A44259" s="56"/>
    </row>
    <row r="44260" spans="1:1">
      <c r="A44260" s="56"/>
    </row>
    <row r="44261" spans="1:1">
      <c r="A44261" s="56"/>
    </row>
    <row r="44262" spans="1:1">
      <c r="A44262" s="56"/>
    </row>
    <row r="44263" spans="1:1">
      <c r="A44263" s="56"/>
    </row>
    <row r="44264" spans="1:1">
      <c r="A44264" s="56"/>
    </row>
    <row r="44265" spans="1:1">
      <c r="A44265" s="56"/>
    </row>
    <row r="44266" spans="1:1">
      <c r="A44266" s="56"/>
    </row>
    <row r="44267" spans="1:1">
      <c r="A44267" s="56"/>
    </row>
    <row r="44268" spans="1:1">
      <c r="A44268" s="56"/>
    </row>
    <row r="44269" spans="1:1">
      <c r="A44269" s="56"/>
    </row>
    <row r="44270" spans="1:1">
      <c r="A44270" s="56"/>
    </row>
    <row r="44271" spans="1:1">
      <c r="A44271" s="56"/>
    </row>
    <row r="44272" spans="1:1">
      <c r="A44272" s="56"/>
    </row>
    <row r="44273" spans="1:1">
      <c r="A44273" s="56"/>
    </row>
    <row r="44274" spans="1:1">
      <c r="A44274" s="56"/>
    </row>
    <row r="44275" spans="1:1">
      <c r="A44275" s="56"/>
    </row>
    <row r="44276" spans="1:1">
      <c r="A44276" s="56"/>
    </row>
    <row r="44277" spans="1:1">
      <c r="A44277" s="56"/>
    </row>
    <row r="44278" spans="1:1">
      <c r="A44278" s="56"/>
    </row>
    <row r="44279" spans="1:1">
      <c r="A44279" s="56"/>
    </row>
    <row r="44280" spans="1:1">
      <c r="A44280" s="56"/>
    </row>
    <row r="44281" spans="1:1">
      <c r="A44281" s="56"/>
    </row>
    <row r="44282" spans="1:1">
      <c r="A44282" s="56"/>
    </row>
    <row r="44283" spans="1:1">
      <c r="A44283" s="56"/>
    </row>
    <row r="44284" spans="1:1">
      <c r="A44284" s="56"/>
    </row>
    <row r="44285" spans="1:1">
      <c r="A44285" s="56"/>
    </row>
    <row r="44286" spans="1:1">
      <c r="A44286" s="56"/>
    </row>
    <row r="44287" spans="1:1">
      <c r="A44287" s="56"/>
    </row>
    <row r="44288" spans="1:1">
      <c r="A44288" s="56"/>
    </row>
    <row r="44289" spans="1:1">
      <c r="A44289" s="56"/>
    </row>
    <row r="44290" spans="1:1">
      <c r="A44290" s="56"/>
    </row>
    <row r="44291" spans="1:1">
      <c r="A44291" s="56"/>
    </row>
    <row r="44292" spans="1:1">
      <c r="A44292" s="56"/>
    </row>
    <row r="44293" spans="1:1">
      <c r="A44293" s="56"/>
    </row>
    <row r="44294" spans="1:1">
      <c r="A44294" s="56"/>
    </row>
    <row r="44295" spans="1:1">
      <c r="A44295" s="56"/>
    </row>
    <row r="44296" spans="1:1">
      <c r="A44296" s="56"/>
    </row>
    <row r="44297" spans="1:1">
      <c r="A44297" s="56"/>
    </row>
    <row r="44298" spans="1:1">
      <c r="A44298" s="56"/>
    </row>
    <row r="44299" spans="1:1">
      <c r="A44299" s="56"/>
    </row>
    <row r="44300" spans="1:1">
      <c r="A44300" s="56"/>
    </row>
    <row r="44301" spans="1:1">
      <c r="A44301" s="56"/>
    </row>
    <row r="44302" spans="1:1">
      <c r="A44302" s="56"/>
    </row>
    <row r="44303" spans="1:1">
      <c r="A44303" s="56"/>
    </row>
    <row r="44304" spans="1:1">
      <c r="A44304" s="56"/>
    </row>
    <row r="44305" spans="1:1">
      <c r="A44305" s="56"/>
    </row>
    <row r="44306" spans="1:1">
      <c r="A44306" s="56"/>
    </row>
    <row r="44307" spans="1:1">
      <c r="A44307" s="56"/>
    </row>
    <row r="44308" spans="1:1">
      <c r="A44308" s="56"/>
    </row>
    <row r="44309" spans="1:1">
      <c r="A44309" s="56"/>
    </row>
    <row r="44310" spans="1:1">
      <c r="A44310" s="56"/>
    </row>
    <row r="44311" spans="1:1">
      <c r="A44311" s="56"/>
    </row>
    <row r="44312" spans="1:1">
      <c r="A44312" s="56"/>
    </row>
    <row r="44313" spans="1:1">
      <c r="A44313" s="56"/>
    </row>
    <row r="44314" spans="1:1">
      <c r="A44314" s="56"/>
    </row>
    <row r="44315" spans="1:1">
      <c r="A44315" s="56"/>
    </row>
    <row r="44316" spans="1:1">
      <c r="A44316" s="56"/>
    </row>
    <row r="44317" spans="1:1">
      <c r="A44317" s="56"/>
    </row>
    <row r="44318" spans="1:1">
      <c r="A44318" s="56"/>
    </row>
    <row r="44319" spans="1:1">
      <c r="A44319" s="56"/>
    </row>
    <row r="44320" spans="1:1">
      <c r="A44320" s="56"/>
    </row>
    <row r="44321" spans="1:1">
      <c r="A44321" s="56"/>
    </row>
    <row r="44322" spans="1:1">
      <c r="A44322" s="56"/>
    </row>
    <row r="44323" spans="1:1">
      <c r="A44323" s="56"/>
    </row>
    <row r="44324" spans="1:1">
      <c r="A44324" s="56"/>
    </row>
    <row r="44325" spans="1:1">
      <c r="A44325" s="56"/>
    </row>
    <row r="44326" spans="1:1">
      <c r="A44326" s="56"/>
    </row>
    <row r="44327" spans="1:1">
      <c r="A44327" s="56"/>
    </row>
    <row r="44328" spans="1:1">
      <c r="A44328" s="56"/>
    </row>
    <row r="44329" spans="1:1">
      <c r="A44329" s="56"/>
    </row>
    <row r="44330" spans="1:1">
      <c r="A44330" s="56"/>
    </row>
    <row r="44331" spans="1:1">
      <c r="A44331" s="56"/>
    </row>
    <row r="44332" spans="1:1">
      <c r="A44332" s="56"/>
    </row>
    <row r="44333" spans="1:1">
      <c r="A44333" s="56"/>
    </row>
    <row r="44334" spans="1:1">
      <c r="A44334" s="56"/>
    </row>
    <row r="44335" spans="1:1">
      <c r="A44335" s="56"/>
    </row>
    <row r="44336" spans="1:1">
      <c r="A44336" s="56"/>
    </row>
    <row r="44337" spans="1:1">
      <c r="A44337" s="56"/>
    </row>
    <row r="44338" spans="1:1">
      <c r="A44338" s="56"/>
    </row>
    <row r="44339" spans="1:1">
      <c r="A44339" s="56"/>
    </row>
    <row r="44340" spans="1:1">
      <c r="A44340" s="56"/>
    </row>
    <row r="44341" spans="1:1">
      <c r="A44341" s="56"/>
    </row>
    <row r="44342" spans="1:1">
      <c r="A44342" s="56"/>
    </row>
    <row r="44343" spans="1:1">
      <c r="A44343" s="56"/>
    </row>
    <row r="44344" spans="1:1">
      <c r="A44344" s="56"/>
    </row>
    <row r="44345" spans="1:1">
      <c r="A44345" s="56"/>
    </row>
    <row r="44346" spans="1:1">
      <c r="A44346" s="56"/>
    </row>
    <row r="44347" spans="1:1">
      <c r="A44347" s="56"/>
    </row>
    <row r="44348" spans="1:1">
      <c r="A44348" s="56"/>
    </row>
    <row r="44349" spans="1:1">
      <c r="A44349" s="56"/>
    </row>
    <row r="44350" spans="1:1">
      <c r="A44350" s="56"/>
    </row>
    <row r="44351" spans="1:1">
      <c r="A44351" s="56"/>
    </row>
    <row r="44352" spans="1:1">
      <c r="A44352" s="56"/>
    </row>
    <row r="44353" spans="1:1">
      <c r="A44353" s="56"/>
    </row>
    <row r="44354" spans="1:1">
      <c r="A44354" s="56"/>
    </row>
    <row r="44355" spans="1:1">
      <c r="A44355" s="56"/>
    </row>
    <row r="44356" spans="1:1">
      <c r="A44356" s="56"/>
    </row>
    <row r="44357" spans="1:1">
      <c r="A44357" s="56"/>
    </row>
    <row r="44358" spans="1:1">
      <c r="A44358" s="56"/>
    </row>
    <row r="44359" spans="1:1">
      <c r="A44359" s="56"/>
    </row>
    <row r="44360" spans="1:1">
      <c r="A44360" s="56"/>
    </row>
    <row r="44361" spans="1:1">
      <c r="A44361" s="56"/>
    </row>
    <row r="44362" spans="1:1">
      <c r="A44362" s="56"/>
    </row>
    <row r="44363" spans="1:1">
      <c r="A44363" s="56"/>
    </row>
    <row r="44364" spans="1:1">
      <c r="A44364" s="56"/>
    </row>
    <row r="44365" spans="1:1">
      <c r="A44365" s="56"/>
    </row>
    <row r="44366" spans="1:1">
      <c r="A44366" s="56"/>
    </row>
    <row r="44367" spans="1:1">
      <c r="A44367" s="56"/>
    </row>
    <row r="44368" spans="1:1">
      <c r="A44368" s="56"/>
    </row>
    <row r="44369" spans="1:1">
      <c r="A44369" s="56"/>
    </row>
    <row r="44370" spans="1:1">
      <c r="A44370" s="56"/>
    </row>
    <row r="44371" spans="1:1">
      <c r="A44371" s="56"/>
    </row>
    <row r="44372" spans="1:1">
      <c r="A44372" s="56"/>
    </row>
    <row r="44373" spans="1:1">
      <c r="A44373" s="56"/>
    </row>
    <row r="44374" spans="1:1">
      <c r="A44374" s="56"/>
    </row>
    <row r="44375" spans="1:1">
      <c r="A44375" s="56"/>
    </row>
    <row r="44376" spans="1:1">
      <c r="A44376" s="56"/>
    </row>
    <row r="44377" spans="1:1">
      <c r="A44377" s="56"/>
    </row>
    <row r="44378" spans="1:1">
      <c r="A44378" s="56"/>
    </row>
    <row r="44379" spans="1:1">
      <c r="A44379" s="56"/>
    </row>
    <row r="44380" spans="1:1">
      <c r="A44380" s="56"/>
    </row>
    <row r="44381" spans="1:1">
      <c r="A44381" s="56"/>
    </row>
    <row r="44382" spans="1:1">
      <c r="A44382" s="56"/>
    </row>
    <row r="44383" spans="1:1">
      <c r="A44383" s="56"/>
    </row>
    <row r="44384" spans="1:1">
      <c r="A44384" s="56"/>
    </row>
    <row r="44385" spans="1:1">
      <c r="A44385" s="56"/>
    </row>
    <row r="44386" spans="1:1">
      <c r="A44386" s="56"/>
    </row>
    <row r="44387" spans="1:1">
      <c r="A44387" s="56"/>
    </row>
    <row r="44388" spans="1:1">
      <c r="A44388" s="56"/>
    </row>
    <row r="44389" spans="1:1">
      <c r="A44389" s="56"/>
    </row>
    <row r="44390" spans="1:1">
      <c r="A44390" s="56"/>
    </row>
    <row r="44391" spans="1:1">
      <c r="A44391" s="56"/>
    </row>
    <row r="44392" spans="1:1">
      <c r="A44392" s="56"/>
    </row>
    <row r="44393" spans="1:1">
      <c r="A44393" s="56"/>
    </row>
    <row r="44394" spans="1:1">
      <c r="A44394" s="56"/>
    </row>
    <row r="44395" spans="1:1">
      <c r="A44395" s="56"/>
    </row>
    <row r="44396" spans="1:1">
      <c r="A44396" s="56"/>
    </row>
    <row r="44397" spans="1:1">
      <c r="A44397" s="56"/>
    </row>
    <row r="44398" spans="1:1">
      <c r="A44398" s="56"/>
    </row>
    <row r="44399" spans="1:1">
      <c r="A44399" s="56"/>
    </row>
    <row r="44400" spans="1:1">
      <c r="A44400" s="56"/>
    </row>
    <row r="44401" spans="1:1">
      <c r="A44401" s="56"/>
    </row>
    <row r="44402" spans="1:1">
      <c r="A44402" s="56"/>
    </row>
    <row r="44403" spans="1:1">
      <c r="A44403" s="56"/>
    </row>
    <row r="44404" spans="1:1">
      <c r="A44404" s="56"/>
    </row>
    <row r="44405" spans="1:1">
      <c r="A44405" s="56"/>
    </row>
    <row r="44406" spans="1:1">
      <c r="A44406" s="56"/>
    </row>
    <row r="44407" spans="1:1">
      <c r="A44407" s="56"/>
    </row>
    <row r="44408" spans="1:1">
      <c r="A44408" s="56"/>
    </row>
    <row r="44409" spans="1:1">
      <c r="A44409" s="56"/>
    </row>
    <row r="44410" spans="1:1">
      <c r="A44410" s="56"/>
    </row>
    <row r="44411" spans="1:1">
      <c r="A44411" s="56"/>
    </row>
    <row r="44412" spans="1:1">
      <c r="A44412" s="56"/>
    </row>
    <row r="44413" spans="1:1">
      <c r="A44413" s="56"/>
    </row>
    <row r="44414" spans="1:1">
      <c r="A44414" s="56"/>
    </row>
    <row r="44415" spans="1:1">
      <c r="A44415" s="56"/>
    </row>
    <row r="44416" spans="1:1">
      <c r="A44416" s="56"/>
    </row>
    <row r="44417" spans="1:1">
      <c r="A44417" s="56"/>
    </row>
    <row r="44418" spans="1:1">
      <c r="A44418" s="56"/>
    </row>
    <row r="44419" spans="1:1">
      <c r="A44419" s="56"/>
    </row>
    <row r="44420" spans="1:1">
      <c r="A44420" s="56"/>
    </row>
    <row r="44421" spans="1:1">
      <c r="A44421" s="56"/>
    </row>
    <row r="44422" spans="1:1">
      <c r="A44422" s="56"/>
    </row>
    <row r="44423" spans="1:1">
      <c r="A44423" s="56"/>
    </row>
    <row r="44424" spans="1:1">
      <c r="A44424" s="56"/>
    </row>
    <row r="44425" spans="1:1">
      <c r="A44425" s="56"/>
    </row>
    <row r="44426" spans="1:1">
      <c r="A44426" s="56"/>
    </row>
    <row r="44427" spans="1:1">
      <c r="A44427" s="56"/>
    </row>
    <row r="44428" spans="1:1">
      <c r="A44428" s="56"/>
    </row>
    <row r="44429" spans="1:1">
      <c r="A44429" s="56"/>
    </row>
    <row r="44430" spans="1:1">
      <c r="A44430" s="56"/>
    </row>
    <row r="44431" spans="1:1">
      <c r="A44431" s="56"/>
    </row>
    <row r="44432" spans="1:1">
      <c r="A44432" s="56"/>
    </row>
    <row r="44433" spans="1:1">
      <c r="A44433" s="56"/>
    </row>
    <row r="44434" spans="1:1">
      <c r="A44434" s="56"/>
    </row>
    <row r="44435" spans="1:1">
      <c r="A44435" s="56"/>
    </row>
    <row r="44436" spans="1:1">
      <c r="A44436" s="56"/>
    </row>
    <row r="44437" spans="1:1">
      <c r="A44437" s="56"/>
    </row>
    <row r="44438" spans="1:1">
      <c r="A44438" s="56"/>
    </row>
    <row r="44439" spans="1:1">
      <c r="A44439" s="56"/>
    </row>
    <row r="44440" spans="1:1">
      <c r="A44440" s="56"/>
    </row>
    <row r="44441" spans="1:1">
      <c r="A44441" s="56"/>
    </row>
    <row r="44442" spans="1:1">
      <c r="A44442" s="56"/>
    </row>
    <row r="44443" spans="1:1">
      <c r="A44443" s="56"/>
    </row>
    <row r="44444" spans="1:1">
      <c r="A44444" s="56"/>
    </row>
    <row r="44445" spans="1:1">
      <c r="A44445" s="56"/>
    </row>
    <row r="44446" spans="1:1">
      <c r="A44446" s="56"/>
    </row>
    <row r="44447" spans="1:1">
      <c r="A44447" s="56"/>
    </row>
    <row r="44448" spans="1:1">
      <c r="A44448" s="56"/>
    </row>
    <row r="44449" spans="1:1">
      <c r="A44449" s="56"/>
    </row>
    <row r="44450" spans="1:1">
      <c r="A44450" s="56"/>
    </row>
    <row r="44451" spans="1:1">
      <c r="A44451" s="56"/>
    </row>
    <row r="44452" spans="1:1">
      <c r="A44452" s="56"/>
    </row>
    <row r="44453" spans="1:1">
      <c r="A44453" s="56"/>
    </row>
    <row r="44454" spans="1:1">
      <c r="A44454" s="56"/>
    </row>
    <row r="44455" spans="1:1">
      <c r="A44455" s="56"/>
    </row>
    <row r="44456" spans="1:1">
      <c r="A44456" s="56"/>
    </row>
    <row r="44457" spans="1:1">
      <c r="A44457" s="56"/>
    </row>
    <row r="44458" spans="1:1">
      <c r="A44458" s="56"/>
    </row>
    <row r="44459" spans="1:1">
      <c r="A44459" s="56"/>
    </row>
    <row r="44460" spans="1:1">
      <c r="A44460" s="56"/>
    </row>
    <row r="44461" spans="1:1">
      <c r="A44461" s="56"/>
    </row>
    <row r="44462" spans="1:1">
      <c r="A44462" s="56"/>
    </row>
    <row r="44463" spans="1:1">
      <c r="A44463" s="56"/>
    </row>
    <row r="44464" spans="1:1">
      <c r="A44464" s="56"/>
    </row>
    <row r="44465" spans="1:1">
      <c r="A44465" s="56"/>
    </row>
    <row r="44466" spans="1:1">
      <c r="A44466" s="56"/>
    </row>
    <row r="44467" spans="1:1">
      <c r="A44467" s="56"/>
    </row>
    <row r="44468" spans="1:1">
      <c r="A44468" s="56"/>
    </row>
    <row r="44469" spans="1:1">
      <c r="A44469" s="56"/>
    </row>
    <row r="44470" spans="1:1">
      <c r="A44470" s="56"/>
    </row>
    <row r="44471" spans="1:1">
      <c r="A44471" s="56"/>
    </row>
    <row r="44472" spans="1:1">
      <c r="A44472" s="56"/>
    </row>
    <row r="44473" spans="1:1">
      <c r="A44473" s="56"/>
    </row>
    <row r="44474" spans="1:1">
      <c r="A44474" s="56"/>
    </row>
    <row r="44475" spans="1:1">
      <c r="A44475" s="56"/>
    </row>
    <row r="44476" spans="1:1">
      <c r="A44476" s="56"/>
    </row>
    <row r="44477" spans="1:1">
      <c r="A44477" s="56"/>
    </row>
    <row r="44478" spans="1:1">
      <c r="A44478" s="56"/>
    </row>
    <row r="44479" spans="1:1">
      <c r="A44479" s="56"/>
    </row>
    <row r="44480" spans="1:1">
      <c r="A44480" s="56"/>
    </row>
    <row r="44481" spans="1:1">
      <c r="A44481" s="56"/>
    </row>
    <row r="44482" spans="1:1">
      <c r="A44482" s="56"/>
    </row>
    <row r="44483" spans="1:1">
      <c r="A44483" s="56"/>
    </row>
    <row r="44484" spans="1:1">
      <c r="A44484" s="56"/>
    </row>
    <row r="44485" spans="1:1">
      <c r="A44485" s="56"/>
    </row>
    <row r="44486" spans="1:1">
      <c r="A44486" s="56"/>
    </row>
    <row r="44487" spans="1:1">
      <c r="A44487" s="56"/>
    </row>
    <row r="44488" spans="1:1">
      <c r="A44488" s="56"/>
    </row>
    <row r="44489" spans="1:1">
      <c r="A44489" s="56"/>
    </row>
    <row r="44490" spans="1:1">
      <c r="A44490" s="56"/>
    </row>
    <row r="44491" spans="1:1">
      <c r="A44491" s="56"/>
    </row>
    <row r="44492" spans="1:1">
      <c r="A44492" s="56"/>
    </row>
    <row r="44493" spans="1:1">
      <c r="A44493" s="56"/>
    </row>
    <row r="44494" spans="1:1">
      <c r="A44494" s="56"/>
    </row>
    <row r="44495" spans="1:1">
      <c r="A44495" s="56"/>
    </row>
    <row r="44496" spans="1:1">
      <c r="A44496" s="56"/>
    </row>
    <row r="44497" spans="1:1">
      <c r="A44497" s="56"/>
    </row>
    <row r="44498" spans="1:1">
      <c r="A44498" s="56"/>
    </row>
    <row r="44499" spans="1:1">
      <c r="A44499" s="56"/>
    </row>
    <row r="44500" spans="1:1">
      <c r="A44500" s="56"/>
    </row>
    <row r="44501" spans="1:1">
      <c r="A44501" s="56"/>
    </row>
    <row r="44502" spans="1:1">
      <c r="A44502" s="56"/>
    </row>
    <row r="44503" spans="1:1">
      <c r="A44503" s="56"/>
    </row>
    <row r="44504" spans="1:1">
      <c r="A44504" s="56"/>
    </row>
    <row r="44505" spans="1:1">
      <c r="A44505" s="56"/>
    </row>
    <row r="44506" spans="1:1">
      <c r="A44506" s="56"/>
    </row>
    <row r="44507" spans="1:1">
      <c r="A44507" s="56"/>
    </row>
    <row r="44508" spans="1:1">
      <c r="A44508" s="56"/>
    </row>
    <row r="44509" spans="1:1">
      <c r="A44509" s="56"/>
    </row>
    <row r="44510" spans="1:1">
      <c r="A44510" s="56"/>
    </row>
    <row r="44511" spans="1:1">
      <c r="A44511" s="56"/>
    </row>
    <row r="44512" spans="1:1">
      <c r="A44512" s="56"/>
    </row>
    <row r="44513" spans="1:1">
      <c r="A44513" s="56"/>
    </row>
    <row r="44514" spans="1:1">
      <c r="A44514" s="56"/>
    </row>
    <row r="44515" spans="1:1">
      <c r="A44515" s="56"/>
    </row>
    <row r="44516" spans="1:1">
      <c r="A44516" s="56"/>
    </row>
    <row r="44517" spans="1:1">
      <c r="A44517" s="56"/>
    </row>
    <row r="44518" spans="1:1">
      <c r="A44518" s="56"/>
    </row>
    <row r="44519" spans="1:1">
      <c r="A44519" s="56"/>
    </row>
    <row r="44520" spans="1:1">
      <c r="A44520" s="56"/>
    </row>
    <row r="44521" spans="1:1">
      <c r="A44521" s="56"/>
    </row>
    <row r="44522" spans="1:1">
      <c r="A44522" s="56"/>
    </row>
    <row r="44523" spans="1:1">
      <c r="A44523" s="56"/>
    </row>
    <row r="44524" spans="1:1">
      <c r="A44524" s="56"/>
    </row>
    <row r="44525" spans="1:1">
      <c r="A44525" s="56"/>
    </row>
    <row r="44526" spans="1:1">
      <c r="A44526" s="56"/>
    </row>
    <row r="44527" spans="1:1">
      <c r="A44527" s="56"/>
    </row>
    <row r="44528" spans="1:1">
      <c r="A44528" s="56"/>
    </row>
    <row r="44529" spans="1:1">
      <c r="A44529" s="56"/>
    </row>
    <row r="44530" spans="1:1">
      <c r="A44530" s="56"/>
    </row>
    <row r="44531" spans="1:1">
      <c r="A44531" s="56"/>
    </row>
    <row r="44532" spans="1:1">
      <c r="A44532" s="56"/>
    </row>
    <row r="44533" spans="1:1">
      <c r="A44533" s="56"/>
    </row>
    <row r="44534" spans="1:1">
      <c r="A44534" s="56"/>
    </row>
    <row r="44535" spans="1:1">
      <c r="A44535" s="56"/>
    </row>
    <row r="44536" spans="1:1">
      <c r="A44536" s="56"/>
    </row>
    <row r="44537" spans="1:1">
      <c r="A44537" s="56"/>
    </row>
    <row r="44538" spans="1:1">
      <c r="A44538" s="56"/>
    </row>
    <row r="44539" spans="1:1">
      <c r="A44539" s="56"/>
    </row>
    <row r="44540" spans="1:1">
      <c r="A44540" s="56"/>
    </row>
    <row r="44541" spans="1:1">
      <c r="A44541" s="56"/>
    </row>
    <row r="44542" spans="1:1">
      <c r="A44542" s="56"/>
    </row>
    <row r="44543" spans="1:1">
      <c r="A44543" s="56"/>
    </row>
    <row r="44544" spans="1:1">
      <c r="A44544" s="56"/>
    </row>
    <row r="44545" spans="1:1">
      <c r="A44545" s="56"/>
    </row>
    <row r="44546" spans="1:1">
      <c r="A44546" s="56"/>
    </row>
    <row r="44547" spans="1:1">
      <c r="A44547" s="56"/>
    </row>
    <row r="44548" spans="1:1">
      <c r="A44548" s="56"/>
    </row>
    <row r="44549" spans="1:1">
      <c r="A44549" s="56"/>
    </row>
    <row r="44550" spans="1:1">
      <c r="A44550" s="56"/>
    </row>
    <row r="44551" spans="1:1">
      <c r="A44551" s="56"/>
    </row>
    <row r="44552" spans="1:1">
      <c r="A44552" s="56"/>
    </row>
    <row r="44553" spans="1:1">
      <c r="A44553" s="56"/>
    </row>
    <row r="44554" spans="1:1">
      <c r="A44554" s="56"/>
    </row>
    <row r="44555" spans="1:1">
      <c r="A44555" s="56"/>
    </row>
    <row r="44556" spans="1:1">
      <c r="A44556" s="56"/>
    </row>
    <row r="44557" spans="1:1">
      <c r="A44557" s="56"/>
    </row>
    <row r="44558" spans="1:1">
      <c r="A44558" s="56"/>
    </row>
    <row r="44559" spans="1:1">
      <c r="A44559" s="56"/>
    </row>
    <row r="44560" spans="1:1">
      <c r="A44560" s="56"/>
    </row>
    <row r="44561" spans="1:1">
      <c r="A44561" s="56"/>
    </row>
    <row r="44562" spans="1:1">
      <c r="A44562" s="56"/>
    </row>
    <row r="44563" spans="1:1">
      <c r="A44563" s="56"/>
    </row>
    <row r="44564" spans="1:1">
      <c r="A44564" s="56"/>
    </row>
    <row r="44565" spans="1:1">
      <c r="A44565" s="56"/>
    </row>
    <row r="44566" spans="1:1">
      <c r="A44566" s="56"/>
    </row>
    <row r="44567" spans="1:1">
      <c r="A44567" s="56"/>
    </row>
    <row r="44568" spans="1:1">
      <c r="A44568" s="56"/>
    </row>
    <row r="44569" spans="1:1">
      <c r="A44569" s="56"/>
    </row>
    <row r="44570" spans="1:1">
      <c r="A44570" s="56"/>
    </row>
    <row r="44571" spans="1:1">
      <c r="A44571" s="56"/>
    </row>
    <row r="44572" spans="1:1">
      <c r="A44572" s="56"/>
    </row>
    <row r="44573" spans="1:1">
      <c r="A44573" s="56"/>
    </row>
    <row r="44574" spans="1:1">
      <c r="A44574" s="56"/>
    </row>
    <row r="44575" spans="1:1">
      <c r="A44575" s="56"/>
    </row>
    <row r="44576" spans="1:1">
      <c r="A44576" s="56"/>
    </row>
    <row r="44577" spans="1:1">
      <c r="A44577" s="56"/>
    </row>
    <row r="44578" spans="1:1">
      <c r="A44578" s="56"/>
    </row>
    <row r="44579" spans="1:1">
      <c r="A44579" s="56"/>
    </row>
    <row r="44580" spans="1:1">
      <c r="A44580" s="56"/>
    </row>
    <row r="44581" spans="1:1">
      <c r="A44581" s="56"/>
    </row>
    <row r="44582" spans="1:1">
      <c r="A44582" s="56"/>
    </row>
    <row r="44583" spans="1:1">
      <c r="A44583" s="56"/>
    </row>
    <row r="44584" spans="1:1">
      <c r="A44584" s="56"/>
    </row>
    <row r="44585" spans="1:1">
      <c r="A44585" s="56"/>
    </row>
    <row r="44586" spans="1:1">
      <c r="A44586" s="56"/>
    </row>
    <row r="44587" spans="1:1">
      <c r="A44587" s="56"/>
    </row>
    <row r="44588" spans="1:1">
      <c r="A44588" s="56"/>
    </row>
    <row r="44589" spans="1:1">
      <c r="A44589" s="56"/>
    </row>
    <row r="44590" spans="1:1">
      <c r="A44590" s="56"/>
    </row>
    <row r="44591" spans="1:1">
      <c r="A44591" s="56"/>
    </row>
    <row r="44592" spans="1:1">
      <c r="A44592" s="56"/>
    </row>
    <row r="44593" spans="1:1">
      <c r="A44593" s="56"/>
    </row>
    <row r="44594" spans="1:1">
      <c r="A44594" s="56"/>
    </row>
    <row r="44595" spans="1:1">
      <c r="A44595" s="56"/>
    </row>
    <row r="44596" spans="1:1">
      <c r="A44596" s="56"/>
    </row>
    <row r="44597" spans="1:1">
      <c r="A44597" s="56"/>
    </row>
    <row r="44598" spans="1:1">
      <c r="A44598" s="56"/>
    </row>
    <row r="44599" spans="1:1">
      <c r="A44599" s="56"/>
    </row>
    <row r="44600" spans="1:1">
      <c r="A44600" s="56"/>
    </row>
    <row r="44601" spans="1:1">
      <c r="A44601" s="56"/>
    </row>
    <row r="44602" spans="1:1">
      <c r="A44602" s="56"/>
    </row>
    <row r="44603" spans="1:1">
      <c r="A44603" s="56"/>
    </row>
    <row r="44604" spans="1:1">
      <c r="A44604" s="56"/>
    </row>
    <row r="44605" spans="1:1">
      <c r="A44605" s="56"/>
    </row>
    <row r="44606" spans="1:1">
      <c r="A44606" s="56"/>
    </row>
    <row r="44607" spans="1:1">
      <c r="A44607" s="56"/>
    </row>
    <row r="44608" spans="1:1">
      <c r="A44608" s="56"/>
    </row>
    <row r="44609" spans="1:1">
      <c r="A44609" s="56"/>
    </row>
    <row r="44610" spans="1:1">
      <c r="A44610" s="56"/>
    </row>
    <row r="44611" spans="1:1">
      <c r="A44611" s="56"/>
    </row>
    <row r="44612" spans="1:1">
      <c r="A44612" s="56"/>
    </row>
    <row r="44613" spans="1:1">
      <c r="A44613" s="56"/>
    </row>
    <row r="44614" spans="1:1">
      <c r="A44614" s="56"/>
    </row>
    <row r="44615" spans="1:1">
      <c r="A44615" s="56"/>
    </row>
    <row r="44616" spans="1:1">
      <c r="A44616" s="56"/>
    </row>
    <row r="44617" spans="1:1">
      <c r="A44617" s="56"/>
    </row>
    <row r="44618" spans="1:1">
      <c r="A44618" s="56"/>
    </row>
    <row r="44619" spans="1:1">
      <c r="A44619" s="56"/>
    </row>
    <row r="44620" spans="1:1">
      <c r="A44620" s="56"/>
    </row>
    <row r="44621" spans="1:1">
      <c r="A44621" s="56"/>
    </row>
    <row r="44622" spans="1:1">
      <c r="A44622" s="56"/>
    </row>
    <row r="44623" spans="1:1">
      <c r="A44623" s="56"/>
    </row>
    <row r="44624" spans="1:1">
      <c r="A44624" s="56"/>
    </row>
    <row r="44625" spans="1:1">
      <c r="A44625" s="56"/>
    </row>
    <row r="44626" spans="1:1">
      <c r="A44626" s="56"/>
    </row>
    <row r="44627" spans="1:1">
      <c r="A44627" s="56"/>
    </row>
    <row r="44628" spans="1:1">
      <c r="A44628" s="56"/>
    </row>
    <row r="44629" spans="1:1">
      <c r="A44629" s="56"/>
    </row>
    <row r="44630" spans="1:1">
      <c r="A44630" s="56"/>
    </row>
    <row r="44631" spans="1:1">
      <c r="A44631" s="56"/>
    </row>
    <row r="44632" spans="1:1">
      <c r="A44632" s="56"/>
    </row>
    <row r="44633" spans="1:1">
      <c r="A44633" s="56"/>
    </row>
    <row r="44634" spans="1:1">
      <c r="A44634" s="56"/>
    </row>
    <row r="44635" spans="1:1">
      <c r="A44635" s="56"/>
    </row>
    <row r="44636" spans="1:1">
      <c r="A44636" s="56"/>
    </row>
    <row r="44637" spans="1:1">
      <c r="A44637" s="56"/>
    </row>
    <row r="44638" spans="1:1">
      <c r="A44638" s="56"/>
    </row>
    <row r="44639" spans="1:1">
      <c r="A44639" s="56"/>
    </row>
    <row r="44640" spans="1:1">
      <c r="A44640" s="56"/>
    </row>
    <row r="44641" spans="1:1">
      <c r="A44641" s="56"/>
    </row>
    <row r="44642" spans="1:1">
      <c r="A44642" s="56"/>
    </row>
    <row r="44643" spans="1:1">
      <c r="A44643" s="56"/>
    </row>
    <row r="44644" spans="1:1">
      <c r="A44644" s="56"/>
    </row>
    <row r="44645" spans="1:1">
      <c r="A44645" s="56"/>
    </row>
    <row r="44646" spans="1:1">
      <c r="A44646" s="56"/>
    </row>
    <row r="44647" spans="1:1">
      <c r="A44647" s="56"/>
    </row>
    <row r="44648" spans="1:1">
      <c r="A44648" s="56"/>
    </row>
    <row r="44649" spans="1:1">
      <c r="A44649" s="56"/>
    </row>
    <row r="44650" spans="1:1">
      <c r="A44650" s="56"/>
    </row>
    <row r="44651" spans="1:1">
      <c r="A44651" s="56"/>
    </row>
    <row r="44652" spans="1:1">
      <c r="A44652" s="56"/>
    </row>
    <row r="44653" spans="1:1">
      <c r="A44653" s="56"/>
    </row>
    <row r="44654" spans="1:1">
      <c r="A44654" s="56"/>
    </row>
    <row r="44655" spans="1:1">
      <c r="A44655" s="56"/>
    </row>
    <row r="44656" spans="1:1">
      <c r="A44656" s="56"/>
    </row>
    <row r="44657" spans="1:1">
      <c r="A44657" s="56"/>
    </row>
    <row r="44658" spans="1:1">
      <c r="A44658" s="56"/>
    </row>
    <row r="44659" spans="1:1">
      <c r="A44659" s="56"/>
    </row>
    <row r="44660" spans="1:1">
      <c r="A44660" s="56"/>
    </row>
    <row r="44661" spans="1:1">
      <c r="A44661" s="56"/>
    </row>
    <row r="44662" spans="1:1">
      <c r="A44662" s="56"/>
    </row>
    <row r="44663" spans="1:1">
      <c r="A44663" s="56"/>
    </row>
    <row r="44664" spans="1:1">
      <c r="A44664" s="56"/>
    </row>
    <row r="44665" spans="1:1">
      <c r="A44665" s="56"/>
    </row>
    <row r="44666" spans="1:1">
      <c r="A44666" s="56"/>
    </row>
    <row r="44667" spans="1:1">
      <c r="A44667" s="56"/>
    </row>
    <row r="44668" spans="1:1">
      <c r="A44668" s="56"/>
    </row>
    <row r="44669" spans="1:1">
      <c r="A44669" s="56"/>
    </row>
    <row r="44670" spans="1:1">
      <c r="A44670" s="56"/>
    </row>
    <row r="44671" spans="1:1">
      <c r="A44671" s="56"/>
    </row>
    <row r="44672" spans="1:1">
      <c r="A44672" s="56"/>
    </row>
    <row r="44673" spans="1:1">
      <c r="A44673" s="56"/>
    </row>
    <row r="44674" spans="1:1">
      <c r="A44674" s="56"/>
    </row>
    <row r="44675" spans="1:1">
      <c r="A44675" s="56"/>
    </row>
    <row r="44676" spans="1:1">
      <c r="A44676" s="56"/>
    </row>
    <row r="44677" spans="1:1">
      <c r="A44677" s="56"/>
    </row>
    <row r="44678" spans="1:1">
      <c r="A44678" s="56"/>
    </row>
    <row r="44679" spans="1:1">
      <c r="A44679" s="56"/>
    </row>
    <row r="44680" spans="1:1">
      <c r="A44680" s="56"/>
    </row>
    <row r="44681" spans="1:1">
      <c r="A44681" s="56"/>
    </row>
    <row r="44682" spans="1:1">
      <c r="A44682" s="56"/>
    </row>
    <row r="44683" spans="1:1">
      <c r="A44683" s="56"/>
    </row>
    <row r="44684" spans="1:1">
      <c r="A44684" s="56"/>
    </row>
    <row r="44685" spans="1:1">
      <c r="A44685" s="56"/>
    </row>
    <row r="44686" spans="1:1">
      <c r="A44686" s="56"/>
    </row>
    <row r="44687" spans="1:1">
      <c r="A44687" s="56"/>
    </row>
    <row r="44688" spans="1:1">
      <c r="A44688" s="56"/>
    </row>
    <row r="44689" spans="1:1">
      <c r="A44689" s="56"/>
    </row>
    <row r="44690" spans="1:1">
      <c r="A44690" s="56"/>
    </row>
    <row r="44691" spans="1:1">
      <c r="A44691" s="56"/>
    </row>
    <row r="44692" spans="1:1">
      <c r="A44692" s="56"/>
    </row>
    <row r="44693" spans="1:1">
      <c r="A44693" s="56"/>
    </row>
    <row r="44694" spans="1:1">
      <c r="A44694" s="56"/>
    </row>
    <row r="44695" spans="1:1">
      <c r="A44695" s="56"/>
    </row>
    <row r="44696" spans="1:1">
      <c r="A44696" s="56"/>
    </row>
    <row r="44697" spans="1:1">
      <c r="A44697" s="56"/>
    </row>
    <row r="44698" spans="1:1">
      <c r="A44698" s="56"/>
    </row>
    <row r="44699" spans="1:1">
      <c r="A44699" s="56"/>
    </row>
    <row r="44700" spans="1:1">
      <c r="A44700" s="56"/>
    </row>
    <row r="44701" spans="1:1">
      <c r="A44701" s="56"/>
    </row>
    <row r="44702" spans="1:1">
      <c r="A44702" s="56"/>
    </row>
    <row r="44703" spans="1:1">
      <c r="A44703" s="56"/>
    </row>
    <row r="44704" spans="1:1">
      <c r="A44704" s="56"/>
    </row>
    <row r="44705" spans="1:1">
      <c r="A44705" s="56"/>
    </row>
    <row r="44706" spans="1:1">
      <c r="A44706" s="56"/>
    </row>
    <row r="44707" spans="1:1">
      <c r="A44707" s="56"/>
    </row>
    <row r="44708" spans="1:1">
      <c r="A44708" s="56"/>
    </row>
    <row r="44709" spans="1:1">
      <c r="A44709" s="56"/>
    </row>
    <row r="44710" spans="1:1">
      <c r="A44710" s="56"/>
    </row>
    <row r="44711" spans="1:1">
      <c r="A44711" s="56"/>
    </row>
    <row r="44712" spans="1:1">
      <c r="A44712" s="56"/>
    </row>
    <row r="44713" spans="1:1">
      <c r="A44713" s="56"/>
    </row>
    <row r="44714" spans="1:1">
      <c r="A44714" s="56"/>
    </row>
    <row r="44715" spans="1:1">
      <c r="A44715" s="56"/>
    </row>
    <row r="44716" spans="1:1">
      <c r="A44716" s="56"/>
    </row>
    <row r="44717" spans="1:1">
      <c r="A44717" s="56"/>
    </row>
    <row r="44718" spans="1:1">
      <c r="A44718" s="56"/>
    </row>
    <row r="44719" spans="1:1">
      <c r="A44719" s="56"/>
    </row>
    <row r="44720" spans="1:1">
      <c r="A44720" s="56"/>
    </row>
    <row r="44721" spans="1:1">
      <c r="A44721" s="56"/>
    </row>
    <row r="44722" spans="1:1">
      <c r="A44722" s="56"/>
    </row>
    <row r="44723" spans="1:1">
      <c r="A44723" s="56"/>
    </row>
    <row r="44724" spans="1:1">
      <c r="A44724" s="56"/>
    </row>
    <row r="44725" spans="1:1">
      <c r="A44725" s="56"/>
    </row>
    <row r="44726" spans="1:1">
      <c r="A44726" s="56"/>
    </row>
    <row r="44727" spans="1:1">
      <c r="A44727" s="56"/>
    </row>
    <row r="44728" spans="1:1">
      <c r="A44728" s="56"/>
    </row>
    <row r="44729" spans="1:1">
      <c r="A44729" s="56"/>
    </row>
    <row r="44730" spans="1:1">
      <c r="A44730" s="56"/>
    </row>
    <row r="44731" spans="1:1">
      <c r="A44731" s="56"/>
    </row>
    <row r="44732" spans="1:1">
      <c r="A44732" s="56"/>
    </row>
    <row r="44733" spans="1:1">
      <c r="A44733" s="56"/>
    </row>
    <row r="44734" spans="1:1">
      <c r="A44734" s="56"/>
    </row>
    <row r="44735" spans="1:1">
      <c r="A44735" s="56"/>
    </row>
    <row r="44736" spans="1:1">
      <c r="A44736" s="56"/>
    </row>
    <row r="44737" spans="1:1">
      <c r="A44737" s="56"/>
    </row>
    <row r="44738" spans="1:1">
      <c r="A44738" s="56"/>
    </row>
    <row r="44739" spans="1:1">
      <c r="A44739" s="56"/>
    </row>
    <row r="44740" spans="1:1">
      <c r="A44740" s="56"/>
    </row>
    <row r="44741" spans="1:1">
      <c r="A44741" s="56"/>
    </row>
    <row r="44742" spans="1:1">
      <c r="A44742" s="56"/>
    </row>
    <row r="44743" spans="1:1">
      <c r="A44743" s="56"/>
    </row>
    <row r="44744" spans="1:1">
      <c r="A44744" s="56"/>
    </row>
    <row r="44745" spans="1:1">
      <c r="A44745" s="56"/>
    </row>
    <row r="44746" spans="1:1">
      <c r="A44746" s="56"/>
    </row>
    <row r="44747" spans="1:1">
      <c r="A44747" s="56"/>
    </row>
    <row r="44748" spans="1:1">
      <c r="A44748" s="56"/>
    </row>
    <row r="44749" spans="1:1">
      <c r="A44749" s="56"/>
    </row>
    <row r="44750" spans="1:1">
      <c r="A44750" s="56"/>
    </row>
    <row r="44751" spans="1:1">
      <c r="A44751" s="56"/>
    </row>
    <row r="44752" spans="1:1">
      <c r="A44752" s="56"/>
    </row>
    <row r="44753" spans="1:1">
      <c r="A44753" s="56"/>
    </row>
    <row r="44754" spans="1:1">
      <c r="A44754" s="56"/>
    </row>
    <row r="44755" spans="1:1">
      <c r="A44755" s="56"/>
    </row>
    <row r="44756" spans="1:1">
      <c r="A44756" s="56"/>
    </row>
    <row r="44757" spans="1:1">
      <c r="A44757" s="56"/>
    </row>
    <row r="44758" spans="1:1">
      <c r="A44758" s="56"/>
    </row>
    <row r="44759" spans="1:1">
      <c r="A44759" s="56"/>
    </row>
    <row r="44760" spans="1:1">
      <c r="A44760" s="56"/>
    </row>
    <row r="44761" spans="1:1">
      <c r="A44761" s="56"/>
    </row>
    <row r="44762" spans="1:1">
      <c r="A44762" s="56"/>
    </row>
    <row r="44763" spans="1:1">
      <c r="A44763" s="56"/>
    </row>
    <row r="44764" spans="1:1">
      <c r="A44764" s="56"/>
    </row>
    <row r="44765" spans="1:1">
      <c r="A44765" s="56"/>
    </row>
    <row r="44766" spans="1:1">
      <c r="A44766" s="56"/>
    </row>
    <row r="44767" spans="1:1">
      <c r="A44767" s="56"/>
    </row>
    <row r="44768" spans="1:1">
      <c r="A44768" s="56"/>
    </row>
    <row r="44769" spans="1:1">
      <c r="A44769" s="56"/>
    </row>
    <row r="44770" spans="1:1">
      <c r="A44770" s="56"/>
    </row>
    <row r="44771" spans="1:1">
      <c r="A44771" s="56"/>
    </row>
    <row r="44772" spans="1:1">
      <c r="A44772" s="56"/>
    </row>
    <row r="44773" spans="1:1">
      <c r="A44773" s="56"/>
    </row>
    <row r="44774" spans="1:1">
      <c r="A44774" s="56"/>
    </row>
    <row r="44775" spans="1:1">
      <c r="A44775" s="56"/>
    </row>
    <row r="44776" spans="1:1">
      <c r="A44776" s="56"/>
    </row>
    <row r="44777" spans="1:1">
      <c r="A44777" s="56"/>
    </row>
    <row r="44778" spans="1:1">
      <c r="A44778" s="56"/>
    </row>
    <row r="44779" spans="1:1">
      <c r="A44779" s="56"/>
    </row>
    <row r="44780" spans="1:1">
      <c r="A44780" s="56"/>
    </row>
    <row r="44781" spans="1:1">
      <c r="A44781" s="56"/>
    </row>
    <row r="44782" spans="1:1">
      <c r="A44782" s="56"/>
    </row>
    <row r="44783" spans="1:1">
      <c r="A44783" s="56"/>
    </row>
    <row r="44784" spans="1:1">
      <c r="A44784" s="56"/>
    </row>
    <row r="44785" spans="1:1">
      <c r="A44785" s="56"/>
    </row>
    <row r="44786" spans="1:1">
      <c r="A44786" s="56"/>
    </row>
    <row r="44787" spans="1:1">
      <c r="A44787" s="56"/>
    </row>
    <row r="44788" spans="1:1">
      <c r="A44788" s="56"/>
    </row>
    <row r="44789" spans="1:1">
      <c r="A44789" s="56"/>
    </row>
    <row r="44790" spans="1:1">
      <c r="A44790" s="56"/>
    </row>
    <row r="44791" spans="1:1">
      <c r="A44791" s="56"/>
    </row>
    <row r="44792" spans="1:1">
      <c r="A44792" s="56"/>
    </row>
    <row r="44793" spans="1:1">
      <c r="A44793" s="56"/>
    </row>
    <row r="44794" spans="1:1">
      <c r="A44794" s="56"/>
    </row>
    <row r="44795" spans="1:1">
      <c r="A44795" s="56"/>
    </row>
    <row r="44796" spans="1:1">
      <c r="A44796" s="56"/>
    </row>
    <row r="44797" spans="1:1">
      <c r="A44797" s="56"/>
    </row>
    <row r="44798" spans="1:1">
      <c r="A44798" s="56"/>
    </row>
    <row r="44799" spans="1:1">
      <c r="A44799" s="56"/>
    </row>
    <row r="44800" spans="1:1">
      <c r="A44800" s="56"/>
    </row>
    <row r="44801" spans="1:1">
      <c r="A44801" s="56"/>
    </row>
    <row r="44802" spans="1:1">
      <c r="A44802" s="56"/>
    </row>
    <row r="44803" spans="1:1">
      <c r="A44803" s="56"/>
    </row>
    <row r="44804" spans="1:1">
      <c r="A44804" s="56"/>
    </row>
    <row r="44805" spans="1:1">
      <c r="A44805" s="56"/>
    </row>
    <row r="44806" spans="1:1">
      <c r="A44806" s="56"/>
    </row>
    <row r="44807" spans="1:1">
      <c r="A44807" s="56"/>
    </row>
    <row r="44808" spans="1:1">
      <c r="A44808" s="56"/>
    </row>
    <row r="44809" spans="1:1">
      <c r="A44809" s="56"/>
    </row>
    <row r="44810" spans="1:1">
      <c r="A44810" s="56"/>
    </row>
    <row r="44811" spans="1:1">
      <c r="A44811" s="56"/>
    </row>
    <row r="44812" spans="1:1">
      <c r="A44812" s="56"/>
    </row>
    <row r="44813" spans="1:1">
      <c r="A44813" s="56"/>
    </row>
    <row r="44814" spans="1:1">
      <c r="A44814" s="56"/>
    </row>
    <row r="44815" spans="1:1">
      <c r="A44815" s="56"/>
    </row>
    <row r="44816" spans="1:1">
      <c r="A44816" s="56"/>
    </row>
    <row r="44817" spans="1:1">
      <c r="A44817" s="56"/>
    </row>
    <row r="44818" spans="1:1">
      <c r="A44818" s="56"/>
    </row>
    <row r="44819" spans="1:1">
      <c r="A44819" s="56"/>
    </row>
    <row r="44820" spans="1:1">
      <c r="A44820" s="56"/>
    </row>
    <row r="44821" spans="1:1">
      <c r="A44821" s="56"/>
    </row>
    <row r="44822" spans="1:1">
      <c r="A44822" s="56"/>
    </row>
    <row r="44823" spans="1:1">
      <c r="A44823" s="56"/>
    </row>
    <row r="44824" spans="1:1">
      <c r="A44824" s="56"/>
    </row>
    <row r="44825" spans="1:1">
      <c r="A44825" s="56"/>
    </row>
    <row r="44826" spans="1:1">
      <c r="A44826" s="56"/>
    </row>
    <row r="44827" spans="1:1">
      <c r="A44827" s="56"/>
    </row>
    <row r="44828" spans="1:1">
      <c r="A44828" s="56"/>
    </row>
    <row r="44829" spans="1:1">
      <c r="A44829" s="56"/>
    </row>
    <row r="44830" spans="1:1">
      <c r="A44830" s="56"/>
    </row>
    <row r="44831" spans="1:1">
      <c r="A44831" s="56"/>
    </row>
    <row r="44832" spans="1:1">
      <c r="A44832" s="56"/>
    </row>
    <row r="44833" spans="1:1">
      <c r="A44833" s="56"/>
    </row>
    <row r="44834" spans="1:1">
      <c r="A44834" s="56"/>
    </row>
    <row r="44835" spans="1:1">
      <c r="A44835" s="56"/>
    </row>
    <row r="44836" spans="1:1">
      <c r="A44836" s="56"/>
    </row>
    <row r="44837" spans="1:1">
      <c r="A44837" s="56"/>
    </row>
    <row r="44838" spans="1:1">
      <c r="A44838" s="56"/>
    </row>
    <row r="44839" spans="1:1">
      <c r="A44839" s="56"/>
    </row>
    <row r="44840" spans="1:1">
      <c r="A44840" s="56"/>
    </row>
    <row r="44841" spans="1:1">
      <c r="A44841" s="56"/>
    </row>
    <row r="44842" spans="1:1">
      <c r="A44842" s="56"/>
    </row>
    <row r="44843" spans="1:1">
      <c r="A44843" s="56"/>
    </row>
    <row r="44844" spans="1:1">
      <c r="A44844" s="56"/>
    </row>
    <row r="44845" spans="1:1">
      <c r="A44845" s="56"/>
    </row>
    <row r="44846" spans="1:1">
      <c r="A44846" s="56"/>
    </row>
    <row r="44847" spans="1:1">
      <c r="A44847" s="56"/>
    </row>
    <row r="44848" spans="1:1">
      <c r="A44848" s="56"/>
    </row>
    <row r="44849" spans="1:1">
      <c r="A44849" s="56"/>
    </row>
    <row r="44850" spans="1:1">
      <c r="A44850" s="56"/>
    </row>
    <row r="44851" spans="1:1">
      <c r="A44851" s="56"/>
    </row>
    <row r="44852" spans="1:1">
      <c r="A44852" s="56"/>
    </row>
    <row r="44853" spans="1:1">
      <c r="A44853" s="56"/>
    </row>
    <row r="44854" spans="1:1">
      <c r="A44854" s="56"/>
    </row>
    <row r="44855" spans="1:1">
      <c r="A44855" s="56"/>
    </row>
    <row r="44856" spans="1:1">
      <c r="A44856" s="56"/>
    </row>
    <row r="44857" spans="1:1">
      <c r="A44857" s="56"/>
    </row>
    <row r="44858" spans="1:1">
      <c r="A44858" s="56"/>
    </row>
    <row r="44859" spans="1:1">
      <c r="A44859" s="56"/>
    </row>
    <row r="44860" spans="1:1">
      <c r="A44860" s="56"/>
    </row>
    <row r="44861" spans="1:1">
      <c r="A44861" s="56"/>
    </row>
    <row r="44862" spans="1:1">
      <c r="A44862" s="56"/>
    </row>
    <row r="44863" spans="1:1">
      <c r="A44863" s="56"/>
    </row>
    <row r="44864" spans="1:1">
      <c r="A44864" s="56"/>
    </row>
    <row r="44865" spans="1:1">
      <c r="A44865" s="56"/>
    </row>
    <row r="44866" spans="1:1">
      <c r="A44866" s="56"/>
    </row>
    <row r="44867" spans="1:1">
      <c r="A44867" s="56"/>
    </row>
    <row r="44868" spans="1:1">
      <c r="A44868" s="56"/>
    </row>
    <row r="44869" spans="1:1">
      <c r="A44869" s="56"/>
    </row>
    <row r="44870" spans="1:1">
      <c r="A44870" s="56"/>
    </row>
    <row r="44871" spans="1:1">
      <c r="A44871" s="56"/>
    </row>
    <row r="44872" spans="1:1">
      <c r="A44872" s="56"/>
    </row>
    <row r="44873" spans="1:1">
      <c r="A44873" s="56"/>
    </row>
    <row r="44874" spans="1:1">
      <c r="A44874" s="56"/>
    </row>
    <row r="44875" spans="1:1">
      <c r="A44875" s="56"/>
    </row>
    <row r="44876" spans="1:1">
      <c r="A44876" s="56"/>
    </row>
    <row r="44877" spans="1:1">
      <c r="A44877" s="56"/>
    </row>
    <row r="44878" spans="1:1">
      <c r="A44878" s="56"/>
    </row>
    <row r="44879" spans="1:1">
      <c r="A44879" s="56"/>
    </row>
    <row r="44880" spans="1:1">
      <c r="A44880" s="56"/>
    </row>
    <row r="44881" spans="1:1">
      <c r="A44881" s="56"/>
    </row>
    <row r="44882" spans="1:1">
      <c r="A44882" s="56"/>
    </row>
    <row r="44883" spans="1:1">
      <c r="A44883" s="56"/>
    </row>
    <row r="44884" spans="1:1">
      <c r="A44884" s="56"/>
    </row>
    <row r="44885" spans="1:1">
      <c r="A44885" s="56"/>
    </row>
    <row r="44886" spans="1:1">
      <c r="A44886" s="56"/>
    </row>
    <row r="44887" spans="1:1">
      <c r="A44887" s="56"/>
    </row>
    <row r="44888" spans="1:1">
      <c r="A44888" s="56"/>
    </row>
    <row r="44889" spans="1:1">
      <c r="A44889" s="56"/>
    </row>
    <row r="44890" spans="1:1">
      <c r="A44890" s="56"/>
    </row>
    <row r="44891" spans="1:1">
      <c r="A44891" s="56"/>
    </row>
    <row r="44892" spans="1:1">
      <c r="A44892" s="56"/>
    </row>
    <row r="44893" spans="1:1">
      <c r="A44893" s="56"/>
    </row>
    <row r="44894" spans="1:1">
      <c r="A44894" s="56"/>
    </row>
    <row r="44895" spans="1:1">
      <c r="A44895" s="56"/>
    </row>
    <row r="44896" spans="1:1">
      <c r="A44896" s="56"/>
    </row>
    <row r="44897" spans="1:1">
      <c r="A44897" s="56"/>
    </row>
    <row r="44898" spans="1:1">
      <c r="A44898" s="56"/>
    </row>
    <row r="44899" spans="1:1">
      <c r="A44899" s="56"/>
    </row>
    <row r="44900" spans="1:1">
      <c r="A44900" s="56"/>
    </row>
    <row r="44901" spans="1:1">
      <c r="A44901" s="56"/>
    </row>
    <row r="44902" spans="1:1">
      <c r="A44902" s="56"/>
    </row>
    <row r="44903" spans="1:1">
      <c r="A44903" s="56"/>
    </row>
    <row r="44904" spans="1:1">
      <c r="A44904" s="56"/>
    </row>
    <row r="44905" spans="1:1">
      <c r="A44905" s="56"/>
    </row>
    <row r="44906" spans="1:1">
      <c r="A44906" s="56"/>
    </row>
    <row r="44907" spans="1:1">
      <c r="A44907" s="56"/>
    </row>
    <row r="44908" spans="1:1">
      <c r="A44908" s="56"/>
    </row>
    <row r="44909" spans="1:1">
      <c r="A44909" s="56"/>
    </row>
    <row r="44910" spans="1:1">
      <c r="A44910" s="56"/>
    </row>
    <row r="44911" spans="1:1">
      <c r="A44911" s="56"/>
    </row>
    <row r="44912" spans="1:1">
      <c r="A44912" s="56"/>
    </row>
    <row r="44913" spans="1:1">
      <c r="A44913" s="56"/>
    </row>
    <row r="44914" spans="1:1">
      <c r="A44914" s="56"/>
    </row>
    <row r="44915" spans="1:1">
      <c r="A44915" s="56"/>
    </row>
    <row r="44916" spans="1:1">
      <c r="A44916" s="56"/>
    </row>
    <row r="44917" spans="1:1">
      <c r="A44917" s="56"/>
    </row>
    <row r="44918" spans="1:1">
      <c r="A44918" s="56"/>
    </row>
    <row r="44919" spans="1:1">
      <c r="A44919" s="56"/>
    </row>
    <row r="44920" spans="1:1">
      <c r="A44920" s="56"/>
    </row>
    <row r="44921" spans="1:1">
      <c r="A44921" s="56"/>
    </row>
    <row r="44922" spans="1:1">
      <c r="A44922" s="56"/>
    </row>
    <row r="44923" spans="1:1">
      <c r="A44923" s="56"/>
    </row>
    <row r="44924" spans="1:1">
      <c r="A44924" s="56"/>
    </row>
    <row r="44925" spans="1:1">
      <c r="A44925" s="56"/>
    </row>
    <row r="44926" spans="1:1">
      <c r="A44926" s="56"/>
    </row>
    <row r="44927" spans="1:1">
      <c r="A44927" s="56"/>
    </row>
    <row r="44928" spans="1:1">
      <c r="A44928" s="56"/>
    </row>
    <row r="44929" spans="1:1">
      <c r="A44929" s="56"/>
    </row>
    <row r="44930" spans="1:1">
      <c r="A44930" s="56"/>
    </row>
    <row r="44931" spans="1:1">
      <c r="A44931" s="56"/>
    </row>
    <row r="44932" spans="1:1">
      <c r="A44932" s="56"/>
    </row>
    <row r="44933" spans="1:1">
      <c r="A44933" s="56"/>
    </row>
    <row r="44934" spans="1:1">
      <c r="A44934" s="56"/>
    </row>
    <row r="44935" spans="1:1">
      <c r="A44935" s="56"/>
    </row>
    <row r="44936" spans="1:1">
      <c r="A44936" s="56"/>
    </row>
    <row r="44937" spans="1:1">
      <c r="A44937" s="56"/>
    </row>
    <row r="44938" spans="1:1">
      <c r="A44938" s="56"/>
    </row>
    <row r="44939" spans="1:1">
      <c r="A44939" s="56"/>
    </row>
    <row r="44940" spans="1:1">
      <c r="A44940" s="56"/>
    </row>
    <row r="44941" spans="1:1">
      <c r="A44941" s="56"/>
    </row>
    <row r="44942" spans="1:1">
      <c r="A44942" s="56"/>
    </row>
    <row r="44943" spans="1:1">
      <c r="A44943" s="56"/>
    </row>
    <row r="44944" spans="1:1">
      <c r="A44944" s="56"/>
    </row>
    <row r="44945" spans="1:1">
      <c r="A44945" s="56"/>
    </row>
    <row r="44946" spans="1:1">
      <c r="A44946" s="56"/>
    </row>
    <row r="44947" spans="1:1">
      <c r="A44947" s="56"/>
    </row>
    <row r="44948" spans="1:1">
      <c r="A44948" s="56"/>
    </row>
    <row r="44949" spans="1:1">
      <c r="A44949" s="56"/>
    </row>
    <row r="44950" spans="1:1">
      <c r="A44950" s="56"/>
    </row>
    <row r="44951" spans="1:1">
      <c r="A44951" s="56"/>
    </row>
    <row r="44952" spans="1:1">
      <c r="A44952" s="56"/>
    </row>
    <row r="44953" spans="1:1">
      <c r="A44953" s="56"/>
    </row>
    <row r="44954" spans="1:1">
      <c r="A44954" s="56"/>
    </row>
    <row r="44955" spans="1:1">
      <c r="A44955" s="56"/>
    </row>
    <row r="44956" spans="1:1">
      <c r="A44956" s="56"/>
    </row>
    <row r="44957" spans="1:1">
      <c r="A44957" s="56"/>
    </row>
    <row r="44958" spans="1:1">
      <c r="A44958" s="56"/>
    </row>
    <row r="44959" spans="1:1">
      <c r="A44959" s="56"/>
    </row>
    <row r="44960" spans="1:1">
      <c r="A44960" s="56"/>
    </row>
    <row r="44961" spans="1:1">
      <c r="A44961" s="56"/>
    </row>
    <row r="44962" spans="1:1">
      <c r="A44962" s="56"/>
    </row>
    <row r="44963" spans="1:1">
      <c r="A44963" s="56"/>
    </row>
    <row r="44964" spans="1:1">
      <c r="A44964" s="56"/>
    </row>
    <row r="44965" spans="1:1">
      <c r="A44965" s="56"/>
    </row>
    <row r="44966" spans="1:1">
      <c r="A44966" s="56"/>
    </row>
    <row r="44967" spans="1:1">
      <c r="A44967" s="56"/>
    </row>
    <row r="44968" spans="1:1">
      <c r="A44968" s="56"/>
    </row>
    <row r="44969" spans="1:1">
      <c r="A44969" s="56"/>
    </row>
    <row r="44970" spans="1:1">
      <c r="A44970" s="56"/>
    </row>
    <row r="44971" spans="1:1">
      <c r="A44971" s="56"/>
    </row>
    <row r="44972" spans="1:1">
      <c r="A44972" s="56"/>
    </row>
    <row r="44973" spans="1:1">
      <c r="A44973" s="56"/>
    </row>
    <row r="44974" spans="1:1">
      <c r="A44974" s="56"/>
    </row>
    <row r="44975" spans="1:1">
      <c r="A44975" s="56"/>
    </row>
    <row r="44976" spans="1:1">
      <c r="A44976" s="56"/>
    </row>
    <row r="44977" spans="1:1">
      <c r="A44977" s="56"/>
    </row>
    <row r="44978" spans="1:1">
      <c r="A44978" s="56"/>
    </row>
    <row r="44979" spans="1:1">
      <c r="A44979" s="56"/>
    </row>
    <row r="44980" spans="1:1">
      <c r="A44980" s="56"/>
    </row>
    <row r="44981" spans="1:1">
      <c r="A44981" s="56"/>
    </row>
    <row r="44982" spans="1:1">
      <c r="A44982" s="56"/>
    </row>
    <row r="44983" spans="1:1">
      <c r="A44983" s="56"/>
    </row>
    <row r="44984" spans="1:1">
      <c r="A44984" s="56"/>
    </row>
    <row r="44985" spans="1:1">
      <c r="A44985" s="56"/>
    </row>
    <row r="44986" spans="1:1">
      <c r="A44986" s="56"/>
    </row>
    <row r="44987" spans="1:1">
      <c r="A44987" s="56"/>
    </row>
    <row r="44988" spans="1:1">
      <c r="A44988" s="56"/>
    </row>
    <row r="44989" spans="1:1">
      <c r="A44989" s="56"/>
    </row>
    <row r="44990" spans="1:1">
      <c r="A44990" s="56"/>
    </row>
    <row r="44991" spans="1:1">
      <c r="A44991" s="56"/>
    </row>
    <row r="44992" spans="1:1">
      <c r="A44992" s="56"/>
    </row>
    <row r="44993" spans="1:1">
      <c r="A44993" s="56"/>
    </row>
    <row r="44994" spans="1:1">
      <c r="A44994" s="56"/>
    </row>
    <row r="44995" spans="1:1">
      <c r="A44995" s="56"/>
    </row>
    <row r="44996" spans="1:1">
      <c r="A44996" s="56"/>
    </row>
    <row r="44997" spans="1:1">
      <c r="A44997" s="56"/>
    </row>
    <row r="44998" spans="1:1">
      <c r="A44998" s="56"/>
    </row>
    <row r="44999" spans="1:1">
      <c r="A44999" s="56"/>
    </row>
    <row r="45000" spans="1:1">
      <c r="A45000" s="56"/>
    </row>
    <row r="45001" spans="1:1">
      <c r="A45001" s="56"/>
    </row>
    <row r="45002" spans="1:1">
      <c r="A45002" s="56"/>
    </row>
    <row r="45003" spans="1:1">
      <c r="A45003" s="56"/>
    </row>
    <row r="45004" spans="1:1">
      <c r="A45004" s="56"/>
    </row>
    <row r="45005" spans="1:1">
      <c r="A45005" s="56"/>
    </row>
    <row r="45006" spans="1:1">
      <c r="A45006" s="56"/>
    </row>
    <row r="45007" spans="1:1">
      <c r="A45007" s="56"/>
    </row>
    <row r="45008" spans="1:1">
      <c r="A45008" s="56"/>
    </row>
    <row r="45009" spans="1:1">
      <c r="A45009" s="56"/>
    </row>
    <row r="45010" spans="1:1">
      <c r="A45010" s="56"/>
    </row>
    <row r="45011" spans="1:1">
      <c r="A45011" s="56"/>
    </row>
    <row r="45012" spans="1:1">
      <c r="A45012" s="56"/>
    </row>
    <row r="45013" spans="1:1">
      <c r="A45013" s="56"/>
    </row>
    <row r="45014" spans="1:1">
      <c r="A45014" s="56"/>
    </row>
    <row r="45015" spans="1:1">
      <c r="A45015" s="56"/>
    </row>
    <row r="45016" spans="1:1">
      <c r="A45016" s="56"/>
    </row>
    <row r="45017" spans="1:1">
      <c r="A45017" s="56"/>
    </row>
    <row r="45018" spans="1:1">
      <c r="A45018" s="56"/>
    </row>
    <row r="45019" spans="1:1">
      <c r="A45019" s="56"/>
    </row>
    <row r="45020" spans="1:1">
      <c r="A45020" s="56"/>
    </row>
    <row r="45021" spans="1:1">
      <c r="A45021" s="56"/>
    </row>
    <row r="45022" spans="1:1">
      <c r="A45022" s="56"/>
    </row>
    <row r="45023" spans="1:1">
      <c r="A45023" s="56"/>
    </row>
    <row r="45024" spans="1:1">
      <c r="A45024" s="56"/>
    </row>
    <row r="45025" spans="1:1">
      <c r="A45025" s="56"/>
    </row>
    <row r="45026" spans="1:1">
      <c r="A45026" s="56"/>
    </row>
    <row r="45027" spans="1:1">
      <c r="A45027" s="56"/>
    </row>
    <row r="45028" spans="1:1">
      <c r="A45028" s="56"/>
    </row>
    <row r="45029" spans="1:1">
      <c r="A45029" s="56"/>
    </row>
    <row r="45030" spans="1:1">
      <c r="A45030" s="56"/>
    </row>
    <row r="45031" spans="1:1">
      <c r="A45031" s="56"/>
    </row>
    <row r="45032" spans="1:1">
      <c r="A45032" s="56"/>
    </row>
    <row r="45033" spans="1:1">
      <c r="A45033" s="56"/>
    </row>
    <row r="45034" spans="1:1">
      <c r="A45034" s="56"/>
    </row>
    <row r="45035" spans="1:1">
      <c r="A45035" s="56"/>
    </row>
    <row r="45036" spans="1:1">
      <c r="A45036" s="56"/>
    </row>
    <row r="45037" spans="1:1">
      <c r="A45037" s="56"/>
    </row>
    <row r="45038" spans="1:1">
      <c r="A45038" s="56"/>
    </row>
    <row r="45039" spans="1:1">
      <c r="A45039" s="56"/>
    </row>
    <row r="45040" spans="1:1">
      <c r="A45040" s="56"/>
    </row>
    <row r="45041" spans="1:1">
      <c r="A45041" s="56"/>
    </row>
    <row r="45042" spans="1:1">
      <c r="A45042" s="56"/>
    </row>
    <row r="45043" spans="1:1">
      <c r="A45043" s="56"/>
    </row>
    <row r="45044" spans="1:1">
      <c r="A45044" s="56"/>
    </row>
    <row r="45045" spans="1:1">
      <c r="A45045" s="56"/>
    </row>
    <row r="45046" spans="1:1">
      <c r="A45046" s="56"/>
    </row>
    <row r="45047" spans="1:1">
      <c r="A45047" s="56"/>
    </row>
    <row r="45048" spans="1:1">
      <c r="A45048" s="56"/>
    </row>
    <row r="45049" spans="1:1">
      <c r="A45049" s="56"/>
    </row>
    <row r="45050" spans="1:1">
      <c r="A45050" s="56"/>
    </row>
    <row r="45051" spans="1:1">
      <c r="A45051" s="56"/>
    </row>
    <row r="45052" spans="1:1">
      <c r="A45052" s="56"/>
    </row>
    <row r="45053" spans="1:1">
      <c r="A45053" s="56"/>
    </row>
    <row r="45054" spans="1:1">
      <c r="A45054" s="56"/>
    </row>
    <row r="45055" spans="1:1">
      <c r="A45055" s="56"/>
    </row>
    <row r="45056" spans="1:1">
      <c r="A45056" s="56"/>
    </row>
    <row r="45057" spans="1:1">
      <c r="A45057" s="56"/>
    </row>
    <row r="45058" spans="1:1">
      <c r="A45058" s="56"/>
    </row>
    <row r="45059" spans="1:1">
      <c r="A45059" s="56"/>
    </row>
    <row r="45060" spans="1:1">
      <c r="A45060" s="56"/>
    </row>
    <row r="45061" spans="1:1">
      <c r="A45061" s="56"/>
    </row>
    <row r="45062" spans="1:1">
      <c r="A45062" s="56"/>
    </row>
    <row r="45063" spans="1:1">
      <c r="A45063" s="56"/>
    </row>
    <row r="45064" spans="1:1">
      <c r="A45064" s="56"/>
    </row>
    <row r="45065" spans="1:1">
      <c r="A45065" s="56"/>
    </row>
    <row r="45066" spans="1:1">
      <c r="A45066" s="56"/>
    </row>
    <row r="45067" spans="1:1">
      <c r="A45067" s="56"/>
    </row>
    <row r="45068" spans="1:1">
      <c r="A45068" s="56"/>
    </row>
    <row r="45069" spans="1:1">
      <c r="A45069" s="56"/>
    </row>
    <row r="45070" spans="1:1">
      <c r="A45070" s="56"/>
    </row>
    <row r="45071" spans="1:1">
      <c r="A45071" s="56"/>
    </row>
    <row r="45072" spans="1:1">
      <c r="A45072" s="56"/>
    </row>
    <row r="45073" spans="1:1">
      <c r="A45073" s="56"/>
    </row>
    <row r="45074" spans="1:1">
      <c r="A45074" s="56"/>
    </row>
    <row r="45075" spans="1:1">
      <c r="A45075" s="56"/>
    </row>
    <row r="45076" spans="1:1">
      <c r="A45076" s="56"/>
    </row>
    <row r="45077" spans="1:1">
      <c r="A45077" s="56"/>
    </row>
    <row r="45078" spans="1:1">
      <c r="A45078" s="56"/>
    </row>
    <row r="45079" spans="1:1">
      <c r="A45079" s="56"/>
    </row>
    <row r="45080" spans="1:1">
      <c r="A45080" s="56"/>
    </row>
    <row r="45081" spans="1:1">
      <c r="A45081" s="56"/>
    </row>
    <row r="45082" spans="1:1">
      <c r="A45082" s="56"/>
    </row>
    <row r="45083" spans="1:1">
      <c r="A45083" s="56"/>
    </row>
    <row r="45084" spans="1:1">
      <c r="A45084" s="56"/>
    </row>
    <row r="45085" spans="1:1">
      <c r="A45085" s="56"/>
    </row>
    <row r="45086" spans="1:1">
      <c r="A45086" s="56"/>
    </row>
    <row r="45087" spans="1:1">
      <c r="A45087" s="56"/>
    </row>
    <row r="45088" spans="1:1">
      <c r="A45088" s="56"/>
    </row>
    <row r="45089" spans="1:1">
      <c r="A45089" s="56"/>
    </row>
    <row r="45090" spans="1:1">
      <c r="A45090" s="56"/>
    </row>
    <row r="45091" spans="1:1">
      <c r="A45091" s="56"/>
    </row>
    <row r="45092" spans="1:1">
      <c r="A45092" s="56"/>
    </row>
    <row r="45093" spans="1:1">
      <c r="A45093" s="56"/>
    </row>
    <row r="45094" spans="1:1">
      <c r="A45094" s="56"/>
    </row>
    <row r="45095" spans="1:1">
      <c r="A45095" s="56"/>
    </row>
    <row r="45096" spans="1:1">
      <c r="A45096" s="56"/>
    </row>
    <row r="45097" spans="1:1">
      <c r="A45097" s="56"/>
    </row>
    <row r="45098" spans="1:1">
      <c r="A45098" s="56"/>
    </row>
    <row r="45099" spans="1:1">
      <c r="A45099" s="56"/>
    </row>
    <row r="45100" spans="1:1">
      <c r="A45100" s="56"/>
    </row>
    <row r="45101" spans="1:1">
      <c r="A45101" s="56"/>
    </row>
    <row r="45102" spans="1:1">
      <c r="A45102" s="56"/>
    </row>
    <row r="45103" spans="1:1">
      <c r="A45103" s="56"/>
    </row>
    <row r="45104" spans="1:1">
      <c r="A45104" s="56"/>
    </row>
    <row r="45105" spans="1:1">
      <c r="A45105" s="56"/>
    </row>
    <row r="45106" spans="1:1">
      <c r="A45106" s="56"/>
    </row>
    <row r="45107" spans="1:1">
      <c r="A45107" s="56"/>
    </row>
    <row r="45108" spans="1:1">
      <c r="A45108" s="56"/>
    </row>
    <row r="45109" spans="1:1">
      <c r="A45109" s="56"/>
    </row>
    <row r="45110" spans="1:1">
      <c r="A45110" s="56"/>
    </row>
    <row r="45111" spans="1:1">
      <c r="A45111" s="56"/>
    </row>
    <row r="45112" spans="1:1">
      <c r="A45112" s="56"/>
    </row>
    <row r="45113" spans="1:1">
      <c r="A45113" s="56"/>
    </row>
    <row r="45114" spans="1:1">
      <c r="A45114" s="56"/>
    </row>
    <row r="45115" spans="1:1">
      <c r="A45115" s="56"/>
    </row>
    <row r="45116" spans="1:1">
      <c r="A45116" s="56"/>
    </row>
    <row r="45117" spans="1:1">
      <c r="A45117" s="56"/>
    </row>
    <row r="45118" spans="1:1">
      <c r="A45118" s="56"/>
    </row>
    <row r="45119" spans="1:1">
      <c r="A45119" s="56"/>
    </row>
    <row r="45120" spans="1:1">
      <c r="A45120" s="56"/>
    </row>
    <row r="45121" spans="1:1">
      <c r="A45121" s="56"/>
    </row>
    <row r="45122" spans="1:1">
      <c r="A45122" s="56"/>
    </row>
    <row r="45123" spans="1:1">
      <c r="A45123" s="56"/>
    </row>
    <row r="45124" spans="1:1">
      <c r="A45124" s="56"/>
    </row>
    <row r="45125" spans="1:1">
      <c r="A45125" s="56"/>
    </row>
    <row r="45126" spans="1:1">
      <c r="A45126" s="56"/>
    </row>
    <row r="45127" spans="1:1">
      <c r="A45127" s="56"/>
    </row>
    <row r="45128" spans="1:1">
      <c r="A45128" s="56"/>
    </row>
    <row r="45129" spans="1:1">
      <c r="A45129" s="56"/>
    </row>
    <row r="45130" spans="1:1">
      <c r="A45130" s="56"/>
    </row>
    <row r="45131" spans="1:1">
      <c r="A45131" s="56"/>
    </row>
    <row r="45132" spans="1:1">
      <c r="A45132" s="56"/>
    </row>
    <row r="45133" spans="1:1">
      <c r="A45133" s="56"/>
    </row>
    <row r="45134" spans="1:1">
      <c r="A45134" s="56"/>
    </row>
    <row r="45135" spans="1:1">
      <c r="A45135" s="56"/>
    </row>
    <row r="45136" spans="1:1">
      <c r="A45136" s="56"/>
    </row>
    <row r="45137" spans="1:1">
      <c r="A45137" s="56"/>
    </row>
    <row r="45138" spans="1:1">
      <c r="A45138" s="56"/>
    </row>
    <row r="45139" spans="1:1">
      <c r="A45139" s="56"/>
    </row>
    <row r="45140" spans="1:1">
      <c r="A45140" s="56"/>
    </row>
    <row r="45141" spans="1:1">
      <c r="A45141" s="56"/>
    </row>
    <row r="45142" spans="1:1">
      <c r="A45142" s="56"/>
    </row>
    <row r="45143" spans="1:1">
      <c r="A45143" s="56"/>
    </row>
    <row r="45144" spans="1:1">
      <c r="A45144" s="56"/>
    </row>
    <row r="45145" spans="1:1">
      <c r="A45145" s="56"/>
    </row>
    <row r="45146" spans="1:1">
      <c r="A45146" s="56"/>
    </row>
    <row r="45147" spans="1:1">
      <c r="A45147" s="56"/>
    </row>
    <row r="45148" spans="1:1">
      <c r="A45148" s="56"/>
    </row>
    <row r="45149" spans="1:1">
      <c r="A45149" s="56"/>
    </row>
    <row r="45150" spans="1:1">
      <c r="A45150" s="56"/>
    </row>
    <row r="45151" spans="1:1">
      <c r="A45151" s="56"/>
    </row>
    <row r="45152" spans="1:1">
      <c r="A45152" s="56"/>
    </row>
    <row r="45153" spans="1:1">
      <c r="A45153" s="56"/>
    </row>
    <row r="45154" spans="1:1">
      <c r="A45154" s="56"/>
    </row>
    <row r="45155" spans="1:1">
      <c r="A45155" s="56"/>
    </row>
    <row r="45156" spans="1:1">
      <c r="A45156" s="56"/>
    </row>
    <row r="45157" spans="1:1">
      <c r="A45157" s="56"/>
    </row>
    <row r="45158" spans="1:1">
      <c r="A45158" s="56"/>
    </row>
    <row r="45159" spans="1:1">
      <c r="A45159" s="56"/>
    </row>
    <row r="45160" spans="1:1">
      <c r="A45160" s="56"/>
    </row>
    <row r="45161" spans="1:1">
      <c r="A45161" s="56"/>
    </row>
    <row r="45162" spans="1:1">
      <c r="A45162" s="56"/>
    </row>
    <row r="45163" spans="1:1">
      <c r="A45163" s="56"/>
    </row>
    <row r="45164" spans="1:1">
      <c r="A45164" s="56"/>
    </row>
    <row r="45165" spans="1:1">
      <c r="A45165" s="56"/>
    </row>
    <row r="45166" spans="1:1">
      <c r="A45166" s="56"/>
    </row>
    <row r="45167" spans="1:1">
      <c r="A45167" s="56"/>
    </row>
    <row r="45168" spans="1:1">
      <c r="A45168" s="56"/>
    </row>
    <row r="45169" spans="1:1">
      <c r="A45169" s="56"/>
    </row>
    <row r="45170" spans="1:1">
      <c r="A45170" s="56"/>
    </row>
    <row r="45171" spans="1:1">
      <c r="A45171" s="56"/>
    </row>
    <row r="45172" spans="1:1">
      <c r="A45172" s="56"/>
    </row>
    <row r="45173" spans="1:1">
      <c r="A45173" s="56"/>
    </row>
    <row r="45174" spans="1:1">
      <c r="A45174" s="56"/>
    </row>
    <row r="45175" spans="1:1">
      <c r="A45175" s="56"/>
    </row>
    <row r="45176" spans="1:1">
      <c r="A45176" s="56"/>
    </row>
    <row r="45177" spans="1:1">
      <c r="A45177" s="56"/>
    </row>
    <row r="45178" spans="1:1">
      <c r="A45178" s="56"/>
    </row>
    <row r="45179" spans="1:1">
      <c r="A45179" s="56"/>
    </row>
    <row r="45180" spans="1:1">
      <c r="A45180" s="56"/>
    </row>
    <row r="45181" spans="1:1">
      <c r="A45181" s="56"/>
    </row>
    <row r="45182" spans="1:1">
      <c r="A45182" s="56"/>
    </row>
    <row r="45183" spans="1:1">
      <c r="A45183" s="56"/>
    </row>
    <row r="45184" spans="1:1">
      <c r="A45184" s="56"/>
    </row>
    <row r="45185" spans="1:1">
      <c r="A45185" s="56"/>
    </row>
    <row r="45186" spans="1:1">
      <c r="A45186" s="56"/>
    </row>
    <row r="45187" spans="1:1">
      <c r="A45187" s="56"/>
    </row>
    <row r="45188" spans="1:1">
      <c r="A45188" s="56"/>
    </row>
    <row r="45189" spans="1:1">
      <c r="A45189" s="56"/>
    </row>
    <row r="45190" spans="1:1">
      <c r="A45190" s="56"/>
    </row>
    <row r="45191" spans="1:1">
      <c r="A45191" s="56"/>
    </row>
    <row r="45192" spans="1:1">
      <c r="A45192" s="56"/>
    </row>
    <row r="45193" spans="1:1">
      <c r="A45193" s="56"/>
    </row>
    <row r="45194" spans="1:1">
      <c r="A45194" s="56"/>
    </row>
    <row r="45195" spans="1:1">
      <c r="A45195" s="56"/>
    </row>
    <row r="45196" spans="1:1">
      <c r="A45196" s="56"/>
    </row>
    <row r="45197" spans="1:1">
      <c r="A45197" s="56"/>
    </row>
    <row r="45198" spans="1:1">
      <c r="A45198" s="56"/>
    </row>
    <row r="45199" spans="1:1">
      <c r="A45199" s="56"/>
    </row>
    <row r="45200" spans="1:1">
      <c r="A45200" s="56"/>
    </row>
    <row r="45201" spans="1:1">
      <c r="A45201" s="56"/>
    </row>
    <row r="45202" spans="1:1">
      <c r="A45202" s="56"/>
    </row>
    <row r="45203" spans="1:1">
      <c r="A45203" s="56"/>
    </row>
    <row r="45204" spans="1:1">
      <c r="A45204" s="56"/>
    </row>
    <row r="45205" spans="1:1">
      <c r="A45205" s="56"/>
    </row>
    <row r="45206" spans="1:1">
      <c r="A45206" s="56"/>
    </row>
    <row r="45207" spans="1:1">
      <c r="A45207" s="56"/>
    </row>
    <row r="45208" spans="1:1">
      <c r="A45208" s="56"/>
    </row>
    <row r="45209" spans="1:1">
      <c r="A45209" s="56"/>
    </row>
    <row r="45210" spans="1:1">
      <c r="A45210" s="56"/>
    </row>
    <row r="45211" spans="1:1">
      <c r="A45211" s="56"/>
    </row>
    <row r="45212" spans="1:1">
      <c r="A45212" s="56"/>
    </row>
    <row r="45213" spans="1:1">
      <c r="A45213" s="56"/>
    </row>
    <row r="45214" spans="1:1">
      <c r="A45214" s="56"/>
    </row>
    <row r="45215" spans="1:1">
      <c r="A45215" s="56"/>
    </row>
    <row r="45216" spans="1:1">
      <c r="A45216" s="56"/>
    </row>
    <row r="45217" spans="1:1">
      <c r="A45217" s="56"/>
    </row>
    <row r="45218" spans="1:1">
      <c r="A45218" s="56"/>
    </row>
    <row r="45219" spans="1:1">
      <c r="A45219" s="56"/>
    </row>
    <row r="45220" spans="1:1">
      <c r="A45220" s="56"/>
    </row>
    <row r="45221" spans="1:1">
      <c r="A45221" s="56"/>
    </row>
    <row r="45222" spans="1:1">
      <c r="A45222" s="56"/>
    </row>
    <row r="45223" spans="1:1">
      <c r="A45223" s="56"/>
    </row>
    <row r="45224" spans="1:1">
      <c r="A45224" s="56"/>
    </row>
    <row r="45225" spans="1:1">
      <c r="A45225" s="56"/>
    </row>
    <row r="45226" spans="1:1">
      <c r="A45226" s="56"/>
    </row>
    <row r="45227" spans="1:1">
      <c r="A45227" s="56"/>
    </row>
    <row r="45228" spans="1:1">
      <c r="A45228" s="56"/>
    </row>
    <row r="45229" spans="1:1">
      <c r="A45229" s="56"/>
    </row>
    <row r="45230" spans="1:1">
      <c r="A45230" s="56"/>
    </row>
    <row r="45231" spans="1:1">
      <c r="A45231" s="56"/>
    </row>
    <row r="45232" spans="1:1">
      <c r="A45232" s="56"/>
    </row>
    <row r="45233" spans="1:1">
      <c r="A45233" s="56"/>
    </row>
    <row r="45234" spans="1:1">
      <c r="A45234" s="56"/>
    </row>
    <row r="45235" spans="1:1">
      <c r="A45235" s="56"/>
    </row>
    <row r="45236" spans="1:1">
      <c r="A45236" s="56"/>
    </row>
    <row r="45237" spans="1:1">
      <c r="A45237" s="56"/>
    </row>
    <row r="45238" spans="1:1">
      <c r="A45238" s="56"/>
    </row>
    <row r="45239" spans="1:1">
      <c r="A45239" s="56"/>
    </row>
    <row r="45240" spans="1:1">
      <c r="A45240" s="56"/>
    </row>
    <row r="45241" spans="1:1">
      <c r="A45241" s="56"/>
    </row>
    <row r="45242" spans="1:1">
      <c r="A45242" s="56"/>
    </row>
    <row r="45243" spans="1:1">
      <c r="A45243" s="56"/>
    </row>
    <row r="45244" spans="1:1">
      <c r="A45244" s="56"/>
    </row>
    <row r="45245" spans="1:1">
      <c r="A45245" s="56"/>
    </row>
    <row r="45246" spans="1:1">
      <c r="A45246" s="56"/>
    </row>
    <row r="45247" spans="1:1">
      <c r="A45247" s="56"/>
    </row>
    <row r="45248" spans="1:1">
      <c r="A45248" s="56"/>
    </row>
    <row r="45249" spans="1:1">
      <c r="A45249" s="56"/>
    </row>
    <row r="45250" spans="1:1">
      <c r="A45250" s="56"/>
    </row>
    <row r="45251" spans="1:1">
      <c r="A45251" s="56"/>
    </row>
    <row r="45252" spans="1:1">
      <c r="A45252" s="56"/>
    </row>
    <row r="45253" spans="1:1">
      <c r="A45253" s="56"/>
    </row>
    <row r="45254" spans="1:1">
      <c r="A45254" s="56"/>
    </row>
    <row r="45255" spans="1:1">
      <c r="A45255" s="56"/>
    </row>
    <row r="45256" spans="1:1">
      <c r="A45256" s="56"/>
    </row>
    <row r="45257" spans="1:1">
      <c r="A45257" s="56"/>
    </row>
    <row r="45258" spans="1:1">
      <c r="A45258" s="56"/>
    </row>
    <row r="45259" spans="1:1">
      <c r="A45259" s="56"/>
    </row>
    <row r="45260" spans="1:1">
      <c r="A45260" s="56"/>
    </row>
    <row r="45261" spans="1:1">
      <c r="A45261" s="56"/>
    </row>
    <row r="45262" spans="1:1">
      <c r="A45262" s="56"/>
    </row>
    <row r="45263" spans="1:1">
      <c r="A45263" s="56"/>
    </row>
    <row r="45264" spans="1:1">
      <c r="A45264" s="56"/>
    </row>
    <row r="45265" spans="1:1">
      <c r="A45265" s="56"/>
    </row>
    <row r="45266" spans="1:1">
      <c r="A45266" s="56"/>
    </row>
    <row r="45267" spans="1:1">
      <c r="A45267" s="56"/>
    </row>
    <row r="45268" spans="1:1">
      <c r="A45268" s="56"/>
    </row>
    <row r="45269" spans="1:1">
      <c r="A45269" s="56"/>
    </row>
    <row r="45270" spans="1:1">
      <c r="A45270" s="56"/>
    </row>
    <row r="45271" spans="1:1">
      <c r="A45271" s="56"/>
    </row>
    <row r="45272" spans="1:1">
      <c r="A45272" s="56"/>
    </row>
    <row r="45273" spans="1:1">
      <c r="A45273" s="56"/>
    </row>
    <row r="45274" spans="1:1">
      <c r="A45274" s="56"/>
    </row>
    <row r="45275" spans="1:1">
      <c r="A45275" s="56"/>
    </row>
    <row r="45276" spans="1:1">
      <c r="A45276" s="56"/>
    </row>
    <row r="45277" spans="1:1">
      <c r="A45277" s="56"/>
    </row>
    <row r="45278" spans="1:1">
      <c r="A45278" s="56"/>
    </row>
    <row r="45279" spans="1:1">
      <c r="A45279" s="56"/>
    </row>
    <row r="45280" spans="1:1">
      <c r="A45280" s="56"/>
    </row>
    <row r="45281" spans="1:1">
      <c r="A45281" s="56"/>
    </row>
    <row r="45282" spans="1:1">
      <c r="A45282" s="56"/>
    </row>
    <row r="45283" spans="1:1">
      <c r="A45283" s="56"/>
    </row>
    <row r="45284" spans="1:1">
      <c r="A45284" s="56"/>
    </row>
    <row r="45285" spans="1:1">
      <c r="A45285" s="56"/>
    </row>
    <row r="45286" spans="1:1">
      <c r="A45286" s="56"/>
    </row>
    <row r="45287" spans="1:1">
      <c r="A45287" s="56"/>
    </row>
    <row r="45288" spans="1:1">
      <c r="A45288" s="56"/>
    </row>
    <row r="45289" spans="1:1">
      <c r="A45289" s="56"/>
    </row>
    <row r="45290" spans="1:1">
      <c r="A45290" s="56"/>
    </row>
    <row r="45291" spans="1:1">
      <c r="A45291" s="56"/>
    </row>
    <row r="45292" spans="1:1">
      <c r="A45292" s="56"/>
    </row>
    <row r="45293" spans="1:1">
      <c r="A45293" s="56"/>
    </row>
    <row r="45294" spans="1:1">
      <c r="A45294" s="56"/>
    </row>
    <row r="45295" spans="1:1">
      <c r="A45295" s="56"/>
    </row>
    <row r="45296" spans="1:1">
      <c r="A45296" s="56"/>
    </row>
    <row r="45297" spans="1:1">
      <c r="A45297" s="56"/>
    </row>
    <row r="45298" spans="1:1">
      <c r="A45298" s="56"/>
    </row>
    <row r="45299" spans="1:1">
      <c r="A45299" s="56"/>
    </row>
    <row r="45300" spans="1:1">
      <c r="A45300" s="56"/>
    </row>
    <row r="45301" spans="1:1">
      <c r="A45301" s="56"/>
    </row>
    <row r="45302" spans="1:1">
      <c r="A45302" s="56"/>
    </row>
    <row r="45303" spans="1:1">
      <c r="A45303" s="56"/>
    </row>
    <row r="45304" spans="1:1">
      <c r="A45304" s="56"/>
    </row>
    <row r="45305" spans="1:1">
      <c r="A45305" s="56"/>
    </row>
    <row r="45306" spans="1:1">
      <c r="A45306" s="56"/>
    </row>
    <row r="45307" spans="1:1">
      <c r="A45307" s="56"/>
    </row>
    <row r="45308" spans="1:1">
      <c r="A45308" s="56"/>
    </row>
    <row r="45309" spans="1:1">
      <c r="A45309" s="56"/>
    </row>
    <row r="45310" spans="1:1">
      <c r="A45310" s="56"/>
    </row>
    <row r="45311" spans="1:1">
      <c r="A45311" s="56"/>
    </row>
    <row r="45312" spans="1:1">
      <c r="A45312" s="56"/>
    </row>
    <row r="45313" spans="1:1">
      <c r="A45313" s="56"/>
    </row>
    <row r="45314" spans="1:1">
      <c r="A45314" s="56"/>
    </row>
    <row r="45315" spans="1:1">
      <c r="A45315" s="56"/>
    </row>
    <row r="45316" spans="1:1">
      <c r="A45316" s="56"/>
    </row>
    <row r="45317" spans="1:1">
      <c r="A45317" s="56"/>
    </row>
    <row r="45318" spans="1:1">
      <c r="A45318" s="56"/>
    </row>
    <row r="45319" spans="1:1">
      <c r="A45319" s="56"/>
    </row>
    <row r="45320" spans="1:1">
      <c r="A45320" s="56"/>
    </row>
    <row r="45321" spans="1:1">
      <c r="A45321" s="56"/>
    </row>
    <row r="45322" spans="1:1">
      <c r="A45322" s="56"/>
    </row>
    <row r="45323" spans="1:1">
      <c r="A45323" s="56"/>
    </row>
    <row r="45324" spans="1:1">
      <c r="A45324" s="56"/>
    </row>
    <row r="45325" spans="1:1">
      <c r="A45325" s="56"/>
    </row>
    <row r="45326" spans="1:1">
      <c r="A45326" s="56"/>
    </row>
    <row r="45327" spans="1:1">
      <c r="A45327" s="56"/>
    </row>
    <row r="45328" spans="1:1">
      <c r="A45328" s="56"/>
    </row>
    <row r="45329" spans="1:1">
      <c r="A45329" s="56"/>
    </row>
    <row r="45330" spans="1:1">
      <c r="A45330" s="56"/>
    </row>
    <row r="45331" spans="1:1">
      <c r="A45331" s="56"/>
    </row>
    <row r="45332" spans="1:1">
      <c r="A45332" s="56"/>
    </row>
    <row r="45333" spans="1:1">
      <c r="A45333" s="56"/>
    </row>
    <row r="45334" spans="1:1">
      <c r="A45334" s="56"/>
    </row>
    <row r="45335" spans="1:1">
      <c r="A45335" s="56"/>
    </row>
    <row r="45336" spans="1:1">
      <c r="A45336" s="56"/>
    </row>
    <row r="45337" spans="1:1">
      <c r="A45337" s="56"/>
    </row>
    <row r="45338" spans="1:1">
      <c r="A45338" s="56"/>
    </row>
    <row r="45339" spans="1:1">
      <c r="A45339" s="56"/>
    </row>
    <row r="45340" spans="1:1">
      <c r="A45340" s="56"/>
    </row>
    <row r="45341" spans="1:1">
      <c r="A45341" s="56"/>
    </row>
    <row r="45342" spans="1:1">
      <c r="A45342" s="56"/>
    </row>
    <row r="45343" spans="1:1">
      <c r="A45343" s="56"/>
    </row>
    <row r="45344" spans="1:1">
      <c r="A45344" s="56"/>
    </row>
    <row r="45345" spans="1:1">
      <c r="A45345" s="56"/>
    </row>
    <row r="45346" spans="1:1">
      <c r="A45346" s="56"/>
    </row>
    <row r="45347" spans="1:1">
      <c r="A45347" s="56"/>
    </row>
    <row r="45348" spans="1:1">
      <c r="A45348" s="56"/>
    </row>
    <row r="45349" spans="1:1">
      <c r="A45349" s="56"/>
    </row>
    <row r="45350" spans="1:1">
      <c r="A45350" s="56"/>
    </row>
    <row r="45351" spans="1:1">
      <c r="A45351" s="56"/>
    </row>
    <row r="45352" spans="1:1">
      <c r="A45352" s="56"/>
    </row>
    <row r="45353" spans="1:1">
      <c r="A45353" s="56"/>
    </row>
    <row r="45354" spans="1:1">
      <c r="A45354" s="56"/>
    </row>
    <row r="45355" spans="1:1">
      <c r="A45355" s="56"/>
    </row>
    <row r="45356" spans="1:1">
      <c r="A45356" s="56"/>
    </row>
    <row r="45357" spans="1:1">
      <c r="A45357" s="56"/>
    </row>
    <row r="45358" spans="1:1">
      <c r="A45358" s="56"/>
    </row>
    <row r="45359" spans="1:1">
      <c r="A45359" s="56"/>
    </row>
    <row r="45360" spans="1:1">
      <c r="A45360" s="56"/>
    </row>
    <row r="45361" spans="1:1">
      <c r="A45361" s="56"/>
    </row>
    <row r="45362" spans="1:1">
      <c r="A45362" s="56"/>
    </row>
    <row r="45363" spans="1:1">
      <c r="A45363" s="56"/>
    </row>
    <row r="45364" spans="1:1">
      <c r="A45364" s="56"/>
    </row>
    <row r="45365" spans="1:1">
      <c r="A45365" s="56"/>
    </row>
    <row r="45366" spans="1:1">
      <c r="A45366" s="56"/>
    </row>
    <row r="45367" spans="1:1">
      <c r="A45367" s="56"/>
    </row>
    <row r="45368" spans="1:1">
      <c r="A45368" s="56"/>
    </row>
    <row r="45369" spans="1:1">
      <c r="A45369" s="56"/>
    </row>
    <row r="45370" spans="1:1">
      <c r="A45370" s="56"/>
    </row>
    <row r="45371" spans="1:1">
      <c r="A45371" s="56"/>
    </row>
    <row r="45372" spans="1:1">
      <c r="A45372" s="56"/>
    </row>
    <row r="45373" spans="1:1">
      <c r="A45373" s="56"/>
    </row>
    <row r="45374" spans="1:1">
      <c r="A45374" s="56"/>
    </row>
    <row r="45375" spans="1:1">
      <c r="A45375" s="56"/>
    </row>
    <row r="45376" spans="1:1">
      <c r="A45376" s="56"/>
    </row>
    <row r="45377" spans="1:1">
      <c r="A45377" s="56"/>
    </row>
    <row r="45378" spans="1:1">
      <c r="A45378" s="56"/>
    </row>
    <row r="45379" spans="1:1">
      <c r="A45379" s="56"/>
    </row>
    <row r="45380" spans="1:1">
      <c r="A45380" s="56"/>
    </row>
    <row r="45381" spans="1:1">
      <c r="A45381" s="56"/>
    </row>
    <row r="45382" spans="1:1">
      <c r="A45382" s="56"/>
    </row>
    <row r="45383" spans="1:1">
      <c r="A45383" s="56"/>
    </row>
    <row r="45384" spans="1:1">
      <c r="A45384" s="56"/>
    </row>
    <row r="45385" spans="1:1">
      <c r="A45385" s="56"/>
    </row>
    <row r="45386" spans="1:1">
      <c r="A45386" s="56"/>
    </row>
    <row r="45387" spans="1:1">
      <c r="A45387" s="56"/>
    </row>
    <row r="45388" spans="1:1">
      <c r="A45388" s="56"/>
    </row>
    <row r="45389" spans="1:1">
      <c r="A45389" s="56"/>
    </row>
    <row r="45390" spans="1:1">
      <c r="A45390" s="56"/>
    </row>
    <row r="45391" spans="1:1">
      <c r="A45391" s="56"/>
    </row>
    <row r="45392" spans="1:1">
      <c r="A45392" s="56"/>
    </row>
    <row r="45393" spans="1:1">
      <c r="A45393" s="56"/>
    </row>
    <row r="45394" spans="1:1">
      <c r="A45394" s="56"/>
    </row>
    <row r="45395" spans="1:1">
      <c r="A45395" s="56"/>
    </row>
    <row r="45396" spans="1:1">
      <c r="A45396" s="56"/>
    </row>
    <row r="45397" spans="1:1">
      <c r="A45397" s="56"/>
    </row>
    <row r="45398" spans="1:1">
      <c r="A45398" s="56"/>
    </row>
    <row r="45399" spans="1:1">
      <c r="A45399" s="56"/>
    </row>
    <row r="45400" spans="1:1">
      <c r="A45400" s="56"/>
    </row>
    <row r="45401" spans="1:1">
      <c r="A45401" s="56"/>
    </row>
    <row r="45402" spans="1:1">
      <c r="A45402" s="56"/>
    </row>
    <row r="45403" spans="1:1">
      <c r="A45403" s="56"/>
    </row>
    <row r="45404" spans="1:1">
      <c r="A45404" s="56"/>
    </row>
    <row r="45405" spans="1:1">
      <c r="A45405" s="56"/>
    </row>
    <row r="45406" spans="1:1">
      <c r="A45406" s="56"/>
    </row>
    <row r="45407" spans="1:1">
      <c r="A45407" s="56"/>
    </row>
    <row r="45408" spans="1:1">
      <c r="A45408" s="56"/>
    </row>
    <row r="45409" spans="1:1">
      <c r="A45409" s="56"/>
    </row>
    <row r="45410" spans="1:1">
      <c r="A45410" s="56"/>
    </row>
    <row r="45411" spans="1:1">
      <c r="A45411" s="56"/>
    </row>
    <row r="45412" spans="1:1">
      <c r="A45412" s="56"/>
    </row>
    <row r="45413" spans="1:1">
      <c r="A45413" s="56"/>
    </row>
    <row r="45414" spans="1:1">
      <c r="A45414" s="56"/>
    </row>
    <row r="45415" spans="1:1">
      <c r="A45415" s="56"/>
    </row>
    <row r="45416" spans="1:1">
      <c r="A45416" s="56"/>
    </row>
    <row r="45417" spans="1:1">
      <c r="A45417" s="56"/>
    </row>
    <row r="45418" spans="1:1">
      <c r="A45418" s="56"/>
    </row>
    <row r="45419" spans="1:1">
      <c r="A45419" s="56"/>
    </row>
    <row r="45420" spans="1:1">
      <c r="A45420" s="56"/>
    </row>
    <row r="45421" spans="1:1">
      <c r="A45421" s="56"/>
    </row>
    <row r="45422" spans="1:1">
      <c r="A45422" s="56"/>
    </row>
    <row r="45423" spans="1:1">
      <c r="A45423" s="56"/>
    </row>
    <row r="45424" spans="1:1">
      <c r="A45424" s="56"/>
    </row>
    <row r="45425" spans="1:1">
      <c r="A45425" s="56"/>
    </row>
    <row r="45426" spans="1:1">
      <c r="A45426" s="56"/>
    </row>
    <row r="45427" spans="1:1">
      <c r="A45427" s="56"/>
    </row>
    <row r="45428" spans="1:1">
      <c r="A45428" s="56"/>
    </row>
    <row r="45429" spans="1:1">
      <c r="A45429" s="56"/>
    </row>
    <row r="45430" spans="1:1">
      <c r="A45430" s="56"/>
    </row>
    <row r="45431" spans="1:1">
      <c r="A45431" s="56"/>
    </row>
    <row r="45432" spans="1:1">
      <c r="A45432" s="56"/>
    </row>
    <row r="45433" spans="1:1">
      <c r="A45433" s="56"/>
    </row>
    <row r="45434" spans="1:1">
      <c r="A45434" s="56"/>
    </row>
    <row r="45435" spans="1:1">
      <c r="A45435" s="56"/>
    </row>
    <row r="45436" spans="1:1">
      <c r="A45436" s="56"/>
    </row>
    <row r="45437" spans="1:1">
      <c r="A45437" s="56"/>
    </row>
    <row r="45438" spans="1:1">
      <c r="A45438" s="56"/>
    </row>
    <row r="45439" spans="1:1">
      <c r="A45439" s="56"/>
    </row>
    <row r="45440" spans="1:1">
      <c r="A45440" s="56"/>
    </row>
    <row r="45441" spans="1:1">
      <c r="A45441" s="56"/>
    </row>
    <row r="45442" spans="1:1">
      <c r="A45442" s="56"/>
    </row>
    <row r="45443" spans="1:1">
      <c r="A45443" s="56"/>
    </row>
    <row r="45444" spans="1:1">
      <c r="A45444" s="56"/>
    </row>
    <row r="45445" spans="1:1">
      <c r="A45445" s="56"/>
    </row>
    <row r="45446" spans="1:1">
      <c r="A45446" s="56"/>
    </row>
    <row r="45447" spans="1:1">
      <c r="A45447" s="56"/>
    </row>
    <row r="45448" spans="1:1">
      <c r="A45448" s="56"/>
    </row>
    <row r="45449" spans="1:1">
      <c r="A45449" s="56"/>
    </row>
    <row r="45450" spans="1:1">
      <c r="A45450" s="56"/>
    </row>
    <row r="45451" spans="1:1">
      <c r="A45451" s="56"/>
    </row>
    <row r="45452" spans="1:1">
      <c r="A45452" s="56"/>
    </row>
    <row r="45453" spans="1:1">
      <c r="A45453" s="56"/>
    </row>
    <row r="45454" spans="1:1">
      <c r="A45454" s="56"/>
    </row>
    <row r="45455" spans="1:1">
      <c r="A45455" s="56"/>
    </row>
    <row r="45456" spans="1:1">
      <c r="A45456" s="56"/>
    </row>
    <row r="45457" spans="1:1">
      <c r="A45457" s="56"/>
    </row>
    <row r="45458" spans="1:1">
      <c r="A45458" s="56"/>
    </row>
    <row r="45459" spans="1:1">
      <c r="A45459" s="56"/>
    </row>
    <row r="45460" spans="1:1">
      <c r="A45460" s="56"/>
    </row>
    <row r="45461" spans="1:1">
      <c r="A45461" s="56"/>
    </row>
    <row r="45462" spans="1:1">
      <c r="A45462" s="56"/>
    </row>
    <row r="45463" spans="1:1">
      <c r="A45463" s="56"/>
    </row>
    <row r="45464" spans="1:1">
      <c r="A45464" s="56"/>
    </row>
    <row r="45465" spans="1:1">
      <c r="A45465" s="56"/>
    </row>
    <row r="45466" spans="1:1">
      <c r="A45466" s="56"/>
    </row>
    <row r="45467" spans="1:1">
      <c r="A45467" s="56"/>
    </row>
    <row r="45468" spans="1:1">
      <c r="A45468" s="56"/>
    </row>
    <row r="45469" spans="1:1">
      <c r="A45469" s="56"/>
    </row>
    <row r="45470" spans="1:1">
      <c r="A45470" s="56"/>
    </row>
    <row r="45471" spans="1:1">
      <c r="A45471" s="56"/>
    </row>
    <row r="45472" spans="1:1">
      <c r="A45472" s="56"/>
    </row>
    <row r="45473" spans="1:1">
      <c r="A45473" s="56"/>
    </row>
    <row r="45474" spans="1:1">
      <c r="A45474" s="56"/>
    </row>
    <row r="45475" spans="1:1">
      <c r="A45475" s="56"/>
    </row>
    <row r="45476" spans="1:1">
      <c r="A45476" s="56"/>
    </row>
    <row r="45477" spans="1:1">
      <c r="A45477" s="56"/>
    </row>
    <row r="45478" spans="1:1">
      <c r="A45478" s="56"/>
    </row>
    <row r="45479" spans="1:1">
      <c r="A45479" s="56"/>
    </row>
    <row r="45480" spans="1:1">
      <c r="A45480" s="56"/>
    </row>
    <row r="45481" spans="1:1">
      <c r="A45481" s="56"/>
    </row>
    <row r="45482" spans="1:1">
      <c r="A45482" s="56"/>
    </row>
    <row r="45483" spans="1:1">
      <c r="A45483" s="56"/>
    </row>
    <row r="45484" spans="1:1">
      <c r="A45484" s="56"/>
    </row>
    <row r="45485" spans="1:1">
      <c r="A45485" s="56"/>
    </row>
    <row r="45486" spans="1:1">
      <c r="A45486" s="56"/>
    </row>
    <row r="45487" spans="1:1">
      <c r="A45487" s="56"/>
    </row>
    <row r="45488" spans="1:1">
      <c r="A45488" s="56"/>
    </row>
    <row r="45489" spans="1:1">
      <c r="A45489" s="56"/>
    </row>
    <row r="45490" spans="1:1">
      <c r="A45490" s="56"/>
    </row>
    <row r="45491" spans="1:1">
      <c r="A45491" s="56"/>
    </row>
    <row r="45492" spans="1:1">
      <c r="A45492" s="56"/>
    </row>
    <row r="45493" spans="1:1">
      <c r="A45493" s="56"/>
    </row>
    <row r="45494" spans="1:1">
      <c r="A45494" s="56"/>
    </row>
    <row r="45495" spans="1:1">
      <c r="A45495" s="56"/>
    </row>
    <row r="45496" spans="1:1">
      <c r="A45496" s="56"/>
    </row>
    <row r="45497" spans="1:1">
      <c r="A45497" s="56"/>
    </row>
    <row r="45498" spans="1:1">
      <c r="A45498" s="56"/>
    </row>
    <row r="45499" spans="1:1">
      <c r="A45499" s="56"/>
    </row>
    <row r="45500" spans="1:1">
      <c r="A45500" s="56"/>
    </row>
    <row r="45501" spans="1:1">
      <c r="A45501" s="56"/>
    </row>
    <row r="45502" spans="1:1">
      <c r="A45502" s="56"/>
    </row>
    <row r="45503" spans="1:1">
      <c r="A45503" s="56"/>
    </row>
    <row r="45504" spans="1:1">
      <c r="A45504" s="56"/>
    </row>
    <row r="45505" spans="1:1">
      <c r="A45505" s="56"/>
    </row>
    <row r="45506" spans="1:1">
      <c r="A45506" s="56"/>
    </row>
    <row r="45507" spans="1:1">
      <c r="A45507" s="56"/>
    </row>
    <row r="45508" spans="1:1">
      <c r="A45508" s="56"/>
    </row>
    <row r="45509" spans="1:1">
      <c r="A45509" s="56"/>
    </row>
    <row r="45510" spans="1:1">
      <c r="A45510" s="56"/>
    </row>
    <row r="45511" spans="1:1">
      <c r="A45511" s="56"/>
    </row>
    <row r="45512" spans="1:1">
      <c r="A45512" s="56"/>
    </row>
    <row r="45513" spans="1:1">
      <c r="A45513" s="56"/>
    </row>
    <row r="45514" spans="1:1">
      <c r="A45514" s="56"/>
    </row>
    <row r="45515" spans="1:1">
      <c r="A45515" s="56"/>
    </row>
    <row r="45516" spans="1:1">
      <c r="A45516" s="56"/>
    </row>
    <row r="45517" spans="1:1">
      <c r="A45517" s="56"/>
    </row>
    <row r="45518" spans="1:1">
      <c r="A45518" s="56"/>
    </row>
    <row r="45519" spans="1:1">
      <c r="A45519" s="56"/>
    </row>
    <row r="45520" spans="1:1">
      <c r="A45520" s="56"/>
    </row>
    <row r="45521" spans="1:1">
      <c r="A45521" s="56"/>
    </row>
    <row r="45522" spans="1:1">
      <c r="A45522" s="56"/>
    </row>
    <row r="45523" spans="1:1">
      <c r="A45523" s="56"/>
    </row>
    <row r="45524" spans="1:1">
      <c r="A45524" s="56"/>
    </row>
    <row r="45525" spans="1:1">
      <c r="A45525" s="56"/>
    </row>
    <row r="45526" spans="1:1">
      <c r="A45526" s="56"/>
    </row>
    <row r="45527" spans="1:1">
      <c r="A45527" s="56"/>
    </row>
    <row r="45528" spans="1:1">
      <c r="A45528" s="56"/>
    </row>
    <row r="45529" spans="1:1">
      <c r="A45529" s="56"/>
    </row>
    <row r="45530" spans="1:1">
      <c r="A45530" s="56"/>
    </row>
    <row r="45531" spans="1:1">
      <c r="A45531" s="56"/>
    </row>
    <row r="45532" spans="1:1">
      <c r="A45532" s="56"/>
    </row>
    <row r="45533" spans="1:1">
      <c r="A45533" s="56"/>
    </row>
    <row r="45534" spans="1:1">
      <c r="A45534" s="56"/>
    </row>
    <row r="45535" spans="1:1">
      <c r="A45535" s="56"/>
    </row>
    <row r="45536" spans="1:1">
      <c r="A45536" s="56"/>
    </row>
    <row r="45537" spans="1:1">
      <c r="A45537" s="56"/>
    </row>
    <row r="45538" spans="1:1">
      <c r="A45538" s="56"/>
    </row>
    <row r="45539" spans="1:1">
      <c r="A45539" s="56"/>
    </row>
    <row r="45540" spans="1:1">
      <c r="A45540" s="56"/>
    </row>
    <row r="45541" spans="1:1">
      <c r="A45541" s="56"/>
    </row>
    <row r="45542" spans="1:1">
      <c r="A45542" s="56"/>
    </row>
    <row r="45543" spans="1:1">
      <c r="A45543" s="56"/>
    </row>
    <row r="45544" spans="1:1">
      <c r="A45544" s="56"/>
    </row>
    <row r="45545" spans="1:1">
      <c r="A45545" s="56"/>
    </row>
    <row r="45546" spans="1:1">
      <c r="A45546" s="56"/>
    </row>
    <row r="45547" spans="1:1">
      <c r="A45547" s="56"/>
    </row>
    <row r="45548" spans="1:1">
      <c r="A45548" s="56"/>
    </row>
    <row r="45549" spans="1:1">
      <c r="A45549" s="56"/>
    </row>
    <row r="45550" spans="1:1">
      <c r="A45550" s="56"/>
    </row>
    <row r="45551" spans="1:1">
      <c r="A45551" s="56"/>
    </row>
    <row r="45552" spans="1:1">
      <c r="A45552" s="56"/>
    </row>
    <row r="45553" spans="1:1">
      <c r="A45553" s="56"/>
    </row>
    <row r="45554" spans="1:1">
      <c r="A45554" s="56"/>
    </row>
    <row r="45555" spans="1:1">
      <c r="A45555" s="56"/>
    </row>
    <row r="45556" spans="1:1">
      <c r="A45556" s="56"/>
    </row>
    <row r="45557" spans="1:1">
      <c r="A45557" s="56"/>
    </row>
    <row r="45558" spans="1:1">
      <c r="A45558" s="56"/>
    </row>
    <row r="45559" spans="1:1">
      <c r="A45559" s="56"/>
    </row>
    <row r="45560" spans="1:1">
      <c r="A45560" s="56"/>
    </row>
    <row r="45561" spans="1:1">
      <c r="A45561" s="56"/>
    </row>
    <row r="45562" spans="1:1">
      <c r="A45562" s="56"/>
    </row>
    <row r="45563" spans="1:1">
      <c r="A45563" s="56"/>
    </row>
    <row r="45564" spans="1:1">
      <c r="A45564" s="56"/>
    </row>
    <row r="45565" spans="1:1">
      <c r="A45565" s="56"/>
    </row>
    <row r="45566" spans="1:1">
      <c r="A45566" s="56"/>
    </row>
    <row r="45567" spans="1:1">
      <c r="A45567" s="56"/>
    </row>
    <row r="45568" spans="1:1">
      <c r="A45568" s="56"/>
    </row>
    <row r="45569" spans="1:1">
      <c r="A45569" s="56"/>
    </row>
    <row r="45570" spans="1:1">
      <c r="A45570" s="56"/>
    </row>
    <row r="45571" spans="1:1">
      <c r="A45571" s="56"/>
    </row>
    <row r="45572" spans="1:1">
      <c r="A45572" s="56"/>
    </row>
    <row r="45573" spans="1:1">
      <c r="A45573" s="56"/>
    </row>
    <row r="45574" spans="1:1">
      <c r="A45574" s="56"/>
    </row>
    <row r="45575" spans="1:1">
      <c r="A45575" s="56"/>
    </row>
    <row r="45576" spans="1:1">
      <c r="A45576" s="56"/>
    </row>
    <row r="45577" spans="1:1">
      <c r="A45577" s="56"/>
    </row>
    <row r="45578" spans="1:1">
      <c r="A45578" s="56"/>
    </row>
    <row r="45579" spans="1:1">
      <c r="A45579" s="56"/>
    </row>
    <row r="45580" spans="1:1">
      <c r="A45580" s="56"/>
    </row>
    <row r="45581" spans="1:1">
      <c r="A45581" s="56"/>
    </row>
    <row r="45582" spans="1:1">
      <c r="A45582" s="56"/>
    </row>
    <row r="45583" spans="1:1">
      <c r="A45583" s="56"/>
    </row>
    <row r="45584" spans="1:1">
      <c r="A45584" s="56"/>
    </row>
    <row r="45585" spans="1:1">
      <c r="A45585" s="56"/>
    </row>
    <row r="45586" spans="1:1">
      <c r="A45586" s="56"/>
    </row>
    <row r="45587" spans="1:1">
      <c r="A45587" s="56"/>
    </row>
    <row r="45588" spans="1:1">
      <c r="A45588" s="56"/>
    </row>
    <row r="45589" spans="1:1">
      <c r="A45589" s="56"/>
    </row>
    <row r="45590" spans="1:1">
      <c r="A45590" s="56"/>
    </row>
    <row r="45591" spans="1:1">
      <c r="A45591" s="56"/>
    </row>
    <row r="45592" spans="1:1">
      <c r="A45592" s="56"/>
    </row>
    <row r="45593" spans="1:1">
      <c r="A45593" s="56"/>
    </row>
    <row r="45594" spans="1:1">
      <c r="A45594" s="56"/>
    </row>
    <row r="45595" spans="1:1">
      <c r="A45595" s="56"/>
    </row>
    <row r="45596" spans="1:1">
      <c r="A45596" s="56"/>
    </row>
    <row r="45597" spans="1:1">
      <c r="A45597" s="56"/>
    </row>
    <row r="45598" spans="1:1">
      <c r="A45598" s="56"/>
    </row>
    <row r="45599" spans="1:1">
      <c r="A45599" s="56"/>
    </row>
    <row r="45600" spans="1:1">
      <c r="A45600" s="56"/>
    </row>
    <row r="45601" spans="1:1">
      <c r="A45601" s="56"/>
    </row>
    <row r="45602" spans="1:1">
      <c r="A45602" s="56"/>
    </row>
    <row r="45603" spans="1:1">
      <c r="A45603" s="56"/>
    </row>
    <row r="45604" spans="1:1">
      <c r="A45604" s="56"/>
    </row>
    <row r="45605" spans="1:1">
      <c r="A45605" s="56"/>
    </row>
    <row r="45606" spans="1:1">
      <c r="A45606" s="56"/>
    </row>
    <row r="45607" spans="1:1">
      <c r="A45607" s="56"/>
    </row>
    <row r="45608" spans="1:1">
      <c r="A45608" s="56"/>
    </row>
    <row r="45609" spans="1:1">
      <c r="A45609" s="56"/>
    </row>
    <row r="45610" spans="1:1">
      <c r="A45610" s="56"/>
    </row>
    <row r="45611" spans="1:1">
      <c r="A45611" s="56"/>
    </row>
    <row r="45612" spans="1:1">
      <c r="A45612" s="56"/>
    </row>
    <row r="45613" spans="1:1">
      <c r="A45613" s="56"/>
    </row>
    <row r="45614" spans="1:1">
      <c r="A45614" s="56"/>
    </row>
    <row r="45615" spans="1:1">
      <c r="A45615" s="56"/>
    </row>
    <row r="45616" spans="1:1">
      <c r="A45616" s="56"/>
    </row>
    <row r="45617" spans="1:1">
      <c r="A45617" s="56"/>
    </row>
    <row r="45618" spans="1:1">
      <c r="A45618" s="56"/>
    </row>
    <row r="45619" spans="1:1">
      <c r="A45619" s="56"/>
    </row>
    <row r="45620" spans="1:1">
      <c r="A45620" s="56"/>
    </row>
    <row r="45621" spans="1:1">
      <c r="A45621" s="56"/>
    </row>
    <row r="45622" spans="1:1">
      <c r="A45622" s="56"/>
    </row>
    <row r="45623" spans="1:1">
      <c r="A45623" s="56"/>
    </row>
    <row r="45624" spans="1:1">
      <c r="A45624" s="56"/>
    </row>
    <row r="45625" spans="1:1">
      <c r="A45625" s="56"/>
    </row>
    <row r="45626" spans="1:1">
      <c r="A45626" s="56"/>
    </row>
    <row r="45627" spans="1:1">
      <c r="A45627" s="56"/>
    </row>
    <row r="45628" spans="1:1">
      <c r="A45628" s="56"/>
    </row>
    <row r="45629" spans="1:1">
      <c r="A45629" s="56"/>
    </row>
    <row r="45630" spans="1:1">
      <c r="A45630" s="56"/>
    </row>
    <row r="45631" spans="1:1">
      <c r="A45631" s="56"/>
    </row>
    <row r="45632" spans="1:1">
      <c r="A45632" s="56"/>
    </row>
    <row r="45633" spans="1:1">
      <c r="A45633" s="56"/>
    </row>
    <row r="45634" spans="1:1">
      <c r="A45634" s="56"/>
    </row>
    <row r="45635" spans="1:1">
      <c r="A45635" s="56"/>
    </row>
    <row r="45636" spans="1:1">
      <c r="A45636" s="56"/>
    </row>
    <row r="45637" spans="1:1">
      <c r="A45637" s="56"/>
    </row>
    <row r="45638" spans="1:1">
      <c r="A45638" s="56"/>
    </row>
    <row r="45639" spans="1:1">
      <c r="A45639" s="56"/>
    </row>
    <row r="45640" spans="1:1">
      <c r="A45640" s="56"/>
    </row>
    <row r="45641" spans="1:1">
      <c r="A45641" s="56"/>
    </row>
    <row r="45642" spans="1:1">
      <c r="A45642" s="56"/>
    </row>
    <row r="45643" spans="1:1">
      <c r="A45643" s="56"/>
    </row>
    <row r="45644" spans="1:1">
      <c r="A45644" s="56"/>
    </row>
    <row r="45645" spans="1:1">
      <c r="A45645" s="56"/>
    </row>
    <row r="45646" spans="1:1">
      <c r="A45646" s="56"/>
    </row>
    <row r="45647" spans="1:1">
      <c r="A45647" s="56"/>
    </row>
    <row r="45648" spans="1:1">
      <c r="A45648" s="56"/>
    </row>
    <row r="45649" spans="1:1">
      <c r="A45649" s="56"/>
    </row>
    <row r="45650" spans="1:1">
      <c r="A45650" s="56"/>
    </row>
    <row r="45651" spans="1:1">
      <c r="A45651" s="56"/>
    </row>
    <row r="45652" spans="1:1">
      <c r="A45652" s="56"/>
    </row>
    <row r="45653" spans="1:1">
      <c r="A45653" s="56"/>
    </row>
    <row r="45654" spans="1:1">
      <c r="A45654" s="56"/>
    </row>
    <row r="45655" spans="1:1">
      <c r="A45655" s="56"/>
    </row>
    <row r="45656" spans="1:1">
      <c r="A45656" s="56"/>
    </row>
    <row r="45657" spans="1:1">
      <c r="A45657" s="56"/>
    </row>
    <row r="45658" spans="1:1">
      <c r="A45658" s="56"/>
    </row>
    <row r="45659" spans="1:1">
      <c r="A45659" s="56"/>
    </row>
    <row r="45660" spans="1:1">
      <c r="A45660" s="56"/>
    </row>
    <row r="45661" spans="1:1">
      <c r="A45661" s="56"/>
    </row>
    <row r="45662" spans="1:1">
      <c r="A45662" s="56"/>
    </row>
    <row r="45663" spans="1:1">
      <c r="A45663" s="56"/>
    </row>
    <row r="45664" spans="1:1">
      <c r="A45664" s="56"/>
    </row>
    <row r="45665" spans="1:1">
      <c r="A45665" s="56"/>
    </row>
    <row r="45666" spans="1:1">
      <c r="A45666" s="56"/>
    </row>
    <row r="45667" spans="1:1">
      <c r="A45667" s="56"/>
    </row>
    <row r="45668" spans="1:1">
      <c r="A45668" s="56"/>
    </row>
    <row r="45669" spans="1:1">
      <c r="A45669" s="56"/>
    </row>
    <row r="45670" spans="1:1">
      <c r="A45670" s="56"/>
    </row>
    <row r="45671" spans="1:1">
      <c r="A45671" s="56"/>
    </row>
    <row r="45672" spans="1:1">
      <c r="A45672" s="56"/>
    </row>
    <row r="45673" spans="1:1">
      <c r="A45673" s="56"/>
    </row>
    <row r="45674" spans="1:1">
      <c r="A45674" s="56"/>
    </row>
    <row r="45675" spans="1:1">
      <c r="A45675" s="56"/>
    </row>
    <row r="45676" spans="1:1">
      <c r="A45676" s="56"/>
    </row>
    <row r="45677" spans="1:1">
      <c r="A45677" s="56"/>
    </row>
    <row r="45678" spans="1:1">
      <c r="A45678" s="56"/>
    </row>
    <row r="45679" spans="1:1">
      <c r="A45679" s="56"/>
    </row>
    <row r="45680" spans="1:1">
      <c r="A45680" s="56"/>
    </row>
    <row r="45681" spans="1:1">
      <c r="A45681" s="56"/>
    </row>
    <row r="45682" spans="1:1">
      <c r="A45682" s="56"/>
    </row>
    <row r="45683" spans="1:1">
      <c r="A45683" s="56"/>
    </row>
    <row r="45684" spans="1:1">
      <c r="A45684" s="56"/>
    </row>
    <row r="45685" spans="1:1">
      <c r="A45685" s="56"/>
    </row>
    <row r="45686" spans="1:1">
      <c r="A45686" s="56"/>
    </row>
    <row r="45687" spans="1:1">
      <c r="A45687" s="56"/>
    </row>
    <row r="45688" spans="1:1">
      <c r="A45688" s="56"/>
    </row>
    <row r="45689" spans="1:1">
      <c r="A45689" s="56"/>
    </row>
    <row r="45690" spans="1:1">
      <c r="A45690" s="56"/>
    </row>
    <row r="45691" spans="1:1">
      <c r="A45691" s="56"/>
    </row>
    <row r="45692" spans="1:1">
      <c r="A45692" s="56"/>
    </row>
    <row r="45693" spans="1:1">
      <c r="A45693" s="56"/>
    </row>
    <row r="45694" spans="1:1">
      <c r="A45694" s="56"/>
    </row>
    <row r="45695" spans="1:1">
      <c r="A45695" s="56"/>
    </row>
    <row r="45696" spans="1:1">
      <c r="A45696" s="56"/>
    </row>
    <row r="45697" spans="1:1">
      <c r="A45697" s="56"/>
    </row>
    <row r="45698" spans="1:1">
      <c r="A45698" s="56"/>
    </row>
    <row r="45699" spans="1:1">
      <c r="A45699" s="56"/>
    </row>
    <row r="45700" spans="1:1">
      <c r="A45700" s="56"/>
    </row>
    <row r="45701" spans="1:1">
      <c r="A45701" s="56"/>
    </row>
    <row r="45702" spans="1:1">
      <c r="A45702" s="56"/>
    </row>
    <row r="45703" spans="1:1">
      <c r="A45703" s="56"/>
    </row>
    <row r="45704" spans="1:1">
      <c r="A45704" s="56"/>
    </row>
    <row r="45705" spans="1:1">
      <c r="A45705" s="56"/>
    </row>
    <row r="45706" spans="1:1">
      <c r="A45706" s="56"/>
    </row>
    <row r="45707" spans="1:1">
      <c r="A45707" s="56"/>
    </row>
    <row r="45708" spans="1:1">
      <c r="A45708" s="56"/>
    </row>
    <row r="45709" spans="1:1">
      <c r="A45709" s="56"/>
    </row>
    <row r="45710" spans="1:1">
      <c r="A45710" s="56"/>
    </row>
    <row r="45711" spans="1:1">
      <c r="A45711" s="56"/>
    </row>
    <row r="45712" spans="1:1">
      <c r="A45712" s="56"/>
    </row>
    <row r="45713" spans="1:1">
      <c r="A45713" s="56"/>
    </row>
    <row r="45714" spans="1:1">
      <c r="A45714" s="56"/>
    </row>
    <row r="45715" spans="1:1">
      <c r="A45715" s="56"/>
    </row>
    <row r="45716" spans="1:1">
      <c r="A45716" s="56"/>
    </row>
    <row r="45717" spans="1:1">
      <c r="A45717" s="56"/>
    </row>
    <row r="45718" spans="1:1">
      <c r="A45718" s="56"/>
    </row>
    <row r="45719" spans="1:1">
      <c r="A45719" s="56"/>
    </row>
    <row r="45720" spans="1:1">
      <c r="A45720" s="56"/>
    </row>
    <row r="45721" spans="1:1">
      <c r="A45721" s="56"/>
    </row>
    <row r="45722" spans="1:1">
      <c r="A45722" s="56"/>
    </row>
    <row r="45723" spans="1:1">
      <c r="A45723" s="56"/>
    </row>
    <row r="45724" spans="1:1">
      <c r="A45724" s="56"/>
    </row>
    <row r="45725" spans="1:1">
      <c r="A45725" s="56"/>
    </row>
    <row r="45726" spans="1:1">
      <c r="A45726" s="56"/>
    </row>
    <row r="45727" spans="1:1">
      <c r="A45727" s="56"/>
    </row>
    <row r="45728" spans="1:1">
      <c r="A45728" s="56"/>
    </row>
    <row r="45729" spans="1:1">
      <c r="A45729" s="56"/>
    </row>
    <row r="45730" spans="1:1">
      <c r="A45730" s="56"/>
    </row>
    <row r="45731" spans="1:1">
      <c r="A45731" s="56"/>
    </row>
    <row r="45732" spans="1:1">
      <c r="A45732" s="56"/>
    </row>
    <row r="45733" spans="1:1">
      <c r="A45733" s="56"/>
    </row>
    <row r="45734" spans="1:1">
      <c r="A45734" s="56"/>
    </row>
    <row r="45735" spans="1:1">
      <c r="A45735" s="56"/>
    </row>
    <row r="45736" spans="1:1">
      <c r="A45736" s="56"/>
    </row>
    <row r="45737" spans="1:1">
      <c r="A45737" s="56"/>
    </row>
    <row r="45738" spans="1:1">
      <c r="A45738" s="56"/>
    </row>
    <row r="45739" spans="1:1">
      <c r="A45739" s="56"/>
    </row>
    <row r="45740" spans="1:1">
      <c r="A45740" s="56"/>
    </row>
    <row r="45741" spans="1:1">
      <c r="A45741" s="56"/>
    </row>
    <row r="45742" spans="1:1">
      <c r="A45742" s="56"/>
    </row>
    <row r="45743" spans="1:1">
      <c r="A45743" s="56"/>
    </row>
    <row r="45744" spans="1:1">
      <c r="A45744" s="56"/>
    </row>
    <row r="45745" spans="1:1">
      <c r="A45745" s="56"/>
    </row>
    <row r="45746" spans="1:1">
      <c r="A45746" s="56"/>
    </row>
    <row r="45747" spans="1:1">
      <c r="A45747" s="56"/>
    </row>
    <row r="45748" spans="1:1">
      <c r="A45748" s="56"/>
    </row>
    <row r="45749" spans="1:1">
      <c r="A45749" s="56"/>
    </row>
    <row r="45750" spans="1:1">
      <c r="A45750" s="56"/>
    </row>
    <row r="45751" spans="1:1">
      <c r="A45751" s="56"/>
    </row>
    <row r="45752" spans="1:1">
      <c r="A45752" s="56"/>
    </row>
    <row r="45753" spans="1:1">
      <c r="A45753" s="56"/>
    </row>
    <row r="45754" spans="1:1">
      <c r="A45754" s="56"/>
    </row>
    <row r="45755" spans="1:1">
      <c r="A45755" s="56"/>
    </row>
    <row r="45756" spans="1:1">
      <c r="A45756" s="56"/>
    </row>
    <row r="45757" spans="1:1">
      <c r="A45757" s="56"/>
    </row>
    <row r="45758" spans="1:1">
      <c r="A45758" s="56"/>
    </row>
    <row r="45759" spans="1:1">
      <c r="A45759" s="56"/>
    </row>
    <row r="45760" spans="1:1">
      <c r="A45760" s="56"/>
    </row>
    <row r="45761" spans="1:1">
      <c r="A45761" s="56"/>
    </row>
    <row r="45762" spans="1:1">
      <c r="A45762" s="56"/>
    </row>
    <row r="45763" spans="1:1">
      <c r="A45763" s="56"/>
    </row>
    <row r="45764" spans="1:1">
      <c r="A45764" s="56"/>
    </row>
    <row r="45765" spans="1:1">
      <c r="A45765" s="56"/>
    </row>
    <row r="45766" spans="1:1">
      <c r="A45766" s="56"/>
    </row>
    <row r="45767" spans="1:1">
      <c r="A45767" s="56"/>
    </row>
    <row r="45768" spans="1:1">
      <c r="A45768" s="56"/>
    </row>
    <row r="45769" spans="1:1">
      <c r="A45769" s="56"/>
    </row>
    <row r="45770" spans="1:1">
      <c r="A45770" s="56"/>
    </row>
    <row r="45771" spans="1:1">
      <c r="A45771" s="56"/>
    </row>
    <row r="45772" spans="1:1">
      <c r="A45772" s="56"/>
    </row>
    <row r="45773" spans="1:1">
      <c r="A45773" s="56"/>
    </row>
    <row r="45774" spans="1:1">
      <c r="A45774" s="56"/>
    </row>
    <row r="45775" spans="1:1">
      <c r="A45775" s="56"/>
    </row>
    <row r="45776" spans="1:1">
      <c r="A45776" s="56"/>
    </row>
    <row r="45777" spans="1:1">
      <c r="A45777" s="56"/>
    </row>
    <row r="45778" spans="1:1">
      <c r="A45778" s="56"/>
    </row>
    <row r="45779" spans="1:1">
      <c r="A45779" s="56"/>
    </row>
    <row r="45780" spans="1:1">
      <c r="A45780" s="56"/>
    </row>
    <row r="45781" spans="1:1">
      <c r="A45781" s="56"/>
    </row>
    <row r="45782" spans="1:1">
      <c r="A45782" s="56"/>
    </row>
    <row r="45783" spans="1:1">
      <c r="A45783" s="56"/>
    </row>
    <row r="45784" spans="1:1">
      <c r="A45784" s="56"/>
    </row>
    <row r="45785" spans="1:1">
      <c r="A45785" s="56"/>
    </row>
    <row r="45786" spans="1:1">
      <c r="A45786" s="56"/>
    </row>
    <row r="45787" spans="1:1">
      <c r="A45787" s="56"/>
    </row>
    <row r="45788" spans="1:1">
      <c r="A45788" s="56"/>
    </row>
    <row r="45789" spans="1:1">
      <c r="A45789" s="56"/>
    </row>
    <row r="45790" spans="1:1">
      <c r="A45790" s="56"/>
    </row>
    <row r="45791" spans="1:1">
      <c r="A45791" s="56"/>
    </row>
    <row r="45792" spans="1:1">
      <c r="A45792" s="56"/>
    </row>
    <row r="45793" spans="1:1">
      <c r="A45793" s="56"/>
    </row>
    <row r="45794" spans="1:1">
      <c r="A45794" s="56"/>
    </row>
    <row r="45795" spans="1:1">
      <c r="A45795" s="56"/>
    </row>
    <row r="45796" spans="1:1">
      <c r="A45796" s="56"/>
    </row>
    <row r="45797" spans="1:1">
      <c r="A45797" s="56"/>
    </row>
    <row r="45798" spans="1:1">
      <c r="A45798" s="56"/>
    </row>
    <row r="45799" spans="1:1">
      <c r="A45799" s="56"/>
    </row>
    <row r="45800" spans="1:1">
      <c r="A45800" s="56"/>
    </row>
    <row r="45801" spans="1:1">
      <c r="A45801" s="56"/>
    </row>
    <row r="45802" spans="1:1">
      <c r="A45802" s="56"/>
    </row>
    <row r="45803" spans="1:1">
      <c r="A45803" s="56"/>
    </row>
    <row r="45804" spans="1:1">
      <c r="A45804" s="56"/>
    </row>
    <row r="45805" spans="1:1">
      <c r="A45805" s="56"/>
    </row>
    <row r="45806" spans="1:1">
      <c r="A45806" s="56"/>
    </row>
    <row r="45807" spans="1:1">
      <c r="A45807" s="56"/>
    </row>
    <row r="45808" spans="1:1">
      <c r="A45808" s="56"/>
    </row>
    <row r="45809" spans="1:1">
      <c r="A45809" s="56"/>
    </row>
    <row r="45810" spans="1:1">
      <c r="A45810" s="56"/>
    </row>
    <row r="45811" spans="1:1">
      <c r="A45811" s="56"/>
    </row>
    <row r="45812" spans="1:1">
      <c r="A45812" s="56"/>
    </row>
    <row r="45813" spans="1:1">
      <c r="A45813" s="56"/>
    </row>
    <row r="45814" spans="1:1">
      <c r="A45814" s="56"/>
    </row>
    <row r="45815" spans="1:1">
      <c r="A45815" s="56"/>
    </row>
    <row r="45816" spans="1:1">
      <c r="A45816" s="56"/>
    </row>
    <row r="45817" spans="1:1">
      <c r="A45817" s="56"/>
    </row>
    <row r="45818" spans="1:1">
      <c r="A45818" s="56"/>
    </row>
    <row r="45819" spans="1:1">
      <c r="A45819" s="56"/>
    </row>
    <row r="45820" spans="1:1">
      <c r="A45820" s="56"/>
    </row>
    <row r="45821" spans="1:1">
      <c r="A45821" s="56"/>
    </row>
    <row r="45822" spans="1:1">
      <c r="A45822" s="56"/>
    </row>
    <row r="45823" spans="1:1">
      <c r="A45823" s="56"/>
    </row>
    <row r="45824" spans="1:1">
      <c r="A45824" s="56"/>
    </row>
    <row r="45825" spans="1:1">
      <c r="A45825" s="56"/>
    </row>
    <row r="45826" spans="1:1">
      <c r="A45826" s="56"/>
    </row>
    <row r="45827" spans="1:1">
      <c r="A45827" s="56"/>
    </row>
    <row r="45828" spans="1:1">
      <c r="A45828" s="56"/>
    </row>
    <row r="45829" spans="1:1">
      <c r="A45829" s="56"/>
    </row>
    <row r="45830" spans="1:1">
      <c r="A45830" s="56"/>
    </row>
    <row r="45831" spans="1:1">
      <c r="A45831" s="56"/>
    </row>
    <row r="45832" spans="1:1">
      <c r="A45832" s="56"/>
    </row>
    <row r="45833" spans="1:1">
      <c r="A45833" s="56"/>
    </row>
    <row r="45834" spans="1:1">
      <c r="A45834" s="56"/>
    </row>
    <row r="45835" spans="1:1">
      <c r="A45835" s="56"/>
    </row>
    <row r="45836" spans="1:1">
      <c r="A45836" s="56"/>
    </row>
    <row r="45837" spans="1:1">
      <c r="A45837" s="56"/>
    </row>
    <row r="45838" spans="1:1">
      <c r="A45838" s="56"/>
    </row>
    <row r="45839" spans="1:1">
      <c r="A45839" s="56"/>
    </row>
    <row r="45840" spans="1:1">
      <c r="A45840" s="56"/>
    </row>
    <row r="45841" spans="1:1">
      <c r="A45841" s="56"/>
    </row>
    <row r="45842" spans="1:1">
      <c r="A45842" s="56"/>
    </row>
    <row r="45843" spans="1:1">
      <c r="A45843" s="56"/>
    </row>
    <row r="45844" spans="1:1">
      <c r="A45844" s="56"/>
    </row>
    <row r="45845" spans="1:1">
      <c r="A45845" s="56"/>
    </row>
    <row r="45846" spans="1:1">
      <c r="A45846" s="56"/>
    </row>
    <row r="45847" spans="1:1">
      <c r="A45847" s="56"/>
    </row>
    <row r="45848" spans="1:1">
      <c r="A45848" s="56"/>
    </row>
    <row r="45849" spans="1:1">
      <c r="A45849" s="56"/>
    </row>
    <row r="45850" spans="1:1">
      <c r="A45850" s="56"/>
    </row>
    <row r="45851" spans="1:1">
      <c r="A45851" s="56"/>
    </row>
    <row r="45852" spans="1:1">
      <c r="A45852" s="56"/>
    </row>
    <row r="45853" spans="1:1">
      <c r="A45853" s="56"/>
    </row>
    <row r="45854" spans="1:1">
      <c r="A45854" s="56"/>
    </row>
    <row r="45855" spans="1:1">
      <c r="A45855" s="56"/>
    </row>
    <row r="45856" spans="1:1">
      <c r="A45856" s="56"/>
    </row>
    <row r="45857" spans="1:1">
      <c r="A45857" s="56"/>
    </row>
    <row r="45858" spans="1:1">
      <c r="A45858" s="56"/>
    </row>
    <row r="45859" spans="1:1">
      <c r="A45859" s="56"/>
    </row>
    <row r="45860" spans="1:1">
      <c r="A45860" s="56"/>
    </row>
    <row r="45861" spans="1:1">
      <c r="A45861" s="56"/>
    </row>
    <row r="45862" spans="1:1">
      <c r="A45862" s="56"/>
    </row>
    <row r="45863" spans="1:1">
      <c r="A45863" s="56"/>
    </row>
    <row r="45864" spans="1:1">
      <c r="A45864" s="56"/>
    </row>
    <row r="45865" spans="1:1">
      <c r="A45865" s="56"/>
    </row>
    <row r="45866" spans="1:1">
      <c r="A45866" s="56"/>
    </row>
    <row r="45867" spans="1:1">
      <c r="A45867" s="56"/>
    </row>
    <row r="45868" spans="1:1">
      <c r="A45868" s="56"/>
    </row>
    <row r="45869" spans="1:1">
      <c r="A45869" s="56"/>
    </row>
    <row r="45870" spans="1:1">
      <c r="A45870" s="56"/>
    </row>
    <row r="45871" spans="1:1">
      <c r="A45871" s="56"/>
    </row>
    <row r="45872" spans="1:1">
      <c r="A45872" s="56"/>
    </row>
    <row r="45873" spans="1:1">
      <c r="A45873" s="56"/>
    </row>
    <row r="45874" spans="1:1">
      <c r="A45874" s="56"/>
    </row>
    <row r="45875" spans="1:1">
      <c r="A45875" s="56"/>
    </row>
    <row r="45876" spans="1:1">
      <c r="A45876" s="56"/>
    </row>
    <row r="45877" spans="1:1">
      <c r="A45877" s="56"/>
    </row>
    <row r="45878" spans="1:1">
      <c r="A45878" s="56"/>
    </row>
    <row r="45879" spans="1:1">
      <c r="A45879" s="56"/>
    </row>
    <row r="45880" spans="1:1">
      <c r="A45880" s="56"/>
    </row>
    <row r="45881" spans="1:1">
      <c r="A45881" s="56"/>
    </row>
    <row r="45882" spans="1:1">
      <c r="A45882" s="56"/>
    </row>
    <row r="45883" spans="1:1">
      <c r="A45883" s="56"/>
    </row>
    <row r="45884" spans="1:1">
      <c r="A45884" s="56"/>
    </row>
    <row r="45885" spans="1:1">
      <c r="A45885" s="56"/>
    </row>
    <row r="45886" spans="1:1">
      <c r="A45886" s="56"/>
    </row>
    <row r="45887" spans="1:1">
      <c r="A45887" s="56"/>
    </row>
    <row r="45888" spans="1:1">
      <c r="A45888" s="56"/>
    </row>
    <row r="45889" spans="1:1">
      <c r="A45889" s="56"/>
    </row>
    <row r="45890" spans="1:1">
      <c r="A45890" s="56"/>
    </row>
    <row r="45891" spans="1:1">
      <c r="A45891" s="56"/>
    </row>
    <row r="45892" spans="1:1">
      <c r="A45892" s="56"/>
    </row>
    <row r="45893" spans="1:1">
      <c r="A45893" s="56"/>
    </row>
    <row r="45894" spans="1:1">
      <c r="A45894" s="56"/>
    </row>
    <row r="45895" spans="1:1">
      <c r="A45895" s="56"/>
    </row>
    <row r="45896" spans="1:1">
      <c r="A45896" s="56"/>
    </row>
    <row r="45897" spans="1:1">
      <c r="A45897" s="56"/>
    </row>
    <row r="45898" spans="1:1">
      <c r="A45898" s="56"/>
    </row>
    <row r="45899" spans="1:1">
      <c r="A45899" s="56"/>
    </row>
    <row r="45900" spans="1:1">
      <c r="A45900" s="56"/>
    </row>
    <row r="45901" spans="1:1">
      <c r="A45901" s="56"/>
    </row>
    <row r="45902" spans="1:1">
      <c r="A45902" s="56"/>
    </row>
    <row r="45903" spans="1:1">
      <c r="A45903" s="56"/>
    </row>
    <row r="45904" spans="1:1">
      <c r="A45904" s="56"/>
    </row>
    <row r="45905" spans="1:1">
      <c r="A45905" s="56"/>
    </row>
    <row r="45906" spans="1:1">
      <c r="A45906" s="56"/>
    </row>
    <row r="45907" spans="1:1">
      <c r="A45907" s="56"/>
    </row>
    <row r="45908" spans="1:1">
      <c r="A45908" s="56"/>
    </row>
    <row r="45909" spans="1:1">
      <c r="A45909" s="56"/>
    </row>
    <row r="45910" spans="1:1">
      <c r="A45910" s="56"/>
    </row>
    <row r="45911" spans="1:1">
      <c r="A45911" s="56"/>
    </row>
    <row r="45912" spans="1:1">
      <c r="A45912" s="56"/>
    </row>
    <row r="45913" spans="1:1">
      <c r="A45913" s="56"/>
    </row>
    <row r="45914" spans="1:1">
      <c r="A45914" s="56"/>
    </row>
    <row r="45915" spans="1:1">
      <c r="A45915" s="56"/>
    </row>
    <row r="45916" spans="1:1">
      <c r="A45916" s="56"/>
    </row>
    <row r="45917" spans="1:1">
      <c r="A45917" s="56"/>
    </row>
    <row r="45918" spans="1:1">
      <c r="A45918" s="56"/>
    </row>
    <row r="45919" spans="1:1">
      <c r="A45919" s="56"/>
    </row>
    <row r="45920" spans="1:1">
      <c r="A45920" s="56"/>
    </row>
    <row r="45921" spans="1:1">
      <c r="A45921" s="56"/>
    </row>
    <row r="45922" spans="1:1">
      <c r="A45922" s="56"/>
    </row>
    <row r="45923" spans="1:1">
      <c r="A45923" s="56"/>
    </row>
    <row r="45924" spans="1:1">
      <c r="A45924" s="56"/>
    </row>
    <row r="45925" spans="1:1">
      <c r="A45925" s="56"/>
    </row>
    <row r="45926" spans="1:1">
      <c r="A45926" s="56"/>
    </row>
    <row r="45927" spans="1:1">
      <c r="A45927" s="56"/>
    </row>
    <row r="45928" spans="1:1">
      <c r="A45928" s="56"/>
    </row>
    <row r="45929" spans="1:1">
      <c r="A45929" s="56"/>
    </row>
    <row r="45930" spans="1:1">
      <c r="A45930" s="56"/>
    </row>
    <row r="45931" spans="1:1">
      <c r="A45931" s="56"/>
    </row>
    <row r="45932" spans="1:1">
      <c r="A45932" s="56"/>
    </row>
    <row r="45933" spans="1:1">
      <c r="A45933" s="56"/>
    </row>
    <row r="45934" spans="1:1">
      <c r="A45934" s="56"/>
    </row>
    <row r="45935" spans="1:1">
      <c r="A45935" s="56"/>
    </row>
    <row r="45936" spans="1:1">
      <c r="A45936" s="56"/>
    </row>
    <row r="45937" spans="1:1">
      <c r="A45937" s="56"/>
    </row>
    <row r="45938" spans="1:1">
      <c r="A45938" s="56"/>
    </row>
    <row r="45939" spans="1:1">
      <c r="A45939" s="56"/>
    </row>
    <row r="45940" spans="1:1">
      <c r="A45940" s="56"/>
    </row>
    <row r="45941" spans="1:1">
      <c r="A45941" s="56"/>
    </row>
    <row r="45942" spans="1:1">
      <c r="A45942" s="56"/>
    </row>
    <row r="45943" spans="1:1">
      <c r="A45943" s="56"/>
    </row>
    <row r="45944" spans="1:1">
      <c r="A45944" s="56"/>
    </row>
    <row r="45945" spans="1:1">
      <c r="A45945" s="56"/>
    </row>
    <row r="45946" spans="1:1">
      <c r="A45946" s="56"/>
    </row>
    <row r="45947" spans="1:1">
      <c r="A45947" s="56"/>
    </row>
    <row r="45948" spans="1:1">
      <c r="A45948" s="56"/>
    </row>
    <row r="45949" spans="1:1">
      <c r="A45949" s="56"/>
    </row>
    <row r="45950" spans="1:1">
      <c r="A45950" s="56"/>
    </row>
    <row r="45951" spans="1:1">
      <c r="A45951" s="56"/>
    </row>
    <row r="45952" spans="1:1">
      <c r="A45952" s="56"/>
    </row>
    <row r="45953" spans="1:1">
      <c r="A45953" s="56"/>
    </row>
    <row r="45954" spans="1:1">
      <c r="A45954" s="56"/>
    </row>
    <row r="45955" spans="1:1">
      <c r="A45955" s="56"/>
    </row>
    <row r="45956" spans="1:1">
      <c r="A45956" s="56"/>
    </row>
    <row r="45957" spans="1:1">
      <c r="A45957" s="56"/>
    </row>
    <row r="45958" spans="1:1">
      <c r="A45958" s="56"/>
    </row>
    <row r="45959" spans="1:1">
      <c r="A45959" s="56"/>
    </row>
    <row r="45960" spans="1:1">
      <c r="A45960" s="56"/>
    </row>
    <row r="45961" spans="1:1">
      <c r="A45961" s="56"/>
    </row>
    <row r="45962" spans="1:1">
      <c r="A45962" s="56"/>
    </row>
    <row r="45963" spans="1:1">
      <c r="A45963" s="56"/>
    </row>
    <row r="45964" spans="1:1">
      <c r="A45964" s="56"/>
    </row>
    <row r="45965" spans="1:1">
      <c r="A45965" s="56"/>
    </row>
    <row r="45966" spans="1:1">
      <c r="A45966" s="56"/>
    </row>
    <row r="45967" spans="1:1">
      <c r="A45967" s="56"/>
    </row>
    <row r="45968" spans="1:1">
      <c r="A45968" s="56"/>
    </row>
    <row r="45969" spans="1:1">
      <c r="A45969" s="56"/>
    </row>
    <row r="45970" spans="1:1">
      <c r="A45970" s="56"/>
    </row>
    <row r="45971" spans="1:1">
      <c r="A45971" s="56"/>
    </row>
    <row r="45972" spans="1:1">
      <c r="A45972" s="56"/>
    </row>
    <row r="45973" spans="1:1">
      <c r="A45973" s="56"/>
    </row>
    <row r="45974" spans="1:1">
      <c r="A45974" s="56"/>
    </row>
    <row r="45975" spans="1:1">
      <c r="A45975" s="56"/>
    </row>
    <row r="45976" spans="1:1">
      <c r="A45976" s="56"/>
    </row>
    <row r="45977" spans="1:1">
      <c r="A45977" s="56"/>
    </row>
    <row r="45978" spans="1:1">
      <c r="A45978" s="56"/>
    </row>
    <row r="45979" spans="1:1">
      <c r="A45979" s="56"/>
    </row>
    <row r="45980" spans="1:1">
      <c r="A45980" s="56"/>
    </row>
    <row r="45981" spans="1:1">
      <c r="A45981" s="56"/>
    </row>
    <row r="45982" spans="1:1">
      <c r="A45982" s="56"/>
    </row>
    <row r="45983" spans="1:1">
      <c r="A45983" s="56"/>
    </row>
    <row r="45984" spans="1:1">
      <c r="A45984" s="56"/>
    </row>
    <row r="45985" spans="1:1">
      <c r="A45985" s="56"/>
    </row>
    <row r="45986" spans="1:1">
      <c r="A45986" s="56"/>
    </row>
    <row r="45987" spans="1:1">
      <c r="A45987" s="56"/>
    </row>
    <row r="45988" spans="1:1">
      <c r="A45988" s="56"/>
    </row>
    <row r="45989" spans="1:1">
      <c r="A45989" s="56"/>
    </row>
    <row r="45990" spans="1:1">
      <c r="A45990" s="56"/>
    </row>
    <row r="45991" spans="1:1">
      <c r="A45991" s="56"/>
    </row>
    <row r="45992" spans="1:1">
      <c r="A45992" s="56"/>
    </row>
    <row r="45993" spans="1:1">
      <c r="A45993" s="56"/>
    </row>
    <row r="45994" spans="1:1">
      <c r="A45994" s="56"/>
    </row>
    <row r="45995" spans="1:1">
      <c r="A45995" s="56"/>
    </row>
    <row r="45996" spans="1:1">
      <c r="A45996" s="56"/>
    </row>
    <row r="45997" spans="1:1">
      <c r="A45997" s="56"/>
    </row>
    <row r="45998" spans="1:1">
      <c r="A45998" s="56"/>
    </row>
    <row r="45999" spans="1:1">
      <c r="A45999" s="56"/>
    </row>
    <row r="46000" spans="1:1">
      <c r="A46000" s="56"/>
    </row>
    <row r="46001" spans="1:1">
      <c r="A46001" s="56"/>
    </row>
    <row r="46002" spans="1:1">
      <c r="A46002" s="56"/>
    </row>
    <row r="46003" spans="1:1">
      <c r="A46003" s="56"/>
    </row>
    <row r="46004" spans="1:1">
      <c r="A46004" s="56"/>
    </row>
    <row r="46005" spans="1:1">
      <c r="A46005" s="56"/>
    </row>
    <row r="46006" spans="1:1">
      <c r="A46006" s="56"/>
    </row>
    <row r="46007" spans="1:1">
      <c r="A46007" s="56"/>
    </row>
    <row r="46008" spans="1:1">
      <c r="A46008" s="56"/>
    </row>
    <row r="46009" spans="1:1">
      <c r="A46009" s="56"/>
    </row>
    <row r="46010" spans="1:1">
      <c r="A46010" s="56"/>
    </row>
    <row r="46011" spans="1:1">
      <c r="A46011" s="56"/>
    </row>
    <row r="46012" spans="1:1">
      <c r="A46012" s="56"/>
    </row>
    <row r="46013" spans="1:1">
      <c r="A46013" s="56"/>
    </row>
    <row r="46014" spans="1:1">
      <c r="A46014" s="56"/>
    </row>
    <row r="46015" spans="1:1">
      <c r="A46015" s="56"/>
    </row>
    <row r="46016" spans="1:1">
      <c r="A46016" s="56"/>
    </row>
    <row r="46017" spans="1:1">
      <c r="A46017" s="56"/>
    </row>
    <row r="46018" spans="1:1">
      <c r="A46018" s="56"/>
    </row>
    <row r="46019" spans="1:1">
      <c r="A46019" s="56"/>
    </row>
    <row r="46020" spans="1:1">
      <c r="A46020" s="56"/>
    </row>
    <row r="46021" spans="1:1">
      <c r="A46021" s="56"/>
    </row>
    <row r="46022" spans="1:1">
      <c r="A46022" s="56"/>
    </row>
    <row r="46023" spans="1:1">
      <c r="A46023" s="56"/>
    </row>
    <row r="46024" spans="1:1">
      <c r="A46024" s="56"/>
    </row>
    <row r="46025" spans="1:1">
      <c r="A46025" s="56"/>
    </row>
    <row r="46026" spans="1:1">
      <c r="A46026" s="56"/>
    </row>
    <row r="46027" spans="1:1">
      <c r="A46027" s="56"/>
    </row>
    <row r="46028" spans="1:1">
      <c r="A46028" s="56"/>
    </row>
    <row r="46029" spans="1:1">
      <c r="A46029" s="56"/>
    </row>
    <row r="46030" spans="1:1">
      <c r="A46030" s="56"/>
    </row>
    <row r="46031" spans="1:1">
      <c r="A46031" s="56"/>
    </row>
    <row r="46032" spans="1:1">
      <c r="A46032" s="56"/>
    </row>
    <row r="46033" spans="1:1">
      <c r="A46033" s="56"/>
    </row>
    <row r="46034" spans="1:1">
      <c r="A46034" s="56"/>
    </row>
    <row r="46035" spans="1:1">
      <c r="A46035" s="56"/>
    </row>
    <row r="46036" spans="1:1">
      <c r="A46036" s="56"/>
    </row>
    <row r="46037" spans="1:1">
      <c r="A46037" s="56"/>
    </row>
    <row r="46038" spans="1:1">
      <c r="A46038" s="56"/>
    </row>
    <row r="46039" spans="1:1">
      <c r="A46039" s="56"/>
    </row>
    <row r="46040" spans="1:1">
      <c r="A46040" s="56"/>
    </row>
    <row r="46041" spans="1:1">
      <c r="A46041" s="56"/>
    </row>
    <row r="46042" spans="1:1">
      <c r="A46042" s="56"/>
    </row>
    <row r="46043" spans="1:1">
      <c r="A46043" s="56"/>
    </row>
    <row r="46044" spans="1:1">
      <c r="A46044" s="56"/>
    </row>
    <row r="46045" spans="1:1">
      <c r="A46045" s="56"/>
    </row>
    <row r="46046" spans="1:1">
      <c r="A46046" s="56"/>
    </row>
    <row r="46047" spans="1:1">
      <c r="A46047" s="56"/>
    </row>
    <row r="46048" spans="1:1">
      <c r="A46048" s="56"/>
    </row>
    <row r="46049" spans="1:1">
      <c r="A46049" s="56"/>
    </row>
    <row r="46050" spans="1:1">
      <c r="A46050" s="56"/>
    </row>
    <row r="46051" spans="1:1">
      <c r="A46051" s="56"/>
    </row>
    <row r="46052" spans="1:1">
      <c r="A46052" s="56"/>
    </row>
    <row r="46053" spans="1:1">
      <c r="A46053" s="56"/>
    </row>
    <row r="46054" spans="1:1">
      <c r="A46054" s="56"/>
    </row>
    <row r="46055" spans="1:1">
      <c r="A46055" s="56"/>
    </row>
    <row r="46056" spans="1:1">
      <c r="A46056" s="56"/>
    </row>
    <row r="46057" spans="1:1">
      <c r="A46057" s="56"/>
    </row>
    <row r="46058" spans="1:1">
      <c r="A46058" s="56"/>
    </row>
    <row r="46059" spans="1:1">
      <c r="A46059" s="56"/>
    </row>
    <row r="46060" spans="1:1">
      <c r="A46060" s="56"/>
    </row>
    <row r="46061" spans="1:1">
      <c r="A46061" s="56"/>
    </row>
    <row r="46062" spans="1:1">
      <c r="A46062" s="56"/>
    </row>
    <row r="46063" spans="1:1">
      <c r="A46063" s="56"/>
    </row>
    <row r="46064" spans="1:1">
      <c r="A46064" s="56"/>
    </row>
    <row r="46065" spans="1:1">
      <c r="A46065" s="56"/>
    </row>
    <row r="46066" spans="1:1">
      <c r="A46066" s="56"/>
    </row>
    <row r="46067" spans="1:1">
      <c r="A46067" s="56"/>
    </row>
    <row r="46068" spans="1:1">
      <c r="A46068" s="56"/>
    </row>
    <row r="46069" spans="1:1">
      <c r="A46069" s="56"/>
    </row>
    <row r="46070" spans="1:1">
      <c r="A46070" s="56"/>
    </row>
    <row r="46071" spans="1:1">
      <c r="A46071" s="56"/>
    </row>
    <row r="46072" spans="1:1">
      <c r="A46072" s="56"/>
    </row>
    <row r="46073" spans="1:1">
      <c r="A46073" s="56"/>
    </row>
    <row r="46074" spans="1:1">
      <c r="A46074" s="56"/>
    </row>
    <row r="46075" spans="1:1">
      <c r="A46075" s="56"/>
    </row>
    <row r="46076" spans="1:1">
      <c r="A46076" s="56"/>
    </row>
    <row r="46077" spans="1:1">
      <c r="A46077" s="56"/>
    </row>
    <row r="46078" spans="1:1">
      <c r="A46078" s="56"/>
    </row>
    <row r="46079" spans="1:1">
      <c r="A46079" s="56"/>
    </row>
    <row r="46080" spans="1:1">
      <c r="A46080" s="56"/>
    </row>
    <row r="46081" spans="1:1">
      <c r="A46081" s="56"/>
    </row>
    <row r="46082" spans="1:1">
      <c r="A46082" s="56"/>
    </row>
    <row r="46083" spans="1:1">
      <c r="A46083" s="56"/>
    </row>
    <row r="46084" spans="1:1">
      <c r="A46084" s="56"/>
    </row>
    <row r="46085" spans="1:1">
      <c r="A46085" s="56"/>
    </row>
    <row r="46086" spans="1:1">
      <c r="A46086" s="56"/>
    </row>
    <row r="46087" spans="1:1">
      <c r="A46087" s="56"/>
    </row>
    <row r="46088" spans="1:1">
      <c r="A46088" s="56"/>
    </row>
    <row r="46089" spans="1:1">
      <c r="A46089" s="56"/>
    </row>
    <row r="46090" spans="1:1">
      <c r="A46090" s="56"/>
    </row>
    <row r="46091" spans="1:1">
      <c r="A46091" s="56"/>
    </row>
    <row r="46092" spans="1:1">
      <c r="A46092" s="56"/>
    </row>
    <row r="46093" spans="1:1">
      <c r="A46093" s="56"/>
    </row>
    <row r="46094" spans="1:1">
      <c r="A46094" s="56"/>
    </row>
    <row r="46095" spans="1:1">
      <c r="A46095" s="56"/>
    </row>
    <row r="46096" spans="1:1">
      <c r="A46096" s="56"/>
    </row>
    <row r="46097" spans="1:1">
      <c r="A46097" s="56"/>
    </row>
    <row r="46098" spans="1:1">
      <c r="A46098" s="56"/>
    </row>
    <row r="46099" spans="1:1">
      <c r="A46099" s="56"/>
    </row>
    <row r="46100" spans="1:1">
      <c r="A46100" s="56"/>
    </row>
    <row r="46101" spans="1:1">
      <c r="A46101" s="56"/>
    </row>
    <row r="46102" spans="1:1">
      <c r="A46102" s="56"/>
    </row>
    <row r="46103" spans="1:1">
      <c r="A46103" s="56"/>
    </row>
    <row r="46104" spans="1:1">
      <c r="A46104" s="56"/>
    </row>
    <row r="46105" spans="1:1">
      <c r="A46105" s="56"/>
    </row>
    <row r="46106" spans="1:1">
      <c r="A46106" s="56"/>
    </row>
    <row r="46107" spans="1:1">
      <c r="A46107" s="56"/>
    </row>
    <row r="46108" spans="1:1">
      <c r="A46108" s="56"/>
    </row>
    <row r="46109" spans="1:1">
      <c r="A46109" s="56"/>
    </row>
    <row r="46110" spans="1:1">
      <c r="A46110" s="56"/>
    </row>
    <row r="46111" spans="1:1">
      <c r="A46111" s="56"/>
    </row>
    <row r="46112" spans="1:1">
      <c r="A46112" s="56"/>
    </row>
    <row r="46113" spans="1:1">
      <c r="A46113" s="56"/>
    </row>
    <row r="46114" spans="1:1">
      <c r="A46114" s="56"/>
    </row>
    <row r="46115" spans="1:1">
      <c r="A46115" s="56"/>
    </row>
    <row r="46116" spans="1:1">
      <c r="A46116" s="56"/>
    </row>
    <row r="46117" spans="1:1">
      <c r="A46117" s="56"/>
    </row>
    <row r="46118" spans="1:1">
      <c r="A46118" s="56"/>
    </row>
    <row r="46119" spans="1:1">
      <c r="A46119" s="56"/>
    </row>
    <row r="46120" spans="1:1">
      <c r="A46120" s="56"/>
    </row>
    <row r="46121" spans="1:1">
      <c r="A46121" s="56"/>
    </row>
    <row r="46122" spans="1:1">
      <c r="A46122" s="56"/>
    </row>
    <row r="46123" spans="1:1">
      <c r="A46123" s="56"/>
    </row>
    <row r="46124" spans="1:1">
      <c r="A46124" s="56"/>
    </row>
    <row r="46125" spans="1:1">
      <c r="A46125" s="56"/>
    </row>
    <row r="46126" spans="1:1">
      <c r="A46126" s="56"/>
    </row>
    <row r="46127" spans="1:1">
      <c r="A46127" s="56"/>
    </row>
    <row r="46128" spans="1:1">
      <c r="A46128" s="56"/>
    </row>
    <row r="46129" spans="1:1">
      <c r="A46129" s="56"/>
    </row>
    <row r="46130" spans="1:1">
      <c r="A46130" s="56"/>
    </row>
    <row r="46131" spans="1:1">
      <c r="A46131" s="56"/>
    </row>
    <row r="46132" spans="1:1">
      <c r="A46132" s="56"/>
    </row>
    <row r="46133" spans="1:1">
      <c r="A46133" s="56"/>
    </row>
    <row r="46134" spans="1:1">
      <c r="A46134" s="56"/>
    </row>
    <row r="46135" spans="1:1">
      <c r="A46135" s="56"/>
    </row>
    <row r="46136" spans="1:1">
      <c r="A46136" s="56"/>
    </row>
    <row r="46137" spans="1:1">
      <c r="A46137" s="56"/>
    </row>
    <row r="46138" spans="1:1">
      <c r="A46138" s="56"/>
    </row>
    <row r="46139" spans="1:1">
      <c r="A46139" s="56"/>
    </row>
    <row r="46140" spans="1:1">
      <c r="A46140" s="56"/>
    </row>
    <row r="46141" spans="1:1">
      <c r="A46141" s="56"/>
    </row>
    <row r="46142" spans="1:1">
      <c r="A46142" s="56"/>
    </row>
    <row r="46143" spans="1:1">
      <c r="A46143" s="56"/>
    </row>
    <row r="46144" spans="1:1">
      <c r="A46144" s="56"/>
    </row>
    <row r="46145" spans="1:1">
      <c r="A46145" s="56"/>
    </row>
    <row r="46146" spans="1:1">
      <c r="A46146" s="56"/>
    </row>
    <row r="46147" spans="1:1">
      <c r="A46147" s="56"/>
    </row>
    <row r="46148" spans="1:1">
      <c r="A46148" s="56"/>
    </row>
    <row r="46149" spans="1:1">
      <c r="A46149" s="56"/>
    </row>
    <row r="46150" spans="1:1">
      <c r="A46150" s="56"/>
    </row>
    <row r="46151" spans="1:1">
      <c r="A46151" s="56"/>
    </row>
    <row r="46152" spans="1:1">
      <c r="A46152" s="56"/>
    </row>
    <row r="46153" spans="1:1">
      <c r="A46153" s="56"/>
    </row>
    <row r="46154" spans="1:1">
      <c r="A46154" s="56"/>
    </row>
    <row r="46155" spans="1:1">
      <c r="A46155" s="56"/>
    </row>
    <row r="46156" spans="1:1">
      <c r="A46156" s="56"/>
    </row>
    <row r="46157" spans="1:1">
      <c r="A46157" s="56"/>
    </row>
    <row r="46158" spans="1:1">
      <c r="A46158" s="56"/>
    </row>
    <row r="46159" spans="1:1">
      <c r="A46159" s="56"/>
    </row>
    <row r="46160" spans="1:1">
      <c r="A46160" s="56"/>
    </row>
    <row r="46161" spans="1:1">
      <c r="A46161" s="56"/>
    </row>
    <row r="46162" spans="1:1">
      <c r="A46162" s="56"/>
    </row>
    <row r="46163" spans="1:1">
      <c r="A46163" s="56"/>
    </row>
    <row r="46164" spans="1:1">
      <c r="A46164" s="56"/>
    </row>
    <row r="46165" spans="1:1">
      <c r="A46165" s="56"/>
    </row>
    <row r="46166" spans="1:1">
      <c r="A46166" s="56"/>
    </row>
    <row r="46167" spans="1:1">
      <c r="A46167" s="56"/>
    </row>
    <row r="46168" spans="1:1">
      <c r="A46168" s="56"/>
    </row>
    <row r="46169" spans="1:1">
      <c r="A46169" s="56"/>
    </row>
    <row r="46170" spans="1:1">
      <c r="A46170" s="56"/>
    </row>
    <row r="46171" spans="1:1">
      <c r="A46171" s="56"/>
    </row>
    <row r="46172" spans="1:1">
      <c r="A46172" s="56"/>
    </row>
    <row r="46173" spans="1:1">
      <c r="A46173" s="56"/>
    </row>
    <row r="46174" spans="1:1">
      <c r="A46174" s="56"/>
    </row>
    <row r="46175" spans="1:1">
      <c r="A46175" s="56"/>
    </row>
    <row r="46176" spans="1:1">
      <c r="A46176" s="56"/>
    </row>
    <row r="46177" spans="1:1">
      <c r="A46177" s="56"/>
    </row>
    <row r="46178" spans="1:1">
      <c r="A46178" s="56"/>
    </row>
    <row r="46179" spans="1:1">
      <c r="A46179" s="56"/>
    </row>
    <row r="46180" spans="1:1">
      <c r="A46180" s="56"/>
    </row>
    <row r="46181" spans="1:1">
      <c r="A46181" s="56"/>
    </row>
    <row r="46182" spans="1:1">
      <c r="A46182" s="56"/>
    </row>
    <row r="46183" spans="1:1">
      <c r="A46183" s="56"/>
    </row>
    <row r="46184" spans="1:1">
      <c r="A46184" s="56"/>
    </row>
    <row r="46185" spans="1:1">
      <c r="A46185" s="56"/>
    </row>
    <row r="46186" spans="1:1">
      <c r="A46186" s="56"/>
    </row>
    <row r="46187" spans="1:1">
      <c r="A46187" s="56"/>
    </row>
    <row r="46188" spans="1:1">
      <c r="A46188" s="56"/>
    </row>
    <row r="46189" spans="1:1">
      <c r="A46189" s="56"/>
    </row>
    <row r="46190" spans="1:1">
      <c r="A46190" s="56"/>
    </row>
    <row r="46191" spans="1:1">
      <c r="A46191" s="56"/>
    </row>
    <row r="46192" spans="1:1">
      <c r="A46192" s="56"/>
    </row>
    <row r="46193" spans="1:1">
      <c r="A46193" s="56"/>
    </row>
    <row r="46194" spans="1:1">
      <c r="A46194" s="56"/>
    </row>
    <row r="46195" spans="1:1">
      <c r="A46195" s="56"/>
    </row>
    <row r="46196" spans="1:1">
      <c r="A46196" s="56"/>
    </row>
    <row r="46197" spans="1:1">
      <c r="A46197" s="56"/>
    </row>
    <row r="46198" spans="1:1">
      <c r="A46198" s="56"/>
    </row>
    <row r="46199" spans="1:1">
      <c r="A46199" s="56"/>
    </row>
    <row r="46200" spans="1:1">
      <c r="A46200" s="56"/>
    </row>
    <row r="46201" spans="1:1">
      <c r="A46201" s="56"/>
    </row>
    <row r="46202" spans="1:1">
      <c r="A46202" s="56"/>
    </row>
    <row r="46203" spans="1:1">
      <c r="A46203" s="56"/>
    </row>
    <row r="46204" spans="1:1">
      <c r="A46204" s="56"/>
    </row>
    <row r="46205" spans="1:1">
      <c r="A46205" s="56"/>
    </row>
    <row r="46206" spans="1:1">
      <c r="A46206" s="56"/>
    </row>
    <row r="46207" spans="1:1">
      <c r="A46207" s="56"/>
    </row>
    <row r="46208" spans="1:1">
      <c r="A46208" s="56"/>
    </row>
    <row r="46209" spans="1:1">
      <c r="A46209" s="56"/>
    </row>
    <row r="46210" spans="1:1">
      <c r="A46210" s="56"/>
    </row>
    <row r="46211" spans="1:1">
      <c r="A46211" s="56"/>
    </row>
    <row r="46212" spans="1:1">
      <c r="A46212" s="56"/>
    </row>
    <row r="46213" spans="1:1">
      <c r="A46213" s="56"/>
    </row>
    <row r="46214" spans="1:1">
      <c r="A46214" s="56"/>
    </row>
    <row r="46215" spans="1:1">
      <c r="A46215" s="56"/>
    </row>
    <row r="46216" spans="1:1">
      <c r="A46216" s="56"/>
    </row>
    <row r="46217" spans="1:1">
      <c r="A46217" s="56"/>
    </row>
    <row r="46218" spans="1:1">
      <c r="A46218" s="56"/>
    </row>
    <row r="46219" spans="1:1">
      <c r="A46219" s="56"/>
    </row>
    <row r="46220" spans="1:1">
      <c r="A46220" s="56"/>
    </row>
    <row r="46221" spans="1:1">
      <c r="A46221" s="56"/>
    </row>
    <row r="46222" spans="1:1">
      <c r="A46222" s="56"/>
    </row>
    <row r="46223" spans="1:1">
      <c r="A46223" s="56"/>
    </row>
    <row r="46224" spans="1:1">
      <c r="A46224" s="56"/>
    </row>
    <row r="46225" spans="1:1">
      <c r="A46225" s="56"/>
    </row>
    <row r="46226" spans="1:1">
      <c r="A46226" s="56"/>
    </row>
    <row r="46227" spans="1:1">
      <c r="A46227" s="56"/>
    </row>
    <row r="46228" spans="1:1">
      <c r="A46228" s="56"/>
    </row>
    <row r="46229" spans="1:1">
      <c r="A46229" s="56"/>
    </row>
    <row r="46230" spans="1:1">
      <c r="A46230" s="56"/>
    </row>
    <row r="46231" spans="1:1">
      <c r="A46231" s="56"/>
    </row>
    <row r="46232" spans="1:1">
      <c r="A46232" s="56"/>
    </row>
    <row r="46233" spans="1:1">
      <c r="A46233" s="56"/>
    </row>
    <row r="46234" spans="1:1">
      <c r="A46234" s="56"/>
    </row>
    <row r="46235" spans="1:1">
      <c r="A46235" s="56"/>
    </row>
    <row r="46236" spans="1:1">
      <c r="A46236" s="56"/>
    </row>
    <row r="46237" spans="1:1">
      <c r="A46237" s="56"/>
    </row>
    <row r="46238" spans="1:1">
      <c r="A46238" s="56"/>
    </row>
    <row r="46239" spans="1:1">
      <c r="A46239" s="56"/>
    </row>
    <row r="46240" spans="1:1">
      <c r="A46240" s="56"/>
    </row>
    <row r="46241" spans="1:1">
      <c r="A46241" s="56"/>
    </row>
    <row r="46242" spans="1:1">
      <c r="A46242" s="56"/>
    </row>
    <row r="46243" spans="1:1">
      <c r="A46243" s="56"/>
    </row>
    <row r="46244" spans="1:1">
      <c r="A46244" s="56"/>
    </row>
    <row r="46245" spans="1:1">
      <c r="A46245" s="56"/>
    </row>
    <row r="46246" spans="1:1">
      <c r="A46246" s="56"/>
    </row>
    <row r="46247" spans="1:1">
      <c r="A46247" s="56"/>
    </row>
    <row r="46248" spans="1:1">
      <c r="A46248" s="56"/>
    </row>
    <row r="46249" spans="1:1">
      <c r="A46249" s="56"/>
    </row>
    <row r="46250" spans="1:1">
      <c r="A46250" s="56"/>
    </row>
    <row r="46251" spans="1:1">
      <c r="A46251" s="56"/>
    </row>
    <row r="46252" spans="1:1">
      <c r="A46252" s="56"/>
    </row>
    <row r="46253" spans="1:1">
      <c r="A46253" s="56"/>
    </row>
    <row r="46254" spans="1:1">
      <c r="A46254" s="56"/>
    </row>
    <row r="46255" spans="1:1">
      <c r="A46255" s="56"/>
    </row>
    <row r="46256" spans="1:1">
      <c r="A46256" s="56"/>
    </row>
    <row r="46257" spans="1:1">
      <c r="A46257" s="56"/>
    </row>
    <row r="46258" spans="1:1">
      <c r="A46258" s="56"/>
    </row>
    <row r="46259" spans="1:1">
      <c r="A46259" s="56"/>
    </row>
    <row r="46260" spans="1:1">
      <c r="A46260" s="56"/>
    </row>
    <row r="46261" spans="1:1">
      <c r="A46261" s="56"/>
    </row>
    <row r="46262" spans="1:1">
      <c r="A46262" s="56"/>
    </row>
    <row r="46263" spans="1:1">
      <c r="A46263" s="56"/>
    </row>
    <row r="46264" spans="1:1">
      <c r="A46264" s="56"/>
    </row>
    <row r="46265" spans="1:1">
      <c r="A46265" s="56"/>
    </row>
    <row r="46266" spans="1:1">
      <c r="A46266" s="56"/>
    </row>
    <row r="46267" spans="1:1">
      <c r="A46267" s="56"/>
    </row>
    <row r="46268" spans="1:1">
      <c r="A46268" s="56"/>
    </row>
    <row r="46269" spans="1:1">
      <c r="A46269" s="56"/>
    </row>
    <row r="46270" spans="1:1">
      <c r="A46270" s="56"/>
    </row>
    <row r="46271" spans="1:1">
      <c r="A46271" s="56"/>
    </row>
    <row r="46272" spans="1:1">
      <c r="A46272" s="56"/>
    </row>
    <row r="46273" spans="1:1">
      <c r="A46273" s="56"/>
    </row>
    <row r="46274" spans="1:1">
      <c r="A46274" s="56"/>
    </row>
    <row r="46275" spans="1:1">
      <c r="A46275" s="56"/>
    </row>
    <row r="46276" spans="1:1">
      <c r="A46276" s="56"/>
    </row>
    <row r="46277" spans="1:1">
      <c r="A46277" s="56"/>
    </row>
    <row r="46278" spans="1:1">
      <c r="A46278" s="56"/>
    </row>
    <row r="46279" spans="1:1">
      <c r="A46279" s="56"/>
    </row>
    <row r="46280" spans="1:1">
      <c r="A46280" s="56"/>
    </row>
    <row r="46281" spans="1:1">
      <c r="A46281" s="56"/>
    </row>
    <row r="46282" spans="1:1">
      <c r="A46282" s="56"/>
    </row>
    <row r="46283" spans="1:1">
      <c r="A46283" s="56"/>
    </row>
    <row r="46284" spans="1:1">
      <c r="A46284" s="56"/>
    </row>
    <row r="46285" spans="1:1">
      <c r="A46285" s="56"/>
    </row>
    <row r="46286" spans="1:1">
      <c r="A46286" s="56"/>
    </row>
    <row r="46287" spans="1:1">
      <c r="A46287" s="56"/>
    </row>
    <row r="46288" spans="1:1">
      <c r="A46288" s="56"/>
    </row>
    <row r="46289" spans="1:1">
      <c r="A46289" s="56"/>
    </row>
    <row r="46290" spans="1:1">
      <c r="A46290" s="56"/>
    </row>
    <row r="46291" spans="1:1">
      <c r="A46291" s="56"/>
    </row>
    <row r="46292" spans="1:1">
      <c r="A46292" s="56"/>
    </row>
    <row r="46293" spans="1:1">
      <c r="A46293" s="56"/>
    </row>
    <row r="46294" spans="1:1">
      <c r="A46294" s="56"/>
    </row>
    <row r="46295" spans="1:1">
      <c r="A46295" s="56"/>
    </row>
    <row r="46296" spans="1:1">
      <c r="A46296" s="56"/>
    </row>
    <row r="46297" spans="1:1">
      <c r="A46297" s="56"/>
    </row>
    <row r="46298" spans="1:1">
      <c r="A46298" s="56"/>
    </row>
    <row r="46299" spans="1:1">
      <c r="A46299" s="56"/>
    </row>
    <row r="46300" spans="1:1">
      <c r="A46300" s="56"/>
    </row>
    <row r="46301" spans="1:1">
      <c r="A46301" s="56"/>
    </row>
    <row r="46302" spans="1:1">
      <c r="A46302" s="56"/>
    </row>
    <row r="46303" spans="1:1">
      <c r="A46303" s="56"/>
    </row>
    <row r="46304" spans="1:1">
      <c r="A46304" s="56"/>
    </row>
    <row r="46305" spans="1:1">
      <c r="A46305" s="56"/>
    </row>
    <row r="46306" spans="1:1">
      <c r="A46306" s="56"/>
    </row>
    <row r="46307" spans="1:1">
      <c r="A46307" s="56"/>
    </row>
    <row r="46308" spans="1:1">
      <c r="A46308" s="56"/>
    </row>
    <row r="46309" spans="1:1">
      <c r="A46309" s="56"/>
    </row>
    <row r="46310" spans="1:1">
      <c r="A46310" s="56"/>
    </row>
    <row r="46311" spans="1:1">
      <c r="A46311" s="56"/>
    </row>
    <row r="46312" spans="1:1">
      <c r="A46312" s="56"/>
    </row>
    <row r="46313" spans="1:1">
      <c r="A46313" s="56"/>
    </row>
    <row r="46314" spans="1:1">
      <c r="A46314" s="56"/>
    </row>
    <row r="46315" spans="1:1">
      <c r="A46315" s="56"/>
    </row>
    <row r="46316" spans="1:1">
      <c r="A46316" s="56"/>
    </row>
    <row r="46317" spans="1:1">
      <c r="A46317" s="56"/>
    </row>
    <row r="46318" spans="1:1">
      <c r="A46318" s="56"/>
    </row>
    <row r="46319" spans="1:1">
      <c r="A46319" s="56"/>
    </row>
    <row r="46320" spans="1:1">
      <c r="A46320" s="56"/>
    </row>
    <row r="46321" spans="1:1">
      <c r="A46321" s="56"/>
    </row>
    <row r="46322" spans="1:1">
      <c r="A46322" s="56"/>
    </row>
    <row r="46323" spans="1:1">
      <c r="A46323" s="56"/>
    </row>
    <row r="46324" spans="1:1">
      <c r="A46324" s="56"/>
    </row>
    <row r="46325" spans="1:1">
      <c r="A46325" s="56"/>
    </row>
    <row r="46326" spans="1:1">
      <c r="A46326" s="56"/>
    </row>
    <row r="46327" spans="1:1">
      <c r="A46327" s="56"/>
    </row>
    <row r="46328" spans="1:1">
      <c r="A46328" s="56"/>
    </row>
    <row r="46329" spans="1:1">
      <c r="A46329" s="56"/>
    </row>
    <row r="46330" spans="1:1">
      <c r="A46330" s="56"/>
    </row>
    <row r="46331" spans="1:1">
      <c r="A46331" s="56"/>
    </row>
    <row r="46332" spans="1:1">
      <c r="A46332" s="56"/>
    </row>
    <row r="46333" spans="1:1">
      <c r="A46333" s="56"/>
    </row>
    <row r="46334" spans="1:1">
      <c r="A46334" s="56"/>
    </row>
    <row r="46335" spans="1:1">
      <c r="A46335" s="56"/>
    </row>
    <row r="46336" spans="1:1">
      <c r="A46336" s="56"/>
    </row>
    <row r="46337" spans="1:1">
      <c r="A46337" s="56"/>
    </row>
    <row r="46338" spans="1:1">
      <c r="A46338" s="56"/>
    </row>
    <row r="46339" spans="1:1">
      <c r="A46339" s="56"/>
    </row>
    <row r="46340" spans="1:1">
      <c r="A46340" s="56"/>
    </row>
    <row r="46341" spans="1:1">
      <c r="A46341" s="56"/>
    </row>
    <row r="46342" spans="1:1">
      <c r="A46342" s="56"/>
    </row>
    <row r="46343" spans="1:1">
      <c r="A46343" s="56"/>
    </row>
    <row r="46344" spans="1:1">
      <c r="A46344" s="56"/>
    </row>
    <row r="46345" spans="1:1">
      <c r="A46345" s="56"/>
    </row>
    <row r="46346" spans="1:1">
      <c r="A46346" s="56"/>
    </row>
    <row r="46347" spans="1:1">
      <c r="A46347" s="56"/>
    </row>
    <row r="46348" spans="1:1">
      <c r="A46348" s="56"/>
    </row>
    <row r="46349" spans="1:1">
      <c r="A46349" s="56"/>
    </row>
    <row r="46350" spans="1:1">
      <c r="A46350" s="56"/>
    </row>
    <row r="46351" spans="1:1">
      <c r="A46351" s="56"/>
    </row>
    <row r="46352" spans="1:1">
      <c r="A46352" s="56"/>
    </row>
    <row r="46353" spans="1:1">
      <c r="A46353" s="56"/>
    </row>
    <row r="46354" spans="1:1">
      <c r="A46354" s="56"/>
    </row>
    <row r="46355" spans="1:1">
      <c r="A46355" s="56"/>
    </row>
    <row r="46356" spans="1:1">
      <c r="A46356" s="56"/>
    </row>
    <row r="46357" spans="1:1">
      <c r="A46357" s="56"/>
    </row>
    <row r="46358" spans="1:1">
      <c r="A46358" s="56"/>
    </row>
    <row r="46359" spans="1:1">
      <c r="A46359" s="56"/>
    </row>
    <row r="46360" spans="1:1">
      <c r="A46360" s="56"/>
    </row>
    <row r="46361" spans="1:1">
      <c r="A46361" s="56"/>
    </row>
    <row r="46362" spans="1:1">
      <c r="A46362" s="56"/>
    </row>
    <row r="46363" spans="1:1">
      <c r="A46363" s="56"/>
    </row>
    <row r="46364" spans="1:1">
      <c r="A46364" s="56"/>
    </row>
    <row r="46365" spans="1:1">
      <c r="A46365" s="56"/>
    </row>
    <row r="46366" spans="1:1">
      <c r="A46366" s="56"/>
    </row>
    <row r="46367" spans="1:1">
      <c r="A46367" s="56"/>
    </row>
    <row r="46368" spans="1:1">
      <c r="A46368" s="56"/>
    </row>
    <row r="46369" spans="1:1">
      <c r="A46369" s="56"/>
    </row>
    <row r="46370" spans="1:1">
      <c r="A46370" s="56"/>
    </row>
    <row r="46371" spans="1:1">
      <c r="A46371" s="56"/>
    </row>
    <row r="46372" spans="1:1">
      <c r="A46372" s="56"/>
    </row>
    <row r="46373" spans="1:1">
      <c r="A46373" s="56"/>
    </row>
    <row r="46374" spans="1:1">
      <c r="A46374" s="56"/>
    </row>
    <row r="46375" spans="1:1">
      <c r="A46375" s="56"/>
    </row>
    <row r="46376" spans="1:1">
      <c r="A46376" s="56"/>
    </row>
    <row r="46377" spans="1:1">
      <c r="A46377" s="56"/>
    </row>
    <row r="46378" spans="1:1">
      <c r="A46378" s="56"/>
    </row>
    <row r="46379" spans="1:1">
      <c r="A46379" s="56"/>
    </row>
    <row r="46380" spans="1:1">
      <c r="A46380" s="56"/>
    </row>
    <row r="46381" spans="1:1">
      <c r="A46381" s="56"/>
    </row>
    <row r="46382" spans="1:1">
      <c r="A46382" s="56"/>
    </row>
    <row r="46383" spans="1:1">
      <c r="A46383" s="56"/>
    </row>
    <row r="46384" spans="1:1">
      <c r="A46384" s="56"/>
    </row>
    <row r="46385" spans="1:1">
      <c r="A46385" s="56"/>
    </row>
    <row r="46386" spans="1:1">
      <c r="A46386" s="56"/>
    </row>
    <row r="46387" spans="1:1">
      <c r="A46387" s="56"/>
    </row>
    <row r="46388" spans="1:1">
      <c r="A46388" s="56"/>
    </row>
    <row r="46389" spans="1:1">
      <c r="A46389" s="56"/>
    </row>
    <row r="46390" spans="1:1">
      <c r="A46390" s="56"/>
    </row>
    <row r="46391" spans="1:1">
      <c r="A46391" s="56"/>
    </row>
    <row r="46392" spans="1:1">
      <c r="A46392" s="56"/>
    </row>
    <row r="46393" spans="1:1">
      <c r="A46393" s="56"/>
    </row>
    <row r="46394" spans="1:1">
      <c r="A46394" s="56"/>
    </row>
    <row r="46395" spans="1:1">
      <c r="A46395" s="56"/>
    </row>
    <row r="46396" spans="1:1">
      <c r="A46396" s="56"/>
    </row>
    <row r="46397" spans="1:1">
      <c r="A46397" s="56"/>
    </row>
    <row r="46398" spans="1:1">
      <c r="A46398" s="56"/>
    </row>
    <row r="46399" spans="1:1">
      <c r="A46399" s="56"/>
    </row>
    <row r="46400" spans="1:1">
      <c r="A46400" s="56"/>
    </row>
    <row r="46401" spans="1:1">
      <c r="A46401" s="56"/>
    </row>
    <row r="46402" spans="1:1">
      <c r="A46402" s="56"/>
    </row>
    <row r="46403" spans="1:1">
      <c r="A46403" s="56"/>
    </row>
    <row r="46404" spans="1:1">
      <c r="A46404" s="56"/>
    </row>
    <row r="46405" spans="1:1">
      <c r="A46405" s="56"/>
    </row>
    <row r="46406" spans="1:1">
      <c r="A46406" s="56"/>
    </row>
    <row r="46407" spans="1:1">
      <c r="A46407" s="56"/>
    </row>
    <row r="46408" spans="1:1">
      <c r="A46408" s="56"/>
    </row>
    <row r="46409" spans="1:1">
      <c r="A46409" s="56"/>
    </row>
    <row r="46410" spans="1:1">
      <c r="A46410" s="56"/>
    </row>
    <row r="46411" spans="1:1">
      <c r="A46411" s="56"/>
    </row>
    <row r="46412" spans="1:1">
      <c r="A46412" s="56"/>
    </row>
    <row r="46413" spans="1:1">
      <c r="A46413" s="56"/>
    </row>
    <row r="46414" spans="1:1">
      <c r="A46414" s="56"/>
    </row>
    <row r="46415" spans="1:1">
      <c r="A46415" s="56"/>
    </row>
    <row r="46416" spans="1:1">
      <c r="A46416" s="56"/>
    </row>
    <row r="46417" spans="1:1">
      <c r="A46417" s="56"/>
    </row>
    <row r="46418" spans="1:1">
      <c r="A46418" s="56"/>
    </row>
    <row r="46419" spans="1:1">
      <c r="A46419" s="56"/>
    </row>
    <row r="46420" spans="1:1">
      <c r="A46420" s="56"/>
    </row>
    <row r="46421" spans="1:1">
      <c r="A46421" s="56"/>
    </row>
    <row r="46422" spans="1:1">
      <c r="A46422" s="56"/>
    </row>
    <row r="46423" spans="1:1">
      <c r="A46423" s="56"/>
    </row>
    <row r="46424" spans="1:1">
      <c r="A46424" s="56"/>
    </row>
    <row r="46425" spans="1:1">
      <c r="A46425" s="56"/>
    </row>
    <row r="46426" spans="1:1">
      <c r="A46426" s="56"/>
    </row>
    <row r="46427" spans="1:1">
      <c r="A46427" s="56"/>
    </row>
    <row r="46428" spans="1:1">
      <c r="A46428" s="56"/>
    </row>
    <row r="46429" spans="1:1">
      <c r="A46429" s="56"/>
    </row>
    <row r="46430" spans="1:1">
      <c r="A46430" s="56"/>
    </row>
    <row r="46431" spans="1:1">
      <c r="A46431" s="56"/>
    </row>
    <row r="46432" spans="1:1">
      <c r="A46432" s="56"/>
    </row>
    <row r="46433" spans="1:1">
      <c r="A46433" s="56"/>
    </row>
    <row r="46434" spans="1:1">
      <c r="A46434" s="56"/>
    </row>
    <row r="46435" spans="1:1">
      <c r="A46435" s="56"/>
    </row>
    <row r="46436" spans="1:1">
      <c r="A46436" s="56"/>
    </row>
    <row r="46437" spans="1:1">
      <c r="A46437" s="56"/>
    </row>
    <row r="46438" spans="1:1">
      <c r="A46438" s="56"/>
    </row>
    <row r="46439" spans="1:1">
      <c r="A46439" s="56"/>
    </row>
    <row r="46440" spans="1:1">
      <c r="A46440" s="56"/>
    </row>
    <row r="46441" spans="1:1">
      <c r="A46441" s="56"/>
    </row>
    <row r="46442" spans="1:1">
      <c r="A46442" s="56"/>
    </row>
    <row r="46443" spans="1:1">
      <c r="A46443" s="56"/>
    </row>
    <row r="46444" spans="1:1">
      <c r="A46444" s="56"/>
    </row>
    <row r="46445" spans="1:1">
      <c r="A46445" s="56"/>
    </row>
    <row r="46446" spans="1:1">
      <c r="A46446" s="56"/>
    </row>
    <row r="46447" spans="1:1">
      <c r="A46447" s="56"/>
    </row>
    <row r="46448" spans="1:1">
      <c r="A46448" s="56"/>
    </row>
    <row r="46449" spans="1:1">
      <c r="A46449" s="56"/>
    </row>
    <row r="46450" spans="1:1">
      <c r="A46450" s="56"/>
    </row>
    <row r="46451" spans="1:1">
      <c r="A46451" s="56"/>
    </row>
    <row r="46452" spans="1:1">
      <c r="A46452" s="56"/>
    </row>
    <row r="46453" spans="1:1">
      <c r="A46453" s="56"/>
    </row>
    <row r="46454" spans="1:1">
      <c r="A46454" s="56"/>
    </row>
    <row r="46455" spans="1:1">
      <c r="A46455" s="56"/>
    </row>
    <row r="46456" spans="1:1">
      <c r="A46456" s="56"/>
    </row>
    <row r="46457" spans="1:1">
      <c r="A46457" s="56"/>
    </row>
    <row r="46458" spans="1:1">
      <c r="A46458" s="56"/>
    </row>
    <row r="46459" spans="1:1">
      <c r="A46459" s="56"/>
    </row>
    <row r="46460" spans="1:1">
      <c r="A46460" s="56"/>
    </row>
    <row r="46461" spans="1:1">
      <c r="A46461" s="56"/>
    </row>
    <row r="46462" spans="1:1">
      <c r="A46462" s="56"/>
    </row>
    <row r="46463" spans="1:1">
      <c r="A46463" s="56"/>
    </row>
    <row r="46464" spans="1:1">
      <c r="A46464" s="56"/>
    </row>
    <row r="46465" spans="1:1">
      <c r="A46465" s="56"/>
    </row>
    <row r="46466" spans="1:1">
      <c r="A46466" s="56"/>
    </row>
    <row r="46467" spans="1:1">
      <c r="A46467" s="56"/>
    </row>
    <row r="46468" spans="1:1">
      <c r="A46468" s="56"/>
    </row>
    <row r="46469" spans="1:1">
      <c r="A46469" s="56"/>
    </row>
    <row r="46470" spans="1:1">
      <c r="A46470" s="56"/>
    </row>
    <row r="46471" spans="1:1">
      <c r="A46471" s="56"/>
    </row>
    <row r="46472" spans="1:1">
      <c r="A46472" s="56"/>
    </row>
    <row r="46473" spans="1:1">
      <c r="A46473" s="56"/>
    </row>
    <row r="46474" spans="1:1">
      <c r="A46474" s="56"/>
    </row>
    <row r="46475" spans="1:1">
      <c r="A46475" s="56"/>
    </row>
    <row r="46476" spans="1:1">
      <c r="A46476" s="56"/>
    </row>
    <row r="46477" spans="1:1">
      <c r="A46477" s="56"/>
    </row>
    <row r="46478" spans="1:1">
      <c r="A46478" s="56"/>
    </row>
    <row r="46479" spans="1:1">
      <c r="A46479" s="56"/>
    </row>
    <row r="46480" spans="1:1">
      <c r="A46480" s="56"/>
    </row>
    <row r="46481" spans="1:1">
      <c r="A46481" s="56"/>
    </row>
    <row r="46482" spans="1:1">
      <c r="A46482" s="56"/>
    </row>
    <row r="46483" spans="1:1">
      <c r="A46483" s="56"/>
    </row>
    <row r="46484" spans="1:1">
      <c r="A46484" s="56"/>
    </row>
    <row r="46485" spans="1:1">
      <c r="A46485" s="56"/>
    </row>
    <row r="46486" spans="1:1">
      <c r="A46486" s="56"/>
    </row>
    <row r="46487" spans="1:1">
      <c r="A46487" s="56"/>
    </row>
    <row r="46488" spans="1:1">
      <c r="A46488" s="56"/>
    </row>
    <row r="46489" spans="1:1">
      <c r="A46489" s="56"/>
    </row>
    <row r="46490" spans="1:1">
      <c r="A46490" s="56"/>
    </row>
    <row r="46491" spans="1:1">
      <c r="A46491" s="56"/>
    </row>
    <row r="46492" spans="1:1">
      <c r="A46492" s="56"/>
    </row>
    <row r="46493" spans="1:1">
      <c r="A46493" s="56"/>
    </row>
    <row r="46494" spans="1:1">
      <c r="A46494" s="56"/>
    </row>
    <row r="46495" spans="1:1">
      <c r="A46495" s="56"/>
    </row>
    <row r="46496" spans="1:1">
      <c r="A46496" s="56"/>
    </row>
    <row r="46497" spans="1:1">
      <c r="A46497" s="56"/>
    </row>
    <row r="46498" spans="1:1">
      <c r="A46498" s="56"/>
    </row>
    <row r="46499" spans="1:1">
      <c r="A46499" s="56"/>
    </row>
    <row r="46500" spans="1:1">
      <c r="A46500" s="56"/>
    </row>
    <row r="46501" spans="1:1">
      <c r="A46501" s="56"/>
    </row>
    <row r="46502" spans="1:1">
      <c r="A46502" s="56"/>
    </row>
    <row r="46503" spans="1:1">
      <c r="A46503" s="56"/>
    </row>
    <row r="46504" spans="1:1">
      <c r="A46504" s="56"/>
    </row>
    <row r="46505" spans="1:1">
      <c r="A46505" s="56"/>
    </row>
    <row r="46506" spans="1:1">
      <c r="A46506" s="56"/>
    </row>
    <row r="46507" spans="1:1">
      <c r="A46507" s="56"/>
    </row>
    <row r="46508" spans="1:1">
      <c r="A46508" s="56"/>
    </row>
    <row r="46509" spans="1:1">
      <c r="A46509" s="56"/>
    </row>
    <row r="46510" spans="1:1">
      <c r="A46510" s="56"/>
    </row>
    <row r="46511" spans="1:1">
      <c r="A46511" s="56"/>
    </row>
    <row r="46512" spans="1:1">
      <c r="A46512" s="56"/>
    </row>
    <row r="46513" spans="1:1">
      <c r="A46513" s="56"/>
    </row>
    <row r="46514" spans="1:1">
      <c r="A46514" s="56"/>
    </row>
    <row r="46515" spans="1:1">
      <c r="A46515" s="56"/>
    </row>
    <row r="46516" spans="1:1">
      <c r="A46516" s="56"/>
    </row>
    <row r="46517" spans="1:1">
      <c r="A46517" s="56"/>
    </row>
    <row r="46518" spans="1:1">
      <c r="A46518" s="56"/>
    </row>
    <row r="46519" spans="1:1">
      <c r="A46519" s="56"/>
    </row>
    <row r="46520" spans="1:1">
      <c r="A46520" s="56"/>
    </row>
    <row r="46521" spans="1:1">
      <c r="A46521" s="56"/>
    </row>
    <row r="46522" spans="1:1">
      <c r="A46522" s="56"/>
    </row>
    <row r="46523" spans="1:1">
      <c r="A46523" s="56"/>
    </row>
    <row r="46524" spans="1:1">
      <c r="A46524" s="56"/>
    </row>
    <row r="46525" spans="1:1">
      <c r="A46525" s="56"/>
    </row>
    <row r="46526" spans="1:1">
      <c r="A46526" s="56"/>
    </row>
    <row r="46527" spans="1:1">
      <c r="A46527" s="56"/>
    </row>
    <row r="46528" spans="1:1">
      <c r="A46528" s="56"/>
    </row>
    <row r="46529" spans="1:1">
      <c r="A46529" s="56"/>
    </row>
    <row r="46530" spans="1:1">
      <c r="A46530" s="56"/>
    </row>
    <row r="46531" spans="1:1">
      <c r="A46531" s="56"/>
    </row>
    <row r="46532" spans="1:1">
      <c r="A46532" s="56"/>
    </row>
    <row r="46533" spans="1:1">
      <c r="A46533" s="56"/>
    </row>
    <row r="46534" spans="1:1">
      <c r="A46534" s="56"/>
    </row>
    <row r="46535" spans="1:1">
      <c r="A46535" s="56"/>
    </row>
    <row r="46536" spans="1:1">
      <c r="A46536" s="56"/>
    </row>
    <row r="46537" spans="1:1">
      <c r="A46537" s="56"/>
    </row>
    <row r="46538" spans="1:1">
      <c r="A46538" s="56"/>
    </row>
    <row r="46539" spans="1:1">
      <c r="A46539" s="56"/>
    </row>
    <row r="46540" spans="1:1">
      <c r="A46540" s="56"/>
    </row>
    <row r="46541" spans="1:1">
      <c r="A46541" s="56"/>
    </row>
    <row r="46542" spans="1:1">
      <c r="A46542" s="56"/>
    </row>
    <row r="46543" spans="1:1">
      <c r="A46543" s="56"/>
    </row>
    <row r="46544" spans="1:1">
      <c r="A46544" s="56"/>
    </row>
    <row r="46545" spans="1:1">
      <c r="A46545" s="56"/>
    </row>
    <row r="46546" spans="1:1">
      <c r="A46546" s="56"/>
    </row>
    <row r="46547" spans="1:1">
      <c r="A46547" s="56"/>
    </row>
    <row r="46548" spans="1:1">
      <c r="A46548" s="56"/>
    </row>
    <row r="46549" spans="1:1">
      <c r="A46549" s="56"/>
    </row>
    <row r="46550" spans="1:1">
      <c r="A46550" s="56"/>
    </row>
    <row r="46551" spans="1:1">
      <c r="A46551" s="56"/>
    </row>
    <row r="46552" spans="1:1">
      <c r="A46552" s="56"/>
    </row>
    <row r="46553" spans="1:1">
      <c r="A46553" s="56"/>
    </row>
    <row r="46554" spans="1:1">
      <c r="A46554" s="56"/>
    </row>
    <row r="46555" spans="1:1">
      <c r="A46555" s="56"/>
    </row>
    <row r="46556" spans="1:1">
      <c r="A46556" s="56"/>
    </row>
    <row r="46557" spans="1:1">
      <c r="A46557" s="56"/>
    </row>
    <row r="46558" spans="1:1">
      <c r="A46558" s="56"/>
    </row>
    <row r="46559" spans="1:1">
      <c r="A46559" s="56"/>
    </row>
    <row r="46560" spans="1:1">
      <c r="A46560" s="56"/>
    </row>
    <row r="46561" spans="1:1">
      <c r="A46561" s="56"/>
    </row>
    <row r="46562" spans="1:1">
      <c r="A46562" s="56"/>
    </row>
    <row r="46563" spans="1:1">
      <c r="A46563" s="56"/>
    </row>
    <row r="46564" spans="1:1">
      <c r="A46564" s="56"/>
    </row>
    <row r="46565" spans="1:1">
      <c r="A46565" s="56"/>
    </row>
    <row r="46566" spans="1:1">
      <c r="A46566" s="56"/>
    </row>
    <row r="46567" spans="1:1">
      <c r="A46567" s="56"/>
    </row>
    <row r="46568" spans="1:1">
      <c r="A46568" s="56"/>
    </row>
    <row r="46569" spans="1:1">
      <c r="A46569" s="56"/>
    </row>
    <row r="46570" spans="1:1">
      <c r="A46570" s="56"/>
    </row>
    <row r="46571" spans="1:1">
      <c r="A46571" s="56"/>
    </row>
    <row r="46572" spans="1:1">
      <c r="A46572" s="56"/>
    </row>
    <row r="46573" spans="1:1">
      <c r="A46573" s="56"/>
    </row>
    <row r="46574" spans="1:1">
      <c r="A46574" s="56"/>
    </row>
    <row r="46575" spans="1:1">
      <c r="A46575" s="56"/>
    </row>
    <row r="46576" spans="1:1">
      <c r="A46576" s="56"/>
    </row>
    <row r="46577" spans="1:1">
      <c r="A46577" s="56"/>
    </row>
    <row r="46578" spans="1:1">
      <c r="A46578" s="56"/>
    </row>
    <row r="46579" spans="1:1">
      <c r="A46579" s="56"/>
    </row>
    <row r="46580" spans="1:1">
      <c r="A46580" s="56"/>
    </row>
    <row r="46581" spans="1:1">
      <c r="A46581" s="56"/>
    </row>
    <row r="46582" spans="1:1">
      <c r="A46582" s="56"/>
    </row>
    <row r="46583" spans="1:1">
      <c r="A46583" s="56"/>
    </row>
    <row r="46584" spans="1:1">
      <c r="A46584" s="56"/>
    </row>
    <row r="46585" spans="1:1">
      <c r="A46585" s="56"/>
    </row>
    <row r="46586" spans="1:1">
      <c r="A46586" s="56"/>
    </row>
    <row r="46587" spans="1:1">
      <c r="A46587" s="56"/>
    </row>
    <row r="46588" spans="1:1">
      <c r="A46588" s="56"/>
    </row>
    <row r="46589" spans="1:1">
      <c r="A46589" s="56"/>
    </row>
    <row r="46590" spans="1:1">
      <c r="A46590" s="56"/>
    </row>
    <row r="46591" spans="1:1">
      <c r="A46591" s="56"/>
    </row>
    <row r="46592" spans="1:1">
      <c r="A46592" s="56"/>
    </row>
    <row r="46593" spans="1:1">
      <c r="A46593" s="56"/>
    </row>
    <row r="46594" spans="1:1">
      <c r="A46594" s="56"/>
    </row>
    <row r="46595" spans="1:1">
      <c r="A46595" s="56"/>
    </row>
    <row r="46596" spans="1:1">
      <c r="A46596" s="56"/>
    </row>
    <row r="46597" spans="1:1">
      <c r="A46597" s="56"/>
    </row>
    <row r="46598" spans="1:1">
      <c r="A46598" s="56"/>
    </row>
    <row r="46599" spans="1:1">
      <c r="A46599" s="56"/>
    </row>
    <row r="46600" spans="1:1">
      <c r="A46600" s="56"/>
    </row>
    <row r="46601" spans="1:1">
      <c r="A46601" s="56"/>
    </row>
    <row r="46602" spans="1:1">
      <c r="A46602" s="56"/>
    </row>
    <row r="46603" spans="1:1">
      <c r="A46603" s="56"/>
    </row>
    <row r="46604" spans="1:1">
      <c r="A46604" s="56"/>
    </row>
    <row r="46605" spans="1:1">
      <c r="A46605" s="56"/>
    </row>
    <row r="46606" spans="1:1">
      <c r="A46606" s="56"/>
    </row>
    <row r="46607" spans="1:1">
      <c r="A46607" s="56"/>
    </row>
    <row r="46608" spans="1:1">
      <c r="A46608" s="56"/>
    </row>
    <row r="46609" spans="1:1">
      <c r="A46609" s="56"/>
    </row>
    <row r="46610" spans="1:1">
      <c r="A46610" s="56"/>
    </row>
    <row r="46611" spans="1:1">
      <c r="A46611" s="56"/>
    </row>
    <row r="46612" spans="1:1">
      <c r="A46612" s="56"/>
    </row>
    <row r="46613" spans="1:1">
      <c r="A46613" s="56"/>
    </row>
    <row r="46614" spans="1:1">
      <c r="A46614" s="56"/>
    </row>
    <row r="46615" spans="1:1">
      <c r="A46615" s="56"/>
    </row>
    <row r="46616" spans="1:1">
      <c r="A46616" s="56"/>
    </row>
    <row r="46617" spans="1:1">
      <c r="A46617" s="56"/>
    </row>
    <row r="46618" spans="1:1">
      <c r="A46618" s="56"/>
    </row>
    <row r="46619" spans="1:1">
      <c r="A46619" s="56"/>
    </row>
    <row r="46620" spans="1:1">
      <c r="A46620" s="56"/>
    </row>
    <row r="46621" spans="1:1">
      <c r="A46621" s="56"/>
    </row>
    <row r="46622" spans="1:1">
      <c r="A46622" s="56"/>
    </row>
    <row r="46623" spans="1:1">
      <c r="A46623" s="56"/>
    </row>
    <row r="46624" spans="1:1">
      <c r="A46624" s="56"/>
    </row>
    <row r="46625" spans="1:1">
      <c r="A46625" s="56"/>
    </row>
    <row r="46626" spans="1:1">
      <c r="A46626" s="56"/>
    </row>
    <row r="46627" spans="1:1">
      <c r="A46627" s="56"/>
    </row>
    <row r="46628" spans="1:1">
      <c r="A46628" s="56"/>
    </row>
    <row r="46629" spans="1:1">
      <c r="A46629" s="56"/>
    </row>
    <row r="46630" spans="1:1">
      <c r="A46630" s="56"/>
    </row>
    <row r="46631" spans="1:1">
      <c r="A46631" s="56"/>
    </row>
    <row r="46632" spans="1:1">
      <c r="A46632" s="56"/>
    </row>
    <row r="46633" spans="1:1">
      <c r="A46633" s="56"/>
    </row>
    <row r="46634" spans="1:1">
      <c r="A46634" s="56"/>
    </row>
    <row r="46635" spans="1:1">
      <c r="A46635" s="56"/>
    </row>
    <row r="46636" spans="1:1">
      <c r="A46636" s="56"/>
    </row>
    <row r="46637" spans="1:1">
      <c r="A46637" s="56"/>
    </row>
    <row r="46638" spans="1:1">
      <c r="A46638" s="56"/>
    </row>
    <row r="46639" spans="1:1">
      <c r="A46639" s="56"/>
    </row>
    <row r="46640" spans="1:1">
      <c r="A46640" s="56"/>
    </row>
    <row r="46641" spans="1:1">
      <c r="A46641" s="56"/>
    </row>
    <row r="46642" spans="1:1">
      <c r="A46642" s="56"/>
    </row>
    <row r="46643" spans="1:1">
      <c r="A46643" s="56"/>
    </row>
    <row r="46644" spans="1:1">
      <c r="A46644" s="56"/>
    </row>
    <row r="46645" spans="1:1">
      <c r="A46645" s="56"/>
    </row>
    <row r="46646" spans="1:1">
      <c r="A46646" s="56"/>
    </row>
    <row r="46647" spans="1:1">
      <c r="A46647" s="56"/>
    </row>
    <row r="46648" spans="1:1">
      <c r="A46648" s="56"/>
    </row>
    <row r="46649" spans="1:1">
      <c r="A46649" s="56"/>
    </row>
    <row r="46650" spans="1:1">
      <c r="A46650" s="56"/>
    </row>
    <row r="46651" spans="1:1">
      <c r="A46651" s="56"/>
    </row>
    <row r="46652" spans="1:1">
      <c r="A46652" s="56"/>
    </row>
    <row r="46653" spans="1:1">
      <c r="A46653" s="56"/>
    </row>
    <row r="46654" spans="1:1">
      <c r="A46654" s="56"/>
    </row>
    <row r="46655" spans="1:1">
      <c r="A46655" s="56"/>
    </row>
    <row r="46656" spans="1:1">
      <c r="A46656" s="56"/>
    </row>
    <row r="46657" spans="1:1">
      <c r="A46657" s="56"/>
    </row>
    <row r="46658" spans="1:1">
      <c r="A46658" s="56"/>
    </row>
    <row r="46659" spans="1:1">
      <c r="A46659" s="56"/>
    </row>
    <row r="46660" spans="1:1">
      <c r="A46660" s="56"/>
    </row>
    <row r="46661" spans="1:1">
      <c r="A46661" s="56"/>
    </row>
    <row r="46662" spans="1:1">
      <c r="A46662" s="56"/>
    </row>
    <row r="46663" spans="1:1">
      <c r="A46663" s="56"/>
    </row>
    <row r="46664" spans="1:1">
      <c r="A46664" s="56"/>
    </row>
    <row r="46665" spans="1:1">
      <c r="A46665" s="56"/>
    </row>
    <row r="46666" spans="1:1">
      <c r="A46666" s="56"/>
    </row>
    <row r="46667" spans="1:1">
      <c r="A46667" s="56"/>
    </row>
    <row r="46668" spans="1:1">
      <c r="A46668" s="56"/>
    </row>
    <row r="46669" spans="1:1">
      <c r="A46669" s="56"/>
    </row>
    <row r="46670" spans="1:1">
      <c r="A46670" s="56"/>
    </row>
    <row r="46671" spans="1:1">
      <c r="A46671" s="56"/>
    </row>
    <row r="46672" spans="1:1">
      <c r="A46672" s="56"/>
    </row>
    <row r="46673" spans="1:1">
      <c r="A46673" s="56"/>
    </row>
    <row r="46674" spans="1:1">
      <c r="A46674" s="56"/>
    </row>
    <row r="46675" spans="1:1">
      <c r="A46675" s="56"/>
    </row>
    <row r="46676" spans="1:1">
      <c r="A46676" s="56"/>
    </row>
    <row r="46677" spans="1:1">
      <c r="A46677" s="56"/>
    </row>
    <row r="46678" spans="1:1">
      <c r="A46678" s="56"/>
    </row>
    <row r="46679" spans="1:1">
      <c r="A46679" s="56"/>
    </row>
    <row r="46680" spans="1:1">
      <c r="A46680" s="56"/>
    </row>
    <row r="46681" spans="1:1">
      <c r="A46681" s="56"/>
    </row>
    <row r="46682" spans="1:1">
      <c r="A46682" s="56"/>
    </row>
    <row r="46683" spans="1:1">
      <c r="A46683" s="56"/>
    </row>
    <row r="46684" spans="1:1">
      <c r="A46684" s="56"/>
    </row>
    <row r="46685" spans="1:1">
      <c r="A46685" s="56"/>
    </row>
    <row r="46686" spans="1:1">
      <c r="A46686" s="56"/>
    </row>
    <row r="46687" spans="1:1">
      <c r="A46687" s="56"/>
    </row>
    <row r="46688" spans="1:1">
      <c r="A46688" s="56"/>
    </row>
    <row r="46689" spans="1:1">
      <c r="A46689" s="56"/>
    </row>
    <row r="46690" spans="1:1">
      <c r="A46690" s="56"/>
    </row>
    <row r="46691" spans="1:1">
      <c r="A46691" s="56"/>
    </row>
    <row r="46692" spans="1:1">
      <c r="A46692" s="56"/>
    </row>
    <row r="46693" spans="1:1">
      <c r="A46693" s="56"/>
    </row>
    <row r="46694" spans="1:1">
      <c r="A46694" s="56"/>
    </row>
    <row r="46695" spans="1:1">
      <c r="A46695" s="56"/>
    </row>
    <row r="46696" spans="1:1">
      <c r="A46696" s="56"/>
    </row>
    <row r="46697" spans="1:1">
      <c r="A46697" s="56"/>
    </row>
    <row r="46698" spans="1:1">
      <c r="A46698" s="56"/>
    </row>
    <row r="46699" spans="1:1">
      <c r="A46699" s="56"/>
    </row>
    <row r="46700" spans="1:1">
      <c r="A46700" s="56"/>
    </row>
    <row r="46701" spans="1:1">
      <c r="A46701" s="56"/>
    </row>
    <row r="46702" spans="1:1">
      <c r="A46702" s="56"/>
    </row>
    <row r="46703" spans="1:1">
      <c r="A46703" s="56"/>
    </row>
    <row r="46704" spans="1:1">
      <c r="A46704" s="56"/>
    </row>
    <row r="46705" spans="1:1">
      <c r="A46705" s="56"/>
    </row>
    <row r="46706" spans="1:1">
      <c r="A46706" s="56"/>
    </row>
    <row r="46707" spans="1:1">
      <c r="A46707" s="56"/>
    </row>
    <row r="46708" spans="1:1">
      <c r="A46708" s="56"/>
    </row>
    <row r="46709" spans="1:1">
      <c r="A46709" s="56"/>
    </row>
    <row r="46710" spans="1:1">
      <c r="A46710" s="56"/>
    </row>
    <row r="46711" spans="1:1">
      <c r="A46711" s="56"/>
    </row>
    <row r="46712" spans="1:1">
      <c r="A46712" s="56"/>
    </row>
    <row r="46713" spans="1:1">
      <c r="A46713" s="56"/>
    </row>
    <row r="46714" spans="1:1">
      <c r="A46714" s="56"/>
    </row>
    <row r="46715" spans="1:1">
      <c r="A46715" s="56"/>
    </row>
    <row r="46716" spans="1:1">
      <c r="A46716" s="56"/>
    </row>
    <row r="46717" spans="1:1">
      <c r="A46717" s="56"/>
    </row>
    <row r="46718" spans="1:1">
      <c r="A46718" s="56"/>
    </row>
    <row r="46719" spans="1:1">
      <c r="A46719" s="56"/>
    </row>
    <row r="46720" spans="1:1">
      <c r="A46720" s="56"/>
    </row>
    <row r="46721" spans="1:1">
      <c r="A46721" s="56"/>
    </row>
    <row r="46722" spans="1:1">
      <c r="A46722" s="56"/>
    </row>
    <row r="46723" spans="1:1">
      <c r="A46723" s="56"/>
    </row>
    <row r="46724" spans="1:1">
      <c r="A46724" s="56"/>
    </row>
    <row r="46725" spans="1:1">
      <c r="A46725" s="56"/>
    </row>
    <row r="46726" spans="1:1">
      <c r="A46726" s="56"/>
    </row>
    <row r="46727" spans="1:1">
      <c r="A46727" s="56"/>
    </row>
    <row r="46728" spans="1:1">
      <c r="A46728" s="56"/>
    </row>
    <row r="46729" spans="1:1">
      <c r="A46729" s="56"/>
    </row>
    <row r="46730" spans="1:1">
      <c r="A46730" s="56"/>
    </row>
    <row r="46731" spans="1:1">
      <c r="A46731" s="56"/>
    </row>
    <row r="46732" spans="1:1">
      <c r="A46732" s="56"/>
    </row>
    <row r="46733" spans="1:1">
      <c r="A46733" s="56"/>
    </row>
    <row r="46734" spans="1:1">
      <c r="A46734" s="56"/>
    </row>
    <row r="46735" spans="1:1">
      <c r="A46735" s="56"/>
    </row>
    <row r="46736" spans="1:1">
      <c r="A46736" s="56"/>
    </row>
    <row r="46737" spans="1:1">
      <c r="A46737" s="56"/>
    </row>
    <row r="46738" spans="1:1">
      <c r="A46738" s="56"/>
    </row>
    <row r="46739" spans="1:1">
      <c r="A46739" s="56"/>
    </row>
    <row r="46740" spans="1:1">
      <c r="A46740" s="56"/>
    </row>
    <row r="46741" spans="1:1">
      <c r="A46741" s="56"/>
    </row>
    <row r="46742" spans="1:1">
      <c r="A46742" s="56"/>
    </row>
    <row r="46743" spans="1:1">
      <c r="A46743" s="56"/>
    </row>
    <row r="46744" spans="1:1">
      <c r="A46744" s="56"/>
    </row>
    <row r="46745" spans="1:1">
      <c r="A46745" s="56"/>
    </row>
    <row r="46746" spans="1:1">
      <c r="A46746" s="56"/>
    </row>
    <row r="46747" spans="1:1">
      <c r="A46747" s="56"/>
    </row>
    <row r="46748" spans="1:1">
      <c r="A46748" s="56"/>
    </row>
    <row r="46749" spans="1:1">
      <c r="A46749" s="56"/>
    </row>
    <row r="46750" spans="1:1">
      <c r="A46750" s="56"/>
    </row>
    <row r="46751" spans="1:1">
      <c r="A46751" s="56"/>
    </row>
    <row r="46752" spans="1:1">
      <c r="A46752" s="56"/>
    </row>
    <row r="46753" spans="1:1">
      <c r="A46753" s="56"/>
    </row>
    <row r="46754" spans="1:1">
      <c r="A46754" s="56"/>
    </row>
    <row r="46755" spans="1:1">
      <c r="A46755" s="56"/>
    </row>
    <row r="46756" spans="1:1">
      <c r="A46756" s="56"/>
    </row>
    <row r="46757" spans="1:1">
      <c r="A46757" s="56"/>
    </row>
    <row r="46758" spans="1:1">
      <c r="A46758" s="56"/>
    </row>
    <row r="46759" spans="1:1">
      <c r="A46759" s="56"/>
    </row>
    <row r="46760" spans="1:1">
      <c r="A46760" s="56"/>
    </row>
    <row r="46761" spans="1:1">
      <c r="A46761" s="56"/>
    </row>
    <row r="46762" spans="1:1">
      <c r="A46762" s="56"/>
    </row>
    <row r="46763" spans="1:1">
      <c r="A46763" s="56"/>
    </row>
    <row r="46764" spans="1:1">
      <c r="A46764" s="56"/>
    </row>
    <row r="46765" spans="1:1">
      <c r="A46765" s="56"/>
    </row>
    <row r="46766" spans="1:1">
      <c r="A46766" s="56"/>
    </row>
    <row r="46767" spans="1:1">
      <c r="A46767" s="56"/>
    </row>
    <row r="46768" spans="1:1">
      <c r="A46768" s="56"/>
    </row>
    <row r="46769" spans="1:1">
      <c r="A46769" s="56"/>
    </row>
    <row r="46770" spans="1:1">
      <c r="A46770" s="56"/>
    </row>
    <row r="46771" spans="1:1">
      <c r="A46771" s="56"/>
    </row>
    <row r="46772" spans="1:1">
      <c r="A46772" s="56"/>
    </row>
    <row r="46773" spans="1:1">
      <c r="A46773" s="56"/>
    </row>
    <row r="46774" spans="1:1">
      <c r="A46774" s="56"/>
    </row>
    <row r="46775" spans="1:1">
      <c r="A46775" s="56"/>
    </row>
    <row r="46776" spans="1:1">
      <c r="A46776" s="56"/>
    </row>
    <row r="46777" spans="1:1">
      <c r="A46777" s="56"/>
    </row>
    <row r="46778" spans="1:1">
      <c r="A46778" s="56"/>
    </row>
    <row r="46779" spans="1:1">
      <c r="A46779" s="56"/>
    </row>
    <row r="46780" spans="1:1">
      <c r="A46780" s="56"/>
    </row>
    <row r="46781" spans="1:1">
      <c r="A46781" s="56"/>
    </row>
    <row r="46782" spans="1:1">
      <c r="A46782" s="56"/>
    </row>
    <row r="46783" spans="1:1">
      <c r="A46783" s="56"/>
    </row>
    <row r="46784" spans="1:1">
      <c r="A46784" s="56"/>
    </row>
    <row r="46785" spans="1:1">
      <c r="A46785" s="56"/>
    </row>
    <row r="46786" spans="1:1">
      <c r="A46786" s="56"/>
    </row>
    <row r="46787" spans="1:1">
      <c r="A46787" s="56"/>
    </row>
    <row r="46788" spans="1:1">
      <c r="A46788" s="56"/>
    </row>
    <row r="46789" spans="1:1">
      <c r="A46789" s="56"/>
    </row>
    <row r="46790" spans="1:1">
      <c r="A46790" s="56"/>
    </row>
    <row r="46791" spans="1:1">
      <c r="A46791" s="56"/>
    </row>
    <row r="46792" spans="1:1">
      <c r="A46792" s="56"/>
    </row>
    <row r="46793" spans="1:1">
      <c r="A46793" s="56"/>
    </row>
    <row r="46794" spans="1:1">
      <c r="A46794" s="56"/>
    </row>
    <row r="46795" spans="1:1">
      <c r="A46795" s="56"/>
    </row>
    <row r="46796" spans="1:1">
      <c r="A46796" s="56"/>
    </row>
    <row r="46797" spans="1:1">
      <c r="A46797" s="56"/>
    </row>
    <row r="46798" spans="1:1">
      <c r="A46798" s="56"/>
    </row>
    <row r="46799" spans="1:1">
      <c r="A46799" s="56"/>
    </row>
    <row r="46800" spans="1:1">
      <c r="A46800" s="56"/>
    </row>
    <row r="46801" spans="1:1">
      <c r="A46801" s="56"/>
    </row>
    <row r="46802" spans="1:1">
      <c r="A46802" s="56"/>
    </row>
    <row r="46803" spans="1:1">
      <c r="A46803" s="56"/>
    </row>
    <row r="46804" spans="1:1">
      <c r="A46804" s="56"/>
    </row>
    <row r="46805" spans="1:1">
      <c r="A46805" s="56"/>
    </row>
    <row r="46806" spans="1:1">
      <c r="A46806" s="56"/>
    </row>
    <row r="46807" spans="1:1">
      <c r="A46807" s="56"/>
    </row>
    <row r="46808" spans="1:1">
      <c r="A46808" s="56"/>
    </row>
    <row r="46809" spans="1:1">
      <c r="A46809" s="56"/>
    </row>
    <row r="46810" spans="1:1">
      <c r="A46810" s="56"/>
    </row>
    <row r="46811" spans="1:1">
      <c r="A46811" s="56"/>
    </row>
    <row r="46812" spans="1:1">
      <c r="A46812" s="56"/>
    </row>
    <row r="46813" spans="1:1">
      <c r="A46813" s="56"/>
    </row>
    <row r="46814" spans="1:1">
      <c r="A46814" s="56"/>
    </row>
    <row r="46815" spans="1:1">
      <c r="A46815" s="56"/>
    </row>
    <row r="46816" spans="1:1">
      <c r="A46816" s="56"/>
    </row>
    <row r="46817" spans="1:1">
      <c r="A46817" s="56"/>
    </row>
    <row r="46818" spans="1:1">
      <c r="A46818" s="56"/>
    </row>
    <row r="46819" spans="1:1">
      <c r="A46819" s="56"/>
    </row>
    <row r="46820" spans="1:1">
      <c r="A46820" s="56"/>
    </row>
    <row r="46821" spans="1:1">
      <c r="A46821" s="56"/>
    </row>
    <row r="46822" spans="1:1">
      <c r="A46822" s="56"/>
    </row>
    <row r="46823" spans="1:1">
      <c r="A46823" s="56"/>
    </row>
    <row r="46824" spans="1:1">
      <c r="A46824" s="56"/>
    </row>
    <row r="46825" spans="1:1">
      <c r="A46825" s="56"/>
    </row>
    <row r="46826" spans="1:1">
      <c r="A46826" s="56"/>
    </row>
    <row r="46827" spans="1:1">
      <c r="A46827" s="56"/>
    </row>
    <row r="46828" spans="1:1">
      <c r="A46828" s="56"/>
    </row>
    <row r="46829" spans="1:1">
      <c r="A46829" s="56"/>
    </row>
    <row r="46830" spans="1:1">
      <c r="A46830" s="56"/>
    </row>
    <row r="46831" spans="1:1">
      <c r="A46831" s="56"/>
    </row>
    <row r="46832" spans="1:1">
      <c r="A46832" s="56"/>
    </row>
    <row r="46833" spans="1:1">
      <c r="A46833" s="56"/>
    </row>
    <row r="46834" spans="1:1">
      <c r="A46834" s="56"/>
    </row>
    <row r="46835" spans="1:1">
      <c r="A46835" s="56"/>
    </row>
    <row r="46836" spans="1:1">
      <c r="A46836" s="56"/>
    </row>
    <row r="46837" spans="1:1">
      <c r="A46837" s="56"/>
    </row>
    <row r="46838" spans="1:1">
      <c r="A46838" s="56"/>
    </row>
    <row r="46839" spans="1:1">
      <c r="A46839" s="56"/>
    </row>
    <row r="46840" spans="1:1">
      <c r="A46840" s="56"/>
    </row>
    <row r="46841" spans="1:1">
      <c r="A46841" s="56"/>
    </row>
    <row r="46842" spans="1:1">
      <c r="A46842" s="56"/>
    </row>
    <row r="46843" spans="1:1">
      <c r="A46843" s="56"/>
    </row>
    <row r="46844" spans="1:1">
      <c r="A46844" s="56"/>
    </row>
    <row r="46845" spans="1:1">
      <c r="A46845" s="56"/>
    </row>
    <row r="46846" spans="1:1">
      <c r="A46846" s="56"/>
    </row>
    <row r="46847" spans="1:1">
      <c r="A46847" s="56"/>
    </row>
    <row r="46848" spans="1:1">
      <c r="A46848" s="56"/>
    </row>
    <row r="46849" spans="1:1">
      <c r="A46849" s="56"/>
    </row>
    <row r="46850" spans="1:1">
      <c r="A46850" s="56"/>
    </row>
    <row r="46851" spans="1:1">
      <c r="A46851" s="56"/>
    </row>
    <row r="46852" spans="1:1">
      <c r="A46852" s="56"/>
    </row>
    <row r="46853" spans="1:1">
      <c r="A46853" s="56"/>
    </row>
    <row r="46854" spans="1:1">
      <c r="A46854" s="56"/>
    </row>
    <row r="46855" spans="1:1">
      <c r="A46855" s="56"/>
    </row>
    <row r="46856" spans="1:1">
      <c r="A46856" s="56"/>
    </row>
    <row r="46857" spans="1:1">
      <c r="A46857" s="56"/>
    </row>
    <row r="46858" spans="1:1">
      <c r="A46858" s="56"/>
    </row>
    <row r="46859" spans="1:1">
      <c r="A46859" s="56"/>
    </row>
    <row r="46860" spans="1:1">
      <c r="A46860" s="56"/>
    </row>
    <row r="46861" spans="1:1">
      <c r="A46861" s="56"/>
    </row>
    <row r="46862" spans="1:1">
      <c r="A46862" s="56"/>
    </row>
    <row r="46863" spans="1:1">
      <c r="A46863" s="56"/>
    </row>
    <row r="46864" spans="1:1">
      <c r="A46864" s="56"/>
    </row>
    <row r="46865" spans="1:1">
      <c r="A46865" s="56"/>
    </row>
    <row r="46866" spans="1:1">
      <c r="A46866" s="56"/>
    </row>
    <row r="46867" spans="1:1">
      <c r="A46867" s="56"/>
    </row>
    <row r="46868" spans="1:1">
      <c r="A46868" s="56"/>
    </row>
    <row r="46869" spans="1:1">
      <c r="A46869" s="56"/>
    </row>
    <row r="46870" spans="1:1">
      <c r="A46870" s="56"/>
    </row>
    <row r="46871" spans="1:1">
      <c r="A46871" s="56"/>
    </row>
    <row r="46872" spans="1:1">
      <c r="A46872" s="56"/>
    </row>
    <row r="46873" spans="1:1">
      <c r="A46873" s="56"/>
    </row>
    <row r="46874" spans="1:1">
      <c r="A46874" s="56"/>
    </row>
    <row r="46875" spans="1:1">
      <c r="A46875" s="56"/>
    </row>
    <row r="46876" spans="1:1">
      <c r="A46876" s="56"/>
    </row>
    <row r="46877" spans="1:1">
      <c r="A46877" s="56"/>
    </row>
    <row r="46878" spans="1:1">
      <c r="A46878" s="56"/>
    </row>
    <row r="46879" spans="1:1">
      <c r="A46879" s="56"/>
    </row>
    <row r="46880" spans="1:1">
      <c r="A46880" s="56"/>
    </row>
    <row r="46881" spans="1:1">
      <c r="A46881" s="56"/>
    </row>
    <row r="46882" spans="1:1">
      <c r="A46882" s="56"/>
    </row>
    <row r="46883" spans="1:1">
      <c r="A46883" s="56"/>
    </row>
    <row r="46884" spans="1:1">
      <c r="A46884" s="56"/>
    </row>
    <row r="46885" spans="1:1">
      <c r="A46885" s="56"/>
    </row>
    <row r="46886" spans="1:1">
      <c r="A46886" s="56"/>
    </row>
    <row r="46887" spans="1:1">
      <c r="A46887" s="56"/>
    </row>
    <row r="46888" spans="1:1">
      <c r="A46888" s="56"/>
    </row>
    <row r="46889" spans="1:1">
      <c r="A46889" s="56"/>
    </row>
    <row r="46890" spans="1:1">
      <c r="A46890" s="56"/>
    </row>
    <row r="46891" spans="1:1">
      <c r="A46891" s="56"/>
    </row>
    <row r="46892" spans="1:1">
      <c r="A46892" s="56"/>
    </row>
    <row r="46893" spans="1:1">
      <c r="A46893" s="56"/>
    </row>
    <row r="46894" spans="1:1">
      <c r="A46894" s="56"/>
    </row>
    <row r="46895" spans="1:1">
      <c r="A46895" s="56"/>
    </row>
    <row r="46896" spans="1:1">
      <c r="A46896" s="56"/>
    </row>
    <row r="46897" spans="1:1">
      <c r="A46897" s="56"/>
    </row>
    <row r="46898" spans="1:1">
      <c r="A46898" s="56"/>
    </row>
    <row r="46899" spans="1:1">
      <c r="A46899" s="56"/>
    </row>
    <row r="46900" spans="1:1">
      <c r="A46900" s="56"/>
    </row>
    <row r="46901" spans="1:1">
      <c r="A46901" s="56"/>
    </row>
    <row r="46902" spans="1:1">
      <c r="A46902" s="56"/>
    </row>
    <row r="46903" spans="1:1">
      <c r="A46903" s="56"/>
    </row>
    <row r="46904" spans="1:1">
      <c r="A46904" s="56"/>
    </row>
    <row r="46905" spans="1:1">
      <c r="A46905" s="56"/>
    </row>
    <row r="46906" spans="1:1">
      <c r="A46906" s="56"/>
    </row>
    <row r="46907" spans="1:1">
      <c r="A46907" s="56"/>
    </row>
    <row r="46908" spans="1:1">
      <c r="A46908" s="56"/>
    </row>
    <row r="46909" spans="1:1">
      <c r="A46909" s="56"/>
    </row>
    <row r="46910" spans="1:1">
      <c r="A46910" s="56"/>
    </row>
    <row r="46911" spans="1:1">
      <c r="A46911" s="56"/>
    </row>
    <row r="46912" spans="1:1">
      <c r="A46912" s="56"/>
    </row>
    <row r="46913" spans="1:1">
      <c r="A46913" s="56"/>
    </row>
    <row r="46914" spans="1:1">
      <c r="A46914" s="56"/>
    </row>
    <row r="46915" spans="1:1">
      <c r="A46915" s="56"/>
    </row>
    <row r="46916" spans="1:1">
      <c r="A46916" s="56"/>
    </row>
    <row r="46917" spans="1:1">
      <c r="A46917" s="56"/>
    </row>
    <row r="46918" spans="1:1">
      <c r="A46918" s="56"/>
    </row>
    <row r="46919" spans="1:1">
      <c r="A46919" s="56"/>
    </row>
    <row r="46920" spans="1:1">
      <c r="A46920" s="56"/>
    </row>
    <row r="46921" spans="1:1">
      <c r="A46921" s="56"/>
    </row>
    <row r="46922" spans="1:1">
      <c r="A46922" s="56"/>
    </row>
    <row r="46923" spans="1:1">
      <c r="A46923" s="56"/>
    </row>
    <row r="46924" spans="1:1">
      <c r="A46924" s="56"/>
    </row>
    <row r="46925" spans="1:1">
      <c r="A46925" s="56"/>
    </row>
    <row r="46926" spans="1:1">
      <c r="A46926" s="56"/>
    </row>
    <row r="46927" spans="1:1">
      <c r="A46927" s="56"/>
    </row>
    <row r="46928" spans="1:1">
      <c r="A46928" s="56"/>
    </row>
    <row r="46929" spans="1:1">
      <c r="A46929" s="56"/>
    </row>
    <row r="46930" spans="1:1">
      <c r="A46930" s="56"/>
    </row>
    <row r="46931" spans="1:1">
      <c r="A46931" s="56"/>
    </row>
    <row r="46932" spans="1:1">
      <c r="A46932" s="56"/>
    </row>
    <row r="46933" spans="1:1">
      <c r="A46933" s="56"/>
    </row>
    <row r="46934" spans="1:1">
      <c r="A46934" s="56"/>
    </row>
    <row r="46935" spans="1:1">
      <c r="A46935" s="56"/>
    </row>
    <row r="46936" spans="1:1">
      <c r="A46936" s="56"/>
    </row>
    <row r="46937" spans="1:1">
      <c r="A46937" s="56"/>
    </row>
    <row r="46938" spans="1:1">
      <c r="A46938" s="56"/>
    </row>
    <row r="46939" spans="1:1">
      <c r="A46939" s="56"/>
    </row>
    <row r="46940" spans="1:1">
      <c r="A46940" s="56"/>
    </row>
    <row r="46941" spans="1:1">
      <c r="A46941" s="56"/>
    </row>
    <row r="46942" spans="1:1">
      <c r="A46942" s="56"/>
    </row>
    <row r="46943" spans="1:1">
      <c r="A46943" s="56"/>
    </row>
    <row r="46944" spans="1:1">
      <c r="A46944" s="56"/>
    </row>
    <row r="46945" spans="1:1">
      <c r="A46945" s="56"/>
    </row>
    <row r="46946" spans="1:1">
      <c r="A46946" s="56"/>
    </row>
    <row r="46947" spans="1:1">
      <c r="A46947" s="56"/>
    </row>
    <row r="46948" spans="1:1">
      <c r="A46948" s="56"/>
    </row>
    <row r="46949" spans="1:1">
      <c r="A46949" s="56"/>
    </row>
    <row r="46950" spans="1:1">
      <c r="A46950" s="56"/>
    </row>
    <row r="46951" spans="1:1">
      <c r="A46951" s="56"/>
    </row>
    <row r="46952" spans="1:1">
      <c r="A46952" s="56"/>
    </row>
    <row r="46953" spans="1:1">
      <c r="A46953" s="56"/>
    </row>
    <row r="46954" spans="1:1">
      <c r="A46954" s="56"/>
    </row>
    <row r="46955" spans="1:1">
      <c r="A46955" s="56"/>
    </row>
    <row r="46956" spans="1:1">
      <c r="A46956" s="56"/>
    </row>
    <row r="46957" spans="1:1">
      <c r="A46957" s="56"/>
    </row>
    <row r="46958" spans="1:1">
      <c r="A46958" s="56"/>
    </row>
    <row r="46959" spans="1:1">
      <c r="A46959" s="56"/>
    </row>
    <row r="46960" spans="1:1">
      <c r="A46960" s="56"/>
    </row>
    <row r="46961" spans="1:1">
      <c r="A46961" s="56"/>
    </row>
    <row r="46962" spans="1:1">
      <c r="A46962" s="56"/>
    </row>
    <row r="46963" spans="1:1">
      <c r="A46963" s="56"/>
    </row>
    <row r="46964" spans="1:1">
      <c r="A46964" s="56"/>
    </row>
    <row r="46965" spans="1:1">
      <c r="A46965" s="56"/>
    </row>
    <row r="46966" spans="1:1">
      <c r="A46966" s="56"/>
    </row>
    <row r="46967" spans="1:1">
      <c r="A46967" s="56"/>
    </row>
    <row r="46968" spans="1:1">
      <c r="A46968" s="56"/>
    </row>
    <row r="46969" spans="1:1">
      <c r="A46969" s="56"/>
    </row>
    <row r="46970" spans="1:1">
      <c r="A46970" s="56"/>
    </row>
    <row r="46971" spans="1:1">
      <c r="A46971" s="56"/>
    </row>
    <row r="46972" spans="1:1">
      <c r="A46972" s="56"/>
    </row>
    <row r="46973" spans="1:1">
      <c r="A46973" s="56"/>
    </row>
    <row r="46974" spans="1:1">
      <c r="A46974" s="56"/>
    </row>
    <row r="46975" spans="1:1">
      <c r="A46975" s="56"/>
    </row>
    <row r="46976" spans="1:1">
      <c r="A46976" s="56"/>
    </row>
    <row r="46977" spans="1:1">
      <c r="A46977" s="56"/>
    </row>
    <row r="46978" spans="1:1">
      <c r="A46978" s="56"/>
    </row>
    <row r="46979" spans="1:1">
      <c r="A46979" s="56"/>
    </row>
    <row r="46980" spans="1:1">
      <c r="A46980" s="56"/>
    </row>
    <row r="46981" spans="1:1">
      <c r="A46981" s="56"/>
    </row>
    <row r="46982" spans="1:1">
      <c r="A46982" s="56"/>
    </row>
    <row r="46983" spans="1:1">
      <c r="A46983" s="56"/>
    </row>
    <row r="46984" spans="1:1">
      <c r="A46984" s="56"/>
    </row>
    <row r="46985" spans="1:1">
      <c r="A46985" s="56"/>
    </row>
    <row r="46986" spans="1:1">
      <c r="A46986" s="56"/>
    </row>
    <row r="46987" spans="1:1">
      <c r="A46987" s="56"/>
    </row>
    <row r="46988" spans="1:1">
      <c r="A46988" s="56"/>
    </row>
    <row r="46989" spans="1:1">
      <c r="A46989" s="56"/>
    </row>
    <row r="46990" spans="1:1">
      <c r="A46990" s="56"/>
    </row>
    <row r="46991" spans="1:1">
      <c r="A46991" s="56"/>
    </row>
    <row r="46992" spans="1:1">
      <c r="A46992" s="56"/>
    </row>
    <row r="46993" spans="1:1">
      <c r="A46993" s="56"/>
    </row>
    <row r="46994" spans="1:1">
      <c r="A46994" s="56"/>
    </row>
    <row r="46995" spans="1:1">
      <c r="A46995" s="56"/>
    </row>
    <row r="46996" spans="1:1">
      <c r="A46996" s="56"/>
    </row>
    <row r="46997" spans="1:1">
      <c r="A46997" s="56"/>
    </row>
    <row r="46998" spans="1:1">
      <c r="A46998" s="56"/>
    </row>
    <row r="46999" spans="1:1">
      <c r="A46999" s="56"/>
    </row>
    <row r="47000" spans="1:1">
      <c r="A47000" s="56"/>
    </row>
    <row r="47001" spans="1:1">
      <c r="A47001" s="56"/>
    </row>
    <row r="47002" spans="1:1">
      <c r="A47002" s="56"/>
    </row>
    <row r="47003" spans="1:1">
      <c r="A47003" s="56"/>
    </row>
    <row r="47004" spans="1:1">
      <c r="A47004" s="56"/>
    </row>
    <row r="47005" spans="1:1">
      <c r="A47005" s="56"/>
    </row>
    <row r="47006" spans="1:1">
      <c r="A47006" s="56"/>
    </row>
    <row r="47007" spans="1:1">
      <c r="A47007" s="56"/>
    </row>
    <row r="47008" spans="1:1">
      <c r="A47008" s="56"/>
    </row>
    <row r="47009" spans="1:1">
      <c r="A47009" s="56"/>
    </row>
    <row r="47010" spans="1:1">
      <c r="A47010" s="56"/>
    </row>
    <row r="47011" spans="1:1">
      <c r="A47011" s="56"/>
    </row>
    <row r="47012" spans="1:1">
      <c r="A47012" s="56"/>
    </row>
    <row r="47013" spans="1:1">
      <c r="A47013" s="56"/>
    </row>
    <row r="47014" spans="1:1">
      <c r="A47014" s="56"/>
    </row>
    <row r="47015" spans="1:1">
      <c r="A47015" s="56"/>
    </row>
    <row r="47016" spans="1:1">
      <c r="A47016" s="56"/>
    </row>
    <row r="47017" spans="1:1">
      <c r="A47017" s="56"/>
    </row>
    <row r="47018" spans="1:1">
      <c r="A47018" s="56"/>
    </row>
    <row r="47019" spans="1:1">
      <c r="A47019" s="56"/>
    </row>
    <row r="47020" spans="1:1">
      <c r="A47020" s="56"/>
    </row>
    <row r="47021" spans="1:1">
      <c r="A47021" s="56"/>
    </row>
    <row r="47022" spans="1:1">
      <c r="A47022" s="56"/>
    </row>
    <row r="47023" spans="1:1">
      <c r="A47023" s="56"/>
    </row>
    <row r="47024" spans="1:1">
      <c r="A47024" s="56"/>
    </row>
    <row r="47025" spans="1:1">
      <c r="A47025" s="56"/>
    </row>
    <row r="47026" spans="1:1">
      <c r="A47026" s="56"/>
    </row>
    <row r="47027" spans="1:1">
      <c r="A47027" s="56"/>
    </row>
    <row r="47028" spans="1:1">
      <c r="A47028" s="56"/>
    </row>
    <row r="47029" spans="1:1">
      <c r="A47029" s="56"/>
    </row>
    <row r="47030" spans="1:1">
      <c r="A47030" s="56"/>
    </row>
    <row r="47031" spans="1:1">
      <c r="A47031" s="56"/>
    </row>
    <row r="47032" spans="1:1">
      <c r="A47032" s="56"/>
    </row>
    <row r="47033" spans="1:1">
      <c r="A47033" s="56"/>
    </row>
    <row r="47034" spans="1:1">
      <c r="A47034" s="56"/>
    </row>
    <row r="47035" spans="1:1">
      <c r="A47035" s="56"/>
    </row>
    <row r="47036" spans="1:1">
      <c r="A47036" s="56"/>
    </row>
    <row r="47037" spans="1:1">
      <c r="A47037" s="56"/>
    </row>
    <row r="47038" spans="1:1">
      <c r="A47038" s="56"/>
    </row>
    <row r="47039" spans="1:1">
      <c r="A47039" s="56"/>
    </row>
    <row r="47040" spans="1:1">
      <c r="A47040" s="56"/>
    </row>
    <row r="47041" spans="1:1">
      <c r="A47041" s="56"/>
    </row>
    <row r="47042" spans="1:1">
      <c r="A47042" s="56"/>
    </row>
    <row r="47043" spans="1:1">
      <c r="A47043" s="56"/>
    </row>
    <row r="47044" spans="1:1">
      <c r="A47044" s="56"/>
    </row>
    <row r="47045" spans="1:1">
      <c r="A47045" s="56"/>
    </row>
    <row r="47046" spans="1:1">
      <c r="A47046" s="56"/>
    </row>
    <row r="47047" spans="1:1">
      <c r="A47047" s="56"/>
    </row>
    <row r="47048" spans="1:1">
      <c r="A47048" s="56"/>
    </row>
    <row r="47049" spans="1:1">
      <c r="A47049" s="56"/>
    </row>
    <row r="47050" spans="1:1">
      <c r="A47050" s="56"/>
    </row>
    <row r="47051" spans="1:1">
      <c r="A47051" s="56"/>
    </row>
    <row r="47052" spans="1:1">
      <c r="A47052" s="56"/>
    </row>
    <row r="47053" spans="1:1">
      <c r="A47053" s="56"/>
    </row>
    <row r="47054" spans="1:1">
      <c r="A47054" s="56"/>
    </row>
    <row r="47055" spans="1:1">
      <c r="A47055" s="56"/>
    </row>
    <row r="47056" spans="1:1">
      <c r="A47056" s="56"/>
    </row>
    <row r="47057" spans="1:1">
      <c r="A47057" s="56"/>
    </row>
    <row r="47058" spans="1:1">
      <c r="A47058" s="56"/>
    </row>
    <row r="47059" spans="1:1">
      <c r="A47059" s="56"/>
    </row>
    <row r="47060" spans="1:1">
      <c r="A47060" s="56"/>
    </row>
    <row r="47061" spans="1:1">
      <c r="A47061" s="56"/>
    </row>
    <row r="47062" spans="1:1">
      <c r="A47062" s="56"/>
    </row>
    <row r="47063" spans="1:1">
      <c r="A47063" s="56"/>
    </row>
    <row r="47064" spans="1:1">
      <c r="A47064" s="56"/>
    </row>
    <row r="47065" spans="1:1">
      <c r="A47065" s="56"/>
    </row>
    <row r="47066" spans="1:1">
      <c r="A47066" s="56"/>
    </row>
    <row r="47067" spans="1:1">
      <c r="A47067" s="56"/>
    </row>
    <row r="47068" spans="1:1">
      <c r="A47068" s="56"/>
    </row>
    <row r="47069" spans="1:1">
      <c r="A47069" s="56"/>
    </row>
    <row r="47070" spans="1:1">
      <c r="A47070" s="56"/>
    </row>
    <row r="47071" spans="1:1">
      <c r="A47071" s="56"/>
    </row>
    <row r="47072" spans="1:1">
      <c r="A47072" s="56"/>
    </row>
    <row r="47073" spans="1:1">
      <c r="A47073" s="56"/>
    </row>
    <row r="47074" spans="1:1">
      <c r="A47074" s="56"/>
    </row>
    <row r="47075" spans="1:1">
      <c r="A47075" s="56"/>
    </row>
    <row r="47076" spans="1:1">
      <c r="A47076" s="56"/>
    </row>
    <row r="47077" spans="1:1">
      <c r="A47077" s="56"/>
    </row>
    <row r="47078" spans="1:1">
      <c r="A47078" s="56"/>
    </row>
    <row r="47079" spans="1:1">
      <c r="A47079" s="56"/>
    </row>
    <row r="47080" spans="1:1">
      <c r="A47080" s="56"/>
    </row>
    <row r="47081" spans="1:1">
      <c r="A47081" s="56"/>
    </row>
    <row r="47082" spans="1:1">
      <c r="A47082" s="56"/>
    </row>
    <row r="47083" spans="1:1">
      <c r="A47083" s="56"/>
    </row>
    <row r="47084" spans="1:1">
      <c r="A47084" s="56"/>
    </row>
    <row r="47085" spans="1:1">
      <c r="A47085" s="56"/>
    </row>
    <row r="47086" spans="1:1">
      <c r="A47086" s="56"/>
    </row>
    <row r="47087" spans="1:1">
      <c r="A47087" s="56"/>
    </row>
    <row r="47088" spans="1:1">
      <c r="A47088" s="56"/>
    </row>
    <row r="47089" spans="1:1">
      <c r="A47089" s="56"/>
    </row>
    <row r="47090" spans="1:1">
      <c r="A47090" s="56"/>
    </row>
    <row r="47091" spans="1:1">
      <c r="A47091" s="56"/>
    </row>
    <row r="47092" spans="1:1">
      <c r="A47092" s="56"/>
    </row>
    <row r="47093" spans="1:1">
      <c r="A47093" s="56"/>
    </row>
    <row r="47094" spans="1:1">
      <c r="A47094" s="56"/>
    </row>
    <row r="47095" spans="1:1">
      <c r="A47095" s="56"/>
    </row>
    <row r="47096" spans="1:1">
      <c r="A47096" s="56"/>
    </row>
    <row r="47097" spans="1:1">
      <c r="A47097" s="56"/>
    </row>
    <row r="47098" spans="1:1">
      <c r="A47098" s="56"/>
    </row>
    <row r="47099" spans="1:1">
      <c r="A47099" s="56"/>
    </row>
    <row r="47100" spans="1:1">
      <c r="A47100" s="56"/>
    </row>
    <row r="47101" spans="1:1">
      <c r="A47101" s="56"/>
    </row>
    <row r="47102" spans="1:1">
      <c r="A47102" s="56"/>
    </row>
    <row r="47103" spans="1:1">
      <c r="A47103" s="56"/>
    </row>
    <row r="47104" spans="1:1">
      <c r="A47104" s="56"/>
    </row>
    <row r="47105" spans="1:1">
      <c r="A47105" s="56"/>
    </row>
    <row r="47106" spans="1:1">
      <c r="A47106" s="56"/>
    </row>
    <row r="47107" spans="1:1">
      <c r="A47107" s="56"/>
    </row>
    <row r="47108" spans="1:1">
      <c r="A47108" s="56"/>
    </row>
    <row r="47109" spans="1:1">
      <c r="A47109" s="56"/>
    </row>
    <row r="47110" spans="1:1">
      <c r="A47110" s="56"/>
    </row>
    <row r="47111" spans="1:1">
      <c r="A47111" s="56"/>
    </row>
    <row r="47112" spans="1:1">
      <c r="A47112" s="56"/>
    </row>
    <row r="47113" spans="1:1">
      <c r="A47113" s="56"/>
    </row>
    <row r="47114" spans="1:1">
      <c r="A47114" s="56"/>
    </row>
    <row r="47115" spans="1:1">
      <c r="A47115" s="56"/>
    </row>
    <row r="47116" spans="1:1">
      <c r="A47116" s="56"/>
    </row>
    <row r="47117" spans="1:1">
      <c r="A47117" s="56"/>
    </row>
    <row r="47118" spans="1:1">
      <c r="A47118" s="56"/>
    </row>
    <row r="47119" spans="1:1">
      <c r="A47119" s="56"/>
    </row>
    <row r="47120" spans="1:1">
      <c r="A47120" s="56"/>
    </row>
    <row r="47121" spans="1:1">
      <c r="A47121" s="56"/>
    </row>
    <row r="47122" spans="1:1">
      <c r="A47122" s="56"/>
    </row>
    <row r="47123" spans="1:1">
      <c r="A47123" s="56"/>
    </row>
    <row r="47124" spans="1:1">
      <c r="A47124" s="56"/>
    </row>
    <row r="47125" spans="1:1">
      <c r="A47125" s="56"/>
    </row>
    <row r="47126" spans="1:1">
      <c r="A47126" s="56"/>
    </row>
    <row r="47127" spans="1:1">
      <c r="A47127" s="56"/>
    </row>
    <row r="47128" spans="1:1">
      <c r="A47128" s="56"/>
    </row>
    <row r="47129" spans="1:1">
      <c r="A47129" s="56"/>
    </row>
    <row r="47130" spans="1:1">
      <c r="A47130" s="56"/>
    </row>
    <row r="47131" spans="1:1">
      <c r="A47131" s="56"/>
    </row>
    <row r="47132" spans="1:1">
      <c r="A47132" s="56"/>
    </row>
    <row r="47133" spans="1:1">
      <c r="A47133" s="56"/>
    </row>
    <row r="47134" spans="1:1">
      <c r="A47134" s="56"/>
    </row>
    <row r="47135" spans="1:1">
      <c r="A47135" s="56"/>
    </row>
    <row r="47136" spans="1:1">
      <c r="A47136" s="56"/>
    </row>
    <row r="47137" spans="1:1">
      <c r="A47137" s="56"/>
    </row>
    <row r="47138" spans="1:1">
      <c r="A47138" s="56"/>
    </row>
    <row r="47139" spans="1:1">
      <c r="A47139" s="56"/>
    </row>
    <row r="47140" spans="1:1">
      <c r="A47140" s="56"/>
    </row>
    <row r="47141" spans="1:1">
      <c r="A47141" s="56"/>
    </row>
    <row r="47142" spans="1:1">
      <c r="A47142" s="56"/>
    </row>
    <row r="47143" spans="1:1">
      <c r="A47143" s="56"/>
    </row>
    <row r="47144" spans="1:1">
      <c r="A47144" s="56"/>
    </row>
    <row r="47145" spans="1:1">
      <c r="A47145" s="56"/>
    </row>
    <row r="47146" spans="1:1">
      <c r="A47146" s="56"/>
    </row>
    <row r="47147" spans="1:1">
      <c r="A47147" s="56"/>
    </row>
    <row r="47148" spans="1:1">
      <c r="A47148" s="56"/>
    </row>
    <row r="47149" spans="1:1">
      <c r="A47149" s="56"/>
    </row>
    <row r="47150" spans="1:1">
      <c r="A47150" s="56"/>
    </row>
    <row r="47151" spans="1:1">
      <c r="A47151" s="56"/>
    </row>
    <row r="47152" spans="1:1">
      <c r="A47152" s="56"/>
    </row>
    <row r="47153" spans="1:1">
      <c r="A47153" s="56"/>
    </row>
    <row r="47154" spans="1:1">
      <c r="A47154" s="56"/>
    </row>
    <row r="47155" spans="1:1">
      <c r="A47155" s="56"/>
    </row>
    <row r="47156" spans="1:1">
      <c r="A47156" s="56"/>
    </row>
    <row r="47157" spans="1:1">
      <c r="A47157" s="56"/>
    </row>
    <row r="47158" spans="1:1">
      <c r="A47158" s="56"/>
    </row>
    <row r="47159" spans="1:1">
      <c r="A47159" s="56"/>
    </row>
    <row r="47160" spans="1:1">
      <c r="A47160" s="56"/>
    </row>
    <row r="47161" spans="1:1">
      <c r="A47161" s="56"/>
    </row>
    <row r="47162" spans="1:1">
      <c r="A47162" s="56"/>
    </row>
    <row r="47163" spans="1:1">
      <c r="A47163" s="56"/>
    </row>
    <row r="47164" spans="1:1">
      <c r="A47164" s="56"/>
    </row>
    <row r="47165" spans="1:1">
      <c r="A47165" s="56"/>
    </row>
    <row r="47166" spans="1:1">
      <c r="A47166" s="56"/>
    </row>
    <row r="47167" spans="1:1">
      <c r="A47167" s="56"/>
    </row>
    <row r="47168" spans="1:1">
      <c r="A47168" s="56"/>
    </row>
    <row r="47169" spans="1:1">
      <c r="A47169" s="56"/>
    </row>
    <row r="47170" spans="1:1">
      <c r="A47170" s="56"/>
    </row>
    <row r="47171" spans="1:1">
      <c r="A47171" s="56"/>
    </row>
    <row r="47172" spans="1:1">
      <c r="A47172" s="56"/>
    </row>
    <row r="47173" spans="1:1">
      <c r="A47173" s="56"/>
    </row>
    <row r="47174" spans="1:1">
      <c r="A47174" s="56"/>
    </row>
    <row r="47175" spans="1:1">
      <c r="A47175" s="56"/>
    </row>
    <row r="47176" spans="1:1">
      <c r="A47176" s="56"/>
    </row>
    <row r="47177" spans="1:1">
      <c r="A47177" s="56"/>
    </row>
    <row r="47178" spans="1:1">
      <c r="A47178" s="56"/>
    </row>
    <row r="47179" spans="1:1">
      <c r="A47179" s="56"/>
    </row>
    <row r="47180" spans="1:1">
      <c r="A47180" s="56"/>
    </row>
    <row r="47181" spans="1:1">
      <c r="A47181" s="56"/>
    </row>
    <row r="47182" spans="1:1">
      <c r="A47182" s="56"/>
    </row>
    <row r="47183" spans="1:1">
      <c r="A47183" s="56"/>
    </row>
    <row r="47184" spans="1:1">
      <c r="A47184" s="56"/>
    </row>
    <row r="47185" spans="1:1">
      <c r="A47185" s="56"/>
    </row>
    <row r="47186" spans="1:1">
      <c r="A47186" s="56"/>
    </row>
    <row r="47187" spans="1:1">
      <c r="A47187" s="56"/>
    </row>
    <row r="47188" spans="1:1">
      <c r="A47188" s="56"/>
    </row>
    <row r="47189" spans="1:1">
      <c r="A47189" s="56"/>
    </row>
    <row r="47190" spans="1:1">
      <c r="A47190" s="56"/>
    </row>
    <row r="47191" spans="1:1">
      <c r="A47191" s="56"/>
    </row>
    <row r="47192" spans="1:1">
      <c r="A47192" s="56"/>
    </row>
    <row r="47193" spans="1:1">
      <c r="A47193" s="56"/>
    </row>
    <row r="47194" spans="1:1">
      <c r="A47194" s="56"/>
    </row>
    <row r="47195" spans="1:1">
      <c r="A47195" s="56"/>
    </row>
    <row r="47196" spans="1:1">
      <c r="A47196" s="56"/>
    </row>
    <row r="47197" spans="1:1">
      <c r="A47197" s="56"/>
    </row>
    <row r="47198" spans="1:1">
      <c r="A47198" s="56"/>
    </row>
    <row r="47199" spans="1:1">
      <c r="A47199" s="56"/>
    </row>
    <row r="47200" spans="1:1">
      <c r="A47200" s="56"/>
    </row>
    <row r="47201" spans="1:1">
      <c r="A47201" s="56"/>
    </row>
    <row r="47202" spans="1:1">
      <c r="A47202" s="56"/>
    </row>
    <row r="47203" spans="1:1">
      <c r="A47203" s="56"/>
    </row>
    <row r="47204" spans="1:1">
      <c r="A47204" s="56"/>
    </row>
    <row r="47205" spans="1:1">
      <c r="A47205" s="56"/>
    </row>
    <row r="47206" spans="1:1">
      <c r="A47206" s="56"/>
    </row>
    <row r="47207" spans="1:1">
      <c r="A47207" s="56"/>
    </row>
    <row r="47208" spans="1:1">
      <c r="A47208" s="56"/>
    </row>
    <row r="47209" spans="1:1">
      <c r="A47209" s="56"/>
    </row>
    <row r="47210" spans="1:1">
      <c r="A47210" s="56"/>
    </row>
    <row r="47211" spans="1:1">
      <c r="A47211" s="56"/>
    </row>
    <row r="47212" spans="1:1">
      <c r="A47212" s="56"/>
    </row>
    <row r="47213" spans="1:1">
      <c r="A47213" s="56"/>
    </row>
    <row r="47214" spans="1:1">
      <c r="A47214" s="56"/>
    </row>
    <row r="47215" spans="1:1">
      <c r="A47215" s="56"/>
    </row>
    <row r="47216" spans="1:1">
      <c r="A47216" s="56"/>
    </row>
    <row r="47217" spans="1:1">
      <c r="A47217" s="56"/>
    </row>
    <row r="47218" spans="1:1">
      <c r="A47218" s="56"/>
    </row>
    <row r="47219" spans="1:1">
      <c r="A47219" s="56"/>
    </row>
    <row r="47220" spans="1:1">
      <c r="A47220" s="56"/>
    </row>
    <row r="47221" spans="1:1">
      <c r="A47221" s="56"/>
    </row>
    <row r="47222" spans="1:1">
      <c r="A47222" s="56"/>
    </row>
    <row r="47223" spans="1:1">
      <c r="A47223" s="56"/>
    </row>
    <row r="47224" spans="1:1">
      <c r="A47224" s="56"/>
    </row>
    <row r="47225" spans="1:1">
      <c r="A47225" s="56"/>
    </row>
    <row r="47226" spans="1:1">
      <c r="A47226" s="56"/>
    </row>
    <row r="47227" spans="1:1">
      <c r="A47227" s="56"/>
    </row>
    <row r="47228" spans="1:1">
      <c r="A47228" s="56"/>
    </row>
    <row r="47229" spans="1:1">
      <c r="A47229" s="56"/>
    </row>
    <row r="47230" spans="1:1">
      <c r="A47230" s="56"/>
    </row>
    <row r="47231" spans="1:1">
      <c r="A47231" s="56"/>
    </row>
    <row r="47232" spans="1:1">
      <c r="A47232" s="56"/>
    </row>
    <row r="47233" spans="1:1">
      <c r="A47233" s="56"/>
    </row>
    <row r="47234" spans="1:1">
      <c r="A47234" s="56"/>
    </row>
    <row r="47235" spans="1:1">
      <c r="A47235" s="56"/>
    </row>
    <row r="47236" spans="1:1">
      <c r="A47236" s="56"/>
    </row>
    <row r="47237" spans="1:1">
      <c r="A47237" s="56"/>
    </row>
    <row r="47238" spans="1:1">
      <c r="A47238" s="56"/>
    </row>
    <row r="47239" spans="1:1">
      <c r="A47239" s="56"/>
    </row>
    <row r="47240" spans="1:1">
      <c r="A47240" s="56"/>
    </row>
    <row r="47241" spans="1:1">
      <c r="A47241" s="56"/>
    </row>
    <row r="47242" spans="1:1">
      <c r="A47242" s="56"/>
    </row>
    <row r="47243" spans="1:1">
      <c r="A47243" s="56"/>
    </row>
    <row r="47244" spans="1:1">
      <c r="A47244" s="56"/>
    </row>
    <row r="47245" spans="1:1">
      <c r="A47245" s="56"/>
    </row>
    <row r="47246" spans="1:1">
      <c r="A47246" s="56"/>
    </row>
    <row r="47247" spans="1:1">
      <c r="A47247" s="56"/>
    </row>
    <row r="47248" spans="1:1">
      <c r="A47248" s="56"/>
    </row>
    <row r="47249" spans="1:1">
      <c r="A47249" s="56"/>
    </row>
    <row r="47250" spans="1:1">
      <c r="A47250" s="56"/>
    </row>
    <row r="47251" spans="1:1">
      <c r="A47251" s="56"/>
    </row>
    <row r="47252" spans="1:1">
      <c r="A47252" s="56"/>
    </row>
    <row r="47253" spans="1:1">
      <c r="A47253" s="56"/>
    </row>
    <row r="47254" spans="1:1">
      <c r="A47254" s="56"/>
    </row>
    <row r="47255" spans="1:1">
      <c r="A47255" s="56"/>
    </row>
    <row r="47256" spans="1:1">
      <c r="A47256" s="56"/>
    </row>
    <row r="47257" spans="1:1">
      <c r="A47257" s="56"/>
    </row>
    <row r="47258" spans="1:1">
      <c r="A47258" s="56"/>
    </row>
    <row r="47259" spans="1:1">
      <c r="A47259" s="56"/>
    </row>
    <row r="47260" spans="1:1">
      <c r="A47260" s="56"/>
    </row>
    <row r="47261" spans="1:1">
      <c r="A47261" s="56"/>
    </row>
    <row r="47262" spans="1:1">
      <c r="A47262" s="56"/>
    </row>
    <row r="47263" spans="1:1">
      <c r="A47263" s="56"/>
    </row>
    <row r="47264" spans="1:1">
      <c r="A47264" s="56"/>
    </row>
    <row r="47265" spans="1:1">
      <c r="A47265" s="56"/>
    </row>
    <row r="47266" spans="1:1">
      <c r="A47266" s="56"/>
    </row>
    <row r="47267" spans="1:1">
      <c r="A47267" s="56"/>
    </row>
    <row r="47268" spans="1:1">
      <c r="A47268" s="56"/>
    </row>
    <row r="47269" spans="1:1">
      <c r="A47269" s="56"/>
    </row>
    <row r="47270" spans="1:1">
      <c r="A47270" s="56"/>
    </row>
    <row r="47271" spans="1:1">
      <c r="A47271" s="56"/>
    </row>
    <row r="47272" spans="1:1">
      <c r="A47272" s="56"/>
    </row>
    <row r="47273" spans="1:1">
      <c r="A47273" s="56"/>
    </row>
    <row r="47274" spans="1:1">
      <c r="A47274" s="56"/>
    </row>
    <row r="47275" spans="1:1">
      <c r="A47275" s="56"/>
    </row>
    <row r="47276" spans="1:1">
      <c r="A47276" s="56"/>
    </row>
    <row r="47277" spans="1:1">
      <c r="A47277" s="56"/>
    </row>
    <row r="47278" spans="1:1">
      <c r="A47278" s="56"/>
    </row>
    <row r="47279" spans="1:1">
      <c r="A47279" s="56"/>
    </row>
    <row r="47280" spans="1:1">
      <c r="A47280" s="56"/>
    </row>
    <row r="47281" spans="1:1">
      <c r="A47281" s="56"/>
    </row>
    <row r="47282" spans="1:1">
      <c r="A47282" s="56"/>
    </row>
    <row r="47283" spans="1:1">
      <c r="A47283" s="56"/>
    </row>
    <row r="47284" spans="1:1">
      <c r="A47284" s="56"/>
    </row>
    <row r="47285" spans="1:1">
      <c r="A47285" s="56"/>
    </row>
    <row r="47286" spans="1:1">
      <c r="A47286" s="56"/>
    </row>
    <row r="47287" spans="1:1">
      <c r="A47287" s="56"/>
    </row>
    <row r="47288" spans="1:1">
      <c r="A47288" s="56"/>
    </row>
    <row r="47289" spans="1:1">
      <c r="A47289" s="56"/>
    </row>
    <row r="47290" spans="1:1">
      <c r="A47290" s="56"/>
    </row>
    <row r="47291" spans="1:1">
      <c r="A47291" s="56"/>
    </row>
    <row r="47292" spans="1:1">
      <c r="A47292" s="56"/>
    </row>
    <row r="47293" spans="1:1">
      <c r="A47293" s="56"/>
    </row>
    <row r="47294" spans="1:1">
      <c r="A47294" s="56"/>
    </row>
    <row r="47295" spans="1:1">
      <c r="A47295" s="56"/>
    </row>
    <row r="47296" spans="1:1">
      <c r="A47296" s="56"/>
    </row>
    <row r="47297" spans="1:1">
      <c r="A47297" s="56"/>
    </row>
    <row r="47298" spans="1:1">
      <c r="A47298" s="56"/>
    </row>
    <row r="47299" spans="1:1">
      <c r="A47299" s="56"/>
    </row>
    <row r="47300" spans="1:1">
      <c r="A47300" s="56"/>
    </row>
    <row r="47301" spans="1:1">
      <c r="A47301" s="56"/>
    </row>
    <row r="47302" spans="1:1">
      <c r="A47302" s="56"/>
    </row>
    <row r="47303" spans="1:1">
      <c r="A47303" s="56"/>
    </row>
    <row r="47304" spans="1:1">
      <c r="A47304" s="56"/>
    </row>
    <row r="47305" spans="1:1">
      <c r="A47305" s="56"/>
    </row>
    <row r="47306" spans="1:1">
      <c r="A47306" s="56"/>
    </row>
    <row r="47307" spans="1:1">
      <c r="A47307" s="56"/>
    </row>
    <row r="47308" spans="1:1">
      <c r="A47308" s="56"/>
    </row>
    <row r="47309" spans="1:1">
      <c r="A47309" s="56"/>
    </row>
    <row r="47310" spans="1:1">
      <c r="A47310" s="56"/>
    </row>
    <row r="47311" spans="1:1">
      <c r="A47311" s="56"/>
    </row>
    <row r="47312" spans="1:1">
      <c r="A47312" s="56"/>
    </row>
    <row r="47313" spans="1:1">
      <c r="A47313" s="56"/>
    </row>
    <row r="47314" spans="1:1">
      <c r="A47314" s="56"/>
    </row>
    <row r="47315" spans="1:1">
      <c r="A47315" s="56"/>
    </row>
    <row r="47316" spans="1:1">
      <c r="A47316" s="56"/>
    </row>
    <row r="47317" spans="1:1">
      <c r="A47317" s="56"/>
    </row>
    <row r="47318" spans="1:1">
      <c r="A47318" s="56"/>
    </row>
    <row r="47319" spans="1:1">
      <c r="A47319" s="56"/>
    </row>
    <row r="47320" spans="1:1">
      <c r="A47320" s="56"/>
    </row>
    <row r="47321" spans="1:1">
      <c r="A47321" s="56"/>
    </row>
    <row r="47322" spans="1:1">
      <c r="A47322" s="56"/>
    </row>
    <row r="47323" spans="1:1">
      <c r="A47323" s="56"/>
    </row>
    <row r="47324" spans="1:1">
      <c r="A47324" s="56"/>
    </row>
    <row r="47325" spans="1:1">
      <c r="A47325" s="56"/>
    </row>
    <row r="47326" spans="1:1">
      <c r="A47326" s="56"/>
    </row>
    <row r="47327" spans="1:1">
      <c r="A47327" s="56"/>
    </row>
    <row r="47328" spans="1:1">
      <c r="A47328" s="56"/>
    </row>
    <row r="47329" spans="1:1">
      <c r="A47329" s="56"/>
    </row>
    <row r="47330" spans="1:1">
      <c r="A47330" s="56"/>
    </row>
    <row r="47331" spans="1:1">
      <c r="A47331" s="56"/>
    </row>
    <row r="47332" spans="1:1">
      <c r="A47332" s="56"/>
    </row>
    <row r="47333" spans="1:1">
      <c r="A47333" s="56"/>
    </row>
    <row r="47334" spans="1:1">
      <c r="A47334" s="56"/>
    </row>
    <row r="47335" spans="1:1">
      <c r="A47335" s="56"/>
    </row>
    <row r="47336" spans="1:1">
      <c r="A47336" s="56"/>
    </row>
    <row r="47337" spans="1:1">
      <c r="A47337" s="56"/>
    </row>
    <row r="47338" spans="1:1">
      <c r="A47338" s="56"/>
    </row>
    <row r="47339" spans="1:1">
      <c r="A47339" s="56"/>
    </row>
    <row r="47340" spans="1:1">
      <c r="A47340" s="56"/>
    </row>
    <row r="47341" spans="1:1">
      <c r="A47341" s="56"/>
    </row>
    <row r="47342" spans="1:1">
      <c r="A47342" s="56"/>
    </row>
    <row r="47343" spans="1:1">
      <c r="A47343" s="56"/>
    </row>
    <row r="47344" spans="1:1">
      <c r="A47344" s="56"/>
    </row>
    <row r="47345" spans="1:1">
      <c r="A47345" s="56"/>
    </row>
    <row r="47346" spans="1:1">
      <c r="A47346" s="56"/>
    </row>
    <row r="47347" spans="1:1">
      <c r="A47347" s="56"/>
    </row>
    <row r="47348" spans="1:1">
      <c r="A47348" s="56"/>
    </row>
    <row r="47349" spans="1:1">
      <c r="A47349" s="56"/>
    </row>
    <row r="47350" spans="1:1">
      <c r="A47350" s="56"/>
    </row>
    <row r="47351" spans="1:1">
      <c r="A47351" s="56"/>
    </row>
    <row r="47352" spans="1:1">
      <c r="A47352" s="56"/>
    </row>
    <row r="47353" spans="1:1">
      <c r="A47353" s="56"/>
    </row>
    <row r="47354" spans="1:1">
      <c r="A47354" s="56"/>
    </row>
    <row r="47355" spans="1:1">
      <c r="A47355" s="56"/>
    </row>
    <row r="47356" spans="1:1">
      <c r="A47356" s="56"/>
    </row>
    <row r="47357" spans="1:1">
      <c r="A47357" s="56"/>
    </row>
    <row r="47358" spans="1:1">
      <c r="A47358" s="56"/>
    </row>
    <row r="47359" spans="1:1">
      <c r="A47359" s="56"/>
    </row>
    <row r="47360" spans="1:1">
      <c r="A47360" s="56"/>
    </row>
    <row r="47361" spans="1:1">
      <c r="A47361" s="56"/>
    </row>
    <row r="47362" spans="1:1">
      <c r="A47362" s="56"/>
    </row>
    <row r="47363" spans="1:1">
      <c r="A47363" s="56"/>
    </row>
    <row r="47364" spans="1:1">
      <c r="A47364" s="56"/>
    </row>
    <row r="47365" spans="1:1">
      <c r="A47365" s="56"/>
    </row>
    <row r="47366" spans="1:1">
      <c r="A47366" s="56"/>
    </row>
    <row r="47367" spans="1:1">
      <c r="A47367" s="56"/>
    </row>
    <row r="47368" spans="1:1">
      <c r="A47368" s="56"/>
    </row>
    <row r="47369" spans="1:1">
      <c r="A47369" s="56"/>
    </row>
    <row r="47370" spans="1:1">
      <c r="A47370" s="56"/>
    </row>
    <row r="47371" spans="1:1">
      <c r="A47371" s="56"/>
    </row>
    <row r="47372" spans="1:1">
      <c r="A47372" s="56"/>
    </row>
    <row r="47373" spans="1:1">
      <c r="A47373" s="56"/>
    </row>
    <row r="47374" spans="1:1">
      <c r="A47374" s="56"/>
    </row>
    <row r="47375" spans="1:1">
      <c r="A47375" s="56"/>
    </row>
    <row r="47376" spans="1:1">
      <c r="A47376" s="56"/>
    </row>
    <row r="47377" spans="1:1">
      <c r="A47377" s="56"/>
    </row>
    <row r="47378" spans="1:1">
      <c r="A47378" s="56"/>
    </row>
    <row r="47379" spans="1:1">
      <c r="A47379" s="56"/>
    </row>
    <row r="47380" spans="1:1">
      <c r="A47380" s="56"/>
    </row>
    <row r="47381" spans="1:1">
      <c r="A47381" s="56"/>
    </row>
    <row r="47382" spans="1:1">
      <c r="A47382" s="56"/>
    </row>
    <row r="47383" spans="1:1">
      <c r="A47383" s="56"/>
    </row>
    <row r="47384" spans="1:1">
      <c r="A47384" s="56"/>
    </row>
    <row r="47385" spans="1:1">
      <c r="A47385" s="56"/>
    </row>
    <row r="47386" spans="1:1">
      <c r="A47386" s="56"/>
    </row>
    <row r="47387" spans="1:1">
      <c r="A47387" s="56"/>
    </row>
    <row r="47388" spans="1:1">
      <c r="A47388" s="56"/>
    </row>
    <row r="47389" spans="1:1">
      <c r="A47389" s="56"/>
    </row>
    <row r="47390" spans="1:1">
      <c r="A47390" s="56"/>
    </row>
    <row r="47391" spans="1:1">
      <c r="A47391" s="56"/>
    </row>
    <row r="47392" spans="1:1">
      <c r="A47392" s="56"/>
    </row>
    <row r="47393" spans="1:1">
      <c r="A47393" s="56"/>
    </row>
    <row r="47394" spans="1:1">
      <c r="A47394" s="56"/>
    </row>
    <row r="47395" spans="1:1">
      <c r="A47395" s="56"/>
    </row>
    <row r="47396" spans="1:1">
      <c r="A47396" s="56"/>
    </row>
    <row r="47397" spans="1:1">
      <c r="A47397" s="56"/>
    </row>
    <row r="47398" spans="1:1">
      <c r="A47398" s="56"/>
    </row>
    <row r="47399" spans="1:1">
      <c r="A47399" s="56"/>
    </row>
    <row r="47400" spans="1:1">
      <c r="A47400" s="56"/>
    </row>
    <row r="47401" spans="1:1">
      <c r="A47401" s="56"/>
    </row>
    <row r="47402" spans="1:1">
      <c r="A47402" s="56"/>
    </row>
    <row r="47403" spans="1:1">
      <c r="A47403" s="56"/>
    </row>
    <row r="47404" spans="1:1">
      <c r="A47404" s="56"/>
    </row>
    <row r="47405" spans="1:1">
      <c r="A47405" s="56"/>
    </row>
    <row r="47406" spans="1:1">
      <c r="A47406" s="56"/>
    </row>
    <row r="47407" spans="1:1">
      <c r="A47407" s="56"/>
    </row>
    <row r="47408" spans="1:1">
      <c r="A47408" s="56"/>
    </row>
    <row r="47409" spans="1:1">
      <c r="A47409" s="56"/>
    </row>
    <row r="47410" spans="1:1">
      <c r="A47410" s="56"/>
    </row>
    <row r="47411" spans="1:1">
      <c r="A47411" s="56"/>
    </row>
    <row r="47412" spans="1:1">
      <c r="A47412" s="56"/>
    </row>
    <row r="47413" spans="1:1">
      <c r="A47413" s="56"/>
    </row>
    <row r="47414" spans="1:1">
      <c r="A47414" s="56"/>
    </row>
    <row r="47415" spans="1:1">
      <c r="A47415" s="56"/>
    </row>
    <row r="47416" spans="1:1">
      <c r="A47416" s="56"/>
    </row>
    <row r="47417" spans="1:1">
      <c r="A47417" s="56"/>
    </row>
    <row r="47418" spans="1:1">
      <c r="A47418" s="56"/>
    </row>
    <row r="47419" spans="1:1">
      <c r="A47419" s="56"/>
    </row>
    <row r="47420" spans="1:1">
      <c r="A47420" s="56"/>
    </row>
    <row r="47421" spans="1:1">
      <c r="A47421" s="56"/>
    </row>
    <row r="47422" spans="1:1">
      <c r="A47422" s="56"/>
    </row>
    <row r="47423" spans="1:1">
      <c r="A47423" s="56"/>
    </row>
    <row r="47424" spans="1:1">
      <c r="A47424" s="56"/>
    </row>
    <row r="47425" spans="1:1">
      <c r="A47425" s="56"/>
    </row>
    <row r="47426" spans="1:1">
      <c r="A47426" s="56"/>
    </row>
    <row r="47427" spans="1:1">
      <c r="A47427" s="56"/>
    </row>
    <row r="47428" spans="1:1">
      <c r="A47428" s="56"/>
    </row>
    <row r="47429" spans="1:1">
      <c r="A47429" s="56"/>
    </row>
    <row r="47430" spans="1:1">
      <c r="A47430" s="56"/>
    </row>
    <row r="47431" spans="1:1">
      <c r="A47431" s="56"/>
    </row>
    <row r="47432" spans="1:1">
      <c r="A47432" s="56"/>
    </row>
    <row r="47433" spans="1:1">
      <c r="A47433" s="56"/>
    </row>
    <row r="47434" spans="1:1">
      <c r="A47434" s="56"/>
    </row>
    <row r="47435" spans="1:1">
      <c r="A47435" s="56"/>
    </row>
    <row r="47436" spans="1:1">
      <c r="A47436" s="56"/>
    </row>
    <row r="47437" spans="1:1">
      <c r="A47437" s="56"/>
    </row>
    <row r="47438" spans="1:1">
      <c r="A47438" s="56"/>
    </row>
    <row r="47439" spans="1:1">
      <c r="A47439" s="56"/>
    </row>
    <row r="47440" spans="1:1">
      <c r="A47440" s="56"/>
    </row>
    <row r="47441" spans="1:1">
      <c r="A47441" s="56"/>
    </row>
    <row r="47442" spans="1:1">
      <c r="A47442" s="56"/>
    </row>
    <row r="47443" spans="1:1">
      <c r="A47443" s="56"/>
    </row>
    <row r="47444" spans="1:1">
      <c r="A47444" s="56"/>
    </row>
    <row r="47445" spans="1:1">
      <c r="A47445" s="56"/>
    </row>
    <row r="47446" spans="1:1">
      <c r="A47446" s="56"/>
    </row>
    <row r="47447" spans="1:1">
      <c r="A47447" s="56"/>
    </row>
    <row r="47448" spans="1:1">
      <c r="A47448" s="56"/>
    </row>
    <row r="47449" spans="1:1">
      <c r="A47449" s="56"/>
    </row>
    <row r="47450" spans="1:1">
      <c r="A47450" s="56"/>
    </row>
    <row r="47451" spans="1:1">
      <c r="A47451" s="56"/>
    </row>
    <row r="47452" spans="1:1">
      <c r="A47452" s="56"/>
    </row>
    <row r="47453" spans="1:1">
      <c r="A47453" s="56"/>
    </row>
    <row r="47454" spans="1:1">
      <c r="A47454" s="56"/>
    </row>
    <row r="47455" spans="1:1">
      <c r="A47455" s="56"/>
    </row>
    <row r="47456" spans="1:1">
      <c r="A47456" s="56"/>
    </row>
    <row r="47457" spans="1:1">
      <c r="A47457" s="56"/>
    </row>
    <row r="47458" spans="1:1">
      <c r="A47458" s="56"/>
    </row>
    <row r="47459" spans="1:1">
      <c r="A47459" s="56"/>
    </row>
    <row r="47460" spans="1:1">
      <c r="A47460" s="56"/>
    </row>
    <row r="47461" spans="1:1">
      <c r="A47461" s="56"/>
    </row>
    <row r="47462" spans="1:1">
      <c r="A47462" s="56"/>
    </row>
    <row r="47463" spans="1:1">
      <c r="A47463" s="56"/>
    </row>
    <row r="47464" spans="1:1">
      <c r="A47464" s="56"/>
    </row>
    <row r="47465" spans="1:1">
      <c r="A47465" s="56"/>
    </row>
    <row r="47466" spans="1:1">
      <c r="A47466" s="56"/>
    </row>
    <row r="47467" spans="1:1">
      <c r="A47467" s="56"/>
    </row>
    <row r="47468" spans="1:1">
      <c r="A47468" s="56"/>
    </row>
    <row r="47469" spans="1:1">
      <c r="A47469" s="56"/>
    </row>
    <row r="47470" spans="1:1">
      <c r="A47470" s="56"/>
    </row>
    <row r="47471" spans="1:1">
      <c r="A47471" s="56"/>
    </row>
    <row r="47472" spans="1:1">
      <c r="A47472" s="56"/>
    </row>
    <row r="47473" spans="1:1">
      <c r="A47473" s="56"/>
    </row>
    <row r="47474" spans="1:1">
      <c r="A47474" s="56"/>
    </row>
    <row r="47475" spans="1:1">
      <c r="A47475" s="56"/>
    </row>
    <row r="47476" spans="1:1">
      <c r="A47476" s="56"/>
    </row>
    <row r="47477" spans="1:1">
      <c r="A47477" s="56"/>
    </row>
    <row r="47478" spans="1:1">
      <c r="A47478" s="56"/>
    </row>
    <row r="47479" spans="1:1">
      <c r="A47479" s="56"/>
    </row>
    <row r="47480" spans="1:1">
      <c r="A47480" s="56"/>
    </row>
    <row r="47481" spans="1:1">
      <c r="A47481" s="56"/>
    </row>
    <row r="47482" spans="1:1">
      <c r="A47482" s="56"/>
    </row>
    <row r="47483" spans="1:1">
      <c r="A47483" s="56"/>
    </row>
    <row r="47484" spans="1:1">
      <c r="A47484" s="56"/>
    </row>
    <row r="47485" spans="1:1">
      <c r="A47485" s="56"/>
    </row>
    <row r="47486" spans="1:1">
      <c r="A47486" s="56"/>
    </row>
    <row r="47487" spans="1:1">
      <c r="A47487" s="56"/>
    </row>
    <row r="47488" spans="1:1">
      <c r="A47488" s="56"/>
    </row>
    <row r="47489" spans="1:1">
      <c r="A47489" s="56"/>
    </row>
    <row r="47490" spans="1:1">
      <c r="A47490" s="56"/>
    </row>
    <row r="47491" spans="1:1">
      <c r="A47491" s="56"/>
    </row>
    <row r="47492" spans="1:1">
      <c r="A47492" s="56"/>
    </row>
    <row r="47493" spans="1:1">
      <c r="A47493" s="56"/>
    </row>
    <row r="47494" spans="1:1">
      <c r="A47494" s="56"/>
    </row>
    <row r="47495" spans="1:1">
      <c r="A47495" s="56"/>
    </row>
    <row r="47496" spans="1:1">
      <c r="A47496" s="56"/>
    </row>
    <row r="47497" spans="1:1">
      <c r="A47497" s="56"/>
    </row>
    <row r="47498" spans="1:1">
      <c r="A47498" s="56"/>
    </row>
    <row r="47499" spans="1:1">
      <c r="A47499" s="56"/>
    </row>
    <row r="47500" spans="1:1">
      <c r="A47500" s="56"/>
    </row>
    <row r="47501" spans="1:1">
      <c r="A47501" s="56"/>
    </row>
    <row r="47502" spans="1:1">
      <c r="A47502" s="56"/>
    </row>
    <row r="47503" spans="1:1">
      <c r="A47503" s="56"/>
    </row>
    <row r="47504" spans="1:1">
      <c r="A47504" s="56"/>
    </row>
    <row r="47505" spans="1:1">
      <c r="A47505" s="56"/>
    </row>
    <row r="47506" spans="1:1">
      <c r="A47506" s="56"/>
    </row>
    <row r="47507" spans="1:1">
      <c r="A47507" s="56"/>
    </row>
    <row r="47508" spans="1:1">
      <c r="A47508" s="56"/>
    </row>
    <row r="47509" spans="1:1">
      <c r="A47509" s="56"/>
    </row>
    <row r="47510" spans="1:1">
      <c r="A47510" s="56"/>
    </row>
    <row r="47511" spans="1:1">
      <c r="A47511" s="56"/>
    </row>
    <row r="47512" spans="1:1">
      <c r="A47512" s="56"/>
    </row>
    <row r="47513" spans="1:1">
      <c r="A47513" s="56"/>
    </row>
    <row r="47514" spans="1:1">
      <c r="A47514" s="56"/>
    </row>
    <row r="47515" spans="1:1">
      <c r="A47515" s="56"/>
    </row>
    <row r="47516" spans="1:1">
      <c r="A47516" s="56"/>
    </row>
    <row r="47517" spans="1:1">
      <c r="A47517" s="56"/>
    </row>
    <row r="47518" spans="1:1">
      <c r="A47518" s="56"/>
    </row>
    <row r="47519" spans="1:1">
      <c r="A47519" s="56"/>
    </row>
    <row r="47520" spans="1:1">
      <c r="A47520" s="56"/>
    </row>
    <row r="47521" spans="1:1">
      <c r="A47521" s="56"/>
    </row>
    <row r="47522" spans="1:1">
      <c r="A47522" s="56"/>
    </row>
    <row r="47523" spans="1:1">
      <c r="A47523" s="56"/>
    </row>
    <row r="47524" spans="1:1">
      <c r="A47524" s="56"/>
    </row>
    <row r="47525" spans="1:1">
      <c r="A47525" s="56"/>
    </row>
    <row r="47526" spans="1:1">
      <c r="A47526" s="56"/>
    </row>
    <row r="47527" spans="1:1">
      <c r="A47527" s="56"/>
    </row>
    <row r="47528" spans="1:1">
      <c r="A47528" s="56"/>
    </row>
    <row r="47529" spans="1:1">
      <c r="A47529" s="56"/>
    </row>
    <row r="47530" spans="1:1">
      <c r="A47530" s="56"/>
    </row>
    <row r="47531" spans="1:1">
      <c r="A47531" s="56"/>
    </row>
    <row r="47532" spans="1:1">
      <c r="A47532" s="56"/>
    </row>
    <row r="47533" spans="1:1">
      <c r="A47533" s="56"/>
    </row>
    <row r="47534" spans="1:1">
      <c r="A47534" s="56"/>
    </row>
    <row r="47535" spans="1:1">
      <c r="A47535" s="56"/>
    </row>
    <row r="47536" spans="1:1">
      <c r="A47536" s="56"/>
    </row>
    <row r="47537" spans="1:1">
      <c r="A47537" s="56"/>
    </row>
    <row r="47538" spans="1:1">
      <c r="A47538" s="56"/>
    </row>
    <row r="47539" spans="1:1">
      <c r="A47539" s="56"/>
    </row>
    <row r="47540" spans="1:1">
      <c r="A47540" s="56"/>
    </row>
    <row r="47541" spans="1:1">
      <c r="A47541" s="56"/>
    </row>
    <row r="47542" spans="1:1">
      <c r="A47542" s="56"/>
    </row>
    <row r="47543" spans="1:1">
      <c r="A47543" s="56"/>
    </row>
    <row r="47544" spans="1:1">
      <c r="A47544" s="56"/>
    </row>
    <row r="47545" spans="1:1">
      <c r="A47545" s="56"/>
    </row>
    <row r="47546" spans="1:1">
      <c r="A47546" s="56"/>
    </row>
    <row r="47547" spans="1:1">
      <c r="A47547" s="56"/>
    </row>
    <row r="47548" spans="1:1">
      <c r="A47548" s="56"/>
    </row>
    <row r="47549" spans="1:1">
      <c r="A47549" s="56"/>
    </row>
    <row r="47550" spans="1:1">
      <c r="A47550" s="56"/>
    </row>
    <row r="47551" spans="1:1">
      <c r="A47551" s="56"/>
    </row>
    <row r="47552" spans="1:1">
      <c r="A47552" s="56"/>
    </row>
    <row r="47553" spans="1:1">
      <c r="A47553" s="56"/>
    </row>
    <row r="47554" spans="1:1">
      <c r="A47554" s="56"/>
    </row>
    <row r="47555" spans="1:1">
      <c r="A47555" s="56"/>
    </row>
    <row r="47556" spans="1:1">
      <c r="A47556" s="56"/>
    </row>
    <row r="47557" spans="1:1">
      <c r="A47557" s="56"/>
    </row>
    <row r="47558" spans="1:1">
      <c r="A47558" s="56"/>
    </row>
    <row r="47559" spans="1:1">
      <c r="A47559" s="56"/>
    </row>
    <row r="47560" spans="1:1">
      <c r="A47560" s="56"/>
    </row>
    <row r="47561" spans="1:1">
      <c r="A47561" s="56"/>
    </row>
    <row r="47562" spans="1:1">
      <c r="A47562" s="56"/>
    </row>
    <row r="47563" spans="1:1">
      <c r="A47563" s="56"/>
    </row>
    <row r="47564" spans="1:1">
      <c r="A47564" s="56"/>
    </row>
    <row r="47565" spans="1:1">
      <c r="A47565" s="56"/>
    </row>
    <row r="47566" spans="1:1">
      <c r="A47566" s="56"/>
    </row>
    <row r="47567" spans="1:1">
      <c r="A47567" s="56"/>
    </row>
    <row r="47568" spans="1:1">
      <c r="A47568" s="56"/>
    </row>
    <row r="47569" spans="1:1">
      <c r="A47569" s="56"/>
    </row>
    <row r="47570" spans="1:1">
      <c r="A47570" s="56"/>
    </row>
    <row r="47571" spans="1:1">
      <c r="A47571" s="56"/>
    </row>
    <row r="47572" spans="1:1">
      <c r="A47572" s="56"/>
    </row>
    <row r="47573" spans="1:1">
      <c r="A47573" s="56"/>
    </row>
    <row r="47574" spans="1:1">
      <c r="A47574" s="56"/>
    </row>
    <row r="47575" spans="1:1">
      <c r="A47575" s="56"/>
    </row>
    <row r="47576" spans="1:1">
      <c r="A47576" s="56"/>
    </row>
    <row r="47577" spans="1:1">
      <c r="A47577" s="56"/>
    </row>
    <row r="47578" spans="1:1">
      <c r="A47578" s="56"/>
    </row>
    <row r="47579" spans="1:1">
      <c r="A47579" s="56"/>
    </row>
    <row r="47580" spans="1:1">
      <c r="A47580" s="56"/>
    </row>
    <row r="47581" spans="1:1">
      <c r="A47581" s="56"/>
    </row>
    <row r="47582" spans="1:1">
      <c r="A47582" s="56"/>
    </row>
    <row r="47583" spans="1:1">
      <c r="A47583" s="56"/>
    </row>
    <row r="47584" spans="1:1">
      <c r="A47584" s="56"/>
    </row>
    <row r="47585" spans="1:1">
      <c r="A47585" s="56"/>
    </row>
    <row r="47586" spans="1:1">
      <c r="A47586" s="56"/>
    </row>
    <row r="47587" spans="1:1">
      <c r="A47587" s="56"/>
    </row>
    <row r="47588" spans="1:1">
      <c r="A47588" s="56"/>
    </row>
    <row r="47589" spans="1:1">
      <c r="A47589" s="56"/>
    </row>
    <row r="47590" spans="1:1">
      <c r="A47590" s="56"/>
    </row>
    <row r="47591" spans="1:1">
      <c r="A47591" s="56"/>
    </row>
    <row r="47592" spans="1:1">
      <c r="A47592" s="56"/>
    </row>
    <row r="47593" spans="1:1">
      <c r="A47593" s="56"/>
    </row>
    <row r="47594" spans="1:1">
      <c r="A47594" s="56"/>
    </row>
    <row r="47595" spans="1:1">
      <c r="A47595" s="56"/>
    </row>
    <row r="47596" spans="1:1">
      <c r="A47596" s="56"/>
    </row>
    <row r="47597" spans="1:1">
      <c r="A47597" s="56"/>
    </row>
    <row r="47598" spans="1:1">
      <c r="A47598" s="56"/>
    </row>
    <row r="47599" spans="1:1">
      <c r="A47599" s="56"/>
    </row>
    <row r="47600" spans="1:1">
      <c r="A47600" s="56"/>
    </row>
    <row r="47601" spans="1:1">
      <c r="A47601" s="56"/>
    </row>
    <row r="47602" spans="1:1">
      <c r="A47602" s="56"/>
    </row>
    <row r="47603" spans="1:1">
      <c r="A47603" s="56"/>
    </row>
    <row r="47604" spans="1:1">
      <c r="A47604" s="56"/>
    </row>
    <row r="47605" spans="1:1">
      <c r="A47605" s="56"/>
    </row>
    <row r="47606" spans="1:1">
      <c r="A47606" s="56"/>
    </row>
    <row r="47607" spans="1:1">
      <c r="A47607" s="56"/>
    </row>
    <row r="47608" spans="1:1">
      <c r="A47608" s="56"/>
    </row>
    <row r="47609" spans="1:1">
      <c r="A47609" s="56"/>
    </row>
    <row r="47610" spans="1:1">
      <c r="A47610" s="56"/>
    </row>
    <row r="47611" spans="1:1">
      <c r="A47611" s="56"/>
    </row>
    <row r="47612" spans="1:1">
      <c r="A47612" s="56"/>
    </row>
    <row r="47613" spans="1:1">
      <c r="A47613" s="56"/>
    </row>
    <row r="47614" spans="1:1">
      <c r="A47614" s="56"/>
    </row>
    <row r="47615" spans="1:1">
      <c r="A47615" s="56"/>
    </row>
    <row r="47616" spans="1:1">
      <c r="A47616" s="56"/>
    </row>
    <row r="47617" spans="1:1">
      <c r="A47617" s="56"/>
    </row>
    <row r="47618" spans="1:1">
      <c r="A47618" s="56"/>
    </row>
    <row r="47619" spans="1:1">
      <c r="A47619" s="56"/>
    </row>
    <row r="47620" spans="1:1">
      <c r="A47620" s="56"/>
    </row>
    <row r="47621" spans="1:1">
      <c r="A47621" s="56"/>
    </row>
    <row r="47622" spans="1:1">
      <c r="A47622" s="56"/>
    </row>
    <row r="47623" spans="1:1">
      <c r="A47623" s="56"/>
    </row>
    <row r="47624" spans="1:1">
      <c r="A47624" s="56"/>
    </row>
    <row r="47625" spans="1:1">
      <c r="A47625" s="56"/>
    </row>
    <row r="47626" spans="1:1">
      <c r="A47626" s="56"/>
    </row>
    <row r="47627" spans="1:1">
      <c r="A47627" s="56"/>
    </row>
    <row r="47628" spans="1:1">
      <c r="A47628" s="56"/>
    </row>
    <row r="47629" spans="1:1">
      <c r="A47629" s="56"/>
    </row>
    <row r="47630" spans="1:1">
      <c r="A47630" s="56"/>
    </row>
    <row r="47631" spans="1:1">
      <c r="A47631" s="56"/>
    </row>
    <row r="47632" spans="1:1">
      <c r="A47632" s="56"/>
    </row>
    <row r="47633" spans="1:1">
      <c r="A47633" s="56"/>
    </row>
    <row r="47634" spans="1:1">
      <c r="A47634" s="56"/>
    </row>
    <row r="47635" spans="1:1">
      <c r="A47635" s="56"/>
    </row>
    <row r="47636" spans="1:1">
      <c r="A47636" s="56"/>
    </row>
    <row r="47637" spans="1:1">
      <c r="A47637" s="56"/>
    </row>
    <row r="47638" spans="1:1">
      <c r="A47638" s="56"/>
    </row>
    <row r="47639" spans="1:1">
      <c r="A47639" s="56"/>
    </row>
    <row r="47640" spans="1:1">
      <c r="A47640" s="56"/>
    </row>
    <row r="47641" spans="1:1">
      <c r="A47641" s="56"/>
    </row>
    <row r="47642" spans="1:1">
      <c r="A47642" s="56"/>
    </row>
    <row r="47643" spans="1:1">
      <c r="A47643" s="56"/>
    </row>
    <row r="47644" spans="1:1">
      <c r="A47644" s="56"/>
    </row>
    <row r="47645" spans="1:1">
      <c r="A47645" s="56"/>
    </row>
    <row r="47646" spans="1:1">
      <c r="A47646" s="56"/>
    </row>
    <row r="47647" spans="1:1">
      <c r="A47647" s="56"/>
    </row>
    <row r="47648" spans="1:1">
      <c r="A47648" s="56"/>
    </row>
    <row r="47649" spans="1:1">
      <c r="A47649" s="56"/>
    </row>
    <row r="47650" spans="1:1">
      <c r="A47650" s="56"/>
    </row>
    <row r="47651" spans="1:1">
      <c r="A47651" s="56"/>
    </row>
    <row r="47652" spans="1:1">
      <c r="A47652" s="56"/>
    </row>
    <row r="47653" spans="1:1">
      <c r="A47653" s="56"/>
    </row>
    <row r="47654" spans="1:1">
      <c r="A47654" s="56"/>
    </row>
    <row r="47655" spans="1:1">
      <c r="A47655" s="56"/>
    </row>
    <row r="47656" spans="1:1">
      <c r="A47656" s="56"/>
    </row>
    <row r="47657" spans="1:1">
      <c r="A47657" s="56"/>
    </row>
    <row r="47658" spans="1:1">
      <c r="A47658" s="56"/>
    </row>
    <row r="47659" spans="1:1">
      <c r="A47659" s="56"/>
    </row>
    <row r="47660" spans="1:1">
      <c r="A47660" s="56"/>
    </row>
    <row r="47661" spans="1:1">
      <c r="A47661" s="56"/>
    </row>
    <row r="47662" spans="1:1">
      <c r="A47662" s="56"/>
    </row>
    <row r="47663" spans="1:1">
      <c r="A47663" s="56"/>
    </row>
    <row r="47664" spans="1:1">
      <c r="A47664" s="56"/>
    </row>
    <row r="47665" spans="1:1">
      <c r="A47665" s="56"/>
    </row>
    <row r="47666" spans="1:1">
      <c r="A47666" s="56"/>
    </row>
    <row r="47667" spans="1:1">
      <c r="A47667" s="56"/>
    </row>
    <row r="47668" spans="1:1">
      <c r="A47668" s="56"/>
    </row>
    <row r="47669" spans="1:1">
      <c r="A47669" s="56"/>
    </row>
    <row r="47670" spans="1:1">
      <c r="A47670" s="56"/>
    </row>
    <row r="47671" spans="1:1">
      <c r="A47671" s="56"/>
    </row>
    <row r="47672" spans="1:1">
      <c r="A47672" s="56"/>
    </row>
    <row r="47673" spans="1:1">
      <c r="A47673" s="56"/>
    </row>
    <row r="47674" spans="1:1">
      <c r="A47674" s="56"/>
    </row>
    <row r="47675" spans="1:1">
      <c r="A47675" s="56"/>
    </row>
    <row r="47676" spans="1:1">
      <c r="A47676" s="56"/>
    </row>
    <row r="47677" spans="1:1">
      <c r="A47677" s="56"/>
    </row>
    <row r="47678" spans="1:1">
      <c r="A47678" s="56"/>
    </row>
    <row r="47679" spans="1:1">
      <c r="A47679" s="56"/>
    </row>
    <row r="47680" spans="1:1">
      <c r="A47680" s="56"/>
    </row>
    <row r="47681" spans="1:1">
      <c r="A47681" s="56"/>
    </row>
    <row r="47682" spans="1:1">
      <c r="A47682" s="56"/>
    </row>
    <row r="47683" spans="1:1">
      <c r="A47683" s="56"/>
    </row>
    <row r="47684" spans="1:1">
      <c r="A47684" s="56"/>
    </row>
    <row r="47685" spans="1:1">
      <c r="A47685" s="56"/>
    </row>
    <row r="47686" spans="1:1">
      <c r="A47686" s="56"/>
    </row>
    <row r="47687" spans="1:1">
      <c r="A47687" s="56"/>
    </row>
    <row r="47688" spans="1:1">
      <c r="A47688" s="56"/>
    </row>
    <row r="47689" spans="1:1">
      <c r="A47689" s="56"/>
    </row>
    <row r="47690" spans="1:1">
      <c r="A47690" s="56"/>
    </row>
    <row r="47691" spans="1:1">
      <c r="A47691" s="56"/>
    </row>
    <row r="47692" spans="1:1">
      <c r="A47692" s="56"/>
    </row>
    <row r="47693" spans="1:1">
      <c r="A47693" s="56"/>
    </row>
    <row r="47694" spans="1:1">
      <c r="A47694" s="56"/>
    </row>
    <row r="47695" spans="1:1">
      <c r="A47695" s="56"/>
    </row>
    <row r="47696" spans="1:1">
      <c r="A47696" s="56"/>
    </row>
    <row r="47697" spans="1:1">
      <c r="A47697" s="56"/>
    </row>
    <row r="47698" spans="1:1">
      <c r="A47698" s="56"/>
    </row>
    <row r="47699" spans="1:1">
      <c r="A47699" s="56"/>
    </row>
    <row r="47700" spans="1:1">
      <c r="A47700" s="56"/>
    </row>
    <row r="47701" spans="1:1">
      <c r="A47701" s="56"/>
    </row>
    <row r="47702" spans="1:1">
      <c r="A47702" s="56"/>
    </row>
    <row r="47703" spans="1:1">
      <c r="A47703" s="56"/>
    </row>
    <row r="47704" spans="1:1">
      <c r="A47704" s="56"/>
    </row>
    <row r="47705" spans="1:1">
      <c r="A47705" s="56"/>
    </row>
    <row r="47706" spans="1:1">
      <c r="A47706" s="56"/>
    </row>
    <row r="47707" spans="1:1">
      <c r="A47707" s="56"/>
    </row>
    <row r="47708" spans="1:1">
      <c r="A47708" s="56"/>
    </row>
    <row r="47709" spans="1:1">
      <c r="A47709" s="56"/>
    </row>
    <row r="47710" spans="1:1">
      <c r="A47710" s="56"/>
    </row>
    <row r="47711" spans="1:1">
      <c r="A47711" s="56"/>
    </row>
    <row r="47712" spans="1:1">
      <c r="A47712" s="56"/>
    </row>
    <row r="47713" spans="1:1">
      <c r="A47713" s="56"/>
    </row>
    <row r="47714" spans="1:1">
      <c r="A47714" s="56"/>
    </row>
    <row r="47715" spans="1:1">
      <c r="A47715" s="56"/>
    </row>
    <row r="47716" spans="1:1">
      <c r="A47716" s="56"/>
    </row>
    <row r="47717" spans="1:1">
      <c r="A47717" s="56"/>
    </row>
    <row r="47718" spans="1:1">
      <c r="A47718" s="56"/>
    </row>
    <row r="47719" spans="1:1">
      <c r="A47719" s="56"/>
    </row>
    <row r="47720" spans="1:1">
      <c r="A47720" s="56"/>
    </row>
    <row r="47721" spans="1:1">
      <c r="A47721" s="56"/>
    </row>
    <row r="47722" spans="1:1">
      <c r="A47722" s="56"/>
    </row>
    <row r="47723" spans="1:1">
      <c r="A47723" s="56"/>
    </row>
    <row r="47724" spans="1:1">
      <c r="A47724" s="56"/>
    </row>
    <row r="47725" spans="1:1">
      <c r="A47725" s="56"/>
    </row>
    <row r="47726" spans="1:1">
      <c r="A47726" s="56"/>
    </row>
    <row r="47727" spans="1:1">
      <c r="A47727" s="56"/>
    </row>
    <row r="47728" spans="1:1">
      <c r="A47728" s="56"/>
    </row>
    <row r="47729" spans="1:1">
      <c r="A47729" s="56"/>
    </row>
    <row r="47730" spans="1:1">
      <c r="A47730" s="56"/>
    </row>
    <row r="47731" spans="1:1">
      <c r="A47731" s="56"/>
    </row>
    <row r="47732" spans="1:1">
      <c r="A47732" s="56"/>
    </row>
    <row r="47733" spans="1:1">
      <c r="A47733" s="56"/>
    </row>
    <row r="47734" spans="1:1">
      <c r="A47734" s="56"/>
    </row>
    <row r="47735" spans="1:1">
      <c r="A47735" s="56"/>
    </row>
    <row r="47736" spans="1:1">
      <c r="A47736" s="56"/>
    </row>
    <row r="47737" spans="1:1">
      <c r="A47737" s="56"/>
    </row>
    <row r="47738" spans="1:1">
      <c r="A47738" s="56"/>
    </row>
    <row r="47739" spans="1:1">
      <c r="A47739" s="56"/>
    </row>
    <row r="47740" spans="1:1">
      <c r="A47740" s="56"/>
    </row>
    <row r="47741" spans="1:1">
      <c r="A47741" s="56"/>
    </row>
    <row r="47742" spans="1:1">
      <c r="A47742" s="56"/>
    </row>
    <row r="47743" spans="1:1">
      <c r="A47743" s="56"/>
    </row>
    <row r="47744" spans="1:1">
      <c r="A47744" s="56"/>
    </row>
    <row r="47745" spans="1:1">
      <c r="A47745" s="56"/>
    </row>
    <row r="47746" spans="1:1">
      <c r="A47746" s="56"/>
    </row>
    <row r="47747" spans="1:1">
      <c r="A47747" s="56"/>
    </row>
    <row r="47748" spans="1:1">
      <c r="A47748" s="56"/>
    </row>
    <row r="47749" spans="1:1">
      <c r="A47749" s="56"/>
    </row>
    <row r="47750" spans="1:1">
      <c r="A47750" s="56"/>
    </row>
    <row r="47751" spans="1:1">
      <c r="A47751" s="56"/>
    </row>
    <row r="47752" spans="1:1">
      <c r="A47752" s="56"/>
    </row>
    <row r="47753" spans="1:1">
      <c r="A47753" s="56"/>
    </row>
    <row r="47754" spans="1:1">
      <c r="A47754" s="56"/>
    </row>
    <row r="47755" spans="1:1">
      <c r="A47755" s="56"/>
    </row>
    <row r="47756" spans="1:1">
      <c r="A47756" s="56"/>
    </row>
    <row r="47757" spans="1:1">
      <c r="A47757" s="56"/>
    </row>
    <row r="47758" spans="1:1">
      <c r="A47758" s="56"/>
    </row>
    <row r="47759" spans="1:1">
      <c r="A47759" s="56"/>
    </row>
    <row r="47760" spans="1:1">
      <c r="A47760" s="56"/>
    </row>
    <row r="47761" spans="1:1">
      <c r="A47761" s="56"/>
    </row>
    <row r="47762" spans="1:1">
      <c r="A47762" s="56"/>
    </row>
    <row r="47763" spans="1:1">
      <c r="A47763" s="56"/>
    </row>
    <row r="47764" spans="1:1">
      <c r="A47764" s="56"/>
    </row>
    <row r="47765" spans="1:1">
      <c r="A47765" s="56"/>
    </row>
    <row r="47766" spans="1:1">
      <c r="A47766" s="56"/>
    </row>
    <row r="47767" spans="1:1">
      <c r="A47767" s="56"/>
    </row>
    <row r="47768" spans="1:1">
      <c r="A47768" s="56"/>
    </row>
    <row r="47769" spans="1:1">
      <c r="A47769" s="56"/>
    </row>
    <row r="47770" spans="1:1">
      <c r="A47770" s="56"/>
    </row>
    <row r="47771" spans="1:1">
      <c r="A47771" s="56"/>
    </row>
    <row r="47772" spans="1:1">
      <c r="A47772" s="56"/>
    </row>
    <row r="47773" spans="1:1">
      <c r="A47773" s="56"/>
    </row>
    <row r="47774" spans="1:1">
      <c r="A47774" s="56"/>
    </row>
    <row r="47775" spans="1:1">
      <c r="A47775" s="56"/>
    </row>
    <row r="47776" spans="1:1">
      <c r="A47776" s="56"/>
    </row>
    <row r="47777" spans="1:1">
      <c r="A47777" s="56"/>
    </row>
    <row r="47778" spans="1:1">
      <c r="A47778" s="56"/>
    </row>
    <row r="47779" spans="1:1">
      <c r="A47779" s="56"/>
    </row>
    <row r="47780" spans="1:1">
      <c r="A47780" s="56"/>
    </row>
    <row r="47781" spans="1:1">
      <c r="A47781" s="56"/>
    </row>
    <row r="47782" spans="1:1">
      <c r="A47782" s="56"/>
    </row>
    <row r="47783" spans="1:1">
      <c r="A47783" s="56"/>
    </row>
    <row r="47784" spans="1:1">
      <c r="A47784" s="56"/>
    </row>
    <row r="47785" spans="1:1">
      <c r="A47785" s="56"/>
    </row>
    <row r="47786" spans="1:1">
      <c r="A47786" s="56"/>
    </row>
    <row r="47787" spans="1:1">
      <c r="A47787" s="56"/>
    </row>
    <row r="47788" spans="1:1">
      <c r="A47788" s="56"/>
    </row>
    <row r="47789" spans="1:1">
      <c r="A47789" s="56"/>
    </row>
    <row r="47790" spans="1:1">
      <c r="A47790" s="56"/>
    </row>
    <row r="47791" spans="1:1">
      <c r="A47791" s="56"/>
    </row>
    <row r="47792" spans="1:1">
      <c r="A47792" s="56"/>
    </row>
    <row r="47793" spans="1:1">
      <c r="A47793" s="56"/>
    </row>
    <row r="47794" spans="1:1">
      <c r="A47794" s="56"/>
    </row>
    <row r="47795" spans="1:1">
      <c r="A47795" s="56"/>
    </row>
    <row r="47796" spans="1:1">
      <c r="A47796" s="56"/>
    </row>
    <row r="47797" spans="1:1">
      <c r="A47797" s="56"/>
    </row>
    <row r="47798" spans="1:1">
      <c r="A47798" s="56"/>
    </row>
    <row r="47799" spans="1:1">
      <c r="A47799" s="56"/>
    </row>
    <row r="47800" spans="1:1">
      <c r="A47800" s="56"/>
    </row>
    <row r="47801" spans="1:1">
      <c r="A47801" s="56"/>
    </row>
    <row r="47802" spans="1:1">
      <c r="A47802" s="56"/>
    </row>
    <row r="47803" spans="1:1">
      <c r="A47803" s="56"/>
    </row>
    <row r="47804" spans="1:1">
      <c r="A47804" s="56"/>
    </row>
    <row r="47805" spans="1:1">
      <c r="A47805" s="56"/>
    </row>
    <row r="47806" spans="1:1">
      <c r="A47806" s="56"/>
    </row>
    <row r="47807" spans="1:1">
      <c r="A47807" s="56"/>
    </row>
    <row r="47808" spans="1:1">
      <c r="A47808" s="56"/>
    </row>
    <row r="47809" spans="1:1">
      <c r="A47809" s="56"/>
    </row>
    <row r="47810" spans="1:1">
      <c r="A47810" s="56"/>
    </row>
    <row r="47811" spans="1:1">
      <c r="A47811" s="56"/>
    </row>
    <row r="47812" spans="1:1">
      <c r="A47812" s="56"/>
    </row>
    <row r="47813" spans="1:1">
      <c r="A47813" s="56"/>
    </row>
    <row r="47814" spans="1:1">
      <c r="A47814" s="56"/>
    </row>
    <row r="47815" spans="1:1">
      <c r="A47815" s="56"/>
    </row>
    <row r="47816" spans="1:1">
      <c r="A47816" s="56"/>
    </row>
    <row r="47817" spans="1:1">
      <c r="A47817" s="56"/>
    </row>
    <row r="47818" spans="1:1">
      <c r="A47818" s="56"/>
    </row>
    <row r="47819" spans="1:1">
      <c r="A47819" s="56"/>
    </row>
    <row r="47820" spans="1:1">
      <c r="A47820" s="56"/>
    </row>
    <row r="47821" spans="1:1">
      <c r="A47821" s="56"/>
    </row>
    <row r="47822" spans="1:1">
      <c r="A47822" s="56"/>
    </row>
    <row r="47823" spans="1:1">
      <c r="A47823" s="56"/>
    </row>
    <row r="47824" spans="1:1">
      <c r="A47824" s="56"/>
    </row>
    <row r="47825" spans="1:1">
      <c r="A47825" s="56"/>
    </row>
    <row r="47826" spans="1:1">
      <c r="A47826" s="56"/>
    </row>
    <row r="47827" spans="1:1">
      <c r="A47827" s="56"/>
    </row>
    <row r="47828" spans="1:1">
      <c r="A47828" s="56"/>
    </row>
    <row r="47829" spans="1:1">
      <c r="A47829" s="56"/>
    </row>
    <row r="47830" spans="1:1">
      <c r="A47830" s="56"/>
    </row>
    <row r="47831" spans="1:1">
      <c r="A47831" s="56"/>
    </row>
    <row r="47832" spans="1:1">
      <c r="A47832" s="56"/>
    </row>
    <row r="47833" spans="1:1">
      <c r="A47833" s="56"/>
    </row>
    <row r="47834" spans="1:1">
      <c r="A47834" s="56"/>
    </row>
    <row r="47835" spans="1:1">
      <c r="A47835" s="56"/>
    </row>
    <row r="47836" spans="1:1">
      <c r="A47836" s="56"/>
    </row>
    <row r="47837" spans="1:1">
      <c r="A47837" s="56"/>
    </row>
    <row r="47838" spans="1:1">
      <c r="A47838" s="56"/>
    </row>
    <row r="47839" spans="1:1">
      <c r="A47839" s="56"/>
    </row>
    <row r="47840" spans="1:1">
      <c r="A47840" s="56"/>
    </row>
    <row r="47841" spans="1:1">
      <c r="A47841" s="56"/>
    </row>
    <row r="47842" spans="1:1">
      <c r="A47842" s="56"/>
    </row>
    <row r="47843" spans="1:1">
      <c r="A47843" s="56"/>
    </row>
    <row r="47844" spans="1:1">
      <c r="A47844" s="56"/>
    </row>
    <row r="47845" spans="1:1">
      <c r="A47845" s="56"/>
    </row>
    <row r="47846" spans="1:1">
      <c r="A47846" s="56"/>
    </row>
    <row r="47847" spans="1:1">
      <c r="A47847" s="56"/>
    </row>
    <row r="47848" spans="1:1">
      <c r="A47848" s="56"/>
    </row>
    <row r="47849" spans="1:1">
      <c r="A47849" s="56"/>
    </row>
    <row r="47850" spans="1:1">
      <c r="A47850" s="56"/>
    </row>
    <row r="47851" spans="1:1">
      <c r="A47851" s="56"/>
    </row>
    <row r="47852" spans="1:1">
      <c r="A47852" s="56"/>
    </row>
    <row r="47853" spans="1:1">
      <c r="A47853" s="56"/>
    </row>
    <row r="47854" spans="1:1">
      <c r="A47854" s="56"/>
    </row>
    <row r="47855" spans="1:1">
      <c r="A47855" s="56"/>
    </row>
    <row r="47856" spans="1:1">
      <c r="A47856" s="56"/>
    </row>
    <row r="47857" spans="1:1">
      <c r="A47857" s="56"/>
    </row>
    <row r="47858" spans="1:1">
      <c r="A47858" s="56"/>
    </row>
    <row r="47859" spans="1:1">
      <c r="A47859" s="56"/>
    </row>
    <row r="47860" spans="1:1">
      <c r="A47860" s="56"/>
    </row>
    <row r="47861" spans="1:1">
      <c r="A47861" s="56"/>
    </row>
    <row r="47862" spans="1:1">
      <c r="A47862" s="56"/>
    </row>
    <row r="47863" spans="1:1">
      <c r="A47863" s="56"/>
    </row>
    <row r="47864" spans="1:1">
      <c r="A47864" s="56"/>
    </row>
    <row r="47865" spans="1:1">
      <c r="A47865" s="56"/>
    </row>
    <row r="47866" spans="1:1">
      <c r="A47866" s="56"/>
    </row>
    <row r="47867" spans="1:1">
      <c r="A47867" s="56"/>
    </row>
    <row r="47868" spans="1:1">
      <c r="A47868" s="56"/>
    </row>
    <row r="47869" spans="1:1">
      <c r="A47869" s="56"/>
    </row>
    <row r="47870" spans="1:1">
      <c r="A47870" s="56"/>
    </row>
    <row r="47871" spans="1:1">
      <c r="A47871" s="56"/>
    </row>
    <row r="47872" spans="1:1">
      <c r="A47872" s="56"/>
    </row>
    <row r="47873" spans="1:1">
      <c r="A47873" s="56"/>
    </row>
    <row r="47874" spans="1:1">
      <c r="A47874" s="56"/>
    </row>
    <row r="47875" spans="1:1">
      <c r="A47875" s="56"/>
    </row>
    <row r="47876" spans="1:1">
      <c r="A47876" s="56"/>
    </row>
    <row r="47877" spans="1:1">
      <c r="A47877" s="56"/>
    </row>
    <row r="47878" spans="1:1">
      <c r="A47878" s="56"/>
    </row>
    <row r="47879" spans="1:1">
      <c r="A47879" s="56"/>
    </row>
    <row r="47880" spans="1:1">
      <c r="A47880" s="56"/>
    </row>
    <row r="47881" spans="1:1">
      <c r="A47881" s="56"/>
    </row>
    <row r="47882" spans="1:1">
      <c r="A47882" s="56"/>
    </row>
    <row r="47883" spans="1:1">
      <c r="A47883" s="56"/>
    </row>
    <row r="47884" spans="1:1">
      <c r="A47884" s="56"/>
    </row>
    <row r="47885" spans="1:1">
      <c r="A47885" s="56"/>
    </row>
    <row r="47886" spans="1:1">
      <c r="A47886" s="56"/>
    </row>
    <row r="47887" spans="1:1">
      <c r="A47887" s="56"/>
    </row>
    <row r="47888" spans="1:1">
      <c r="A47888" s="56"/>
    </row>
    <row r="47889" spans="1:1">
      <c r="A47889" s="56"/>
    </row>
    <row r="47890" spans="1:1">
      <c r="A47890" s="56"/>
    </row>
    <row r="47891" spans="1:1">
      <c r="A47891" s="56"/>
    </row>
    <row r="47892" spans="1:1">
      <c r="A47892" s="56"/>
    </row>
    <row r="47893" spans="1:1">
      <c r="A47893" s="56"/>
    </row>
    <row r="47894" spans="1:1">
      <c r="A47894" s="56"/>
    </row>
    <row r="47895" spans="1:1">
      <c r="A47895" s="56"/>
    </row>
    <row r="47896" spans="1:1">
      <c r="A47896" s="56"/>
    </row>
    <row r="47897" spans="1:1">
      <c r="A47897" s="56"/>
    </row>
    <row r="47898" spans="1:1">
      <c r="A47898" s="56"/>
    </row>
    <row r="47899" spans="1:1">
      <c r="A47899" s="56"/>
    </row>
    <row r="47900" spans="1:1">
      <c r="A47900" s="56"/>
    </row>
    <row r="47901" spans="1:1">
      <c r="A47901" s="56"/>
    </row>
    <row r="47902" spans="1:1">
      <c r="A47902" s="56"/>
    </row>
    <row r="47903" spans="1:1">
      <c r="A47903" s="56"/>
    </row>
    <row r="47904" spans="1:1">
      <c r="A47904" s="56"/>
    </row>
    <row r="47905" spans="1:1">
      <c r="A47905" s="56"/>
    </row>
    <row r="47906" spans="1:1">
      <c r="A47906" s="56"/>
    </row>
    <row r="47907" spans="1:1">
      <c r="A47907" s="56"/>
    </row>
    <row r="47908" spans="1:1">
      <c r="A47908" s="56"/>
    </row>
    <row r="47909" spans="1:1">
      <c r="A47909" s="56"/>
    </row>
    <row r="47910" spans="1:1">
      <c r="A47910" s="56"/>
    </row>
    <row r="47911" spans="1:1">
      <c r="A47911" s="56"/>
    </row>
    <row r="47912" spans="1:1">
      <c r="A47912" s="56"/>
    </row>
    <row r="47913" spans="1:1">
      <c r="A47913" s="56"/>
    </row>
    <row r="47914" spans="1:1">
      <c r="A47914" s="56"/>
    </row>
    <row r="47915" spans="1:1">
      <c r="A47915" s="56"/>
    </row>
    <row r="47916" spans="1:1">
      <c r="A47916" s="56"/>
    </row>
    <row r="47917" spans="1:1">
      <c r="A47917" s="56"/>
    </row>
    <row r="47918" spans="1:1">
      <c r="A47918" s="56"/>
    </row>
    <row r="47919" spans="1:1">
      <c r="A47919" s="56"/>
    </row>
    <row r="47920" spans="1:1">
      <c r="A47920" s="56"/>
    </row>
    <row r="47921" spans="1:1">
      <c r="A47921" s="56"/>
    </row>
    <row r="47922" spans="1:1">
      <c r="A47922" s="56"/>
    </row>
    <row r="47923" spans="1:1">
      <c r="A47923" s="56"/>
    </row>
    <row r="47924" spans="1:1">
      <c r="A47924" s="56"/>
    </row>
    <row r="47925" spans="1:1">
      <c r="A47925" s="56"/>
    </row>
    <row r="47926" spans="1:1">
      <c r="A47926" s="56"/>
    </row>
    <row r="47927" spans="1:1">
      <c r="A47927" s="56"/>
    </row>
    <row r="47928" spans="1:1">
      <c r="A47928" s="56"/>
    </row>
    <row r="47929" spans="1:1">
      <c r="A47929" s="56"/>
    </row>
    <row r="47930" spans="1:1">
      <c r="A47930" s="56"/>
    </row>
    <row r="47931" spans="1:1">
      <c r="A47931" s="56"/>
    </row>
    <row r="47932" spans="1:1">
      <c r="A47932" s="56"/>
    </row>
    <row r="47933" spans="1:1">
      <c r="A47933" s="56"/>
    </row>
    <row r="47934" spans="1:1">
      <c r="A47934" s="56"/>
    </row>
    <row r="47935" spans="1:1">
      <c r="A47935" s="56"/>
    </row>
    <row r="47936" spans="1:1">
      <c r="A47936" s="56"/>
    </row>
    <row r="47937" spans="1:1">
      <c r="A47937" s="56"/>
    </row>
    <row r="47938" spans="1:1">
      <c r="A47938" s="56"/>
    </row>
    <row r="47939" spans="1:1">
      <c r="A47939" s="56"/>
    </row>
    <row r="47940" spans="1:1">
      <c r="A47940" s="56"/>
    </row>
    <row r="47941" spans="1:1">
      <c r="A47941" s="56"/>
    </row>
    <row r="47942" spans="1:1">
      <c r="A47942" s="56"/>
    </row>
    <row r="47943" spans="1:1">
      <c r="A47943" s="56"/>
    </row>
    <row r="47944" spans="1:1">
      <c r="A47944" s="56"/>
    </row>
    <row r="47945" spans="1:1">
      <c r="A47945" s="56"/>
    </row>
    <row r="47946" spans="1:1">
      <c r="A47946" s="56"/>
    </row>
    <row r="47947" spans="1:1">
      <c r="A47947" s="56"/>
    </row>
    <row r="47948" spans="1:1">
      <c r="A47948" s="56"/>
    </row>
    <row r="47949" spans="1:1">
      <c r="A47949" s="56"/>
    </row>
    <row r="47950" spans="1:1">
      <c r="A47950" s="56"/>
    </row>
    <row r="47951" spans="1:1">
      <c r="A47951" s="56"/>
    </row>
    <row r="47952" spans="1:1">
      <c r="A47952" s="56"/>
    </row>
    <row r="47953" spans="1:1">
      <c r="A47953" s="56"/>
    </row>
    <row r="47954" spans="1:1">
      <c r="A47954" s="56"/>
    </row>
    <row r="47955" spans="1:1">
      <c r="A47955" s="56"/>
    </row>
    <row r="47956" spans="1:1">
      <c r="A47956" s="56"/>
    </row>
    <row r="47957" spans="1:1">
      <c r="A47957" s="56"/>
    </row>
    <row r="47958" spans="1:1">
      <c r="A47958" s="56"/>
    </row>
    <row r="47959" spans="1:1">
      <c r="A47959" s="56"/>
    </row>
    <row r="47960" spans="1:1">
      <c r="A47960" s="56"/>
    </row>
    <row r="47961" spans="1:1">
      <c r="A47961" s="56"/>
    </row>
    <row r="47962" spans="1:1">
      <c r="A47962" s="56"/>
    </row>
    <row r="47963" spans="1:1">
      <c r="A47963" s="56"/>
    </row>
    <row r="47964" spans="1:1">
      <c r="A47964" s="56"/>
    </row>
    <row r="47965" spans="1:1">
      <c r="A47965" s="56"/>
    </row>
    <row r="47966" spans="1:1">
      <c r="A47966" s="56"/>
    </row>
    <row r="47967" spans="1:1">
      <c r="A47967" s="56"/>
    </row>
    <row r="47968" spans="1:1">
      <c r="A47968" s="56"/>
    </row>
    <row r="47969" spans="1:1">
      <c r="A47969" s="56"/>
    </row>
    <row r="47970" spans="1:1">
      <c r="A47970" s="56"/>
    </row>
    <row r="47971" spans="1:1">
      <c r="A47971" s="56"/>
    </row>
    <row r="47972" spans="1:1">
      <c r="A47972" s="56"/>
    </row>
    <row r="47973" spans="1:1">
      <c r="A47973" s="56"/>
    </row>
    <row r="47974" spans="1:1">
      <c r="A47974" s="56"/>
    </row>
    <row r="47975" spans="1:1">
      <c r="A47975" s="56"/>
    </row>
    <row r="47976" spans="1:1">
      <c r="A47976" s="56"/>
    </row>
    <row r="47977" spans="1:1">
      <c r="A47977" s="56"/>
    </row>
    <row r="47978" spans="1:1">
      <c r="A47978" s="56"/>
    </row>
    <row r="47979" spans="1:1">
      <c r="A47979" s="56"/>
    </row>
    <row r="47980" spans="1:1">
      <c r="A47980" s="56"/>
    </row>
    <row r="47981" spans="1:1">
      <c r="A47981" s="56"/>
    </row>
    <row r="47982" spans="1:1">
      <c r="A47982" s="56"/>
    </row>
    <row r="47983" spans="1:1">
      <c r="A47983" s="56"/>
    </row>
    <row r="47984" spans="1:1">
      <c r="A47984" s="56"/>
    </row>
    <row r="47985" spans="1:1">
      <c r="A47985" s="56"/>
    </row>
    <row r="47986" spans="1:1">
      <c r="A47986" s="56"/>
    </row>
    <row r="47987" spans="1:1">
      <c r="A47987" s="56"/>
    </row>
    <row r="47988" spans="1:1">
      <c r="A47988" s="56"/>
    </row>
    <row r="47989" spans="1:1">
      <c r="A47989" s="56"/>
    </row>
    <row r="47990" spans="1:1">
      <c r="A47990" s="56"/>
    </row>
    <row r="47991" spans="1:1">
      <c r="A47991" s="56"/>
    </row>
    <row r="47992" spans="1:1">
      <c r="A47992" s="56"/>
    </row>
    <row r="47993" spans="1:1">
      <c r="A47993" s="56"/>
    </row>
    <row r="47994" spans="1:1">
      <c r="A47994" s="56"/>
    </row>
    <row r="47995" spans="1:1">
      <c r="A47995" s="56"/>
    </row>
    <row r="47996" spans="1:1">
      <c r="A47996" s="56"/>
    </row>
    <row r="47997" spans="1:1">
      <c r="A47997" s="56"/>
    </row>
    <row r="47998" spans="1:1">
      <c r="A47998" s="56"/>
    </row>
    <row r="47999" spans="1:1">
      <c r="A47999" s="56"/>
    </row>
    <row r="48000" spans="1:1">
      <c r="A48000" s="56"/>
    </row>
    <row r="48001" spans="1:1">
      <c r="A48001" s="56"/>
    </row>
    <row r="48002" spans="1:1">
      <c r="A48002" s="56"/>
    </row>
    <row r="48003" spans="1:1">
      <c r="A48003" s="56"/>
    </row>
    <row r="48004" spans="1:1">
      <c r="A48004" s="56"/>
    </row>
    <row r="48005" spans="1:1">
      <c r="A48005" s="56"/>
    </row>
    <row r="48006" spans="1:1">
      <c r="A48006" s="56"/>
    </row>
    <row r="48007" spans="1:1">
      <c r="A48007" s="56"/>
    </row>
    <row r="48008" spans="1:1">
      <c r="A48008" s="56"/>
    </row>
    <row r="48009" spans="1:1">
      <c r="A48009" s="56"/>
    </row>
    <row r="48010" spans="1:1">
      <c r="A48010" s="56"/>
    </row>
    <row r="48011" spans="1:1">
      <c r="A48011" s="56"/>
    </row>
    <row r="48012" spans="1:1">
      <c r="A48012" s="56"/>
    </row>
    <row r="48013" spans="1:1">
      <c r="A48013" s="56"/>
    </row>
    <row r="48014" spans="1:1">
      <c r="A48014" s="56"/>
    </row>
    <row r="48015" spans="1:1">
      <c r="A48015" s="56"/>
    </row>
    <row r="48016" spans="1:1">
      <c r="A48016" s="56"/>
    </row>
    <row r="48017" spans="1:1">
      <c r="A48017" s="56"/>
    </row>
    <row r="48018" spans="1:1">
      <c r="A48018" s="56"/>
    </row>
    <row r="48019" spans="1:1">
      <c r="A48019" s="56"/>
    </row>
    <row r="48020" spans="1:1">
      <c r="A48020" s="56"/>
    </row>
    <row r="48021" spans="1:1">
      <c r="A48021" s="56"/>
    </row>
    <row r="48022" spans="1:1">
      <c r="A48022" s="56"/>
    </row>
    <row r="48023" spans="1:1">
      <c r="A48023" s="56"/>
    </row>
    <row r="48024" spans="1:1">
      <c r="A48024" s="56"/>
    </row>
    <row r="48025" spans="1:1">
      <c r="A48025" s="56"/>
    </row>
    <row r="48026" spans="1:1">
      <c r="A48026" s="56"/>
    </row>
    <row r="48027" spans="1:1">
      <c r="A48027" s="56"/>
    </row>
    <row r="48028" spans="1:1">
      <c r="A48028" s="56"/>
    </row>
    <row r="48029" spans="1:1">
      <c r="A48029" s="56"/>
    </row>
    <row r="48030" spans="1:1">
      <c r="A48030" s="56"/>
    </row>
    <row r="48031" spans="1:1">
      <c r="A48031" s="56"/>
    </row>
    <row r="48032" spans="1:1">
      <c r="A48032" s="56"/>
    </row>
    <row r="48033" spans="1:1">
      <c r="A48033" s="56"/>
    </row>
    <row r="48034" spans="1:1">
      <c r="A48034" s="56"/>
    </row>
    <row r="48035" spans="1:1">
      <c r="A48035" s="56"/>
    </row>
    <row r="48036" spans="1:1">
      <c r="A48036" s="56"/>
    </row>
    <row r="48037" spans="1:1">
      <c r="A48037" s="56"/>
    </row>
    <row r="48038" spans="1:1">
      <c r="A48038" s="56"/>
    </row>
    <row r="48039" spans="1:1">
      <c r="A48039" s="56"/>
    </row>
    <row r="48040" spans="1:1">
      <c r="A48040" s="56"/>
    </row>
    <row r="48041" spans="1:1">
      <c r="A48041" s="56"/>
    </row>
    <row r="48042" spans="1:1">
      <c r="A48042" s="56"/>
    </row>
    <row r="48043" spans="1:1">
      <c r="A48043" s="56"/>
    </row>
    <row r="48044" spans="1:1">
      <c r="A48044" s="56"/>
    </row>
    <row r="48045" spans="1:1">
      <c r="A48045" s="56"/>
    </row>
    <row r="48046" spans="1:1">
      <c r="A48046" s="56"/>
    </row>
    <row r="48047" spans="1:1">
      <c r="A48047" s="56"/>
    </row>
    <row r="48048" spans="1:1">
      <c r="A48048" s="56"/>
    </row>
    <row r="48049" spans="1:1">
      <c r="A48049" s="56"/>
    </row>
    <row r="48050" spans="1:1">
      <c r="A48050" s="56"/>
    </row>
    <row r="48051" spans="1:1">
      <c r="A48051" s="56"/>
    </row>
    <row r="48052" spans="1:1">
      <c r="A48052" s="56"/>
    </row>
    <row r="48053" spans="1:1">
      <c r="A48053" s="56"/>
    </row>
    <row r="48054" spans="1:1">
      <c r="A48054" s="56"/>
    </row>
    <row r="48055" spans="1:1">
      <c r="A48055" s="56"/>
    </row>
    <row r="48056" spans="1:1">
      <c r="A48056" s="56"/>
    </row>
    <row r="48057" spans="1:1">
      <c r="A48057" s="56"/>
    </row>
    <row r="48058" spans="1:1">
      <c r="A48058" s="56"/>
    </row>
    <row r="48059" spans="1:1">
      <c r="A48059" s="56"/>
    </row>
    <row r="48060" spans="1:1">
      <c r="A48060" s="56"/>
    </row>
    <row r="48061" spans="1:1">
      <c r="A48061" s="56"/>
    </row>
    <row r="48062" spans="1:1">
      <c r="A48062" s="56"/>
    </row>
    <row r="48063" spans="1:1">
      <c r="A48063" s="56"/>
    </row>
    <row r="48064" spans="1:1">
      <c r="A48064" s="56"/>
    </row>
    <row r="48065" spans="1:1">
      <c r="A48065" s="56"/>
    </row>
    <row r="48066" spans="1:1">
      <c r="A48066" s="56"/>
    </row>
    <row r="48067" spans="1:1">
      <c r="A48067" s="56"/>
    </row>
    <row r="48068" spans="1:1">
      <c r="A48068" s="56"/>
    </row>
    <row r="48069" spans="1:1">
      <c r="A48069" s="56"/>
    </row>
    <row r="48070" spans="1:1">
      <c r="A48070" s="56"/>
    </row>
    <row r="48071" spans="1:1">
      <c r="A48071" s="56"/>
    </row>
    <row r="48072" spans="1:1">
      <c r="A48072" s="56"/>
    </row>
    <row r="48073" spans="1:1">
      <c r="A48073" s="56"/>
    </row>
    <row r="48074" spans="1:1">
      <c r="A48074" s="56"/>
    </row>
    <row r="48075" spans="1:1">
      <c r="A48075" s="56"/>
    </row>
    <row r="48076" spans="1:1">
      <c r="A48076" s="56"/>
    </row>
    <row r="48077" spans="1:1">
      <c r="A48077" s="56"/>
    </row>
    <row r="48078" spans="1:1">
      <c r="A48078" s="56"/>
    </row>
    <row r="48079" spans="1:1">
      <c r="A48079" s="56"/>
    </row>
    <row r="48080" spans="1:1">
      <c r="A48080" s="56"/>
    </row>
    <row r="48081" spans="1:1">
      <c r="A48081" s="56"/>
    </row>
    <row r="48082" spans="1:1">
      <c r="A48082" s="56"/>
    </row>
    <row r="48083" spans="1:1">
      <c r="A48083" s="56"/>
    </row>
    <row r="48084" spans="1:1">
      <c r="A48084" s="56"/>
    </row>
    <row r="48085" spans="1:1">
      <c r="A48085" s="56"/>
    </row>
    <row r="48086" spans="1:1">
      <c r="A48086" s="56"/>
    </row>
    <row r="48087" spans="1:1">
      <c r="A48087" s="56"/>
    </row>
    <row r="48088" spans="1:1">
      <c r="A48088" s="56"/>
    </row>
    <row r="48089" spans="1:1">
      <c r="A48089" s="56"/>
    </row>
    <row r="48090" spans="1:1">
      <c r="A48090" s="56"/>
    </row>
    <row r="48091" spans="1:1">
      <c r="A48091" s="56"/>
    </row>
    <row r="48092" spans="1:1">
      <c r="A48092" s="56"/>
    </row>
    <row r="48093" spans="1:1">
      <c r="A48093" s="56"/>
    </row>
    <row r="48094" spans="1:1">
      <c r="A48094" s="56"/>
    </row>
    <row r="48095" spans="1:1">
      <c r="A48095" s="56"/>
    </row>
    <row r="48096" spans="1:1">
      <c r="A48096" s="56"/>
    </row>
    <row r="48097" spans="1:1">
      <c r="A48097" s="56"/>
    </row>
    <row r="48098" spans="1:1">
      <c r="A48098" s="56"/>
    </row>
    <row r="48099" spans="1:1">
      <c r="A48099" s="56"/>
    </row>
    <row r="48100" spans="1:1">
      <c r="A48100" s="56"/>
    </row>
    <row r="48101" spans="1:1">
      <c r="A48101" s="56"/>
    </row>
    <row r="48102" spans="1:1">
      <c r="A48102" s="56"/>
    </row>
    <row r="48103" spans="1:1">
      <c r="A48103" s="56"/>
    </row>
    <row r="48104" spans="1:1">
      <c r="A48104" s="56"/>
    </row>
    <row r="48105" spans="1:1">
      <c r="A48105" s="56"/>
    </row>
    <row r="48106" spans="1:1">
      <c r="A48106" s="56"/>
    </row>
    <row r="48107" spans="1:1">
      <c r="A48107" s="56"/>
    </row>
    <row r="48108" spans="1:1">
      <c r="A48108" s="56"/>
    </row>
    <row r="48109" spans="1:1">
      <c r="A48109" s="56"/>
    </row>
    <row r="48110" spans="1:1">
      <c r="A48110" s="56"/>
    </row>
    <row r="48111" spans="1:1">
      <c r="A48111" s="56"/>
    </row>
    <row r="48112" spans="1:1">
      <c r="A48112" s="56"/>
    </row>
    <row r="48113" spans="1:1">
      <c r="A48113" s="56"/>
    </row>
    <row r="48114" spans="1:1">
      <c r="A48114" s="56"/>
    </row>
    <row r="48115" spans="1:1">
      <c r="A48115" s="56"/>
    </row>
    <row r="48116" spans="1:1">
      <c r="A48116" s="56"/>
    </row>
    <row r="48117" spans="1:1">
      <c r="A48117" s="56"/>
    </row>
    <row r="48118" spans="1:1">
      <c r="A48118" s="56"/>
    </row>
    <row r="48119" spans="1:1">
      <c r="A48119" s="56"/>
    </row>
    <row r="48120" spans="1:1">
      <c r="A48120" s="56"/>
    </row>
    <row r="48121" spans="1:1">
      <c r="A48121" s="56"/>
    </row>
    <row r="48122" spans="1:1">
      <c r="A48122" s="56"/>
    </row>
    <row r="48123" spans="1:1">
      <c r="A48123" s="56"/>
    </row>
    <row r="48124" spans="1:1">
      <c r="A48124" s="56"/>
    </row>
    <row r="48125" spans="1:1">
      <c r="A48125" s="56"/>
    </row>
    <row r="48126" spans="1:1">
      <c r="A48126" s="56"/>
    </row>
    <row r="48127" spans="1:1">
      <c r="A48127" s="56"/>
    </row>
    <row r="48128" spans="1:1">
      <c r="A48128" s="56"/>
    </row>
    <row r="48129" spans="1:1">
      <c r="A48129" s="56"/>
    </row>
    <row r="48130" spans="1:1">
      <c r="A48130" s="56"/>
    </row>
    <row r="48131" spans="1:1">
      <c r="A48131" s="56"/>
    </row>
    <row r="48132" spans="1:1">
      <c r="A48132" s="56"/>
    </row>
    <row r="48133" spans="1:1">
      <c r="A48133" s="56"/>
    </row>
    <row r="48134" spans="1:1">
      <c r="A48134" s="56"/>
    </row>
    <row r="48135" spans="1:1">
      <c r="A48135" s="56"/>
    </row>
    <row r="48136" spans="1:1">
      <c r="A48136" s="56"/>
    </row>
    <row r="48137" spans="1:1">
      <c r="A48137" s="56"/>
    </row>
    <row r="48138" spans="1:1">
      <c r="A48138" s="56"/>
    </row>
    <row r="48139" spans="1:1">
      <c r="A48139" s="56"/>
    </row>
    <row r="48140" spans="1:1">
      <c r="A48140" s="56"/>
    </row>
    <row r="48141" spans="1:1">
      <c r="A48141" s="56"/>
    </row>
    <row r="48142" spans="1:1">
      <c r="A48142" s="56"/>
    </row>
    <row r="48143" spans="1:1">
      <c r="A48143" s="56"/>
    </row>
    <row r="48144" spans="1:1">
      <c r="A48144" s="56"/>
    </row>
    <row r="48145" spans="1:1">
      <c r="A48145" s="56"/>
    </row>
    <row r="48146" spans="1:1">
      <c r="A48146" s="56"/>
    </row>
    <row r="48147" spans="1:1">
      <c r="A48147" s="56"/>
    </row>
    <row r="48148" spans="1:1">
      <c r="A48148" s="56"/>
    </row>
    <row r="48149" spans="1:1">
      <c r="A48149" s="56"/>
    </row>
    <row r="48150" spans="1:1">
      <c r="A48150" s="56"/>
    </row>
    <row r="48151" spans="1:1">
      <c r="A48151" s="56"/>
    </row>
    <row r="48152" spans="1:1">
      <c r="A48152" s="56"/>
    </row>
    <row r="48153" spans="1:1">
      <c r="A48153" s="56"/>
    </row>
    <row r="48154" spans="1:1">
      <c r="A48154" s="56"/>
    </row>
    <row r="48155" spans="1:1">
      <c r="A48155" s="56"/>
    </row>
    <row r="48156" spans="1:1">
      <c r="A48156" s="56"/>
    </row>
    <row r="48157" spans="1:1">
      <c r="A48157" s="56"/>
    </row>
    <row r="48158" spans="1:1">
      <c r="A48158" s="56"/>
    </row>
    <row r="48159" spans="1:1">
      <c r="A48159" s="56"/>
    </row>
    <row r="48160" spans="1:1">
      <c r="A48160" s="56"/>
    </row>
    <row r="48161" spans="1:1">
      <c r="A48161" s="56"/>
    </row>
    <row r="48162" spans="1:1">
      <c r="A48162" s="56"/>
    </row>
    <row r="48163" spans="1:1">
      <c r="A48163" s="56"/>
    </row>
    <row r="48164" spans="1:1">
      <c r="A48164" s="56"/>
    </row>
    <row r="48165" spans="1:1">
      <c r="A48165" s="56"/>
    </row>
    <row r="48166" spans="1:1">
      <c r="A48166" s="56"/>
    </row>
    <row r="48167" spans="1:1">
      <c r="A48167" s="56"/>
    </row>
    <row r="48168" spans="1:1">
      <c r="A48168" s="56"/>
    </row>
    <row r="48169" spans="1:1">
      <c r="A48169" s="56"/>
    </row>
    <row r="48170" spans="1:1">
      <c r="A48170" s="56"/>
    </row>
    <row r="48171" spans="1:1">
      <c r="A48171" s="56"/>
    </row>
    <row r="48172" spans="1:1">
      <c r="A48172" s="56"/>
    </row>
    <row r="48173" spans="1:1">
      <c r="A48173" s="56"/>
    </row>
    <row r="48174" spans="1:1">
      <c r="A48174" s="56"/>
    </row>
    <row r="48175" spans="1:1">
      <c r="A48175" s="56"/>
    </row>
    <row r="48176" spans="1:1">
      <c r="A48176" s="56"/>
    </row>
    <row r="48177" spans="1:1">
      <c r="A48177" s="56"/>
    </row>
    <row r="48178" spans="1:1">
      <c r="A48178" s="56"/>
    </row>
    <row r="48179" spans="1:1">
      <c r="A48179" s="56"/>
    </row>
    <row r="48180" spans="1:1">
      <c r="A48180" s="56"/>
    </row>
    <row r="48181" spans="1:1">
      <c r="A48181" s="56"/>
    </row>
    <row r="48182" spans="1:1">
      <c r="A48182" s="56"/>
    </row>
    <row r="48183" spans="1:1">
      <c r="A48183" s="56"/>
    </row>
    <row r="48184" spans="1:1">
      <c r="A48184" s="56"/>
    </row>
    <row r="48185" spans="1:1">
      <c r="A48185" s="56"/>
    </row>
    <row r="48186" spans="1:1">
      <c r="A48186" s="56"/>
    </row>
    <row r="48187" spans="1:1">
      <c r="A48187" s="56"/>
    </row>
    <row r="48188" spans="1:1">
      <c r="A48188" s="56"/>
    </row>
    <row r="48189" spans="1:1">
      <c r="A48189" s="56"/>
    </row>
    <row r="48190" spans="1:1">
      <c r="A48190" s="56"/>
    </row>
    <row r="48191" spans="1:1">
      <c r="A48191" s="56"/>
    </row>
    <row r="48192" spans="1:1">
      <c r="A48192" s="56"/>
    </row>
    <row r="48193" spans="1:1">
      <c r="A48193" s="56"/>
    </row>
    <row r="48194" spans="1:1">
      <c r="A48194" s="56"/>
    </row>
    <row r="48195" spans="1:1">
      <c r="A48195" s="56"/>
    </row>
    <row r="48196" spans="1:1">
      <c r="A48196" s="56"/>
    </row>
    <row r="48197" spans="1:1">
      <c r="A48197" s="56"/>
    </row>
    <row r="48198" spans="1:1">
      <c r="A48198" s="56"/>
    </row>
    <row r="48199" spans="1:1">
      <c r="A48199" s="56"/>
    </row>
    <row r="48200" spans="1:1">
      <c r="A48200" s="56"/>
    </row>
    <row r="48201" spans="1:1">
      <c r="A48201" s="56"/>
    </row>
    <row r="48202" spans="1:1">
      <c r="A48202" s="56"/>
    </row>
    <row r="48203" spans="1:1">
      <c r="A48203" s="56"/>
    </row>
    <row r="48204" spans="1:1">
      <c r="A48204" s="56"/>
    </row>
    <row r="48205" spans="1:1">
      <c r="A48205" s="56"/>
    </row>
    <row r="48206" spans="1:1">
      <c r="A48206" s="56"/>
    </row>
    <row r="48207" spans="1:1">
      <c r="A48207" s="56"/>
    </row>
    <row r="48208" spans="1:1">
      <c r="A48208" s="56"/>
    </row>
    <row r="48209" spans="1:1">
      <c r="A48209" s="56"/>
    </row>
    <row r="48210" spans="1:1">
      <c r="A48210" s="56"/>
    </row>
    <row r="48211" spans="1:1">
      <c r="A48211" s="56"/>
    </row>
    <row r="48212" spans="1:1">
      <c r="A48212" s="56"/>
    </row>
    <row r="48213" spans="1:1">
      <c r="A48213" s="56"/>
    </row>
    <row r="48214" spans="1:1">
      <c r="A48214" s="56"/>
    </row>
    <row r="48215" spans="1:1">
      <c r="A48215" s="56"/>
    </row>
    <row r="48216" spans="1:1">
      <c r="A48216" s="56"/>
    </row>
    <row r="48217" spans="1:1">
      <c r="A48217" s="56"/>
    </row>
    <row r="48218" spans="1:1">
      <c r="A48218" s="56"/>
    </row>
    <row r="48219" spans="1:1">
      <c r="A48219" s="56"/>
    </row>
    <row r="48220" spans="1:1">
      <c r="A48220" s="56"/>
    </row>
    <row r="48221" spans="1:1">
      <c r="A48221" s="56"/>
    </row>
    <row r="48222" spans="1:1">
      <c r="A48222" s="56"/>
    </row>
    <row r="48223" spans="1:1">
      <c r="A48223" s="56"/>
    </row>
    <row r="48224" spans="1:1">
      <c r="A48224" s="56"/>
    </row>
    <row r="48225" spans="1:1">
      <c r="A48225" s="56"/>
    </row>
    <row r="48226" spans="1:1">
      <c r="A48226" s="56"/>
    </row>
    <row r="48227" spans="1:1">
      <c r="A48227" s="56"/>
    </row>
    <row r="48228" spans="1:1">
      <c r="A48228" s="56"/>
    </row>
    <row r="48229" spans="1:1">
      <c r="A48229" s="56"/>
    </row>
    <row r="48230" spans="1:1">
      <c r="A48230" s="56"/>
    </row>
    <row r="48231" spans="1:1">
      <c r="A48231" s="56"/>
    </row>
    <row r="48232" spans="1:1">
      <c r="A48232" s="56"/>
    </row>
    <row r="48233" spans="1:1">
      <c r="A48233" s="56"/>
    </row>
    <row r="48234" spans="1:1">
      <c r="A48234" s="56"/>
    </row>
    <row r="48235" spans="1:1">
      <c r="A48235" s="56"/>
    </row>
    <row r="48236" spans="1:1">
      <c r="A48236" s="56"/>
    </row>
    <row r="48237" spans="1:1">
      <c r="A48237" s="56"/>
    </row>
    <row r="48238" spans="1:1">
      <c r="A48238" s="56"/>
    </row>
    <row r="48239" spans="1:1">
      <c r="A48239" s="56"/>
    </row>
    <row r="48240" spans="1:1">
      <c r="A48240" s="56"/>
    </row>
    <row r="48241" spans="1:1">
      <c r="A48241" s="56"/>
    </row>
    <row r="48242" spans="1:1">
      <c r="A48242" s="56"/>
    </row>
    <row r="48243" spans="1:1">
      <c r="A48243" s="56"/>
    </row>
    <row r="48244" spans="1:1">
      <c r="A48244" s="56"/>
    </row>
    <row r="48245" spans="1:1">
      <c r="A48245" s="56"/>
    </row>
    <row r="48246" spans="1:1">
      <c r="A48246" s="56"/>
    </row>
    <row r="48247" spans="1:1">
      <c r="A48247" s="56"/>
    </row>
    <row r="48248" spans="1:1">
      <c r="A48248" s="56"/>
    </row>
    <row r="48249" spans="1:1">
      <c r="A48249" s="56"/>
    </row>
    <row r="48250" spans="1:1">
      <c r="A48250" s="56"/>
    </row>
    <row r="48251" spans="1:1">
      <c r="A48251" s="56"/>
    </row>
    <row r="48252" spans="1:1">
      <c r="A48252" s="56"/>
    </row>
    <row r="48253" spans="1:1">
      <c r="A48253" s="56"/>
    </row>
    <row r="48254" spans="1:1">
      <c r="A48254" s="56"/>
    </row>
    <row r="48255" spans="1:1">
      <c r="A48255" s="56"/>
    </row>
    <row r="48256" spans="1:1">
      <c r="A48256" s="56"/>
    </row>
    <row r="48257" spans="1:1">
      <c r="A48257" s="56"/>
    </row>
    <row r="48258" spans="1:1">
      <c r="A48258" s="56"/>
    </row>
    <row r="48259" spans="1:1">
      <c r="A48259" s="56"/>
    </row>
    <row r="48260" spans="1:1">
      <c r="A48260" s="56"/>
    </row>
    <row r="48261" spans="1:1">
      <c r="A48261" s="56"/>
    </row>
    <row r="48262" spans="1:1">
      <c r="A48262" s="56"/>
    </row>
    <row r="48263" spans="1:1">
      <c r="A48263" s="56"/>
    </row>
    <row r="48264" spans="1:1">
      <c r="A48264" s="56"/>
    </row>
    <row r="48265" spans="1:1">
      <c r="A48265" s="56"/>
    </row>
    <row r="48266" spans="1:1">
      <c r="A48266" s="56"/>
    </row>
    <row r="48267" spans="1:1">
      <c r="A48267" s="56"/>
    </row>
    <row r="48268" spans="1:1">
      <c r="A48268" s="56"/>
    </row>
    <row r="48269" spans="1:1">
      <c r="A48269" s="56"/>
    </row>
    <row r="48270" spans="1:1">
      <c r="A48270" s="56"/>
    </row>
    <row r="48271" spans="1:1">
      <c r="A48271" s="56"/>
    </row>
    <row r="48272" spans="1:1">
      <c r="A48272" s="56"/>
    </row>
    <row r="48273" spans="1:1">
      <c r="A48273" s="56"/>
    </row>
    <row r="48274" spans="1:1">
      <c r="A48274" s="56"/>
    </row>
    <row r="48275" spans="1:1">
      <c r="A48275" s="56"/>
    </row>
    <row r="48276" spans="1:1">
      <c r="A48276" s="56"/>
    </row>
    <row r="48277" spans="1:1">
      <c r="A48277" s="56"/>
    </row>
    <row r="48278" spans="1:1">
      <c r="A48278" s="56"/>
    </row>
    <row r="48279" spans="1:1">
      <c r="A48279" s="56"/>
    </row>
    <row r="48280" spans="1:1">
      <c r="A48280" s="56"/>
    </row>
    <row r="48281" spans="1:1">
      <c r="A48281" s="56"/>
    </row>
    <row r="48282" spans="1:1">
      <c r="A48282" s="56"/>
    </row>
    <row r="48283" spans="1:1">
      <c r="A48283" s="56"/>
    </row>
    <row r="48284" spans="1:1">
      <c r="A48284" s="56"/>
    </row>
    <row r="48285" spans="1:1">
      <c r="A48285" s="56"/>
    </row>
    <row r="48286" spans="1:1">
      <c r="A48286" s="56"/>
    </row>
    <row r="48287" spans="1:1">
      <c r="A48287" s="56"/>
    </row>
    <row r="48288" spans="1:1">
      <c r="A48288" s="56"/>
    </row>
    <row r="48289" spans="1:1">
      <c r="A48289" s="56"/>
    </row>
    <row r="48290" spans="1:1">
      <c r="A48290" s="56"/>
    </row>
    <row r="48291" spans="1:1">
      <c r="A48291" s="56"/>
    </row>
    <row r="48292" spans="1:1">
      <c r="A48292" s="56"/>
    </row>
    <row r="48293" spans="1:1">
      <c r="A48293" s="56"/>
    </row>
    <row r="48294" spans="1:1">
      <c r="A48294" s="56"/>
    </row>
    <row r="48295" spans="1:1">
      <c r="A48295" s="56"/>
    </row>
    <row r="48296" spans="1:1">
      <c r="A48296" s="56"/>
    </row>
    <row r="48297" spans="1:1">
      <c r="A48297" s="56"/>
    </row>
    <row r="48298" spans="1:1">
      <c r="A48298" s="56"/>
    </row>
    <row r="48299" spans="1:1">
      <c r="A48299" s="56"/>
    </row>
    <row r="48300" spans="1:1">
      <c r="A48300" s="56"/>
    </row>
    <row r="48301" spans="1:1">
      <c r="A48301" s="56"/>
    </row>
    <row r="48302" spans="1:1">
      <c r="A48302" s="56"/>
    </row>
    <row r="48303" spans="1:1">
      <c r="A48303" s="56"/>
    </row>
    <row r="48304" spans="1:1">
      <c r="A48304" s="56"/>
    </row>
    <row r="48305" spans="1:1">
      <c r="A48305" s="56"/>
    </row>
    <row r="48306" spans="1:1">
      <c r="A48306" s="56"/>
    </row>
    <row r="48307" spans="1:1">
      <c r="A48307" s="56"/>
    </row>
    <row r="48308" spans="1:1">
      <c r="A48308" s="56"/>
    </row>
    <row r="48309" spans="1:1">
      <c r="A48309" s="56"/>
    </row>
    <row r="48310" spans="1:1">
      <c r="A48310" s="56"/>
    </row>
    <row r="48311" spans="1:1">
      <c r="A48311" s="56"/>
    </row>
    <row r="48312" spans="1:1">
      <c r="A48312" s="56"/>
    </row>
    <row r="48313" spans="1:1">
      <c r="A48313" s="56"/>
    </row>
    <row r="48314" spans="1:1">
      <c r="A48314" s="56"/>
    </row>
    <row r="48315" spans="1:1">
      <c r="A48315" s="56"/>
    </row>
    <row r="48316" spans="1:1">
      <c r="A48316" s="56"/>
    </row>
    <row r="48317" spans="1:1">
      <c r="A48317" s="56"/>
    </row>
    <row r="48318" spans="1:1">
      <c r="A48318" s="56"/>
    </row>
    <row r="48319" spans="1:1">
      <c r="A48319" s="56"/>
    </row>
    <row r="48320" spans="1:1">
      <c r="A48320" s="56"/>
    </row>
    <row r="48321" spans="1:1">
      <c r="A48321" s="56"/>
    </row>
    <row r="48322" spans="1:1">
      <c r="A48322" s="56"/>
    </row>
    <row r="48323" spans="1:1">
      <c r="A48323" s="56"/>
    </row>
    <row r="48324" spans="1:1">
      <c r="A48324" s="56"/>
    </row>
    <row r="48325" spans="1:1">
      <c r="A48325" s="56"/>
    </row>
    <row r="48326" spans="1:1">
      <c r="A48326" s="56"/>
    </row>
    <row r="48327" spans="1:1">
      <c r="A48327" s="56"/>
    </row>
    <row r="48328" spans="1:1">
      <c r="A48328" s="56"/>
    </row>
    <row r="48329" spans="1:1">
      <c r="A48329" s="56"/>
    </row>
    <row r="48330" spans="1:1">
      <c r="A48330" s="56"/>
    </row>
    <row r="48331" spans="1:1">
      <c r="A48331" s="56"/>
    </row>
    <row r="48332" spans="1:1">
      <c r="A48332" s="56"/>
    </row>
    <row r="48333" spans="1:1">
      <c r="A48333" s="56"/>
    </row>
    <row r="48334" spans="1:1">
      <c r="A48334" s="56"/>
    </row>
    <row r="48335" spans="1:1">
      <c r="A48335" s="56"/>
    </row>
    <row r="48336" spans="1:1">
      <c r="A48336" s="56"/>
    </row>
    <row r="48337" spans="1:1">
      <c r="A48337" s="56"/>
    </row>
    <row r="48338" spans="1:1">
      <c r="A48338" s="56"/>
    </row>
    <row r="48339" spans="1:1">
      <c r="A48339" s="56"/>
    </row>
    <row r="48340" spans="1:1">
      <c r="A48340" s="56"/>
    </row>
    <row r="48341" spans="1:1">
      <c r="A48341" s="56"/>
    </row>
    <row r="48342" spans="1:1">
      <c r="A48342" s="56"/>
    </row>
    <row r="48343" spans="1:1">
      <c r="A48343" s="56"/>
    </row>
    <row r="48344" spans="1:1">
      <c r="A48344" s="56"/>
    </row>
    <row r="48345" spans="1:1">
      <c r="A48345" s="56"/>
    </row>
    <row r="48346" spans="1:1">
      <c r="A48346" s="56"/>
    </row>
    <row r="48347" spans="1:1">
      <c r="A48347" s="56"/>
    </row>
    <row r="48348" spans="1:1">
      <c r="A48348" s="56"/>
    </row>
    <row r="48349" spans="1:1">
      <c r="A48349" s="56"/>
    </row>
    <row r="48350" spans="1:1">
      <c r="A48350" s="56"/>
    </row>
    <row r="48351" spans="1:1">
      <c r="A48351" s="56"/>
    </row>
    <row r="48352" spans="1:1">
      <c r="A48352" s="56"/>
    </row>
    <row r="48353" spans="1:1">
      <c r="A48353" s="56"/>
    </row>
    <row r="48354" spans="1:1">
      <c r="A48354" s="56"/>
    </row>
    <row r="48355" spans="1:1">
      <c r="A48355" s="56"/>
    </row>
    <row r="48356" spans="1:1">
      <c r="A48356" s="56"/>
    </row>
    <row r="48357" spans="1:1">
      <c r="A48357" s="56"/>
    </row>
    <row r="48358" spans="1:1">
      <c r="A48358" s="56"/>
    </row>
    <row r="48359" spans="1:1">
      <c r="A48359" s="56"/>
    </row>
    <row r="48360" spans="1:1">
      <c r="A48360" s="56"/>
    </row>
    <row r="48361" spans="1:1">
      <c r="A48361" s="56"/>
    </row>
    <row r="48362" spans="1:1">
      <c r="A48362" s="56"/>
    </row>
    <row r="48363" spans="1:1">
      <c r="A48363" s="56"/>
    </row>
    <row r="48364" spans="1:1">
      <c r="A48364" s="56"/>
    </row>
    <row r="48365" spans="1:1">
      <c r="A48365" s="56"/>
    </row>
    <row r="48366" spans="1:1">
      <c r="A48366" s="56"/>
    </row>
    <row r="48367" spans="1:1">
      <c r="A48367" s="56"/>
    </row>
    <row r="48368" spans="1:1">
      <c r="A48368" s="56"/>
    </row>
    <row r="48369" spans="1:1">
      <c r="A48369" s="56"/>
    </row>
    <row r="48370" spans="1:1">
      <c r="A48370" s="56"/>
    </row>
    <row r="48371" spans="1:1">
      <c r="A48371" s="56"/>
    </row>
    <row r="48372" spans="1:1">
      <c r="A48372" s="56"/>
    </row>
    <row r="48373" spans="1:1">
      <c r="A48373" s="56"/>
    </row>
    <row r="48374" spans="1:1">
      <c r="A48374" s="56"/>
    </row>
    <row r="48375" spans="1:1">
      <c r="A48375" s="56"/>
    </row>
    <row r="48376" spans="1:1">
      <c r="A48376" s="56"/>
    </row>
    <row r="48377" spans="1:1">
      <c r="A48377" s="56"/>
    </row>
    <row r="48378" spans="1:1">
      <c r="A48378" s="56"/>
    </row>
    <row r="48379" spans="1:1">
      <c r="A48379" s="56"/>
    </row>
    <row r="48380" spans="1:1">
      <c r="A48380" s="56"/>
    </row>
    <row r="48381" spans="1:1">
      <c r="A48381" s="56"/>
    </row>
    <row r="48382" spans="1:1">
      <c r="A48382" s="56"/>
    </row>
    <row r="48383" spans="1:1">
      <c r="A48383" s="56"/>
    </row>
    <row r="48384" spans="1:1">
      <c r="A48384" s="56"/>
    </row>
    <row r="48385" spans="1:1">
      <c r="A48385" s="56"/>
    </row>
    <row r="48386" spans="1:1">
      <c r="A48386" s="56"/>
    </row>
    <row r="48387" spans="1:1">
      <c r="A48387" s="56"/>
    </row>
    <row r="48388" spans="1:1">
      <c r="A48388" s="56"/>
    </row>
    <row r="48389" spans="1:1">
      <c r="A48389" s="56"/>
    </row>
    <row r="48390" spans="1:1">
      <c r="A48390" s="56"/>
    </row>
    <row r="48391" spans="1:1">
      <c r="A48391" s="56"/>
    </row>
    <row r="48392" spans="1:1">
      <c r="A48392" s="56"/>
    </row>
    <row r="48393" spans="1:1">
      <c r="A48393" s="56"/>
    </row>
    <row r="48394" spans="1:1">
      <c r="A48394" s="56"/>
    </row>
    <row r="48395" spans="1:1">
      <c r="A48395" s="56"/>
    </row>
    <row r="48396" spans="1:1">
      <c r="A48396" s="56"/>
    </row>
    <row r="48397" spans="1:1">
      <c r="A48397" s="56"/>
    </row>
    <row r="48398" spans="1:1">
      <c r="A48398" s="56"/>
    </row>
    <row r="48399" spans="1:1">
      <c r="A48399" s="56"/>
    </row>
    <row r="48400" spans="1:1">
      <c r="A48400" s="56"/>
    </row>
    <row r="48401" spans="1:1">
      <c r="A48401" s="56"/>
    </row>
    <row r="48402" spans="1:1">
      <c r="A48402" s="56"/>
    </row>
    <row r="48403" spans="1:1">
      <c r="A48403" s="56"/>
    </row>
    <row r="48404" spans="1:1">
      <c r="A48404" s="56"/>
    </row>
    <row r="48405" spans="1:1">
      <c r="A48405" s="56"/>
    </row>
    <row r="48406" spans="1:1">
      <c r="A48406" s="56"/>
    </row>
    <row r="48407" spans="1:1">
      <c r="A48407" s="56"/>
    </row>
    <row r="48408" spans="1:1">
      <c r="A48408" s="56"/>
    </row>
    <row r="48409" spans="1:1">
      <c r="A48409" s="56"/>
    </row>
    <row r="48410" spans="1:1">
      <c r="A48410" s="56"/>
    </row>
    <row r="48411" spans="1:1">
      <c r="A48411" s="56"/>
    </row>
    <row r="48412" spans="1:1">
      <c r="A48412" s="56"/>
    </row>
    <row r="48413" spans="1:1">
      <c r="A48413" s="56"/>
    </row>
    <row r="48414" spans="1:1">
      <c r="A48414" s="56"/>
    </row>
    <row r="48415" spans="1:1">
      <c r="A48415" s="56"/>
    </row>
    <row r="48416" spans="1:1">
      <c r="A48416" s="56"/>
    </row>
    <row r="48417" spans="1:1">
      <c r="A48417" s="56"/>
    </row>
    <row r="48418" spans="1:1">
      <c r="A48418" s="56"/>
    </row>
    <row r="48419" spans="1:1">
      <c r="A48419" s="56"/>
    </row>
    <row r="48420" spans="1:1">
      <c r="A48420" s="56"/>
    </row>
    <row r="48421" spans="1:1">
      <c r="A48421" s="56"/>
    </row>
    <row r="48422" spans="1:1">
      <c r="A48422" s="56"/>
    </row>
    <row r="48423" spans="1:1">
      <c r="A48423" s="56"/>
    </row>
    <row r="48424" spans="1:1">
      <c r="A48424" s="56"/>
    </row>
    <row r="48425" spans="1:1">
      <c r="A48425" s="56"/>
    </row>
    <row r="48426" spans="1:1">
      <c r="A48426" s="56"/>
    </row>
    <row r="48427" spans="1:1">
      <c r="A48427" s="56"/>
    </row>
    <row r="48428" spans="1:1">
      <c r="A48428" s="56"/>
    </row>
    <row r="48429" spans="1:1">
      <c r="A48429" s="56"/>
    </row>
    <row r="48430" spans="1:1">
      <c r="A48430" s="56"/>
    </row>
    <row r="48431" spans="1:1">
      <c r="A48431" s="56"/>
    </row>
    <row r="48432" spans="1:1">
      <c r="A48432" s="56"/>
    </row>
    <row r="48433" spans="1:1">
      <c r="A48433" s="56"/>
    </row>
    <row r="48434" spans="1:1">
      <c r="A48434" s="56"/>
    </row>
    <row r="48435" spans="1:1">
      <c r="A48435" s="56"/>
    </row>
    <row r="48436" spans="1:1">
      <c r="A48436" s="56"/>
    </row>
    <row r="48437" spans="1:1">
      <c r="A48437" s="56"/>
    </row>
    <row r="48438" spans="1:1">
      <c r="A48438" s="56"/>
    </row>
    <row r="48439" spans="1:1">
      <c r="A48439" s="56"/>
    </row>
    <row r="48440" spans="1:1">
      <c r="A48440" s="56"/>
    </row>
    <row r="48441" spans="1:1">
      <c r="A48441" s="56"/>
    </row>
    <row r="48442" spans="1:1">
      <c r="A48442" s="56"/>
    </row>
    <row r="48443" spans="1:1">
      <c r="A48443" s="56"/>
    </row>
    <row r="48444" spans="1:1">
      <c r="A48444" s="56"/>
    </row>
    <row r="48445" spans="1:1">
      <c r="A48445" s="56"/>
    </row>
    <row r="48446" spans="1:1">
      <c r="A48446" s="56"/>
    </row>
    <row r="48447" spans="1:1">
      <c r="A48447" s="56"/>
    </row>
    <row r="48448" spans="1:1">
      <c r="A48448" s="56"/>
    </row>
    <row r="48449" spans="1:1">
      <c r="A48449" s="56"/>
    </row>
    <row r="48450" spans="1:1">
      <c r="A48450" s="56"/>
    </row>
    <row r="48451" spans="1:1">
      <c r="A48451" s="56"/>
    </row>
    <row r="48452" spans="1:1">
      <c r="A48452" s="56"/>
    </row>
    <row r="48453" spans="1:1">
      <c r="A48453" s="56"/>
    </row>
    <row r="48454" spans="1:1">
      <c r="A48454" s="56"/>
    </row>
    <row r="48455" spans="1:1">
      <c r="A48455" s="56"/>
    </row>
    <row r="48456" spans="1:1">
      <c r="A48456" s="56"/>
    </row>
    <row r="48457" spans="1:1">
      <c r="A48457" s="56"/>
    </row>
    <row r="48458" spans="1:1">
      <c r="A48458" s="56"/>
    </row>
    <row r="48459" spans="1:1">
      <c r="A48459" s="56"/>
    </row>
    <row r="48460" spans="1:1">
      <c r="A48460" s="56"/>
    </row>
    <row r="48461" spans="1:1">
      <c r="A48461" s="56"/>
    </row>
    <row r="48462" spans="1:1">
      <c r="A48462" s="56"/>
    </row>
    <row r="48463" spans="1:1">
      <c r="A48463" s="56"/>
    </row>
    <row r="48464" spans="1:1">
      <c r="A48464" s="56"/>
    </row>
    <row r="48465" spans="1:1">
      <c r="A48465" s="56"/>
    </row>
    <row r="48466" spans="1:1">
      <c r="A48466" s="56"/>
    </row>
    <row r="48467" spans="1:1">
      <c r="A48467" s="56"/>
    </row>
    <row r="48468" spans="1:1">
      <c r="A48468" s="56"/>
    </row>
    <row r="48469" spans="1:1">
      <c r="A48469" s="56"/>
    </row>
    <row r="48470" spans="1:1">
      <c r="A48470" s="56"/>
    </row>
    <row r="48471" spans="1:1">
      <c r="A48471" s="56"/>
    </row>
    <row r="48472" spans="1:1">
      <c r="A48472" s="56"/>
    </row>
    <row r="48473" spans="1:1">
      <c r="A48473" s="56"/>
    </row>
    <row r="48474" spans="1:1">
      <c r="A48474" s="56"/>
    </row>
    <row r="48475" spans="1:1">
      <c r="A48475" s="56"/>
    </row>
    <row r="48476" spans="1:1">
      <c r="A48476" s="56"/>
    </row>
    <row r="48477" spans="1:1">
      <c r="A48477" s="56"/>
    </row>
    <row r="48478" spans="1:1">
      <c r="A48478" s="56"/>
    </row>
    <row r="48479" spans="1:1">
      <c r="A48479" s="56"/>
    </row>
    <row r="48480" spans="1:1">
      <c r="A48480" s="56"/>
    </row>
    <row r="48481" spans="1:1">
      <c r="A48481" s="56"/>
    </row>
    <row r="48482" spans="1:1">
      <c r="A48482" s="56"/>
    </row>
    <row r="48483" spans="1:1">
      <c r="A48483" s="56"/>
    </row>
    <row r="48484" spans="1:1">
      <c r="A48484" s="56"/>
    </row>
    <row r="48485" spans="1:1">
      <c r="A48485" s="56"/>
    </row>
    <row r="48486" spans="1:1">
      <c r="A48486" s="56"/>
    </row>
    <row r="48487" spans="1:1">
      <c r="A48487" s="56"/>
    </row>
    <row r="48488" spans="1:1">
      <c r="A48488" s="56"/>
    </row>
    <row r="48489" spans="1:1">
      <c r="A48489" s="56"/>
    </row>
    <row r="48490" spans="1:1">
      <c r="A48490" s="56"/>
    </row>
    <row r="48491" spans="1:1">
      <c r="A48491" s="56"/>
    </row>
    <row r="48492" spans="1:1">
      <c r="A48492" s="56"/>
    </row>
    <row r="48493" spans="1:1">
      <c r="A48493" s="56"/>
    </row>
    <row r="48494" spans="1:1">
      <c r="A48494" s="56"/>
    </row>
    <row r="48495" spans="1:1">
      <c r="A48495" s="56"/>
    </row>
    <row r="48496" spans="1:1">
      <c r="A48496" s="56"/>
    </row>
    <row r="48497" spans="1:1">
      <c r="A48497" s="56"/>
    </row>
    <row r="48498" spans="1:1">
      <c r="A48498" s="56"/>
    </row>
    <row r="48499" spans="1:1">
      <c r="A48499" s="56"/>
    </row>
    <row r="48500" spans="1:1">
      <c r="A48500" s="56"/>
    </row>
    <row r="48501" spans="1:1">
      <c r="A48501" s="56"/>
    </row>
    <row r="48502" spans="1:1">
      <c r="A48502" s="56"/>
    </row>
    <row r="48503" spans="1:1">
      <c r="A48503" s="56"/>
    </row>
    <row r="48504" spans="1:1">
      <c r="A48504" s="56"/>
    </row>
    <row r="48505" spans="1:1">
      <c r="A48505" s="56"/>
    </row>
    <row r="48506" spans="1:1">
      <c r="A48506" s="56"/>
    </row>
    <row r="48507" spans="1:1">
      <c r="A48507" s="56"/>
    </row>
    <row r="48508" spans="1:1">
      <c r="A48508" s="56"/>
    </row>
    <row r="48509" spans="1:1">
      <c r="A48509" s="56"/>
    </row>
    <row r="48510" spans="1:1">
      <c r="A48510" s="56"/>
    </row>
    <row r="48511" spans="1:1">
      <c r="A48511" s="56"/>
    </row>
    <row r="48512" spans="1:1">
      <c r="A48512" s="56"/>
    </row>
    <row r="48513" spans="1:1">
      <c r="A48513" s="56"/>
    </row>
    <row r="48514" spans="1:1">
      <c r="A48514" s="56"/>
    </row>
    <row r="48515" spans="1:1">
      <c r="A48515" s="56"/>
    </row>
    <row r="48516" spans="1:1">
      <c r="A48516" s="56"/>
    </row>
    <row r="48517" spans="1:1">
      <c r="A48517" s="56"/>
    </row>
    <row r="48518" spans="1:1">
      <c r="A48518" s="56"/>
    </row>
    <row r="48519" spans="1:1">
      <c r="A48519" s="56"/>
    </row>
    <row r="48520" spans="1:1">
      <c r="A48520" s="56"/>
    </row>
    <row r="48521" spans="1:1">
      <c r="A48521" s="56"/>
    </row>
    <row r="48522" spans="1:1">
      <c r="A48522" s="56"/>
    </row>
    <row r="48523" spans="1:1">
      <c r="A48523" s="56"/>
    </row>
    <row r="48524" spans="1:1">
      <c r="A48524" s="56"/>
    </row>
    <row r="48525" spans="1:1">
      <c r="A48525" s="56"/>
    </row>
    <row r="48526" spans="1:1">
      <c r="A48526" s="56"/>
    </row>
    <row r="48527" spans="1:1">
      <c r="A48527" s="56"/>
    </row>
    <row r="48528" spans="1:1">
      <c r="A48528" s="56"/>
    </row>
    <row r="48529" spans="1:1">
      <c r="A48529" s="56"/>
    </row>
    <row r="48530" spans="1:1">
      <c r="A48530" s="56"/>
    </row>
    <row r="48531" spans="1:1">
      <c r="A48531" s="56"/>
    </row>
    <row r="48532" spans="1:1">
      <c r="A48532" s="56"/>
    </row>
    <row r="48533" spans="1:1">
      <c r="A48533" s="56"/>
    </row>
    <row r="48534" spans="1:1">
      <c r="A48534" s="56"/>
    </row>
    <row r="48535" spans="1:1">
      <c r="A48535" s="56"/>
    </row>
    <row r="48536" spans="1:1">
      <c r="A48536" s="56"/>
    </row>
    <row r="48537" spans="1:1">
      <c r="A48537" s="56"/>
    </row>
    <row r="48538" spans="1:1">
      <c r="A48538" s="56"/>
    </row>
    <row r="48539" spans="1:1">
      <c r="A48539" s="56"/>
    </row>
    <row r="48540" spans="1:1">
      <c r="A48540" s="56"/>
    </row>
    <row r="48541" spans="1:1">
      <c r="A48541" s="56"/>
    </row>
    <row r="48542" spans="1:1">
      <c r="A48542" s="56"/>
    </row>
    <row r="48543" spans="1:1">
      <c r="A48543" s="56"/>
    </row>
    <row r="48544" spans="1:1">
      <c r="A48544" s="56"/>
    </row>
    <row r="48545" spans="1:1">
      <c r="A48545" s="56"/>
    </row>
    <row r="48546" spans="1:1">
      <c r="A48546" s="56"/>
    </row>
    <row r="48547" spans="1:1">
      <c r="A48547" s="56"/>
    </row>
    <row r="48548" spans="1:1">
      <c r="A48548" s="56"/>
    </row>
    <row r="48549" spans="1:1">
      <c r="A48549" s="56"/>
    </row>
    <row r="48550" spans="1:1">
      <c r="A48550" s="56"/>
    </row>
    <row r="48551" spans="1:1">
      <c r="A48551" s="56"/>
    </row>
    <row r="48552" spans="1:1">
      <c r="A48552" s="56"/>
    </row>
    <row r="48553" spans="1:1">
      <c r="A48553" s="56"/>
    </row>
    <row r="48554" spans="1:1">
      <c r="A48554" s="56"/>
    </row>
    <row r="48555" spans="1:1">
      <c r="A48555" s="56"/>
    </row>
    <row r="48556" spans="1:1">
      <c r="A48556" s="56"/>
    </row>
    <row r="48557" spans="1:1">
      <c r="A48557" s="56"/>
    </row>
    <row r="48558" spans="1:1">
      <c r="A48558" s="56"/>
    </row>
    <row r="48559" spans="1:1">
      <c r="A48559" s="56"/>
    </row>
    <row r="48560" spans="1:1">
      <c r="A48560" s="56"/>
    </row>
    <row r="48561" spans="1:1">
      <c r="A48561" s="56"/>
    </row>
    <row r="48562" spans="1:1">
      <c r="A48562" s="56"/>
    </row>
    <row r="48563" spans="1:1">
      <c r="A48563" s="56"/>
    </row>
    <row r="48564" spans="1:1">
      <c r="A48564" s="56"/>
    </row>
    <row r="48565" spans="1:1">
      <c r="A48565" s="56"/>
    </row>
    <row r="48566" spans="1:1">
      <c r="A48566" s="56"/>
    </row>
    <row r="48567" spans="1:1">
      <c r="A48567" s="56"/>
    </row>
    <row r="48568" spans="1:1">
      <c r="A48568" s="56"/>
    </row>
    <row r="48569" spans="1:1">
      <c r="A48569" s="56"/>
    </row>
    <row r="48570" spans="1:1">
      <c r="A48570" s="56"/>
    </row>
    <row r="48571" spans="1:1">
      <c r="A48571" s="56"/>
    </row>
    <row r="48572" spans="1:1">
      <c r="A48572" s="56"/>
    </row>
    <row r="48573" spans="1:1">
      <c r="A48573" s="56"/>
    </row>
    <row r="48574" spans="1:1">
      <c r="A48574" s="56"/>
    </row>
    <row r="48575" spans="1:1">
      <c r="A48575" s="56"/>
    </row>
    <row r="48576" spans="1:1">
      <c r="A48576" s="56"/>
    </row>
    <row r="48577" spans="1:1">
      <c r="A48577" s="56"/>
    </row>
    <row r="48578" spans="1:1">
      <c r="A48578" s="56"/>
    </row>
    <row r="48579" spans="1:1">
      <c r="A48579" s="56"/>
    </row>
    <row r="48580" spans="1:1">
      <c r="A48580" s="56"/>
    </row>
    <row r="48581" spans="1:1">
      <c r="A48581" s="56"/>
    </row>
    <row r="48582" spans="1:1">
      <c r="A48582" s="56"/>
    </row>
    <row r="48583" spans="1:1">
      <c r="A48583" s="56"/>
    </row>
    <row r="48584" spans="1:1">
      <c r="A48584" s="56"/>
    </row>
    <row r="48585" spans="1:1">
      <c r="A48585" s="56"/>
    </row>
    <row r="48586" spans="1:1">
      <c r="A48586" s="56"/>
    </row>
    <row r="48587" spans="1:1">
      <c r="A48587" s="56"/>
    </row>
    <row r="48588" spans="1:1">
      <c r="A48588" s="56"/>
    </row>
    <row r="48589" spans="1:1">
      <c r="A48589" s="56"/>
    </row>
    <row r="48590" spans="1:1">
      <c r="A48590" s="56"/>
    </row>
    <row r="48591" spans="1:1">
      <c r="A48591" s="56"/>
    </row>
    <row r="48592" spans="1:1">
      <c r="A48592" s="56"/>
    </row>
    <row r="48593" spans="1:1">
      <c r="A48593" s="56"/>
    </row>
    <row r="48594" spans="1:1">
      <c r="A48594" s="56"/>
    </row>
    <row r="48595" spans="1:1">
      <c r="A48595" s="56"/>
    </row>
    <row r="48596" spans="1:1">
      <c r="A48596" s="56"/>
    </row>
    <row r="48597" spans="1:1">
      <c r="A48597" s="56"/>
    </row>
    <row r="48598" spans="1:1">
      <c r="A48598" s="56"/>
    </row>
    <row r="48599" spans="1:1">
      <c r="A48599" s="56"/>
    </row>
    <row r="48600" spans="1:1">
      <c r="A48600" s="56"/>
    </row>
    <row r="48601" spans="1:1">
      <c r="A48601" s="56"/>
    </row>
    <row r="48602" spans="1:1">
      <c r="A48602" s="56"/>
    </row>
    <row r="48603" spans="1:1">
      <c r="A48603" s="56"/>
    </row>
    <row r="48604" spans="1:1">
      <c r="A48604" s="56"/>
    </row>
    <row r="48605" spans="1:1">
      <c r="A48605" s="56"/>
    </row>
    <row r="48606" spans="1:1">
      <c r="A48606" s="56"/>
    </row>
    <row r="48607" spans="1:1">
      <c r="A48607" s="56"/>
    </row>
    <row r="48608" spans="1:1">
      <c r="A48608" s="56"/>
    </row>
    <row r="48609" spans="1:1">
      <c r="A48609" s="56"/>
    </row>
    <row r="48610" spans="1:1">
      <c r="A48610" s="56"/>
    </row>
    <row r="48611" spans="1:1">
      <c r="A48611" s="56"/>
    </row>
    <row r="48612" spans="1:1">
      <c r="A48612" s="56"/>
    </row>
    <row r="48613" spans="1:1">
      <c r="A48613" s="56"/>
    </row>
    <row r="48614" spans="1:1">
      <c r="A48614" s="56"/>
    </row>
    <row r="48615" spans="1:1">
      <c r="A48615" s="56"/>
    </row>
    <row r="48616" spans="1:1">
      <c r="A48616" s="56"/>
    </row>
    <row r="48617" spans="1:1">
      <c r="A48617" s="56"/>
    </row>
    <row r="48618" spans="1:1">
      <c r="A48618" s="56"/>
    </row>
    <row r="48619" spans="1:1">
      <c r="A48619" s="56"/>
    </row>
    <row r="48620" spans="1:1">
      <c r="A48620" s="56"/>
    </row>
    <row r="48621" spans="1:1">
      <c r="A48621" s="56"/>
    </row>
    <row r="48622" spans="1:1">
      <c r="A48622" s="56"/>
    </row>
    <row r="48623" spans="1:1">
      <c r="A48623" s="56"/>
    </row>
    <row r="48624" spans="1:1">
      <c r="A48624" s="56"/>
    </row>
    <row r="48625" spans="1:1">
      <c r="A48625" s="56"/>
    </row>
    <row r="48626" spans="1:1">
      <c r="A48626" s="56"/>
    </row>
    <row r="48627" spans="1:1">
      <c r="A48627" s="56"/>
    </row>
    <row r="48628" spans="1:1">
      <c r="A48628" s="56"/>
    </row>
    <row r="48629" spans="1:1">
      <c r="A48629" s="56"/>
    </row>
    <row r="48630" spans="1:1">
      <c r="A48630" s="56"/>
    </row>
    <row r="48631" spans="1:1">
      <c r="A48631" s="56"/>
    </row>
    <row r="48632" spans="1:1">
      <c r="A48632" s="56"/>
    </row>
    <row r="48633" spans="1:1">
      <c r="A48633" s="56"/>
    </row>
    <row r="48634" spans="1:1">
      <c r="A48634" s="56"/>
    </row>
    <row r="48635" spans="1:1">
      <c r="A48635" s="56"/>
    </row>
    <row r="48636" spans="1:1">
      <c r="A48636" s="56"/>
    </row>
    <row r="48637" spans="1:1">
      <c r="A48637" s="56"/>
    </row>
    <row r="48638" spans="1:1">
      <c r="A48638" s="56"/>
    </row>
    <row r="48639" spans="1:1">
      <c r="A48639" s="56"/>
    </row>
    <row r="48640" spans="1:1">
      <c r="A48640" s="56"/>
    </row>
    <row r="48641" spans="1:1">
      <c r="A48641" s="56"/>
    </row>
    <row r="48642" spans="1:1">
      <c r="A48642" s="56"/>
    </row>
    <row r="48643" spans="1:1">
      <c r="A48643" s="56"/>
    </row>
    <row r="48644" spans="1:1">
      <c r="A48644" s="56"/>
    </row>
    <row r="48645" spans="1:1">
      <c r="A48645" s="56"/>
    </row>
    <row r="48646" spans="1:1">
      <c r="A48646" s="56"/>
    </row>
    <row r="48647" spans="1:1">
      <c r="A48647" s="56"/>
    </row>
    <row r="48648" spans="1:1">
      <c r="A48648" s="56"/>
    </row>
    <row r="48649" spans="1:1">
      <c r="A48649" s="56"/>
    </row>
    <row r="48650" spans="1:1">
      <c r="A48650" s="56"/>
    </row>
    <row r="48651" spans="1:1">
      <c r="A48651" s="56"/>
    </row>
    <row r="48652" spans="1:1">
      <c r="A48652" s="56"/>
    </row>
    <row r="48653" spans="1:1">
      <c r="A48653" s="56"/>
    </row>
    <row r="48654" spans="1:1">
      <c r="A48654" s="56"/>
    </row>
    <row r="48655" spans="1:1">
      <c r="A48655" s="56"/>
    </row>
    <row r="48656" spans="1:1">
      <c r="A48656" s="56"/>
    </row>
    <row r="48657" spans="1:1">
      <c r="A48657" s="56"/>
    </row>
    <row r="48658" spans="1:1">
      <c r="A48658" s="56"/>
    </row>
    <row r="48659" spans="1:1">
      <c r="A48659" s="56"/>
    </row>
    <row r="48660" spans="1:1">
      <c r="A48660" s="56"/>
    </row>
    <row r="48661" spans="1:1">
      <c r="A48661" s="56"/>
    </row>
    <row r="48662" spans="1:1">
      <c r="A48662" s="56"/>
    </row>
    <row r="48663" spans="1:1">
      <c r="A48663" s="56"/>
    </row>
    <row r="48664" spans="1:1">
      <c r="A48664" s="56"/>
    </row>
    <row r="48665" spans="1:1">
      <c r="A48665" s="56"/>
    </row>
    <row r="48666" spans="1:1">
      <c r="A48666" s="56"/>
    </row>
    <row r="48667" spans="1:1">
      <c r="A48667" s="56"/>
    </row>
    <row r="48668" spans="1:1">
      <c r="A48668" s="56"/>
    </row>
    <row r="48669" spans="1:1">
      <c r="A48669" s="56"/>
    </row>
    <row r="48670" spans="1:1">
      <c r="A48670" s="56"/>
    </row>
    <row r="48671" spans="1:1">
      <c r="A48671" s="56"/>
    </row>
    <row r="48672" spans="1:1">
      <c r="A48672" s="56"/>
    </row>
    <row r="48673" spans="1:1">
      <c r="A48673" s="56"/>
    </row>
    <row r="48674" spans="1:1">
      <c r="A48674" s="56"/>
    </row>
    <row r="48675" spans="1:1">
      <c r="A48675" s="56"/>
    </row>
    <row r="48676" spans="1:1">
      <c r="A48676" s="56"/>
    </row>
    <row r="48677" spans="1:1">
      <c r="A48677" s="56"/>
    </row>
    <row r="48678" spans="1:1">
      <c r="A48678" s="56"/>
    </row>
    <row r="48679" spans="1:1">
      <c r="A48679" s="56"/>
    </row>
    <row r="48680" spans="1:1">
      <c r="A48680" s="56"/>
    </row>
    <row r="48681" spans="1:1">
      <c r="A48681" s="56"/>
    </row>
    <row r="48682" spans="1:1">
      <c r="A48682" s="56"/>
    </row>
    <row r="48683" spans="1:1">
      <c r="A48683" s="56"/>
    </row>
    <row r="48684" spans="1:1">
      <c r="A48684" s="56"/>
    </row>
    <row r="48685" spans="1:1">
      <c r="A48685" s="56"/>
    </row>
    <row r="48686" spans="1:1">
      <c r="A48686" s="56"/>
    </row>
    <row r="48687" spans="1:1">
      <c r="A48687" s="56"/>
    </row>
    <row r="48688" spans="1:1">
      <c r="A48688" s="56"/>
    </row>
    <row r="48689" spans="1:1">
      <c r="A48689" s="56"/>
    </row>
    <row r="48690" spans="1:1">
      <c r="A48690" s="56"/>
    </row>
    <row r="48691" spans="1:1">
      <c r="A48691" s="56"/>
    </row>
    <row r="48692" spans="1:1">
      <c r="A48692" s="56"/>
    </row>
    <row r="48693" spans="1:1">
      <c r="A48693" s="56"/>
    </row>
    <row r="48694" spans="1:1">
      <c r="A48694" s="56"/>
    </row>
    <row r="48695" spans="1:1">
      <c r="A48695" s="56"/>
    </row>
    <row r="48696" spans="1:1">
      <c r="A48696" s="56"/>
    </row>
    <row r="48697" spans="1:1">
      <c r="A48697" s="56"/>
    </row>
    <row r="48698" spans="1:1">
      <c r="A48698" s="56"/>
    </row>
    <row r="48699" spans="1:1">
      <c r="A48699" s="56"/>
    </row>
    <row r="48700" spans="1:1">
      <c r="A48700" s="56"/>
    </row>
    <row r="48701" spans="1:1">
      <c r="A48701" s="56"/>
    </row>
    <row r="48702" spans="1:1">
      <c r="A48702" s="56"/>
    </row>
    <row r="48703" spans="1:1">
      <c r="A48703" s="56"/>
    </row>
    <row r="48704" spans="1:1">
      <c r="A48704" s="56"/>
    </row>
    <row r="48705" spans="1:1">
      <c r="A48705" s="56"/>
    </row>
    <row r="48706" spans="1:1">
      <c r="A48706" s="56"/>
    </row>
    <row r="48707" spans="1:1">
      <c r="A48707" s="56"/>
    </row>
    <row r="48708" spans="1:1">
      <c r="A48708" s="56"/>
    </row>
    <row r="48709" spans="1:1">
      <c r="A48709" s="56"/>
    </row>
    <row r="48710" spans="1:1">
      <c r="A48710" s="56"/>
    </row>
    <row r="48711" spans="1:1">
      <c r="A48711" s="56"/>
    </row>
    <row r="48712" spans="1:1">
      <c r="A48712" s="56"/>
    </row>
    <row r="48713" spans="1:1">
      <c r="A48713" s="56"/>
    </row>
    <row r="48714" spans="1:1">
      <c r="A48714" s="56"/>
    </row>
    <row r="48715" spans="1:1">
      <c r="A48715" s="56"/>
    </row>
    <row r="48716" spans="1:1">
      <c r="A48716" s="56"/>
    </row>
    <row r="48717" spans="1:1">
      <c r="A48717" s="56"/>
    </row>
    <row r="48718" spans="1:1">
      <c r="A48718" s="56"/>
    </row>
    <row r="48719" spans="1:1">
      <c r="A48719" s="56"/>
    </row>
    <row r="48720" spans="1:1">
      <c r="A48720" s="56"/>
    </row>
    <row r="48721" spans="1:1">
      <c r="A48721" s="56"/>
    </row>
    <row r="48722" spans="1:1">
      <c r="A48722" s="56"/>
    </row>
    <row r="48723" spans="1:1">
      <c r="A48723" s="56"/>
    </row>
    <row r="48724" spans="1:1">
      <c r="A48724" s="56"/>
    </row>
    <row r="48725" spans="1:1">
      <c r="A48725" s="56"/>
    </row>
    <row r="48726" spans="1:1">
      <c r="A48726" s="56"/>
    </row>
    <row r="48727" spans="1:1">
      <c r="A48727" s="56"/>
    </row>
    <row r="48728" spans="1:1">
      <c r="A48728" s="56"/>
    </row>
    <row r="48729" spans="1:1">
      <c r="A48729" s="56"/>
    </row>
    <row r="48730" spans="1:1">
      <c r="A48730" s="56"/>
    </row>
    <row r="48731" spans="1:1">
      <c r="A48731" s="56"/>
    </row>
    <row r="48732" spans="1:1">
      <c r="A48732" s="56"/>
    </row>
    <row r="48733" spans="1:1">
      <c r="A48733" s="56"/>
    </row>
    <row r="48734" spans="1:1">
      <c r="A48734" s="56"/>
    </row>
    <row r="48735" spans="1:1">
      <c r="A48735" s="56"/>
    </row>
    <row r="48736" spans="1:1">
      <c r="A48736" s="56"/>
    </row>
    <row r="48737" spans="1:1">
      <c r="A48737" s="56"/>
    </row>
    <row r="48738" spans="1:1">
      <c r="A48738" s="56"/>
    </row>
    <row r="48739" spans="1:1">
      <c r="A48739" s="56"/>
    </row>
    <row r="48740" spans="1:1">
      <c r="A48740" s="56"/>
    </row>
    <row r="48741" spans="1:1">
      <c r="A48741" s="56"/>
    </row>
    <row r="48742" spans="1:1">
      <c r="A48742" s="56"/>
    </row>
    <row r="48743" spans="1:1">
      <c r="A48743" s="56"/>
    </row>
    <row r="48744" spans="1:1">
      <c r="A48744" s="56"/>
    </row>
    <row r="48745" spans="1:1">
      <c r="A48745" s="56"/>
    </row>
    <row r="48746" spans="1:1">
      <c r="A48746" s="56"/>
    </row>
    <row r="48747" spans="1:1">
      <c r="A48747" s="56"/>
    </row>
    <row r="48748" spans="1:1">
      <c r="A48748" s="56"/>
    </row>
    <row r="48749" spans="1:1">
      <c r="A48749" s="56"/>
    </row>
    <row r="48750" spans="1:1">
      <c r="A48750" s="56"/>
    </row>
    <row r="48751" spans="1:1">
      <c r="A48751" s="56"/>
    </row>
    <row r="48752" spans="1:1">
      <c r="A48752" s="56"/>
    </row>
    <row r="48753" spans="1:1">
      <c r="A48753" s="56"/>
    </row>
    <row r="48754" spans="1:1">
      <c r="A48754" s="56"/>
    </row>
    <row r="48755" spans="1:1">
      <c r="A48755" s="56"/>
    </row>
    <row r="48756" spans="1:1">
      <c r="A48756" s="56"/>
    </row>
    <row r="48757" spans="1:1">
      <c r="A48757" s="56"/>
    </row>
    <row r="48758" spans="1:1">
      <c r="A48758" s="56"/>
    </row>
    <row r="48759" spans="1:1">
      <c r="A48759" s="56"/>
    </row>
    <row r="48760" spans="1:1">
      <c r="A48760" s="56"/>
    </row>
    <row r="48761" spans="1:1">
      <c r="A48761" s="56"/>
    </row>
    <row r="48762" spans="1:1">
      <c r="A48762" s="56"/>
    </row>
    <row r="48763" spans="1:1">
      <c r="A48763" s="56"/>
    </row>
    <row r="48764" spans="1:1">
      <c r="A48764" s="56"/>
    </row>
    <row r="48765" spans="1:1">
      <c r="A48765" s="56"/>
    </row>
    <row r="48766" spans="1:1">
      <c r="A48766" s="56"/>
    </row>
    <row r="48767" spans="1:1">
      <c r="A48767" s="56"/>
    </row>
    <row r="48768" spans="1:1">
      <c r="A48768" s="56"/>
    </row>
    <row r="48769" spans="1:1">
      <c r="A48769" s="56"/>
    </row>
    <row r="48770" spans="1:1">
      <c r="A48770" s="56"/>
    </row>
    <row r="48771" spans="1:1">
      <c r="A48771" s="56"/>
    </row>
    <row r="48772" spans="1:1">
      <c r="A48772" s="56"/>
    </row>
    <row r="48773" spans="1:1">
      <c r="A48773" s="56"/>
    </row>
    <row r="48774" spans="1:1">
      <c r="A48774" s="56"/>
    </row>
    <row r="48775" spans="1:1">
      <c r="A48775" s="56"/>
    </row>
    <row r="48776" spans="1:1">
      <c r="A48776" s="56"/>
    </row>
    <row r="48777" spans="1:1">
      <c r="A48777" s="56"/>
    </row>
    <row r="48778" spans="1:1">
      <c r="A48778" s="56"/>
    </row>
    <row r="48779" spans="1:1">
      <c r="A48779" s="56"/>
    </row>
    <row r="48780" spans="1:1">
      <c r="A48780" s="56"/>
    </row>
    <row r="48781" spans="1:1">
      <c r="A48781" s="56"/>
    </row>
    <row r="48782" spans="1:1">
      <c r="A48782" s="56"/>
    </row>
    <row r="48783" spans="1:1">
      <c r="A48783" s="56"/>
    </row>
    <row r="48784" spans="1:1">
      <c r="A48784" s="56"/>
    </row>
    <row r="48785" spans="1:1">
      <c r="A48785" s="56"/>
    </row>
    <row r="48786" spans="1:1">
      <c r="A48786" s="56"/>
    </row>
    <row r="48787" spans="1:1">
      <c r="A48787" s="56"/>
    </row>
    <row r="48788" spans="1:1">
      <c r="A48788" s="56"/>
    </row>
    <row r="48789" spans="1:1">
      <c r="A48789" s="56"/>
    </row>
    <row r="48790" spans="1:1">
      <c r="A48790" s="56"/>
    </row>
    <row r="48791" spans="1:1">
      <c r="A48791" s="56"/>
    </row>
    <row r="48792" spans="1:1">
      <c r="A48792" s="56"/>
    </row>
    <row r="48793" spans="1:1">
      <c r="A48793" s="56"/>
    </row>
    <row r="48794" spans="1:1">
      <c r="A48794" s="56"/>
    </row>
    <row r="48795" spans="1:1">
      <c r="A48795" s="56"/>
    </row>
    <row r="48796" spans="1:1">
      <c r="A48796" s="56"/>
    </row>
    <row r="48797" spans="1:1">
      <c r="A48797" s="56"/>
    </row>
    <row r="48798" spans="1:1">
      <c r="A48798" s="56"/>
    </row>
    <row r="48799" spans="1:1">
      <c r="A48799" s="56"/>
    </row>
    <row r="48800" spans="1:1">
      <c r="A48800" s="56"/>
    </row>
    <row r="48801" spans="1:1">
      <c r="A48801" s="56"/>
    </row>
    <row r="48802" spans="1:1">
      <c r="A48802" s="56"/>
    </row>
    <row r="48803" spans="1:1">
      <c r="A48803" s="56"/>
    </row>
    <row r="48804" spans="1:1">
      <c r="A48804" s="56"/>
    </row>
    <row r="48805" spans="1:1">
      <c r="A48805" s="56"/>
    </row>
    <row r="48806" spans="1:1">
      <c r="A48806" s="56"/>
    </row>
    <row r="48807" spans="1:1">
      <c r="A48807" s="56"/>
    </row>
    <row r="48808" spans="1:1">
      <c r="A48808" s="56"/>
    </row>
    <row r="48809" spans="1:1">
      <c r="A48809" s="56"/>
    </row>
    <row r="48810" spans="1:1">
      <c r="A48810" s="56"/>
    </row>
    <row r="48811" spans="1:1">
      <c r="A48811" s="56"/>
    </row>
    <row r="48812" spans="1:1">
      <c r="A48812" s="56"/>
    </row>
    <row r="48813" spans="1:1">
      <c r="A48813" s="56"/>
    </row>
    <row r="48814" spans="1:1">
      <c r="A48814" s="56"/>
    </row>
    <row r="48815" spans="1:1">
      <c r="A48815" s="56"/>
    </row>
    <row r="48816" spans="1:1">
      <c r="A48816" s="56"/>
    </row>
    <row r="48817" spans="1:1">
      <c r="A48817" s="56"/>
    </row>
    <row r="48818" spans="1:1">
      <c r="A48818" s="56"/>
    </row>
    <row r="48819" spans="1:1">
      <c r="A48819" s="56"/>
    </row>
    <row r="48820" spans="1:1">
      <c r="A48820" s="56"/>
    </row>
    <row r="48821" spans="1:1">
      <c r="A48821" s="56"/>
    </row>
    <row r="48822" spans="1:1">
      <c r="A48822" s="56"/>
    </row>
    <row r="48823" spans="1:1">
      <c r="A48823" s="56"/>
    </row>
    <row r="48824" spans="1:1">
      <c r="A48824" s="56"/>
    </row>
    <row r="48825" spans="1:1">
      <c r="A48825" s="56"/>
    </row>
    <row r="48826" spans="1:1">
      <c r="A48826" s="56"/>
    </row>
    <row r="48827" spans="1:1">
      <c r="A48827" s="56"/>
    </row>
    <row r="48828" spans="1:1">
      <c r="A48828" s="56"/>
    </row>
    <row r="48829" spans="1:1">
      <c r="A48829" s="56"/>
    </row>
    <row r="48830" spans="1:1">
      <c r="A48830" s="56"/>
    </row>
    <row r="48831" spans="1:1">
      <c r="A48831" s="56"/>
    </row>
    <row r="48832" spans="1:1">
      <c r="A48832" s="56"/>
    </row>
    <row r="48833" spans="1:1">
      <c r="A48833" s="56"/>
    </row>
    <row r="48834" spans="1:1">
      <c r="A48834" s="56"/>
    </row>
    <row r="48835" spans="1:1">
      <c r="A48835" s="56"/>
    </row>
    <row r="48836" spans="1:1">
      <c r="A48836" s="56"/>
    </row>
    <row r="48837" spans="1:1">
      <c r="A48837" s="56"/>
    </row>
    <row r="48838" spans="1:1">
      <c r="A48838" s="56"/>
    </row>
    <row r="48839" spans="1:1">
      <c r="A48839" s="56"/>
    </row>
    <row r="48840" spans="1:1">
      <c r="A48840" s="56"/>
    </row>
    <row r="48841" spans="1:1">
      <c r="A48841" s="56"/>
    </row>
    <row r="48842" spans="1:1">
      <c r="A48842" s="56"/>
    </row>
    <row r="48843" spans="1:1">
      <c r="A48843" s="56"/>
    </row>
    <row r="48844" spans="1:1">
      <c r="A48844" s="56"/>
    </row>
    <row r="48845" spans="1:1">
      <c r="A48845" s="56"/>
    </row>
    <row r="48846" spans="1:1">
      <c r="A48846" s="56"/>
    </row>
    <row r="48847" spans="1:1">
      <c r="A48847" s="56"/>
    </row>
    <row r="48848" spans="1:1">
      <c r="A48848" s="56"/>
    </row>
    <row r="48849" spans="1:1">
      <c r="A48849" s="56"/>
    </row>
    <row r="48850" spans="1:1">
      <c r="A48850" s="56"/>
    </row>
    <row r="48851" spans="1:1">
      <c r="A48851" s="56"/>
    </row>
    <row r="48852" spans="1:1">
      <c r="A48852" s="56"/>
    </row>
    <row r="48853" spans="1:1">
      <c r="A48853" s="56"/>
    </row>
    <row r="48854" spans="1:1">
      <c r="A48854" s="56"/>
    </row>
    <row r="48855" spans="1:1">
      <c r="A48855" s="56"/>
    </row>
    <row r="48856" spans="1:1">
      <c r="A48856" s="56"/>
    </row>
    <row r="48857" spans="1:1">
      <c r="A48857" s="56"/>
    </row>
    <row r="48858" spans="1:1">
      <c r="A48858" s="56"/>
    </row>
    <row r="48859" spans="1:1">
      <c r="A48859" s="56"/>
    </row>
    <row r="48860" spans="1:1">
      <c r="A48860" s="56"/>
    </row>
    <row r="48861" spans="1:1">
      <c r="A48861" s="56"/>
    </row>
    <row r="48862" spans="1:1">
      <c r="A48862" s="56"/>
    </row>
    <row r="48863" spans="1:1">
      <c r="A48863" s="56"/>
    </row>
    <row r="48864" spans="1:1">
      <c r="A48864" s="56"/>
    </row>
    <row r="48865" spans="1:1">
      <c r="A48865" s="56"/>
    </row>
    <row r="48866" spans="1:1">
      <c r="A48866" s="56"/>
    </row>
    <row r="48867" spans="1:1">
      <c r="A48867" s="56"/>
    </row>
    <row r="48868" spans="1:1">
      <c r="A48868" s="56"/>
    </row>
    <row r="48869" spans="1:1">
      <c r="A48869" s="56"/>
    </row>
    <row r="48870" spans="1:1">
      <c r="A48870" s="56"/>
    </row>
    <row r="48871" spans="1:1">
      <c r="A48871" s="56"/>
    </row>
    <row r="48872" spans="1:1">
      <c r="A48872" s="56"/>
    </row>
    <row r="48873" spans="1:1">
      <c r="A48873" s="56"/>
    </row>
    <row r="48874" spans="1:1">
      <c r="A48874" s="56"/>
    </row>
    <row r="48875" spans="1:1">
      <c r="A48875" s="56"/>
    </row>
    <row r="48876" spans="1:1">
      <c r="A48876" s="56"/>
    </row>
    <row r="48877" spans="1:1">
      <c r="A48877" s="56"/>
    </row>
    <row r="48878" spans="1:1">
      <c r="A48878" s="56"/>
    </row>
    <row r="48879" spans="1:1">
      <c r="A48879" s="56"/>
    </row>
    <row r="48880" spans="1:1">
      <c r="A48880" s="56"/>
    </row>
    <row r="48881" spans="1:1">
      <c r="A48881" s="56"/>
    </row>
    <row r="48882" spans="1:1">
      <c r="A48882" s="56"/>
    </row>
    <row r="48883" spans="1:1">
      <c r="A48883" s="56"/>
    </row>
    <row r="48884" spans="1:1">
      <c r="A48884" s="56"/>
    </row>
    <row r="48885" spans="1:1">
      <c r="A48885" s="56"/>
    </row>
    <row r="48886" spans="1:1">
      <c r="A48886" s="56"/>
    </row>
    <row r="48887" spans="1:1">
      <c r="A48887" s="56"/>
    </row>
    <row r="48888" spans="1:1">
      <c r="A48888" s="56"/>
    </row>
    <row r="48889" spans="1:1">
      <c r="A48889" s="56"/>
    </row>
    <row r="48890" spans="1:1">
      <c r="A48890" s="56"/>
    </row>
    <row r="48891" spans="1:1">
      <c r="A48891" s="56"/>
    </row>
    <row r="48892" spans="1:1">
      <c r="A48892" s="56"/>
    </row>
    <row r="48893" spans="1:1">
      <c r="A48893" s="56"/>
    </row>
    <row r="48894" spans="1:1">
      <c r="A48894" s="56"/>
    </row>
    <row r="48895" spans="1:1">
      <c r="A48895" s="56"/>
    </row>
    <row r="48896" spans="1:1">
      <c r="A48896" s="56"/>
    </row>
    <row r="48897" spans="1:1">
      <c r="A48897" s="56"/>
    </row>
    <row r="48898" spans="1:1">
      <c r="A48898" s="56"/>
    </row>
    <row r="48899" spans="1:1">
      <c r="A48899" s="56"/>
    </row>
    <row r="48900" spans="1:1">
      <c r="A48900" s="56"/>
    </row>
    <row r="48901" spans="1:1">
      <c r="A48901" s="56"/>
    </row>
    <row r="48902" spans="1:1">
      <c r="A48902" s="56"/>
    </row>
    <row r="48903" spans="1:1">
      <c r="A48903" s="56"/>
    </row>
    <row r="48904" spans="1:1">
      <c r="A48904" s="56"/>
    </row>
    <row r="48905" spans="1:1">
      <c r="A48905" s="56"/>
    </row>
    <row r="48906" spans="1:1">
      <c r="A48906" s="56"/>
    </row>
    <row r="48907" spans="1:1">
      <c r="A48907" s="56"/>
    </row>
    <row r="48908" spans="1:1">
      <c r="A48908" s="56"/>
    </row>
    <row r="48909" spans="1:1">
      <c r="A48909" s="56"/>
    </row>
    <row r="48910" spans="1:1">
      <c r="A48910" s="56"/>
    </row>
    <row r="48911" spans="1:1">
      <c r="A48911" s="56"/>
    </row>
    <row r="48912" spans="1:1">
      <c r="A48912" s="56"/>
    </row>
    <row r="48913" spans="1:1">
      <c r="A48913" s="56"/>
    </row>
    <row r="48914" spans="1:1">
      <c r="A48914" s="56"/>
    </row>
    <row r="48915" spans="1:1">
      <c r="A48915" s="56"/>
    </row>
    <row r="48916" spans="1:1">
      <c r="A48916" s="56"/>
    </row>
    <row r="48917" spans="1:1">
      <c r="A48917" s="56"/>
    </row>
    <row r="48918" spans="1:1">
      <c r="A48918" s="56"/>
    </row>
    <row r="48919" spans="1:1">
      <c r="A48919" s="56"/>
    </row>
    <row r="48920" spans="1:1">
      <c r="A48920" s="56"/>
    </row>
    <row r="48921" spans="1:1">
      <c r="A48921" s="56"/>
    </row>
    <row r="48922" spans="1:1">
      <c r="A48922" s="56"/>
    </row>
    <row r="48923" spans="1:1">
      <c r="A48923" s="56"/>
    </row>
    <row r="48924" spans="1:1">
      <c r="A48924" s="56"/>
    </row>
    <row r="48925" spans="1:1">
      <c r="A48925" s="56"/>
    </row>
    <row r="48926" spans="1:1">
      <c r="A48926" s="56"/>
    </row>
    <row r="48927" spans="1:1">
      <c r="A48927" s="56"/>
    </row>
    <row r="48928" spans="1:1">
      <c r="A48928" s="56"/>
    </row>
    <row r="48929" spans="1:1">
      <c r="A48929" s="56"/>
    </row>
    <row r="48930" spans="1:1">
      <c r="A48930" s="56"/>
    </row>
    <row r="48931" spans="1:1">
      <c r="A48931" s="56"/>
    </row>
    <row r="48932" spans="1:1">
      <c r="A48932" s="56"/>
    </row>
    <row r="48933" spans="1:1">
      <c r="A48933" s="56"/>
    </row>
    <row r="48934" spans="1:1">
      <c r="A48934" s="56"/>
    </row>
    <row r="48935" spans="1:1">
      <c r="A48935" s="56"/>
    </row>
    <row r="48936" spans="1:1">
      <c r="A48936" s="56"/>
    </row>
    <row r="48937" spans="1:1">
      <c r="A48937" s="56"/>
    </row>
    <row r="48938" spans="1:1">
      <c r="A48938" s="56"/>
    </row>
    <row r="48939" spans="1:1">
      <c r="A48939" s="56"/>
    </row>
    <row r="48940" spans="1:1">
      <c r="A48940" s="56"/>
    </row>
    <row r="48941" spans="1:1">
      <c r="A48941" s="56"/>
    </row>
    <row r="48942" spans="1:1">
      <c r="A48942" s="56"/>
    </row>
    <row r="48943" spans="1:1">
      <c r="A48943" s="56"/>
    </row>
    <row r="48944" spans="1:1">
      <c r="A48944" s="56"/>
    </row>
    <row r="48945" spans="1:1">
      <c r="A48945" s="56"/>
    </row>
    <row r="48946" spans="1:1">
      <c r="A48946" s="56"/>
    </row>
    <row r="48947" spans="1:1">
      <c r="A48947" s="56"/>
    </row>
    <row r="48948" spans="1:1">
      <c r="A48948" s="56"/>
    </row>
    <row r="48949" spans="1:1">
      <c r="A48949" s="56"/>
    </row>
    <row r="48950" spans="1:1">
      <c r="A48950" s="56"/>
    </row>
    <row r="48951" spans="1:1">
      <c r="A48951" s="56"/>
    </row>
    <row r="48952" spans="1:1">
      <c r="A48952" s="56"/>
    </row>
    <row r="48953" spans="1:1">
      <c r="A48953" s="56"/>
    </row>
    <row r="48954" spans="1:1">
      <c r="A48954" s="56"/>
    </row>
    <row r="48955" spans="1:1">
      <c r="A48955" s="56"/>
    </row>
    <row r="48956" spans="1:1">
      <c r="A48956" s="56"/>
    </row>
    <row r="48957" spans="1:1">
      <c r="A48957" s="56"/>
    </row>
    <row r="48958" spans="1:1">
      <c r="A48958" s="56"/>
    </row>
    <row r="48959" spans="1:1">
      <c r="A48959" s="56"/>
    </row>
    <row r="48960" spans="1:1">
      <c r="A48960" s="56"/>
    </row>
    <row r="48961" spans="1:1">
      <c r="A48961" s="56"/>
    </row>
    <row r="48962" spans="1:1">
      <c r="A48962" s="56"/>
    </row>
    <row r="48963" spans="1:1">
      <c r="A48963" s="56"/>
    </row>
    <row r="48964" spans="1:1">
      <c r="A48964" s="56"/>
    </row>
    <row r="48965" spans="1:1">
      <c r="A48965" s="56"/>
    </row>
    <row r="48966" spans="1:1">
      <c r="A48966" s="56"/>
    </row>
    <row r="48967" spans="1:1">
      <c r="A48967" s="56"/>
    </row>
    <row r="48968" spans="1:1">
      <c r="A48968" s="56"/>
    </row>
    <row r="48969" spans="1:1">
      <c r="A48969" s="56"/>
    </row>
    <row r="48970" spans="1:1">
      <c r="A48970" s="56"/>
    </row>
    <row r="48971" spans="1:1">
      <c r="A48971" s="56"/>
    </row>
    <row r="48972" spans="1:1">
      <c r="A48972" s="56"/>
    </row>
    <row r="48973" spans="1:1">
      <c r="A48973" s="56"/>
    </row>
    <row r="48974" spans="1:1">
      <c r="A48974" s="56"/>
    </row>
    <row r="48975" spans="1:1">
      <c r="A48975" s="56"/>
    </row>
    <row r="48976" spans="1:1">
      <c r="A48976" s="56"/>
    </row>
    <row r="48977" spans="1:1">
      <c r="A48977" s="56"/>
    </row>
    <row r="48978" spans="1:1">
      <c r="A48978" s="56"/>
    </row>
    <row r="48979" spans="1:1">
      <c r="A48979" s="56"/>
    </row>
    <row r="48980" spans="1:1">
      <c r="A48980" s="56"/>
    </row>
    <row r="48981" spans="1:1">
      <c r="A48981" s="56"/>
    </row>
    <row r="48982" spans="1:1">
      <c r="A48982" s="56"/>
    </row>
    <row r="48983" spans="1:1">
      <c r="A48983" s="56"/>
    </row>
    <row r="48984" spans="1:1">
      <c r="A48984" s="56"/>
    </row>
    <row r="48985" spans="1:1">
      <c r="A48985" s="56"/>
    </row>
    <row r="48986" spans="1:1">
      <c r="A48986" s="56"/>
    </row>
    <row r="48987" spans="1:1">
      <c r="A48987" s="56"/>
    </row>
    <row r="48988" spans="1:1">
      <c r="A48988" s="56"/>
    </row>
    <row r="48989" spans="1:1">
      <c r="A48989" s="56"/>
    </row>
    <row r="48990" spans="1:1">
      <c r="A48990" s="56"/>
    </row>
    <row r="48991" spans="1:1">
      <c r="A48991" s="56"/>
    </row>
    <row r="48992" spans="1:1">
      <c r="A48992" s="56"/>
    </row>
    <row r="48993" spans="1:1">
      <c r="A48993" s="56"/>
    </row>
    <row r="48994" spans="1:1">
      <c r="A48994" s="56"/>
    </row>
    <row r="48995" spans="1:1">
      <c r="A48995" s="56"/>
    </row>
    <row r="48996" spans="1:1">
      <c r="A48996" s="56"/>
    </row>
    <row r="48997" spans="1:1">
      <c r="A48997" s="56"/>
    </row>
    <row r="48998" spans="1:1">
      <c r="A48998" s="56"/>
    </row>
    <row r="48999" spans="1:1">
      <c r="A48999" s="56"/>
    </row>
    <row r="49000" spans="1:1">
      <c r="A49000" s="56"/>
    </row>
    <row r="49001" spans="1:1">
      <c r="A49001" s="56"/>
    </row>
    <row r="49002" spans="1:1">
      <c r="A49002" s="56"/>
    </row>
    <row r="49003" spans="1:1">
      <c r="A49003" s="56"/>
    </row>
    <row r="49004" spans="1:1">
      <c r="A49004" s="56"/>
    </row>
    <row r="49005" spans="1:1">
      <c r="A49005" s="56"/>
    </row>
    <row r="49006" spans="1:1">
      <c r="A49006" s="56"/>
    </row>
    <row r="49007" spans="1:1">
      <c r="A49007" s="56"/>
    </row>
    <row r="49008" spans="1:1">
      <c r="A49008" s="56"/>
    </row>
    <row r="49009" spans="1:1">
      <c r="A49009" s="56"/>
    </row>
    <row r="49010" spans="1:1">
      <c r="A49010" s="56"/>
    </row>
    <row r="49011" spans="1:1">
      <c r="A49011" s="56"/>
    </row>
    <row r="49012" spans="1:1">
      <c r="A49012" s="56"/>
    </row>
    <row r="49013" spans="1:1">
      <c r="A49013" s="56"/>
    </row>
    <row r="49014" spans="1:1">
      <c r="A49014" s="56"/>
    </row>
    <row r="49015" spans="1:1">
      <c r="A49015" s="56"/>
    </row>
    <row r="49016" spans="1:1">
      <c r="A49016" s="56"/>
    </row>
    <row r="49017" spans="1:1">
      <c r="A49017" s="56"/>
    </row>
    <row r="49018" spans="1:1">
      <c r="A49018" s="56"/>
    </row>
    <row r="49019" spans="1:1">
      <c r="A49019" s="56"/>
    </row>
    <row r="49020" spans="1:1">
      <c r="A49020" s="56"/>
    </row>
    <row r="49021" spans="1:1">
      <c r="A49021" s="56"/>
    </row>
    <row r="49022" spans="1:1">
      <c r="A49022" s="56"/>
    </row>
    <row r="49023" spans="1:1">
      <c r="A49023" s="56"/>
    </row>
    <row r="49024" spans="1:1">
      <c r="A49024" s="56"/>
    </row>
    <row r="49025" spans="1:1">
      <c r="A49025" s="56"/>
    </row>
    <row r="49026" spans="1:1">
      <c r="A49026" s="56"/>
    </row>
    <row r="49027" spans="1:1">
      <c r="A49027" s="56"/>
    </row>
    <row r="49028" spans="1:1">
      <c r="A49028" s="56"/>
    </row>
    <row r="49029" spans="1:1">
      <c r="A49029" s="56"/>
    </row>
    <row r="49030" spans="1:1">
      <c r="A49030" s="56"/>
    </row>
    <row r="49031" spans="1:1">
      <c r="A49031" s="56"/>
    </row>
    <row r="49032" spans="1:1">
      <c r="A49032" s="56"/>
    </row>
    <row r="49033" spans="1:1">
      <c r="A49033" s="56"/>
    </row>
    <row r="49034" spans="1:1">
      <c r="A49034" s="56"/>
    </row>
    <row r="49035" spans="1:1">
      <c r="A49035" s="56"/>
    </row>
    <row r="49036" spans="1:1">
      <c r="A49036" s="56"/>
    </row>
    <row r="49037" spans="1:1">
      <c r="A49037" s="56"/>
    </row>
    <row r="49038" spans="1:1">
      <c r="A49038" s="56"/>
    </row>
    <row r="49039" spans="1:1">
      <c r="A49039" s="56"/>
    </row>
    <row r="49040" spans="1:1">
      <c r="A49040" s="56"/>
    </row>
    <row r="49041" spans="1:1">
      <c r="A49041" s="56"/>
    </row>
    <row r="49042" spans="1:1">
      <c r="A49042" s="56"/>
    </row>
    <row r="49043" spans="1:1">
      <c r="A49043" s="56"/>
    </row>
    <row r="49044" spans="1:1">
      <c r="A49044" s="56"/>
    </row>
    <row r="49045" spans="1:1">
      <c r="A49045" s="56"/>
    </row>
    <row r="49046" spans="1:1">
      <c r="A49046" s="56"/>
    </row>
    <row r="49047" spans="1:1">
      <c r="A49047" s="56"/>
    </row>
    <row r="49048" spans="1:1">
      <c r="A49048" s="56"/>
    </row>
    <row r="49049" spans="1:1">
      <c r="A49049" s="56"/>
    </row>
    <row r="49050" spans="1:1">
      <c r="A49050" s="56"/>
    </row>
    <row r="49051" spans="1:1">
      <c r="A49051" s="56"/>
    </row>
    <row r="49052" spans="1:1">
      <c r="A49052" s="56"/>
    </row>
    <row r="49053" spans="1:1">
      <c r="A49053" s="56"/>
    </row>
    <row r="49054" spans="1:1">
      <c r="A49054" s="56"/>
    </row>
    <row r="49055" spans="1:1">
      <c r="A49055" s="56"/>
    </row>
    <row r="49056" spans="1:1">
      <c r="A49056" s="56"/>
    </row>
    <row r="49057" spans="1:1">
      <c r="A49057" s="56"/>
    </row>
    <row r="49058" spans="1:1">
      <c r="A49058" s="56"/>
    </row>
    <row r="49059" spans="1:1">
      <c r="A49059" s="56"/>
    </row>
    <row r="49060" spans="1:1">
      <c r="A49060" s="56"/>
    </row>
    <row r="49061" spans="1:1">
      <c r="A49061" s="56"/>
    </row>
    <row r="49062" spans="1:1">
      <c r="A49062" s="56"/>
    </row>
    <row r="49063" spans="1:1">
      <c r="A49063" s="56"/>
    </row>
    <row r="49064" spans="1:1">
      <c r="A49064" s="56"/>
    </row>
    <row r="49065" spans="1:1">
      <c r="A49065" s="56"/>
    </row>
    <row r="49066" spans="1:1">
      <c r="A49066" s="56"/>
    </row>
    <row r="49067" spans="1:1">
      <c r="A49067" s="56"/>
    </row>
    <row r="49068" spans="1:1">
      <c r="A49068" s="56"/>
    </row>
    <row r="49069" spans="1:1">
      <c r="A49069" s="56"/>
    </row>
    <row r="49070" spans="1:1">
      <c r="A49070" s="56"/>
    </row>
    <row r="49071" spans="1:1">
      <c r="A49071" s="56"/>
    </row>
    <row r="49072" spans="1:1">
      <c r="A49072" s="56"/>
    </row>
    <row r="49073" spans="1:1">
      <c r="A49073" s="56"/>
    </row>
    <row r="49074" spans="1:1">
      <c r="A49074" s="56"/>
    </row>
    <row r="49075" spans="1:1">
      <c r="A49075" s="56"/>
    </row>
    <row r="49076" spans="1:1">
      <c r="A49076" s="56"/>
    </row>
    <row r="49077" spans="1:1">
      <c r="A49077" s="56"/>
    </row>
    <row r="49078" spans="1:1">
      <c r="A49078" s="56"/>
    </row>
    <row r="49079" spans="1:1">
      <c r="A49079" s="56"/>
    </row>
    <row r="49080" spans="1:1">
      <c r="A49080" s="56"/>
    </row>
    <row r="49081" spans="1:1">
      <c r="A49081" s="56"/>
    </row>
    <row r="49082" spans="1:1">
      <c r="A49082" s="56"/>
    </row>
    <row r="49083" spans="1:1">
      <c r="A49083" s="56"/>
    </row>
    <row r="49084" spans="1:1">
      <c r="A49084" s="56"/>
    </row>
    <row r="49085" spans="1:1">
      <c r="A49085" s="56"/>
    </row>
    <row r="49086" spans="1:1">
      <c r="A49086" s="56"/>
    </row>
    <row r="49087" spans="1:1">
      <c r="A49087" s="56"/>
    </row>
    <row r="49088" spans="1:1">
      <c r="A49088" s="56"/>
    </row>
    <row r="49089" spans="1:1">
      <c r="A49089" s="56"/>
    </row>
    <row r="49090" spans="1:1">
      <c r="A49090" s="56"/>
    </row>
    <row r="49091" spans="1:1">
      <c r="A49091" s="56"/>
    </row>
    <row r="49092" spans="1:1">
      <c r="A49092" s="56"/>
    </row>
    <row r="49093" spans="1:1">
      <c r="A49093" s="56"/>
    </row>
    <row r="49094" spans="1:1">
      <c r="A49094" s="56"/>
    </row>
    <row r="49095" spans="1:1">
      <c r="A49095" s="56"/>
    </row>
    <row r="49096" spans="1:1">
      <c r="A49096" s="56"/>
    </row>
    <row r="49097" spans="1:1">
      <c r="A49097" s="56"/>
    </row>
    <row r="49098" spans="1:1">
      <c r="A49098" s="56"/>
    </row>
    <row r="49099" spans="1:1">
      <c r="A49099" s="56"/>
    </row>
    <row r="49100" spans="1:1">
      <c r="A49100" s="56"/>
    </row>
    <row r="49101" spans="1:1">
      <c r="A49101" s="56"/>
    </row>
    <row r="49102" spans="1:1">
      <c r="A49102" s="56"/>
    </row>
    <row r="49103" spans="1:1">
      <c r="A49103" s="56"/>
    </row>
    <row r="49104" spans="1:1">
      <c r="A49104" s="56"/>
    </row>
    <row r="49105" spans="1:1">
      <c r="A49105" s="56"/>
    </row>
    <row r="49106" spans="1:1">
      <c r="A49106" s="56"/>
    </row>
    <row r="49107" spans="1:1">
      <c r="A49107" s="56"/>
    </row>
    <row r="49108" spans="1:1">
      <c r="A49108" s="56"/>
    </row>
    <row r="49109" spans="1:1">
      <c r="A49109" s="56"/>
    </row>
    <row r="49110" spans="1:1">
      <c r="A49110" s="56"/>
    </row>
    <row r="49111" spans="1:1">
      <c r="A49111" s="56"/>
    </row>
    <row r="49112" spans="1:1">
      <c r="A49112" s="56"/>
    </row>
    <row r="49113" spans="1:1">
      <c r="A49113" s="56"/>
    </row>
    <row r="49114" spans="1:1">
      <c r="A49114" s="56"/>
    </row>
    <row r="49115" spans="1:1">
      <c r="A49115" s="56"/>
    </row>
    <row r="49116" spans="1:1">
      <c r="A49116" s="56"/>
    </row>
    <row r="49117" spans="1:1">
      <c r="A49117" s="56"/>
    </row>
    <row r="49118" spans="1:1">
      <c r="A49118" s="56"/>
    </row>
    <row r="49119" spans="1:1">
      <c r="A49119" s="56"/>
    </row>
    <row r="49120" spans="1:1">
      <c r="A49120" s="56"/>
    </row>
    <row r="49121" spans="1:1">
      <c r="A49121" s="56"/>
    </row>
    <row r="49122" spans="1:1">
      <c r="A49122" s="56"/>
    </row>
    <row r="49123" spans="1:1">
      <c r="A49123" s="56"/>
    </row>
    <row r="49124" spans="1:1">
      <c r="A49124" s="56"/>
    </row>
    <row r="49125" spans="1:1">
      <c r="A49125" s="56"/>
    </row>
    <row r="49126" spans="1:1">
      <c r="A49126" s="56"/>
    </row>
    <row r="49127" spans="1:1">
      <c r="A49127" s="56"/>
    </row>
    <row r="49128" spans="1:1">
      <c r="A49128" s="56"/>
    </row>
    <row r="49129" spans="1:1">
      <c r="A49129" s="56"/>
    </row>
    <row r="49130" spans="1:1">
      <c r="A49130" s="56"/>
    </row>
    <row r="49131" spans="1:1">
      <c r="A49131" s="56"/>
    </row>
    <row r="49132" spans="1:1">
      <c r="A49132" s="56"/>
    </row>
    <row r="49133" spans="1:1">
      <c r="A49133" s="56"/>
    </row>
    <row r="49134" spans="1:1">
      <c r="A49134" s="56"/>
    </row>
    <row r="49135" spans="1:1">
      <c r="A49135" s="56"/>
    </row>
    <row r="49136" spans="1:1">
      <c r="A49136" s="56"/>
    </row>
    <row r="49137" spans="1:1">
      <c r="A49137" s="56"/>
    </row>
    <row r="49138" spans="1:1">
      <c r="A49138" s="56"/>
    </row>
    <row r="49139" spans="1:1">
      <c r="A49139" s="56"/>
    </row>
    <row r="49140" spans="1:1">
      <c r="A49140" s="56"/>
    </row>
    <row r="49141" spans="1:1">
      <c r="A49141" s="56"/>
    </row>
    <row r="49142" spans="1:1">
      <c r="A49142" s="56"/>
    </row>
    <row r="49143" spans="1:1">
      <c r="A49143" s="56"/>
    </row>
    <row r="49144" spans="1:1">
      <c r="A49144" s="56"/>
    </row>
    <row r="49145" spans="1:1">
      <c r="A49145" s="56"/>
    </row>
    <row r="49146" spans="1:1">
      <c r="A49146" s="56"/>
    </row>
    <row r="49147" spans="1:1">
      <c r="A49147" s="56"/>
    </row>
    <row r="49148" spans="1:1">
      <c r="A49148" s="56"/>
    </row>
    <row r="49149" spans="1:1">
      <c r="A49149" s="56"/>
    </row>
    <row r="49150" spans="1:1">
      <c r="A49150" s="56"/>
    </row>
    <row r="49151" spans="1:1">
      <c r="A49151" s="56"/>
    </row>
    <row r="49152" spans="1:1">
      <c r="A49152" s="56"/>
    </row>
    <row r="49153" spans="1:1">
      <c r="A49153" s="56"/>
    </row>
    <row r="49154" spans="1:1">
      <c r="A49154" s="56"/>
    </row>
    <row r="49155" spans="1:1">
      <c r="A49155" s="56"/>
    </row>
    <row r="49156" spans="1:1">
      <c r="A49156" s="56"/>
    </row>
    <row r="49157" spans="1:1">
      <c r="A49157" s="56"/>
    </row>
    <row r="49158" spans="1:1">
      <c r="A49158" s="56"/>
    </row>
    <row r="49159" spans="1:1">
      <c r="A49159" s="56"/>
    </row>
    <row r="49160" spans="1:1">
      <c r="A49160" s="56"/>
    </row>
    <row r="49161" spans="1:1">
      <c r="A49161" s="56"/>
    </row>
    <row r="49162" spans="1:1">
      <c r="A49162" s="56"/>
    </row>
    <row r="49163" spans="1:1">
      <c r="A49163" s="56"/>
    </row>
    <row r="49164" spans="1:1">
      <c r="A49164" s="56"/>
    </row>
    <row r="49165" spans="1:1">
      <c r="A49165" s="56"/>
    </row>
    <row r="49166" spans="1:1">
      <c r="A49166" s="56"/>
    </row>
    <row r="49167" spans="1:1">
      <c r="A49167" s="56"/>
    </row>
    <row r="49168" spans="1:1">
      <c r="A49168" s="56"/>
    </row>
    <row r="49169" spans="1:1">
      <c r="A49169" s="56"/>
    </row>
    <row r="49170" spans="1:1">
      <c r="A49170" s="56"/>
    </row>
    <row r="49171" spans="1:1">
      <c r="A49171" s="56"/>
    </row>
    <row r="49172" spans="1:1">
      <c r="A49172" s="56"/>
    </row>
    <row r="49173" spans="1:1">
      <c r="A49173" s="56"/>
    </row>
    <row r="49174" spans="1:1">
      <c r="A49174" s="56"/>
    </row>
    <row r="49175" spans="1:1">
      <c r="A49175" s="56"/>
    </row>
    <row r="49176" spans="1:1">
      <c r="A49176" s="56"/>
    </row>
    <row r="49177" spans="1:1">
      <c r="A49177" s="56"/>
    </row>
    <row r="49178" spans="1:1">
      <c r="A49178" s="56"/>
    </row>
    <row r="49179" spans="1:1">
      <c r="A49179" s="56"/>
    </row>
    <row r="49180" spans="1:1">
      <c r="A49180" s="56"/>
    </row>
    <row r="49181" spans="1:1">
      <c r="A49181" s="56"/>
    </row>
    <row r="49182" spans="1:1">
      <c r="A49182" s="56"/>
    </row>
    <row r="49183" spans="1:1">
      <c r="A49183" s="56"/>
    </row>
    <row r="49184" spans="1:1">
      <c r="A49184" s="56"/>
    </row>
    <row r="49185" spans="1:1">
      <c r="A49185" s="56"/>
    </row>
    <row r="49186" spans="1:1">
      <c r="A49186" s="56"/>
    </row>
    <row r="49187" spans="1:1">
      <c r="A49187" s="56"/>
    </row>
    <row r="49188" spans="1:1">
      <c r="A49188" s="56"/>
    </row>
    <row r="49189" spans="1:1">
      <c r="A49189" s="56"/>
    </row>
    <row r="49190" spans="1:1">
      <c r="A49190" s="56"/>
    </row>
    <row r="49191" spans="1:1">
      <c r="A49191" s="56"/>
    </row>
    <row r="49192" spans="1:1">
      <c r="A49192" s="56"/>
    </row>
    <row r="49193" spans="1:1">
      <c r="A49193" s="56"/>
    </row>
    <row r="49194" spans="1:1">
      <c r="A49194" s="56"/>
    </row>
    <row r="49195" spans="1:1">
      <c r="A49195" s="56"/>
    </row>
    <row r="49196" spans="1:1">
      <c r="A49196" s="56"/>
    </row>
    <row r="49197" spans="1:1">
      <c r="A49197" s="56"/>
    </row>
    <row r="49198" spans="1:1">
      <c r="A49198" s="56"/>
    </row>
    <row r="49199" spans="1:1">
      <c r="A49199" s="56"/>
    </row>
    <row r="49200" spans="1:1">
      <c r="A49200" s="56"/>
    </row>
    <row r="49201" spans="1:1">
      <c r="A49201" s="56"/>
    </row>
    <row r="49202" spans="1:1">
      <c r="A49202" s="56"/>
    </row>
    <row r="49203" spans="1:1">
      <c r="A49203" s="56"/>
    </row>
    <row r="49204" spans="1:1">
      <c r="A49204" s="56"/>
    </row>
    <row r="49205" spans="1:1">
      <c r="A49205" s="56"/>
    </row>
    <row r="49206" spans="1:1">
      <c r="A49206" s="56"/>
    </row>
    <row r="49207" spans="1:1">
      <c r="A49207" s="56"/>
    </row>
    <row r="49208" spans="1:1">
      <c r="A49208" s="56"/>
    </row>
    <row r="49209" spans="1:1">
      <c r="A49209" s="56"/>
    </row>
    <row r="49210" spans="1:1">
      <c r="A49210" s="56"/>
    </row>
    <row r="49211" spans="1:1">
      <c r="A49211" s="56"/>
    </row>
    <row r="49212" spans="1:1">
      <c r="A49212" s="56"/>
    </row>
    <row r="49213" spans="1:1">
      <c r="A49213" s="56"/>
    </row>
    <row r="49214" spans="1:1">
      <c r="A49214" s="56"/>
    </row>
    <row r="49215" spans="1:1">
      <c r="A49215" s="56"/>
    </row>
    <row r="49216" spans="1:1">
      <c r="A49216" s="56"/>
    </row>
    <row r="49217" spans="1:1">
      <c r="A49217" s="56"/>
    </row>
    <row r="49218" spans="1:1">
      <c r="A49218" s="56"/>
    </row>
    <row r="49219" spans="1:1">
      <c r="A49219" s="56"/>
    </row>
    <row r="49220" spans="1:1">
      <c r="A49220" s="56"/>
    </row>
    <row r="49221" spans="1:1">
      <c r="A49221" s="56"/>
    </row>
    <row r="49222" spans="1:1">
      <c r="A49222" s="56"/>
    </row>
    <row r="49223" spans="1:1">
      <c r="A49223" s="56"/>
    </row>
    <row r="49224" spans="1:1">
      <c r="A49224" s="56"/>
    </row>
    <row r="49225" spans="1:1">
      <c r="A49225" s="56"/>
    </row>
    <row r="49226" spans="1:1">
      <c r="A49226" s="56"/>
    </row>
    <row r="49227" spans="1:1">
      <c r="A49227" s="56"/>
    </row>
    <row r="49228" spans="1:1">
      <c r="A49228" s="56"/>
    </row>
    <row r="49229" spans="1:1">
      <c r="A49229" s="56"/>
    </row>
    <row r="49230" spans="1:1">
      <c r="A49230" s="56"/>
    </row>
    <row r="49231" spans="1:1">
      <c r="A49231" s="56"/>
    </row>
    <row r="49232" spans="1:1">
      <c r="A49232" s="56"/>
    </row>
    <row r="49233" spans="1:1">
      <c r="A49233" s="56"/>
    </row>
    <row r="49234" spans="1:1">
      <c r="A49234" s="56"/>
    </row>
    <row r="49235" spans="1:1">
      <c r="A49235" s="56"/>
    </row>
    <row r="49236" spans="1:1">
      <c r="A49236" s="56"/>
    </row>
    <row r="49237" spans="1:1">
      <c r="A49237" s="56"/>
    </row>
    <row r="49238" spans="1:1">
      <c r="A49238" s="56"/>
    </row>
    <row r="49239" spans="1:1">
      <c r="A49239" s="56"/>
    </row>
    <row r="49240" spans="1:1">
      <c r="A49240" s="56"/>
    </row>
    <row r="49241" spans="1:1">
      <c r="A49241" s="56"/>
    </row>
    <row r="49242" spans="1:1">
      <c r="A49242" s="56"/>
    </row>
    <row r="49243" spans="1:1">
      <c r="A49243" s="56"/>
    </row>
    <row r="49244" spans="1:1">
      <c r="A49244" s="56"/>
    </row>
    <row r="49245" spans="1:1">
      <c r="A49245" s="56"/>
    </row>
    <row r="49246" spans="1:1">
      <c r="A49246" s="56"/>
    </row>
    <row r="49247" spans="1:1">
      <c r="A49247" s="56"/>
    </row>
    <row r="49248" spans="1:1">
      <c r="A49248" s="56"/>
    </row>
    <row r="49249" spans="1:1">
      <c r="A49249" s="56"/>
    </row>
    <row r="49250" spans="1:1">
      <c r="A49250" s="56"/>
    </row>
    <row r="49251" spans="1:1">
      <c r="A49251" s="56"/>
    </row>
    <row r="49252" spans="1:1">
      <c r="A49252" s="56"/>
    </row>
    <row r="49253" spans="1:1">
      <c r="A49253" s="56"/>
    </row>
    <row r="49254" spans="1:1">
      <c r="A49254" s="56"/>
    </row>
    <row r="49255" spans="1:1">
      <c r="A49255" s="56"/>
    </row>
    <row r="49256" spans="1:1">
      <c r="A49256" s="56"/>
    </row>
    <row r="49257" spans="1:1">
      <c r="A49257" s="56"/>
    </row>
    <row r="49258" spans="1:1">
      <c r="A49258" s="56"/>
    </row>
    <row r="49259" spans="1:1">
      <c r="A49259" s="56"/>
    </row>
    <row r="49260" spans="1:1">
      <c r="A49260" s="56"/>
    </row>
    <row r="49261" spans="1:1">
      <c r="A49261" s="56"/>
    </row>
    <row r="49262" spans="1:1">
      <c r="A49262" s="56"/>
    </row>
    <row r="49263" spans="1:1">
      <c r="A49263" s="56"/>
    </row>
    <row r="49264" spans="1:1">
      <c r="A49264" s="56"/>
    </row>
    <row r="49265" spans="1:1">
      <c r="A49265" s="56"/>
    </row>
    <row r="49266" spans="1:1">
      <c r="A49266" s="56"/>
    </row>
    <row r="49267" spans="1:1">
      <c r="A49267" s="56"/>
    </row>
    <row r="49268" spans="1:1">
      <c r="A49268" s="56"/>
    </row>
    <row r="49269" spans="1:1">
      <c r="A49269" s="56"/>
    </row>
    <row r="49270" spans="1:1">
      <c r="A49270" s="56"/>
    </row>
    <row r="49271" spans="1:1">
      <c r="A49271" s="56"/>
    </row>
    <row r="49272" spans="1:1">
      <c r="A49272" s="56"/>
    </row>
    <row r="49273" spans="1:1">
      <c r="A49273" s="56"/>
    </row>
    <row r="49274" spans="1:1">
      <c r="A49274" s="56"/>
    </row>
    <row r="49275" spans="1:1">
      <c r="A49275" s="56"/>
    </row>
    <row r="49276" spans="1:1">
      <c r="A49276" s="56"/>
    </row>
    <row r="49277" spans="1:1">
      <c r="A49277" s="56"/>
    </row>
    <row r="49278" spans="1:1">
      <c r="A49278" s="56"/>
    </row>
    <row r="49279" spans="1:1">
      <c r="A49279" s="56"/>
    </row>
    <row r="49280" spans="1:1">
      <c r="A49280" s="56"/>
    </row>
    <row r="49281" spans="1:1">
      <c r="A49281" s="56"/>
    </row>
    <row r="49282" spans="1:1">
      <c r="A49282" s="56"/>
    </row>
    <row r="49283" spans="1:1">
      <c r="A49283" s="56"/>
    </row>
    <row r="49284" spans="1:1">
      <c r="A49284" s="56"/>
    </row>
    <row r="49285" spans="1:1">
      <c r="A49285" s="56"/>
    </row>
    <row r="49286" spans="1:1">
      <c r="A49286" s="56"/>
    </row>
    <row r="49287" spans="1:1">
      <c r="A49287" s="56"/>
    </row>
    <row r="49288" spans="1:1">
      <c r="A49288" s="56"/>
    </row>
    <row r="49289" spans="1:1">
      <c r="A49289" s="56"/>
    </row>
    <row r="49290" spans="1:1">
      <c r="A49290" s="56"/>
    </row>
    <row r="49291" spans="1:1">
      <c r="A49291" s="56"/>
    </row>
    <row r="49292" spans="1:1">
      <c r="A49292" s="56"/>
    </row>
    <row r="49293" spans="1:1">
      <c r="A49293" s="56"/>
    </row>
    <row r="49294" spans="1:1">
      <c r="A49294" s="56"/>
    </row>
    <row r="49295" spans="1:1">
      <c r="A49295" s="56"/>
    </row>
    <row r="49296" spans="1:1">
      <c r="A49296" s="56"/>
    </row>
    <row r="49297" spans="1:1">
      <c r="A49297" s="56"/>
    </row>
    <row r="49298" spans="1:1">
      <c r="A49298" s="56"/>
    </row>
    <row r="49299" spans="1:1">
      <c r="A49299" s="56"/>
    </row>
    <row r="49300" spans="1:1">
      <c r="A49300" s="56"/>
    </row>
    <row r="49301" spans="1:1">
      <c r="A49301" s="56"/>
    </row>
    <row r="49302" spans="1:1">
      <c r="A49302" s="56"/>
    </row>
    <row r="49303" spans="1:1">
      <c r="A49303" s="56"/>
    </row>
    <row r="49304" spans="1:1">
      <c r="A49304" s="56"/>
    </row>
    <row r="49305" spans="1:1">
      <c r="A49305" s="56"/>
    </row>
    <row r="49306" spans="1:1">
      <c r="A49306" s="56"/>
    </row>
    <row r="49307" spans="1:1">
      <c r="A49307" s="56"/>
    </row>
    <row r="49308" spans="1:1">
      <c r="A49308" s="56"/>
    </row>
    <row r="49309" spans="1:1">
      <c r="A49309" s="56"/>
    </row>
    <row r="49310" spans="1:1">
      <c r="A49310" s="56"/>
    </row>
    <row r="49311" spans="1:1">
      <c r="A49311" s="56"/>
    </row>
    <row r="49312" spans="1:1">
      <c r="A49312" s="56"/>
    </row>
    <row r="49313" spans="1:1">
      <c r="A49313" s="56"/>
    </row>
    <row r="49314" spans="1:1">
      <c r="A49314" s="56"/>
    </row>
    <row r="49315" spans="1:1">
      <c r="A49315" s="56"/>
    </row>
    <row r="49316" spans="1:1">
      <c r="A49316" s="56"/>
    </row>
    <row r="49317" spans="1:1">
      <c r="A49317" s="56"/>
    </row>
    <row r="49318" spans="1:1">
      <c r="A49318" s="56"/>
    </row>
    <row r="49319" spans="1:1">
      <c r="A49319" s="56"/>
    </row>
    <row r="49320" spans="1:1">
      <c r="A49320" s="56"/>
    </row>
    <row r="49321" spans="1:1">
      <c r="A49321" s="56"/>
    </row>
    <row r="49322" spans="1:1">
      <c r="A49322" s="56"/>
    </row>
    <row r="49323" spans="1:1">
      <c r="A49323" s="56"/>
    </row>
    <row r="49324" spans="1:1">
      <c r="A49324" s="56"/>
    </row>
    <row r="49325" spans="1:1">
      <c r="A49325" s="56"/>
    </row>
    <row r="49326" spans="1:1">
      <c r="A49326" s="56"/>
    </row>
    <row r="49327" spans="1:1">
      <c r="A49327" s="56"/>
    </row>
    <row r="49328" spans="1:1">
      <c r="A49328" s="56"/>
    </row>
    <row r="49329" spans="1:1">
      <c r="A49329" s="56"/>
    </row>
    <row r="49330" spans="1:1">
      <c r="A49330" s="56"/>
    </row>
    <row r="49331" spans="1:1">
      <c r="A49331" s="56"/>
    </row>
    <row r="49332" spans="1:1">
      <c r="A49332" s="56"/>
    </row>
    <row r="49333" spans="1:1">
      <c r="A49333" s="56"/>
    </row>
    <row r="49334" spans="1:1">
      <c r="A49334" s="56"/>
    </row>
    <row r="49335" spans="1:1">
      <c r="A49335" s="56"/>
    </row>
    <row r="49336" spans="1:1">
      <c r="A49336" s="56"/>
    </row>
    <row r="49337" spans="1:1">
      <c r="A49337" s="56"/>
    </row>
    <row r="49338" spans="1:1">
      <c r="A49338" s="56"/>
    </row>
    <row r="49339" spans="1:1">
      <c r="A49339" s="56"/>
    </row>
    <row r="49340" spans="1:1">
      <c r="A49340" s="56"/>
    </row>
    <row r="49341" spans="1:1">
      <c r="A49341" s="56"/>
    </row>
    <row r="49342" spans="1:1">
      <c r="A49342" s="56"/>
    </row>
    <row r="49343" spans="1:1">
      <c r="A49343" s="56"/>
    </row>
    <row r="49344" spans="1:1">
      <c r="A49344" s="56"/>
    </row>
    <row r="49345" spans="1:1">
      <c r="A49345" s="56"/>
    </row>
    <row r="49346" spans="1:1">
      <c r="A49346" s="56"/>
    </row>
    <row r="49347" spans="1:1">
      <c r="A49347" s="56"/>
    </row>
    <row r="49348" spans="1:1">
      <c r="A49348" s="56"/>
    </row>
    <row r="49349" spans="1:1">
      <c r="A49349" s="56"/>
    </row>
    <row r="49350" spans="1:1">
      <c r="A49350" s="56"/>
    </row>
    <row r="49351" spans="1:1">
      <c r="A49351" s="56"/>
    </row>
    <row r="49352" spans="1:1">
      <c r="A49352" s="56"/>
    </row>
    <row r="49353" spans="1:1">
      <c r="A49353" s="56"/>
    </row>
    <row r="49354" spans="1:1">
      <c r="A49354" s="56"/>
    </row>
    <row r="49355" spans="1:1">
      <c r="A49355" s="56"/>
    </row>
    <row r="49356" spans="1:1">
      <c r="A49356" s="56"/>
    </row>
    <row r="49357" spans="1:1">
      <c r="A49357" s="56"/>
    </row>
    <row r="49358" spans="1:1">
      <c r="A49358" s="56"/>
    </row>
    <row r="49359" spans="1:1">
      <c r="A49359" s="56"/>
    </row>
    <row r="49360" spans="1:1">
      <c r="A49360" s="56"/>
    </row>
    <row r="49361" spans="1:1">
      <c r="A49361" s="56"/>
    </row>
    <row r="49362" spans="1:1">
      <c r="A49362" s="56"/>
    </row>
    <row r="49363" spans="1:1">
      <c r="A49363" s="56"/>
    </row>
    <row r="49364" spans="1:1">
      <c r="A49364" s="56"/>
    </row>
    <row r="49365" spans="1:1">
      <c r="A49365" s="56"/>
    </row>
    <row r="49366" spans="1:1">
      <c r="A49366" s="56"/>
    </row>
    <row r="49367" spans="1:1">
      <c r="A49367" s="56"/>
    </row>
    <row r="49368" spans="1:1">
      <c r="A49368" s="56"/>
    </row>
    <row r="49369" spans="1:1">
      <c r="A49369" s="56"/>
    </row>
    <row r="49370" spans="1:1">
      <c r="A49370" s="56"/>
    </row>
    <row r="49371" spans="1:1">
      <c r="A49371" s="56"/>
    </row>
    <row r="49372" spans="1:1">
      <c r="A49372" s="56"/>
    </row>
    <row r="49373" spans="1:1">
      <c r="A49373" s="56"/>
    </row>
    <row r="49374" spans="1:1">
      <c r="A49374" s="56"/>
    </row>
    <row r="49375" spans="1:1">
      <c r="A49375" s="56"/>
    </row>
    <row r="49376" spans="1:1">
      <c r="A49376" s="56"/>
    </row>
    <row r="49377" spans="1:1">
      <c r="A49377" s="56"/>
    </row>
    <row r="49378" spans="1:1">
      <c r="A49378" s="56"/>
    </row>
    <row r="49379" spans="1:1">
      <c r="A49379" s="56"/>
    </row>
    <row r="49380" spans="1:1">
      <c r="A49380" s="56"/>
    </row>
    <row r="49381" spans="1:1">
      <c r="A49381" s="56"/>
    </row>
    <row r="49382" spans="1:1">
      <c r="A49382" s="56"/>
    </row>
    <row r="49383" spans="1:1">
      <c r="A49383" s="56"/>
    </row>
    <row r="49384" spans="1:1">
      <c r="A49384" s="56"/>
    </row>
    <row r="49385" spans="1:1">
      <c r="A49385" s="56"/>
    </row>
    <row r="49386" spans="1:1">
      <c r="A49386" s="56"/>
    </row>
    <row r="49387" spans="1:1">
      <c r="A49387" s="56"/>
    </row>
    <row r="49388" spans="1:1">
      <c r="A49388" s="56"/>
    </row>
    <row r="49389" spans="1:1">
      <c r="A49389" s="56"/>
    </row>
    <row r="49390" spans="1:1">
      <c r="A49390" s="56"/>
    </row>
    <row r="49391" spans="1:1">
      <c r="A49391" s="56"/>
    </row>
    <row r="49392" spans="1:1">
      <c r="A49392" s="56"/>
    </row>
    <row r="49393" spans="1:1">
      <c r="A49393" s="56"/>
    </row>
    <row r="49394" spans="1:1">
      <c r="A49394" s="56"/>
    </row>
    <row r="49395" spans="1:1">
      <c r="A49395" s="56"/>
    </row>
    <row r="49396" spans="1:1">
      <c r="A49396" s="56"/>
    </row>
    <row r="49397" spans="1:1">
      <c r="A49397" s="56"/>
    </row>
    <row r="49398" spans="1:1">
      <c r="A49398" s="56"/>
    </row>
    <row r="49399" spans="1:1">
      <c r="A49399" s="56"/>
    </row>
    <row r="49400" spans="1:1">
      <c r="A49400" s="56"/>
    </row>
    <row r="49401" spans="1:1">
      <c r="A49401" s="56"/>
    </row>
    <row r="49402" spans="1:1">
      <c r="A49402" s="56"/>
    </row>
    <row r="49403" spans="1:1">
      <c r="A49403" s="56"/>
    </row>
    <row r="49404" spans="1:1">
      <c r="A49404" s="56"/>
    </row>
    <row r="49405" spans="1:1">
      <c r="A49405" s="56"/>
    </row>
    <row r="49406" spans="1:1">
      <c r="A49406" s="56"/>
    </row>
    <row r="49407" spans="1:1">
      <c r="A49407" s="56"/>
    </row>
    <row r="49408" spans="1:1">
      <c r="A49408" s="56"/>
    </row>
    <row r="49409" spans="1:1">
      <c r="A49409" s="56"/>
    </row>
    <row r="49410" spans="1:1">
      <c r="A49410" s="56"/>
    </row>
    <row r="49411" spans="1:1">
      <c r="A49411" s="56"/>
    </row>
    <row r="49412" spans="1:1">
      <c r="A49412" s="56"/>
    </row>
    <row r="49413" spans="1:1">
      <c r="A49413" s="56"/>
    </row>
    <row r="49414" spans="1:1">
      <c r="A49414" s="56"/>
    </row>
    <row r="49415" spans="1:1">
      <c r="A49415" s="56"/>
    </row>
    <row r="49416" spans="1:1">
      <c r="A49416" s="56"/>
    </row>
    <row r="49417" spans="1:1">
      <c r="A49417" s="56"/>
    </row>
    <row r="49418" spans="1:1">
      <c r="A49418" s="56"/>
    </row>
    <row r="49419" spans="1:1">
      <c r="A49419" s="56"/>
    </row>
    <row r="49420" spans="1:1">
      <c r="A49420" s="56"/>
    </row>
    <row r="49421" spans="1:1">
      <c r="A49421" s="56"/>
    </row>
    <row r="49422" spans="1:1">
      <c r="A49422" s="56"/>
    </row>
    <row r="49423" spans="1:1">
      <c r="A49423" s="56"/>
    </row>
    <row r="49424" spans="1:1">
      <c r="A49424" s="56"/>
    </row>
    <row r="49425" spans="1:1">
      <c r="A49425" s="56"/>
    </row>
    <row r="49426" spans="1:1">
      <c r="A49426" s="56"/>
    </row>
    <row r="49427" spans="1:1">
      <c r="A49427" s="56"/>
    </row>
    <row r="49428" spans="1:1">
      <c r="A49428" s="56"/>
    </row>
    <row r="49429" spans="1:1">
      <c r="A49429" s="56"/>
    </row>
    <row r="49430" spans="1:1">
      <c r="A49430" s="56"/>
    </row>
    <row r="49431" spans="1:1">
      <c r="A49431" s="56"/>
    </row>
    <row r="49432" spans="1:1">
      <c r="A49432" s="56"/>
    </row>
    <row r="49433" spans="1:1">
      <c r="A49433" s="56"/>
    </row>
    <row r="49434" spans="1:1">
      <c r="A49434" s="56"/>
    </row>
    <row r="49435" spans="1:1">
      <c r="A49435" s="56"/>
    </row>
    <row r="49436" spans="1:1">
      <c r="A49436" s="56"/>
    </row>
    <row r="49437" spans="1:1">
      <c r="A49437" s="56"/>
    </row>
    <row r="49438" spans="1:1">
      <c r="A49438" s="56"/>
    </row>
    <row r="49439" spans="1:1">
      <c r="A49439" s="56"/>
    </row>
    <row r="49440" spans="1:1">
      <c r="A49440" s="56"/>
    </row>
    <row r="49441" spans="1:1">
      <c r="A49441" s="56"/>
    </row>
    <row r="49442" spans="1:1">
      <c r="A49442" s="56"/>
    </row>
    <row r="49443" spans="1:1">
      <c r="A49443" s="56"/>
    </row>
    <row r="49444" spans="1:1">
      <c r="A49444" s="56"/>
    </row>
    <row r="49445" spans="1:1">
      <c r="A49445" s="56"/>
    </row>
    <row r="49446" spans="1:1">
      <c r="A49446" s="56"/>
    </row>
    <row r="49447" spans="1:1">
      <c r="A49447" s="56"/>
    </row>
    <row r="49448" spans="1:1">
      <c r="A49448" s="56"/>
    </row>
    <row r="49449" spans="1:1">
      <c r="A49449" s="56"/>
    </row>
    <row r="49450" spans="1:1">
      <c r="A49450" s="56"/>
    </row>
    <row r="49451" spans="1:1">
      <c r="A49451" s="56"/>
    </row>
    <row r="49452" spans="1:1">
      <c r="A49452" s="56"/>
    </row>
    <row r="49453" spans="1:1">
      <c r="A49453" s="56"/>
    </row>
    <row r="49454" spans="1:1">
      <c r="A49454" s="56"/>
    </row>
    <row r="49455" spans="1:1">
      <c r="A49455" s="56"/>
    </row>
    <row r="49456" spans="1:1">
      <c r="A49456" s="56"/>
    </row>
    <row r="49457" spans="1:1">
      <c r="A49457" s="56"/>
    </row>
    <row r="49458" spans="1:1">
      <c r="A49458" s="56"/>
    </row>
    <row r="49459" spans="1:1">
      <c r="A49459" s="56"/>
    </row>
    <row r="49460" spans="1:1">
      <c r="A49460" s="56"/>
    </row>
    <row r="49461" spans="1:1">
      <c r="A49461" s="56"/>
    </row>
    <row r="49462" spans="1:1">
      <c r="A49462" s="56"/>
    </row>
    <row r="49463" spans="1:1">
      <c r="A49463" s="56"/>
    </row>
    <row r="49464" spans="1:1">
      <c r="A49464" s="56"/>
    </row>
    <row r="49465" spans="1:1">
      <c r="A49465" s="56"/>
    </row>
    <row r="49466" spans="1:1">
      <c r="A49466" s="56"/>
    </row>
    <row r="49467" spans="1:1">
      <c r="A49467" s="56"/>
    </row>
    <row r="49468" spans="1:1">
      <c r="A49468" s="56"/>
    </row>
    <row r="49469" spans="1:1">
      <c r="A49469" s="56"/>
    </row>
    <row r="49470" spans="1:1">
      <c r="A49470" s="56"/>
    </row>
    <row r="49471" spans="1:1">
      <c r="A49471" s="56"/>
    </row>
    <row r="49472" spans="1:1">
      <c r="A49472" s="56"/>
    </row>
    <row r="49473" spans="1:1">
      <c r="A49473" s="56"/>
    </row>
    <row r="49474" spans="1:1">
      <c r="A49474" s="56"/>
    </row>
    <row r="49475" spans="1:1">
      <c r="A49475" s="56"/>
    </row>
    <row r="49476" spans="1:1">
      <c r="A49476" s="56"/>
    </row>
    <row r="49477" spans="1:1">
      <c r="A49477" s="56"/>
    </row>
    <row r="49478" spans="1:1">
      <c r="A49478" s="56"/>
    </row>
    <row r="49479" spans="1:1">
      <c r="A49479" s="56"/>
    </row>
    <row r="49480" spans="1:1">
      <c r="A49480" s="56"/>
    </row>
    <row r="49481" spans="1:1">
      <c r="A49481" s="56"/>
    </row>
    <row r="49482" spans="1:1">
      <c r="A49482" s="56"/>
    </row>
    <row r="49483" spans="1:1">
      <c r="A49483" s="56"/>
    </row>
    <row r="49484" spans="1:1">
      <c r="A49484" s="56"/>
    </row>
    <row r="49485" spans="1:1">
      <c r="A49485" s="56"/>
    </row>
    <row r="49486" spans="1:1">
      <c r="A49486" s="56"/>
    </row>
    <row r="49487" spans="1:1">
      <c r="A49487" s="56"/>
    </row>
    <row r="49488" spans="1:1">
      <c r="A49488" s="56"/>
    </row>
    <row r="49489" spans="1:1">
      <c r="A49489" s="56"/>
    </row>
    <row r="49490" spans="1:1">
      <c r="A49490" s="56"/>
    </row>
    <row r="49491" spans="1:1">
      <c r="A49491" s="56"/>
    </row>
    <row r="49492" spans="1:1">
      <c r="A49492" s="56"/>
    </row>
    <row r="49493" spans="1:1">
      <c r="A49493" s="56"/>
    </row>
    <row r="49494" spans="1:1">
      <c r="A49494" s="56"/>
    </row>
    <row r="49495" spans="1:1">
      <c r="A49495" s="56"/>
    </row>
    <row r="49496" spans="1:1">
      <c r="A49496" s="56"/>
    </row>
    <row r="49497" spans="1:1">
      <c r="A49497" s="56"/>
    </row>
    <row r="49498" spans="1:1">
      <c r="A49498" s="56"/>
    </row>
    <row r="49499" spans="1:1">
      <c r="A49499" s="56"/>
    </row>
    <row r="49500" spans="1:1">
      <c r="A49500" s="56"/>
    </row>
    <row r="49501" spans="1:1">
      <c r="A49501" s="56"/>
    </row>
    <row r="49502" spans="1:1">
      <c r="A49502" s="56"/>
    </row>
    <row r="49503" spans="1:1">
      <c r="A49503" s="56"/>
    </row>
    <row r="49504" spans="1:1">
      <c r="A49504" s="56"/>
    </row>
    <row r="49505" spans="1:1">
      <c r="A49505" s="56"/>
    </row>
    <row r="49506" spans="1:1">
      <c r="A49506" s="56"/>
    </row>
    <row r="49507" spans="1:1">
      <c r="A49507" s="56"/>
    </row>
    <row r="49508" spans="1:1">
      <c r="A49508" s="56"/>
    </row>
    <row r="49509" spans="1:1">
      <c r="A49509" s="56"/>
    </row>
    <row r="49510" spans="1:1">
      <c r="A49510" s="56"/>
    </row>
    <row r="49511" spans="1:1">
      <c r="A49511" s="56"/>
    </row>
    <row r="49512" spans="1:1">
      <c r="A49512" s="56"/>
    </row>
    <row r="49513" spans="1:1">
      <c r="A49513" s="56"/>
    </row>
    <row r="49514" spans="1:1">
      <c r="A49514" s="56"/>
    </row>
    <row r="49515" spans="1:1">
      <c r="A49515" s="56"/>
    </row>
    <row r="49516" spans="1:1">
      <c r="A49516" s="56"/>
    </row>
    <row r="49517" spans="1:1">
      <c r="A49517" s="56"/>
    </row>
    <row r="49518" spans="1:1">
      <c r="A49518" s="56"/>
    </row>
    <row r="49519" spans="1:1">
      <c r="A49519" s="56"/>
    </row>
    <row r="49520" spans="1:1">
      <c r="A49520" s="56"/>
    </row>
    <row r="49521" spans="1:1">
      <c r="A49521" s="56"/>
    </row>
    <row r="49522" spans="1:1">
      <c r="A49522" s="56"/>
    </row>
    <row r="49523" spans="1:1">
      <c r="A49523" s="56"/>
    </row>
    <row r="49524" spans="1:1">
      <c r="A49524" s="56"/>
    </row>
    <row r="49525" spans="1:1">
      <c r="A49525" s="56"/>
    </row>
    <row r="49526" spans="1:1">
      <c r="A49526" s="56"/>
    </row>
    <row r="49527" spans="1:1">
      <c r="A49527" s="56"/>
    </row>
    <row r="49528" spans="1:1">
      <c r="A49528" s="56"/>
    </row>
    <row r="49529" spans="1:1">
      <c r="A49529" s="56"/>
    </row>
    <row r="49530" spans="1:1">
      <c r="A49530" s="56"/>
    </row>
    <row r="49531" spans="1:1">
      <c r="A49531" s="56"/>
    </row>
    <row r="49532" spans="1:1">
      <c r="A49532" s="56"/>
    </row>
    <row r="49533" spans="1:1">
      <c r="A49533" s="56"/>
    </row>
    <row r="49534" spans="1:1">
      <c r="A49534" s="56"/>
    </row>
    <row r="49535" spans="1:1">
      <c r="A49535" s="56"/>
    </row>
    <row r="49536" spans="1:1">
      <c r="A49536" s="56"/>
    </row>
    <row r="49537" spans="1:1">
      <c r="A49537" s="56"/>
    </row>
    <row r="49538" spans="1:1">
      <c r="A49538" s="56"/>
    </row>
    <row r="49539" spans="1:1">
      <c r="A49539" s="56"/>
    </row>
    <row r="49540" spans="1:1">
      <c r="A49540" s="56"/>
    </row>
    <row r="49541" spans="1:1">
      <c r="A49541" s="56"/>
    </row>
    <row r="49542" spans="1:1">
      <c r="A49542" s="56"/>
    </row>
    <row r="49543" spans="1:1">
      <c r="A49543" s="56"/>
    </row>
    <row r="49544" spans="1:1">
      <c r="A49544" s="56"/>
    </row>
    <row r="49545" spans="1:1">
      <c r="A49545" s="56"/>
    </row>
    <row r="49546" spans="1:1">
      <c r="A49546" s="56"/>
    </row>
    <row r="49547" spans="1:1">
      <c r="A49547" s="56"/>
    </row>
    <row r="49548" spans="1:1">
      <c r="A49548" s="56"/>
    </row>
    <row r="49549" spans="1:1">
      <c r="A49549" s="56"/>
    </row>
    <row r="49550" spans="1:1">
      <c r="A49550" s="56"/>
    </row>
    <row r="49551" spans="1:1">
      <c r="A49551" s="56"/>
    </row>
    <row r="49552" spans="1:1">
      <c r="A49552" s="56"/>
    </row>
    <row r="49553" spans="1:1">
      <c r="A49553" s="56"/>
    </row>
    <row r="49554" spans="1:1">
      <c r="A49554" s="56"/>
    </row>
    <row r="49555" spans="1:1">
      <c r="A49555" s="56"/>
    </row>
    <row r="49556" spans="1:1">
      <c r="A49556" s="56"/>
    </row>
    <row r="49557" spans="1:1">
      <c r="A49557" s="56"/>
    </row>
    <row r="49558" spans="1:1">
      <c r="A49558" s="56"/>
    </row>
    <row r="49559" spans="1:1">
      <c r="A49559" s="56"/>
    </row>
    <row r="49560" spans="1:1">
      <c r="A49560" s="56"/>
    </row>
    <row r="49561" spans="1:1">
      <c r="A49561" s="56"/>
    </row>
    <row r="49562" spans="1:1">
      <c r="A49562" s="56"/>
    </row>
    <row r="49563" spans="1:1">
      <c r="A49563" s="56"/>
    </row>
    <row r="49564" spans="1:1">
      <c r="A49564" s="56"/>
    </row>
    <row r="49565" spans="1:1">
      <c r="A49565" s="56"/>
    </row>
    <row r="49566" spans="1:1">
      <c r="A49566" s="56"/>
    </row>
    <row r="49567" spans="1:1">
      <c r="A49567" s="56"/>
    </row>
    <row r="49568" spans="1:1">
      <c r="A49568" s="56"/>
    </row>
    <row r="49569" spans="1:1">
      <c r="A49569" s="56"/>
    </row>
    <row r="49570" spans="1:1">
      <c r="A49570" s="56"/>
    </row>
    <row r="49571" spans="1:1">
      <c r="A49571" s="56"/>
    </row>
    <row r="49572" spans="1:1">
      <c r="A49572" s="56"/>
    </row>
    <row r="49573" spans="1:1">
      <c r="A49573" s="56"/>
    </row>
    <row r="49574" spans="1:1">
      <c r="A49574" s="56"/>
    </row>
    <row r="49575" spans="1:1">
      <c r="A49575" s="56"/>
    </row>
    <row r="49576" spans="1:1">
      <c r="A49576" s="56"/>
    </row>
    <row r="49577" spans="1:1">
      <c r="A49577" s="56"/>
    </row>
    <row r="49578" spans="1:1">
      <c r="A49578" s="56"/>
    </row>
    <row r="49579" spans="1:1">
      <c r="A49579" s="56"/>
    </row>
    <row r="49580" spans="1:1">
      <c r="A49580" s="56"/>
    </row>
    <row r="49581" spans="1:1">
      <c r="A49581" s="56"/>
    </row>
    <row r="49582" spans="1:1">
      <c r="A49582" s="56"/>
    </row>
    <row r="49583" spans="1:1">
      <c r="A49583" s="56"/>
    </row>
    <row r="49584" spans="1:1">
      <c r="A49584" s="56"/>
    </row>
    <row r="49585" spans="1:1">
      <c r="A49585" s="56"/>
    </row>
    <row r="49586" spans="1:1">
      <c r="A49586" s="56"/>
    </row>
    <row r="49587" spans="1:1">
      <c r="A49587" s="56"/>
    </row>
    <row r="49588" spans="1:1">
      <c r="A49588" s="56"/>
    </row>
    <row r="49589" spans="1:1">
      <c r="A49589" s="56"/>
    </row>
    <row r="49590" spans="1:1">
      <c r="A49590" s="56"/>
    </row>
    <row r="49591" spans="1:1">
      <c r="A49591" s="56"/>
    </row>
    <row r="49592" spans="1:1">
      <c r="A49592" s="56"/>
    </row>
    <row r="49593" spans="1:1">
      <c r="A49593" s="56"/>
    </row>
    <row r="49594" spans="1:1">
      <c r="A49594" s="56"/>
    </row>
    <row r="49595" spans="1:1">
      <c r="A49595" s="56"/>
    </row>
    <row r="49596" spans="1:1">
      <c r="A49596" s="56"/>
    </row>
    <row r="49597" spans="1:1">
      <c r="A49597" s="56"/>
    </row>
    <row r="49598" spans="1:1">
      <c r="A49598" s="56"/>
    </row>
    <row r="49599" spans="1:1">
      <c r="A49599" s="56"/>
    </row>
    <row r="49600" spans="1:1">
      <c r="A49600" s="56"/>
    </row>
    <row r="49601" spans="1:1">
      <c r="A49601" s="56"/>
    </row>
    <row r="49602" spans="1:1">
      <c r="A49602" s="56"/>
    </row>
    <row r="49603" spans="1:1">
      <c r="A49603" s="56"/>
    </row>
    <row r="49604" spans="1:1">
      <c r="A49604" s="56"/>
    </row>
    <row r="49605" spans="1:1">
      <c r="A49605" s="56"/>
    </row>
    <row r="49606" spans="1:1">
      <c r="A49606" s="56"/>
    </row>
    <row r="49607" spans="1:1">
      <c r="A49607" s="56"/>
    </row>
    <row r="49608" spans="1:1">
      <c r="A49608" s="56"/>
    </row>
    <row r="49609" spans="1:1">
      <c r="A49609" s="56"/>
    </row>
    <row r="49610" spans="1:1">
      <c r="A49610" s="56"/>
    </row>
    <row r="49611" spans="1:1">
      <c r="A49611" s="56"/>
    </row>
    <row r="49612" spans="1:1">
      <c r="A49612" s="56"/>
    </row>
    <row r="49613" spans="1:1">
      <c r="A49613" s="56"/>
    </row>
    <row r="49614" spans="1:1">
      <c r="A49614" s="56"/>
    </row>
    <row r="49615" spans="1:1">
      <c r="A49615" s="56"/>
    </row>
    <row r="49616" spans="1:1">
      <c r="A49616" s="56"/>
    </row>
    <row r="49617" spans="1:1">
      <c r="A49617" s="56"/>
    </row>
    <row r="49618" spans="1:1">
      <c r="A49618" s="56"/>
    </row>
    <row r="49619" spans="1:1">
      <c r="A49619" s="56"/>
    </row>
    <row r="49620" spans="1:1">
      <c r="A49620" s="56"/>
    </row>
    <row r="49621" spans="1:1">
      <c r="A49621" s="56"/>
    </row>
    <row r="49622" spans="1:1">
      <c r="A49622" s="56"/>
    </row>
    <row r="49623" spans="1:1">
      <c r="A49623" s="56"/>
    </row>
    <row r="49624" spans="1:1">
      <c r="A49624" s="56"/>
    </row>
    <row r="49625" spans="1:1">
      <c r="A49625" s="56"/>
    </row>
    <row r="49626" spans="1:1">
      <c r="A49626" s="56"/>
    </row>
    <row r="49627" spans="1:1">
      <c r="A49627" s="56"/>
    </row>
    <row r="49628" spans="1:1">
      <c r="A49628" s="56"/>
    </row>
    <row r="49629" spans="1:1">
      <c r="A49629" s="56"/>
    </row>
    <row r="49630" spans="1:1">
      <c r="A49630" s="56"/>
    </row>
    <row r="49631" spans="1:1">
      <c r="A49631" s="56"/>
    </row>
    <row r="49632" spans="1:1">
      <c r="A49632" s="56"/>
    </row>
    <row r="49633" spans="1:1">
      <c r="A49633" s="56"/>
    </row>
    <row r="49634" spans="1:1">
      <c r="A49634" s="56"/>
    </row>
    <row r="49635" spans="1:1">
      <c r="A49635" s="56"/>
    </row>
    <row r="49636" spans="1:1">
      <c r="A49636" s="56"/>
    </row>
    <row r="49637" spans="1:1">
      <c r="A49637" s="56"/>
    </row>
    <row r="49638" spans="1:1">
      <c r="A49638" s="56"/>
    </row>
    <row r="49639" spans="1:1">
      <c r="A49639" s="56"/>
    </row>
    <row r="49640" spans="1:1">
      <c r="A49640" s="56"/>
    </row>
    <row r="49641" spans="1:1">
      <c r="A49641" s="56"/>
    </row>
    <row r="49642" spans="1:1">
      <c r="A49642" s="56"/>
    </row>
    <row r="49643" spans="1:1">
      <c r="A49643" s="56"/>
    </row>
    <row r="49644" spans="1:1">
      <c r="A49644" s="56"/>
    </row>
    <row r="49645" spans="1:1">
      <c r="A49645" s="56"/>
    </row>
    <row r="49646" spans="1:1">
      <c r="A49646" s="56"/>
    </row>
    <row r="49647" spans="1:1">
      <c r="A49647" s="56"/>
    </row>
    <row r="49648" spans="1:1">
      <c r="A49648" s="56"/>
    </row>
    <row r="49649" spans="1:1">
      <c r="A49649" s="56"/>
    </row>
    <row r="49650" spans="1:1">
      <c r="A49650" s="56"/>
    </row>
    <row r="49651" spans="1:1">
      <c r="A49651" s="56"/>
    </row>
    <row r="49652" spans="1:1">
      <c r="A49652" s="56"/>
    </row>
    <row r="49653" spans="1:1">
      <c r="A49653" s="56"/>
    </row>
    <row r="49654" spans="1:1">
      <c r="A49654" s="56"/>
    </row>
    <row r="49655" spans="1:1">
      <c r="A49655" s="56"/>
    </row>
    <row r="49656" spans="1:1">
      <c r="A49656" s="56"/>
    </row>
    <row r="49657" spans="1:1">
      <c r="A49657" s="56"/>
    </row>
    <row r="49658" spans="1:1">
      <c r="A49658" s="56"/>
    </row>
    <row r="49659" spans="1:1">
      <c r="A49659" s="56"/>
    </row>
    <row r="49660" spans="1:1">
      <c r="A49660" s="56"/>
    </row>
    <row r="49661" spans="1:1">
      <c r="A49661" s="56"/>
    </row>
    <row r="49662" spans="1:1">
      <c r="A49662" s="56"/>
    </row>
    <row r="49663" spans="1:1">
      <c r="A49663" s="56"/>
    </row>
    <row r="49664" spans="1:1">
      <c r="A49664" s="56"/>
    </row>
    <row r="49665" spans="1:1">
      <c r="A49665" s="56"/>
    </row>
    <row r="49666" spans="1:1">
      <c r="A49666" s="56"/>
    </row>
    <row r="49667" spans="1:1">
      <c r="A49667" s="56"/>
    </row>
    <row r="49668" spans="1:1">
      <c r="A49668" s="56"/>
    </row>
    <row r="49669" spans="1:1">
      <c r="A49669" s="56"/>
    </row>
    <row r="49670" spans="1:1">
      <c r="A49670" s="56"/>
    </row>
    <row r="49671" spans="1:1">
      <c r="A49671" s="56"/>
    </row>
    <row r="49672" spans="1:1">
      <c r="A49672" s="56"/>
    </row>
    <row r="49673" spans="1:1">
      <c r="A49673" s="56"/>
    </row>
    <row r="49674" spans="1:1">
      <c r="A49674" s="56"/>
    </row>
    <row r="49675" spans="1:1">
      <c r="A49675" s="56"/>
    </row>
    <row r="49676" spans="1:1">
      <c r="A49676" s="56"/>
    </row>
    <row r="49677" spans="1:1">
      <c r="A49677" s="56"/>
    </row>
    <row r="49678" spans="1:1">
      <c r="A49678" s="56"/>
    </row>
    <row r="49679" spans="1:1">
      <c r="A49679" s="56"/>
    </row>
    <row r="49680" spans="1:1">
      <c r="A49680" s="56"/>
    </row>
    <row r="49681" spans="1:1">
      <c r="A49681" s="56"/>
    </row>
    <row r="49682" spans="1:1">
      <c r="A49682" s="56"/>
    </row>
    <row r="49683" spans="1:1">
      <c r="A49683" s="56"/>
    </row>
    <row r="49684" spans="1:1">
      <c r="A49684" s="56"/>
    </row>
    <row r="49685" spans="1:1">
      <c r="A49685" s="56"/>
    </row>
    <row r="49686" spans="1:1">
      <c r="A49686" s="56"/>
    </row>
    <row r="49687" spans="1:1">
      <c r="A49687" s="56"/>
    </row>
    <row r="49688" spans="1:1">
      <c r="A49688" s="56"/>
    </row>
    <row r="49689" spans="1:1">
      <c r="A49689" s="56"/>
    </row>
    <row r="49690" spans="1:1">
      <c r="A49690" s="56"/>
    </row>
    <row r="49691" spans="1:1">
      <c r="A49691" s="56"/>
    </row>
    <row r="49692" spans="1:1">
      <c r="A49692" s="56"/>
    </row>
    <row r="49693" spans="1:1">
      <c r="A49693" s="56"/>
    </row>
    <row r="49694" spans="1:1">
      <c r="A49694" s="56"/>
    </row>
    <row r="49695" spans="1:1">
      <c r="A49695" s="56"/>
    </row>
    <row r="49696" spans="1:1">
      <c r="A49696" s="56"/>
    </row>
    <row r="49697" spans="1:1">
      <c r="A49697" s="56"/>
    </row>
    <row r="49698" spans="1:1">
      <c r="A49698" s="56"/>
    </row>
    <row r="49699" spans="1:1">
      <c r="A49699" s="56"/>
    </row>
    <row r="49700" spans="1:1">
      <c r="A49700" s="56"/>
    </row>
    <row r="49701" spans="1:1">
      <c r="A49701" s="56"/>
    </row>
    <row r="49702" spans="1:1">
      <c r="A49702" s="56"/>
    </row>
    <row r="49703" spans="1:1">
      <c r="A49703" s="56"/>
    </row>
    <row r="49704" spans="1:1">
      <c r="A49704" s="56"/>
    </row>
    <row r="49705" spans="1:1">
      <c r="A49705" s="56"/>
    </row>
    <row r="49706" spans="1:1">
      <c r="A49706" s="56"/>
    </row>
    <row r="49707" spans="1:1">
      <c r="A49707" s="56"/>
    </row>
    <row r="49708" spans="1:1">
      <c r="A49708" s="56"/>
    </row>
    <row r="49709" spans="1:1">
      <c r="A49709" s="56"/>
    </row>
    <row r="49710" spans="1:1">
      <c r="A49710" s="56"/>
    </row>
    <row r="49711" spans="1:1">
      <c r="A49711" s="56"/>
    </row>
    <row r="49712" spans="1:1">
      <c r="A49712" s="56"/>
    </row>
    <row r="49713" spans="1:1">
      <c r="A49713" s="56"/>
    </row>
    <row r="49714" spans="1:1">
      <c r="A49714" s="56"/>
    </row>
    <row r="49715" spans="1:1">
      <c r="A49715" s="56"/>
    </row>
    <row r="49716" spans="1:1">
      <c r="A49716" s="56"/>
    </row>
    <row r="49717" spans="1:1">
      <c r="A49717" s="56"/>
    </row>
    <row r="49718" spans="1:1">
      <c r="A49718" s="56"/>
    </row>
    <row r="49719" spans="1:1">
      <c r="A49719" s="56"/>
    </row>
    <row r="49720" spans="1:1">
      <c r="A49720" s="56"/>
    </row>
    <row r="49721" spans="1:1">
      <c r="A49721" s="56"/>
    </row>
    <row r="49722" spans="1:1">
      <c r="A49722" s="56"/>
    </row>
    <row r="49723" spans="1:1">
      <c r="A49723" s="56"/>
    </row>
    <row r="49724" spans="1:1">
      <c r="A49724" s="56"/>
    </row>
    <row r="49725" spans="1:1">
      <c r="A49725" s="56"/>
    </row>
    <row r="49726" spans="1:1">
      <c r="A49726" s="56"/>
    </row>
    <row r="49727" spans="1:1">
      <c r="A49727" s="56"/>
    </row>
    <row r="49728" spans="1:1">
      <c r="A49728" s="56"/>
    </row>
    <row r="49729" spans="1:1">
      <c r="A49729" s="56"/>
    </row>
    <row r="49730" spans="1:1">
      <c r="A49730" s="56"/>
    </row>
    <row r="49731" spans="1:1">
      <c r="A49731" s="56"/>
    </row>
    <row r="49732" spans="1:1">
      <c r="A49732" s="56"/>
    </row>
    <row r="49733" spans="1:1">
      <c r="A49733" s="56"/>
    </row>
    <row r="49734" spans="1:1">
      <c r="A49734" s="56"/>
    </row>
    <row r="49735" spans="1:1">
      <c r="A49735" s="56"/>
    </row>
    <row r="49736" spans="1:1">
      <c r="A49736" s="56"/>
    </row>
    <row r="49737" spans="1:1">
      <c r="A49737" s="56"/>
    </row>
    <row r="49738" spans="1:1">
      <c r="A49738" s="56"/>
    </row>
    <row r="49739" spans="1:1">
      <c r="A49739" s="56"/>
    </row>
    <row r="49740" spans="1:1">
      <c r="A49740" s="56"/>
    </row>
    <row r="49741" spans="1:1">
      <c r="A49741" s="56"/>
    </row>
    <row r="49742" spans="1:1">
      <c r="A49742" s="56"/>
    </row>
    <row r="49743" spans="1:1">
      <c r="A49743" s="56"/>
    </row>
    <row r="49744" spans="1:1">
      <c r="A49744" s="56"/>
    </row>
    <row r="49745" spans="1:1">
      <c r="A49745" s="56"/>
    </row>
    <row r="49746" spans="1:1">
      <c r="A49746" s="56"/>
    </row>
    <row r="49747" spans="1:1">
      <c r="A49747" s="56"/>
    </row>
    <row r="49748" spans="1:1">
      <c r="A49748" s="56"/>
    </row>
    <row r="49749" spans="1:1">
      <c r="A49749" s="56"/>
    </row>
    <row r="49750" spans="1:1">
      <c r="A49750" s="56"/>
    </row>
    <row r="49751" spans="1:1">
      <c r="A49751" s="56"/>
    </row>
    <row r="49752" spans="1:1">
      <c r="A49752" s="56"/>
    </row>
    <row r="49753" spans="1:1">
      <c r="A49753" s="56"/>
    </row>
    <row r="49754" spans="1:1">
      <c r="A49754" s="56"/>
    </row>
    <row r="49755" spans="1:1">
      <c r="A49755" s="56"/>
    </row>
    <row r="49756" spans="1:1">
      <c r="A49756" s="56"/>
    </row>
    <row r="49757" spans="1:1">
      <c r="A49757" s="56"/>
    </row>
    <row r="49758" spans="1:1">
      <c r="A49758" s="56"/>
    </row>
    <row r="49759" spans="1:1">
      <c r="A49759" s="56"/>
    </row>
    <row r="49760" spans="1:1">
      <c r="A49760" s="56"/>
    </row>
    <row r="49761" spans="1:1">
      <c r="A49761" s="56"/>
    </row>
    <row r="49762" spans="1:1">
      <c r="A49762" s="56"/>
    </row>
    <row r="49763" spans="1:1">
      <c r="A49763" s="56"/>
    </row>
    <row r="49764" spans="1:1">
      <c r="A49764" s="56"/>
    </row>
    <row r="49765" spans="1:1">
      <c r="A49765" s="56"/>
    </row>
    <row r="49766" spans="1:1">
      <c r="A49766" s="56"/>
    </row>
    <row r="49767" spans="1:1">
      <c r="A49767" s="56"/>
    </row>
    <row r="49768" spans="1:1">
      <c r="A49768" s="56"/>
    </row>
    <row r="49769" spans="1:1">
      <c r="A49769" s="56"/>
    </row>
    <row r="49770" spans="1:1">
      <c r="A49770" s="56"/>
    </row>
    <row r="49771" spans="1:1">
      <c r="A49771" s="56"/>
    </row>
    <row r="49772" spans="1:1">
      <c r="A49772" s="56"/>
    </row>
    <row r="49773" spans="1:1">
      <c r="A49773" s="56"/>
    </row>
    <row r="49774" spans="1:1">
      <c r="A49774" s="56"/>
    </row>
    <row r="49775" spans="1:1">
      <c r="A49775" s="56"/>
    </row>
    <row r="49776" spans="1:1">
      <c r="A49776" s="56"/>
    </row>
    <row r="49777" spans="1:1">
      <c r="A49777" s="56"/>
    </row>
    <row r="49778" spans="1:1">
      <c r="A49778" s="56"/>
    </row>
    <row r="49779" spans="1:1">
      <c r="A49779" s="56"/>
    </row>
    <row r="49780" spans="1:1">
      <c r="A49780" s="56"/>
    </row>
    <row r="49781" spans="1:1">
      <c r="A49781" s="56"/>
    </row>
    <row r="49782" spans="1:1">
      <c r="A49782" s="56"/>
    </row>
    <row r="49783" spans="1:1">
      <c r="A49783" s="56"/>
    </row>
    <row r="49784" spans="1:1">
      <c r="A49784" s="56"/>
    </row>
    <row r="49785" spans="1:1">
      <c r="A49785" s="56"/>
    </row>
    <row r="49786" spans="1:1">
      <c r="A49786" s="56"/>
    </row>
    <row r="49787" spans="1:1">
      <c r="A49787" s="56"/>
    </row>
    <row r="49788" spans="1:1">
      <c r="A49788" s="56"/>
    </row>
    <row r="49789" spans="1:1">
      <c r="A49789" s="56"/>
    </row>
    <row r="49790" spans="1:1">
      <c r="A49790" s="56"/>
    </row>
    <row r="49791" spans="1:1">
      <c r="A49791" s="56"/>
    </row>
    <row r="49792" spans="1:1">
      <c r="A49792" s="56"/>
    </row>
    <row r="49793" spans="1:1">
      <c r="A49793" s="56"/>
    </row>
    <row r="49794" spans="1:1">
      <c r="A49794" s="56"/>
    </row>
    <row r="49795" spans="1:1">
      <c r="A49795" s="56"/>
    </row>
    <row r="49796" spans="1:1">
      <c r="A49796" s="56"/>
    </row>
    <row r="49797" spans="1:1">
      <c r="A49797" s="56"/>
    </row>
    <row r="49798" spans="1:1">
      <c r="A49798" s="56"/>
    </row>
    <row r="49799" spans="1:1">
      <c r="A49799" s="56"/>
    </row>
    <row r="49800" spans="1:1">
      <c r="A49800" s="56"/>
    </row>
    <row r="49801" spans="1:1">
      <c r="A49801" s="56"/>
    </row>
    <row r="49802" spans="1:1">
      <c r="A49802" s="56"/>
    </row>
    <row r="49803" spans="1:1">
      <c r="A49803" s="56"/>
    </row>
    <row r="49804" spans="1:1">
      <c r="A49804" s="56"/>
    </row>
    <row r="49805" spans="1:1">
      <c r="A49805" s="56"/>
    </row>
    <row r="49806" spans="1:1">
      <c r="A49806" s="56"/>
    </row>
    <row r="49807" spans="1:1">
      <c r="A49807" s="56"/>
    </row>
    <row r="49808" spans="1:1">
      <c r="A49808" s="56"/>
    </row>
    <row r="49809" spans="1:1">
      <c r="A49809" s="56"/>
    </row>
    <row r="49810" spans="1:1">
      <c r="A49810" s="56"/>
    </row>
    <row r="49811" spans="1:1">
      <c r="A49811" s="56"/>
    </row>
    <row r="49812" spans="1:1">
      <c r="A49812" s="56"/>
    </row>
    <row r="49813" spans="1:1">
      <c r="A49813" s="56"/>
    </row>
    <row r="49814" spans="1:1">
      <c r="A49814" s="56"/>
    </row>
    <row r="49815" spans="1:1">
      <c r="A49815" s="56"/>
    </row>
    <row r="49816" spans="1:1">
      <c r="A49816" s="56"/>
    </row>
    <row r="49817" spans="1:1">
      <c r="A49817" s="56"/>
    </row>
    <row r="49818" spans="1:1">
      <c r="A49818" s="56"/>
    </row>
    <row r="49819" spans="1:1">
      <c r="A49819" s="56"/>
    </row>
    <row r="49820" spans="1:1">
      <c r="A49820" s="56"/>
    </row>
    <row r="49821" spans="1:1">
      <c r="A49821" s="56"/>
    </row>
    <row r="49822" spans="1:1">
      <c r="A49822" s="56"/>
    </row>
    <row r="49823" spans="1:1">
      <c r="A49823" s="56"/>
    </row>
    <row r="49824" spans="1:1">
      <c r="A49824" s="56"/>
    </row>
    <row r="49825" spans="1:1">
      <c r="A49825" s="56"/>
    </row>
    <row r="49826" spans="1:1">
      <c r="A49826" s="56"/>
    </row>
    <row r="49827" spans="1:1">
      <c r="A49827" s="56"/>
    </row>
    <row r="49828" spans="1:1">
      <c r="A49828" s="56"/>
    </row>
    <row r="49829" spans="1:1">
      <c r="A49829" s="56"/>
    </row>
    <row r="49830" spans="1:1">
      <c r="A49830" s="56"/>
    </row>
    <row r="49831" spans="1:1">
      <c r="A49831" s="56"/>
    </row>
    <row r="49832" spans="1:1">
      <c r="A49832" s="56"/>
    </row>
    <row r="49833" spans="1:1">
      <c r="A49833" s="56"/>
    </row>
    <row r="49834" spans="1:1">
      <c r="A49834" s="56"/>
    </row>
    <row r="49835" spans="1:1">
      <c r="A49835" s="56"/>
    </row>
    <row r="49836" spans="1:1">
      <c r="A49836" s="56"/>
    </row>
    <row r="49837" spans="1:1">
      <c r="A49837" s="56"/>
    </row>
    <row r="49838" spans="1:1">
      <c r="A49838" s="56"/>
    </row>
    <row r="49839" spans="1:1">
      <c r="A49839" s="56"/>
    </row>
    <row r="49840" spans="1:1">
      <c r="A49840" s="56"/>
    </row>
    <row r="49841" spans="1:1">
      <c r="A49841" s="56"/>
    </row>
    <row r="49842" spans="1:1">
      <c r="A49842" s="56"/>
    </row>
    <row r="49843" spans="1:1">
      <c r="A49843" s="56"/>
    </row>
    <row r="49844" spans="1:1">
      <c r="A49844" s="56"/>
    </row>
    <row r="49845" spans="1:1">
      <c r="A49845" s="56"/>
    </row>
    <row r="49846" spans="1:1">
      <c r="A49846" s="56"/>
    </row>
    <row r="49847" spans="1:1">
      <c r="A49847" s="56"/>
    </row>
    <row r="49848" spans="1:1">
      <c r="A49848" s="56"/>
    </row>
    <row r="49849" spans="1:1">
      <c r="A49849" s="56"/>
    </row>
    <row r="49850" spans="1:1">
      <c r="A49850" s="56"/>
    </row>
    <row r="49851" spans="1:1">
      <c r="A49851" s="56"/>
    </row>
    <row r="49852" spans="1:1">
      <c r="A49852" s="56"/>
    </row>
    <row r="49853" spans="1:1">
      <c r="A49853" s="56"/>
    </row>
    <row r="49854" spans="1:1">
      <c r="A49854" s="56"/>
    </row>
    <row r="49855" spans="1:1">
      <c r="A49855" s="56"/>
    </row>
    <row r="49856" spans="1:1">
      <c r="A49856" s="56"/>
    </row>
    <row r="49857" spans="1:1">
      <c r="A49857" s="56"/>
    </row>
    <row r="49858" spans="1:1">
      <c r="A49858" s="56"/>
    </row>
    <row r="49859" spans="1:1">
      <c r="A49859" s="56"/>
    </row>
    <row r="49860" spans="1:1">
      <c r="A49860" s="56"/>
    </row>
    <row r="49861" spans="1:1">
      <c r="A49861" s="56"/>
    </row>
    <row r="49862" spans="1:1">
      <c r="A49862" s="56"/>
    </row>
    <row r="49863" spans="1:1">
      <c r="A49863" s="56"/>
    </row>
    <row r="49864" spans="1:1">
      <c r="A49864" s="56"/>
    </row>
    <row r="49865" spans="1:1">
      <c r="A49865" s="56"/>
    </row>
    <row r="49866" spans="1:1">
      <c r="A49866" s="56"/>
    </row>
    <row r="49867" spans="1:1">
      <c r="A49867" s="56"/>
    </row>
    <row r="49868" spans="1:1">
      <c r="A49868" s="56"/>
    </row>
    <row r="49869" spans="1:1">
      <c r="A49869" s="56"/>
    </row>
    <row r="49870" spans="1:1">
      <c r="A49870" s="56"/>
    </row>
    <row r="49871" spans="1:1">
      <c r="A49871" s="56"/>
    </row>
    <row r="49872" spans="1:1">
      <c r="A49872" s="56"/>
    </row>
    <row r="49873" spans="1:1">
      <c r="A49873" s="56"/>
    </row>
    <row r="49874" spans="1:1">
      <c r="A49874" s="56"/>
    </row>
    <row r="49875" spans="1:1">
      <c r="A49875" s="56"/>
    </row>
    <row r="49876" spans="1:1">
      <c r="A49876" s="56"/>
    </row>
    <row r="49877" spans="1:1">
      <c r="A49877" s="56"/>
    </row>
    <row r="49878" spans="1:1">
      <c r="A49878" s="56"/>
    </row>
    <row r="49879" spans="1:1">
      <c r="A49879" s="56"/>
    </row>
    <row r="49880" spans="1:1">
      <c r="A49880" s="56"/>
    </row>
    <row r="49881" spans="1:1">
      <c r="A49881" s="56"/>
    </row>
    <row r="49882" spans="1:1">
      <c r="A49882" s="56"/>
    </row>
    <row r="49883" spans="1:1">
      <c r="A49883" s="56"/>
    </row>
    <row r="49884" spans="1:1">
      <c r="A49884" s="56"/>
    </row>
    <row r="49885" spans="1:1">
      <c r="A49885" s="56"/>
    </row>
    <row r="49886" spans="1:1">
      <c r="A49886" s="56"/>
    </row>
    <row r="49887" spans="1:1">
      <c r="A49887" s="56"/>
    </row>
    <row r="49888" spans="1:1">
      <c r="A49888" s="56"/>
    </row>
    <row r="49889" spans="1:1">
      <c r="A49889" s="56"/>
    </row>
    <row r="49890" spans="1:1">
      <c r="A49890" s="56"/>
    </row>
    <row r="49891" spans="1:1">
      <c r="A49891" s="56"/>
    </row>
    <row r="49892" spans="1:1">
      <c r="A49892" s="56"/>
    </row>
    <row r="49893" spans="1:1">
      <c r="A49893" s="56"/>
    </row>
    <row r="49894" spans="1:1">
      <c r="A49894" s="56"/>
    </row>
    <row r="49895" spans="1:1">
      <c r="A49895" s="56"/>
    </row>
    <row r="49896" spans="1:1">
      <c r="A49896" s="56"/>
    </row>
    <row r="49897" spans="1:1">
      <c r="A49897" s="56"/>
    </row>
    <row r="49898" spans="1:1">
      <c r="A49898" s="56"/>
    </row>
    <row r="49899" spans="1:1">
      <c r="A49899" s="56"/>
    </row>
    <row r="49900" spans="1:1">
      <c r="A49900" s="56"/>
    </row>
    <row r="49901" spans="1:1">
      <c r="A49901" s="56"/>
    </row>
    <row r="49902" spans="1:1">
      <c r="A49902" s="56"/>
    </row>
    <row r="49903" spans="1:1">
      <c r="A49903" s="56"/>
    </row>
    <row r="49904" spans="1:1">
      <c r="A49904" s="56"/>
    </row>
    <row r="49905" spans="1:1">
      <c r="A49905" s="56"/>
    </row>
    <row r="49906" spans="1:1">
      <c r="A49906" s="56"/>
    </row>
    <row r="49907" spans="1:1">
      <c r="A49907" s="56"/>
    </row>
    <row r="49908" spans="1:1">
      <c r="A49908" s="56"/>
    </row>
    <row r="49909" spans="1:1">
      <c r="A49909" s="56"/>
    </row>
    <row r="49910" spans="1:1">
      <c r="A49910" s="56"/>
    </row>
    <row r="49911" spans="1:1">
      <c r="A49911" s="56"/>
    </row>
    <row r="49912" spans="1:1">
      <c r="A49912" s="56"/>
    </row>
    <row r="49913" spans="1:1">
      <c r="A49913" s="56"/>
    </row>
    <row r="49914" spans="1:1">
      <c r="A49914" s="56"/>
    </row>
    <row r="49915" spans="1:1">
      <c r="A49915" s="56"/>
    </row>
    <row r="49916" spans="1:1">
      <c r="A49916" s="56"/>
    </row>
    <row r="49917" spans="1:1">
      <c r="A49917" s="56"/>
    </row>
    <row r="49918" spans="1:1">
      <c r="A49918" s="56"/>
    </row>
    <row r="49919" spans="1:1">
      <c r="A49919" s="56"/>
    </row>
    <row r="49920" spans="1:1">
      <c r="A49920" s="56"/>
    </row>
    <row r="49921" spans="1:1">
      <c r="A49921" s="56"/>
    </row>
    <row r="49922" spans="1:1">
      <c r="A49922" s="56"/>
    </row>
    <row r="49923" spans="1:1">
      <c r="A49923" s="56"/>
    </row>
    <row r="49924" spans="1:1">
      <c r="A49924" s="56"/>
    </row>
    <row r="49925" spans="1:1">
      <c r="A49925" s="56"/>
    </row>
    <row r="49926" spans="1:1">
      <c r="A49926" s="56"/>
    </row>
    <row r="49927" spans="1:1">
      <c r="A49927" s="56"/>
    </row>
    <row r="49928" spans="1:1">
      <c r="A49928" s="56"/>
    </row>
    <row r="49929" spans="1:1">
      <c r="A49929" s="56"/>
    </row>
    <row r="49930" spans="1:1">
      <c r="A49930" s="56"/>
    </row>
    <row r="49931" spans="1:1">
      <c r="A49931" s="56"/>
    </row>
    <row r="49932" spans="1:1">
      <c r="A49932" s="56"/>
    </row>
    <row r="49933" spans="1:1">
      <c r="A49933" s="56"/>
    </row>
    <row r="49934" spans="1:1">
      <c r="A49934" s="56"/>
    </row>
    <row r="49935" spans="1:1">
      <c r="A49935" s="56"/>
    </row>
    <row r="49936" spans="1:1">
      <c r="A49936" s="56"/>
    </row>
    <row r="49937" spans="1:1">
      <c r="A49937" s="56"/>
    </row>
    <row r="49938" spans="1:1">
      <c r="A49938" s="56"/>
    </row>
    <row r="49939" spans="1:1">
      <c r="A49939" s="56"/>
    </row>
    <row r="49940" spans="1:1">
      <c r="A49940" s="56"/>
    </row>
    <row r="49941" spans="1:1">
      <c r="A49941" s="56"/>
    </row>
    <row r="49942" spans="1:1">
      <c r="A49942" s="56"/>
    </row>
    <row r="49943" spans="1:1">
      <c r="A49943" s="56"/>
    </row>
    <row r="49944" spans="1:1">
      <c r="A49944" s="56"/>
    </row>
    <row r="49945" spans="1:1">
      <c r="A49945" s="56"/>
    </row>
    <row r="49946" spans="1:1">
      <c r="A49946" s="56"/>
    </row>
    <row r="49947" spans="1:1">
      <c r="A49947" s="56"/>
    </row>
    <row r="49948" spans="1:1">
      <c r="A49948" s="56"/>
    </row>
    <row r="49949" spans="1:1">
      <c r="A49949" s="56"/>
    </row>
    <row r="49950" spans="1:1">
      <c r="A49950" s="56"/>
    </row>
    <row r="49951" spans="1:1">
      <c r="A49951" s="56"/>
    </row>
    <row r="49952" spans="1:1">
      <c r="A49952" s="56"/>
    </row>
    <row r="49953" spans="1:1">
      <c r="A49953" s="56"/>
    </row>
    <row r="49954" spans="1:1">
      <c r="A49954" s="56"/>
    </row>
    <row r="49955" spans="1:1">
      <c r="A49955" s="56"/>
    </row>
    <row r="49956" spans="1:1">
      <c r="A49956" s="56"/>
    </row>
    <row r="49957" spans="1:1">
      <c r="A49957" s="56"/>
    </row>
    <row r="49958" spans="1:1">
      <c r="A49958" s="56"/>
    </row>
    <row r="49959" spans="1:1">
      <c r="A49959" s="56"/>
    </row>
    <row r="49960" spans="1:1">
      <c r="A49960" s="56"/>
    </row>
    <row r="49961" spans="1:1">
      <c r="A49961" s="56"/>
    </row>
    <row r="49962" spans="1:1">
      <c r="A49962" s="56"/>
    </row>
    <row r="49963" spans="1:1">
      <c r="A49963" s="56"/>
    </row>
    <row r="49964" spans="1:1">
      <c r="A49964" s="56"/>
    </row>
    <row r="49965" spans="1:1">
      <c r="A49965" s="56"/>
    </row>
    <row r="49966" spans="1:1">
      <c r="A49966" s="56"/>
    </row>
    <row r="49967" spans="1:1">
      <c r="A49967" s="56"/>
    </row>
    <row r="49968" spans="1:1">
      <c r="A49968" s="56"/>
    </row>
    <row r="49969" spans="1:1">
      <c r="A49969" s="56"/>
    </row>
    <row r="49970" spans="1:1">
      <c r="A49970" s="56"/>
    </row>
    <row r="49971" spans="1:1">
      <c r="A49971" s="56"/>
    </row>
    <row r="49972" spans="1:1">
      <c r="A49972" s="56"/>
    </row>
    <row r="49973" spans="1:1">
      <c r="A49973" s="56"/>
    </row>
    <row r="49974" spans="1:1">
      <c r="A49974" s="56"/>
    </row>
    <row r="49975" spans="1:1">
      <c r="A49975" s="56"/>
    </row>
    <row r="49976" spans="1:1">
      <c r="A49976" s="56"/>
    </row>
    <row r="49977" spans="1:1">
      <c r="A49977" s="56"/>
    </row>
    <row r="49978" spans="1:1">
      <c r="A49978" s="56"/>
    </row>
    <row r="49979" spans="1:1">
      <c r="A49979" s="56"/>
    </row>
    <row r="49980" spans="1:1">
      <c r="A49980" s="56"/>
    </row>
    <row r="49981" spans="1:1">
      <c r="A49981" s="56"/>
    </row>
    <row r="49982" spans="1:1">
      <c r="A49982" s="56"/>
    </row>
    <row r="49983" spans="1:1">
      <c r="A49983" s="56"/>
    </row>
    <row r="49984" spans="1:1">
      <c r="A49984" s="56"/>
    </row>
    <row r="49985" spans="1:1">
      <c r="A49985" s="56"/>
    </row>
    <row r="49986" spans="1:1">
      <c r="A49986" s="56"/>
    </row>
    <row r="49987" spans="1:1">
      <c r="A49987" s="56"/>
    </row>
    <row r="49988" spans="1:1">
      <c r="A49988" s="56"/>
    </row>
    <row r="49989" spans="1:1">
      <c r="A49989" s="56"/>
    </row>
    <row r="49990" spans="1:1">
      <c r="A49990" s="56"/>
    </row>
    <row r="49991" spans="1:1">
      <c r="A49991" s="56"/>
    </row>
    <row r="49992" spans="1:1">
      <c r="A49992" s="56"/>
    </row>
    <row r="49993" spans="1:1">
      <c r="A49993" s="56"/>
    </row>
    <row r="49994" spans="1:1">
      <c r="A49994" s="56"/>
    </row>
    <row r="49995" spans="1:1">
      <c r="A49995" s="56"/>
    </row>
    <row r="49996" spans="1:1">
      <c r="A49996" s="56"/>
    </row>
    <row r="49997" spans="1:1">
      <c r="A49997" s="56"/>
    </row>
    <row r="49998" spans="1:1">
      <c r="A49998" s="56"/>
    </row>
    <row r="49999" spans="1:1">
      <c r="A49999" s="56"/>
    </row>
    <row r="50000" spans="1:1">
      <c r="A50000" s="56"/>
    </row>
    <row r="50001" spans="1:1">
      <c r="A50001" s="56"/>
    </row>
    <row r="50002" spans="1:1">
      <c r="A50002" s="56"/>
    </row>
    <row r="50003" spans="1:1">
      <c r="A50003" s="56"/>
    </row>
    <row r="50004" spans="1:1">
      <c r="A50004" s="56"/>
    </row>
    <row r="50005" spans="1:1">
      <c r="A50005" s="56"/>
    </row>
    <row r="50006" spans="1:1">
      <c r="A50006" s="56"/>
    </row>
    <row r="50007" spans="1:1">
      <c r="A50007" s="56"/>
    </row>
    <row r="50008" spans="1:1">
      <c r="A50008" s="56"/>
    </row>
    <row r="50009" spans="1:1">
      <c r="A50009" s="56"/>
    </row>
    <row r="50010" spans="1:1">
      <c r="A50010" s="56"/>
    </row>
    <row r="50011" spans="1:1">
      <c r="A50011" s="56"/>
    </row>
    <row r="50012" spans="1:1">
      <c r="A50012" s="56"/>
    </row>
    <row r="50013" spans="1:1">
      <c r="A50013" s="56"/>
    </row>
    <row r="50014" spans="1:1">
      <c r="A50014" s="56"/>
    </row>
    <row r="50015" spans="1:1">
      <c r="A50015" s="56"/>
    </row>
    <row r="50016" spans="1:1">
      <c r="A50016" s="56"/>
    </row>
    <row r="50017" spans="1:1">
      <c r="A50017" s="56"/>
    </row>
    <row r="50018" spans="1:1">
      <c r="A50018" s="56"/>
    </row>
    <row r="50019" spans="1:1">
      <c r="A50019" s="56"/>
    </row>
    <row r="50020" spans="1:1">
      <c r="A50020" s="56"/>
    </row>
    <row r="50021" spans="1:1">
      <c r="A50021" s="56"/>
    </row>
    <row r="50022" spans="1:1">
      <c r="A50022" s="56"/>
    </row>
    <row r="50023" spans="1:1">
      <c r="A50023" s="56"/>
    </row>
    <row r="50024" spans="1:1">
      <c r="A50024" s="56"/>
    </row>
    <row r="50025" spans="1:1">
      <c r="A50025" s="56"/>
    </row>
    <row r="50026" spans="1:1">
      <c r="A50026" s="56"/>
    </row>
    <row r="50027" spans="1:1">
      <c r="A50027" s="56"/>
    </row>
    <row r="50028" spans="1:1">
      <c r="A50028" s="56"/>
    </row>
    <row r="50029" spans="1:1">
      <c r="A50029" s="56"/>
    </row>
    <row r="50030" spans="1:1">
      <c r="A50030" s="56"/>
    </row>
    <row r="50031" spans="1:1">
      <c r="A50031" s="56"/>
    </row>
    <row r="50032" spans="1:1">
      <c r="A50032" s="56"/>
    </row>
    <row r="50033" spans="1:1">
      <c r="A50033" s="56"/>
    </row>
    <row r="50034" spans="1:1">
      <c r="A50034" s="56"/>
    </row>
    <row r="50035" spans="1:1">
      <c r="A50035" s="56"/>
    </row>
    <row r="50036" spans="1:1">
      <c r="A50036" s="56"/>
    </row>
    <row r="50037" spans="1:1">
      <c r="A50037" s="56"/>
    </row>
    <row r="50038" spans="1:1">
      <c r="A50038" s="56"/>
    </row>
    <row r="50039" spans="1:1">
      <c r="A50039" s="56"/>
    </row>
    <row r="50040" spans="1:1">
      <c r="A50040" s="56"/>
    </row>
    <row r="50041" spans="1:1">
      <c r="A50041" s="56"/>
    </row>
    <row r="50042" spans="1:1">
      <c r="A50042" s="56"/>
    </row>
    <row r="50043" spans="1:1">
      <c r="A50043" s="56"/>
    </row>
    <row r="50044" spans="1:1">
      <c r="A50044" s="56"/>
    </row>
    <row r="50045" spans="1:1">
      <c r="A50045" s="56"/>
    </row>
    <row r="50046" spans="1:1">
      <c r="A50046" s="56"/>
    </row>
    <row r="50047" spans="1:1">
      <c r="A50047" s="56"/>
    </row>
    <row r="50048" spans="1:1">
      <c r="A50048" s="56"/>
    </row>
    <row r="50049" spans="1:1">
      <c r="A50049" s="56"/>
    </row>
    <row r="50050" spans="1:1">
      <c r="A50050" s="56"/>
    </row>
    <row r="50051" spans="1:1">
      <c r="A50051" s="56"/>
    </row>
    <row r="50052" spans="1:1">
      <c r="A50052" s="56"/>
    </row>
    <row r="50053" spans="1:1">
      <c r="A50053" s="56"/>
    </row>
    <row r="50054" spans="1:1">
      <c r="A50054" s="56"/>
    </row>
    <row r="50055" spans="1:1">
      <c r="A50055" s="56"/>
    </row>
    <row r="50056" spans="1:1">
      <c r="A50056" s="56"/>
    </row>
    <row r="50057" spans="1:1">
      <c r="A50057" s="56"/>
    </row>
    <row r="50058" spans="1:1">
      <c r="A50058" s="56"/>
    </row>
    <row r="50059" spans="1:1">
      <c r="A50059" s="56"/>
    </row>
    <row r="50060" spans="1:1">
      <c r="A50060" s="56"/>
    </row>
    <row r="50061" spans="1:1">
      <c r="A50061" s="56"/>
    </row>
    <row r="50062" spans="1:1">
      <c r="A50062" s="56"/>
    </row>
    <row r="50063" spans="1:1">
      <c r="A50063" s="56"/>
    </row>
    <row r="50064" spans="1:1">
      <c r="A50064" s="56"/>
    </row>
    <row r="50065" spans="1:1">
      <c r="A50065" s="56"/>
    </row>
    <row r="50066" spans="1:1">
      <c r="A50066" s="56"/>
    </row>
    <row r="50067" spans="1:1">
      <c r="A50067" s="56"/>
    </row>
    <row r="50068" spans="1:1">
      <c r="A50068" s="56"/>
    </row>
    <row r="50069" spans="1:1">
      <c r="A50069" s="56"/>
    </row>
    <row r="50070" spans="1:1">
      <c r="A50070" s="56"/>
    </row>
    <row r="50071" spans="1:1">
      <c r="A50071" s="56"/>
    </row>
    <row r="50072" spans="1:1">
      <c r="A50072" s="56"/>
    </row>
    <row r="50073" spans="1:1">
      <c r="A50073" s="56"/>
    </row>
    <row r="50074" spans="1:1">
      <c r="A50074" s="56"/>
    </row>
    <row r="50075" spans="1:1">
      <c r="A50075" s="56"/>
    </row>
    <row r="50076" spans="1:1">
      <c r="A50076" s="56"/>
    </row>
    <row r="50077" spans="1:1">
      <c r="A50077" s="56"/>
    </row>
    <row r="50078" spans="1:1">
      <c r="A50078" s="56"/>
    </row>
    <row r="50079" spans="1:1">
      <c r="A50079" s="56"/>
    </row>
    <row r="50080" spans="1:1">
      <c r="A50080" s="56"/>
    </row>
    <row r="50081" spans="1:1">
      <c r="A50081" s="56"/>
    </row>
    <row r="50082" spans="1:1">
      <c r="A50082" s="56"/>
    </row>
    <row r="50083" spans="1:1">
      <c r="A50083" s="56"/>
    </row>
    <row r="50084" spans="1:1">
      <c r="A50084" s="56"/>
    </row>
    <row r="50085" spans="1:1">
      <c r="A50085" s="56"/>
    </row>
    <row r="50086" spans="1:1">
      <c r="A50086" s="56"/>
    </row>
    <row r="50087" spans="1:1">
      <c r="A50087" s="56"/>
    </row>
    <row r="50088" spans="1:1">
      <c r="A50088" s="56"/>
    </row>
    <row r="50089" spans="1:1">
      <c r="A50089" s="56"/>
    </row>
    <row r="50090" spans="1:1">
      <c r="A50090" s="56"/>
    </row>
    <row r="50091" spans="1:1">
      <c r="A50091" s="56"/>
    </row>
    <row r="50092" spans="1:1">
      <c r="A50092" s="56"/>
    </row>
    <row r="50093" spans="1:1">
      <c r="A50093" s="56"/>
    </row>
    <row r="50094" spans="1:1">
      <c r="A50094" s="56"/>
    </row>
    <row r="50095" spans="1:1">
      <c r="A50095" s="56"/>
    </row>
    <row r="50096" spans="1:1">
      <c r="A50096" s="56"/>
    </row>
    <row r="50097" spans="1:1">
      <c r="A50097" s="56"/>
    </row>
    <row r="50098" spans="1:1">
      <c r="A50098" s="56"/>
    </row>
    <row r="50099" spans="1:1">
      <c r="A50099" s="56"/>
    </row>
    <row r="50100" spans="1:1">
      <c r="A50100" s="56"/>
    </row>
    <row r="50101" spans="1:1">
      <c r="A50101" s="56"/>
    </row>
    <row r="50102" spans="1:1">
      <c r="A50102" s="56"/>
    </row>
    <row r="50103" spans="1:1">
      <c r="A50103" s="56"/>
    </row>
    <row r="50104" spans="1:1">
      <c r="A50104" s="56"/>
    </row>
    <row r="50105" spans="1:1">
      <c r="A50105" s="56"/>
    </row>
    <row r="50106" spans="1:1">
      <c r="A50106" s="56"/>
    </row>
    <row r="50107" spans="1:1">
      <c r="A50107" s="56"/>
    </row>
    <row r="50108" spans="1:1">
      <c r="A50108" s="56"/>
    </row>
    <row r="50109" spans="1:1">
      <c r="A50109" s="56"/>
    </row>
    <row r="50110" spans="1:1">
      <c r="A50110" s="56"/>
    </row>
    <row r="50111" spans="1:1">
      <c r="A50111" s="56"/>
    </row>
    <row r="50112" spans="1:1">
      <c r="A50112" s="56"/>
    </row>
    <row r="50113" spans="1:1">
      <c r="A50113" s="56"/>
    </row>
    <row r="50114" spans="1:1">
      <c r="A50114" s="56"/>
    </row>
    <row r="50115" spans="1:1">
      <c r="A50115" s="56"/>
    </row>
    <row r="50116" spans="1:1">
      <c r="A50116" s="56"/>
    </row>
    <row r="50117" spans="1:1">
      <c r="A50117" s="56"/>
    </row>
    <row r="50118" spans="1:1">
      <c r="A50118" s="56"/>
    </row>
    <row r="50119" spans="1:1">
      <c r="A50119" s="56"/>
    </row>
    <row r="50120" spans="1:1">
      <c r="A50120" s="56"/>
    </row>
    <row r="50121" spans="1:1">
      <c r="A50121" s="56"/>
    </row>
    <row r="50122" spans="1:1">
      <c r="A50122" s="56"/>
    </row>
    <row r="50123" spans="1:1">
      <c r="A50123" s="56"/>
    </row>
    <row r="50124" spans="1:1">
      <c r="A50124" s="56"/>
    </row>
    <row r="50125" spans="1:1">
      <c r="A50125" s="56"/>
    </row>
    <row r="50126" spans="1:1">
      <c r="A50126" s="56"/>
    </row>
    <row r="50127" spans="1:1">
      <c r="A50127" s="56"/>
    </row>
    <row r="50128" spans="1:1">
      <c r="A50128" s="56"/>
    </row>
    <row r="50129" spans="1:1">
      <c r="A50129" s="56"/>
    </row>
    <row r="50130" spans="1:1">
      <c r="A50130" s="56"/>
    </row>
    <row r="50131" spans="1:1">
      <c r="A50131" s="56"/>
    </row>
    <row r="50132" spans="1:1">
      <c r="A50132" s="56"/>
    </row>
    <row r="50133" spans="1:1">
      <c r="A50133" s="56"/>
    </row>
    <row r="50134" spans="1:1">
      <c r="A50134" s="56"/>
    </row>
    <row r="50135" spans="1:1">
      <c r="A50135" s="56"/>
    </row>
    <row r="50136" spans="1:1">
      <c r="A50136" s="56"/>
    </row>
    <row r="50137" spans="1:1">
      <c r="A50137" s="56"/>
    </row>
    <row r="50138" spans="1:1">
      <c r="A50138" s="56"/>
    </row>
    <row r="50139" spans="1:1">
      <c r="A50139" s="56"/>
    </row>
    <row r="50140" spans="1:1">
      <c r="A50140" s="56"/>
    </row>
    <row r="50141" spans="1:1">
      <c r="A50141" s="56"/>
    </row>
    <row r="50142" spans="1:1">
      <c r="A50142" s="56"/>
    </row>
    <row r="50143" spans="1:1">
      <c r="A50143" s="56"/>
    </row>
    <row r="50144" spans="1:1">
      <c r="A50144" s="56"/>
    </row>
    <row r="50145" spans="1:1">
      <c r="A50145" s="56"/>
    </row>
    <row r="50146" spans="1:1">
      <c r="A50146" s="56"/>
    </row>
    <row r="50147" spans="1:1">
      <c r="A50147" s="56"/>
    </row>
    <row r="50148" spans="1:1">
      <c r="A50148" s="56"/>
    </row>
    <row r="50149" spans="1:1">
      <c r="A50149" s="56"/>
    </row>
    <row r="50150" spans="1:1">
      <c r="A50150" s="56"/>
    </row>
    <row r="50151" spans="1:1">
      <c r="A50151" s="56"/>
    </row>
    <row r="50152" spans="1:1">
      <c r="A50152" s="56"/>
    </row>
    <row r="50153" spans="1:1">
      <c r="A50153" s="56"/>
    </row>
    <row r="50154" spans="1:1">
      <c r="A50154" s="56"/>
    </row>
    <row r="50155" spans="1:1">
      <c r="A50155" s="56"/>
    </row>
    <row r="50156" spans="1:1">
      <c r="A50156" s="56"/>
    </row>
    <row r="50157" spans="1:1">
      <c r="A50157" s="56"/>
    </row>
    <row r="50158" spans="1:1">
      <c r="A50158" s="56"/>
    </row>
    <row r="50159" spans="1:1">
      <c r="A50159" s="56"/>
    </row>
    <row r="50160" spans="1:1">
      <c r="A50160" s="56"/>
    </row>
    <row r="50161" spans="1:1">
      <c r="A50161" s="56"/>
    </row>
    <row r="50162" spans="1:1">
      <c r="A50162" s="56"/>
    </row>
    <row r="50163" spans="1:1">
      <c r="A50163" s="56"/>
    </row>
    <row r="50164" spans="1:1">
      <c r="A50164" s="56"/>
    </row>
    <row r="50165" spans="1:1">
      <c r="A50165" s="56"/>
    </row>
    <row r="50166" spans="1:1">
      <c r="A50166" s="56"/>
    </row>
    <row r="50167" spans="1:1">
      <c r="A50167" s="56"/>
    </row>
    <row r="50168" spans="1:1">
      <c r="A50168" s="56"/>
    </row>
    <row r="50169" spans="1:1">
      <c r="A50169" s="56"/>
    </row>
    <row r="50170" spans="1:1">
      <c r="A50170" s="56"/>
    </row>
    <row r="50171" spans="1:1">
      <c r="A50171" s="56"/>
    </row>
    <row r="50172" spans="1:1">
      <c r="A50172" s="56"/>
    </row>
    <row r="50173" spans="1:1">
      <c r="A50173" s="56"/>
    </row>
    <row r="50174" spans="1:1">
      <c r="A50174" s="56"/>
    </row>
    <row r="50175" spans="1:1">
      <c r="A50175" s="56"/>
    </row>
    <row r="50176" spans="1:1">
      <c r="A50176" s="56"/>
    </row>
    <row r="50177" spans="1:1">
      <c r="A50177" s="56"/>
    </row>
    <row r="50178" spans="1:1">
      <c r="A50178" s="56"/>
    </row>
    <row r="50179" spans="1:1">
      <c r="A50179" s="56"/>
    </row>
    <row r="50180" spans="1:1">
      <c r="A50180" s="56"/>
    </row>
    <row r="50181" spans="1:1">
      <c r="A50181" s="56"/>
    </row>
    <row r="50182" spans="1:1">
      <c r="A50182" s="56"/>
    </row>
    <row r="50183" spans="1:1">
      <c r="A50183" s="56"/>
    </row>
    <row r="50184" spans="1:1">
      <c r="A50184" s="56"/>
    </row>
    <row r="50185" spans="1:1">
      <c r="A50185" s="56"/>
    </row>
    <row r="50186" spans="1:1">
      <c r="A50186" s="56"/>
    </row>
    <row r="50187" spans="1:1">
      <c r="A50187" s="56"/>
    </row>
    <row r="50188" spans="1:1">
      <c r="A50188" s="56"/>
    </row>
    <row r="50189" spans="1:1">
      <c r="A50189" s="56"/>
    </row>
    <row r="50190" spans="1:1">
      <c r="A50190" s="56"/>
    </row>
    <row r="50191" spans="1:1">
      <c r="A50191" s="56"/>
    </row>
    <row r="50192" spans="1:1">
      <c r="A50192" s="56"/>
    </row>
    <row r="50193" spans="1:1">
      <c r="A50193" s="56"/>
    </row>
    <row r="50194" spans="1:1">
      <c r="A50194" s="56"/>
    </row>
    <row r="50195" spans="1:1">
      <c r="A50195" s="56"/>
    </row>
    <row r="50196" spans="1:1">
      <c r="A50196" s="56"/>
    </row>
    <row r="50197" spans="1:1">
      <c r="A50197" s="56"/>
    </row>
    <row r="50198" spans="1:1">
      <c r="A50198" s="56"/>
    </row>
    <row r="50199" spans="1:1">
      <c r="A50199" s="56"/>
    </row>
    <row r="50200" spans="1:1">
      <c r="A50200" s="56"/>
    </row>
    <row r="50201" spans="1:1">
      <c r="A50201" s="56"/>
    </row>
    <row r="50202" spans="1:1">
      <c r="A50202" s="56"/>
    </row>
    <row r="50203" spans="1:1">
      <c r="A50203" s="56"/>
    </row>
    <row r="50204" spans="1:1">
      <c r="A50204" s="56"/>
    </row>
    <row r="50205" spans="1:1">
      <c r="A50205" s="56"/>
    </row>
    <row r="50206" spans="1:1">
      <c r="A50206" s="56"/>
    </row>
    <row r="50207" spans="1:1">
      <c r="A50207" s="56"/>
    </row>
    <row r="50208" spans="1:1">
      <c r="A50208" s="56"/>
    </row>
    <row r="50209" spans="1:1">
      <c r="A50209" s="56"/>
    </row>
    <row r="50210" spans="1:1">
      <c r="A50210" s="56"/>
    </row>
    <row r="50211" spans="1:1">
      <c r="A50211" s="56"/>
    </row>
    <row r="50212" spans="1:1">
      <c r="A50212" s="56"/>
    </row>
    <row r="50213" spans="1:1">
      <c r="A50213" s="56"/>
    </row>
    <row r="50214" spans="1:1">
      <c r="A50214" s="56"/>
    </row>
    <row r="50215" spans="1:1">
      <c r="A50215" s="56"/>
    </row>
    <row r="50216" spans="1:1">
      <c r="A50216" s="56"/>
    </row>
    <row r="50217" spans="1:1">
      <c r="A50217" s="56"/>
    </row>
    <row r="50218" spans="1:1">
      <c r="A50218" s="56"/>
    </row>
    <row r="50219" spans="1:1">
      <c r="A50219" s="56"/>
    </row>
    <row r="50220" spans="1:1">
      <c r="A50220" s="56"/>
    </row>
    <row r="50221" spans="1:1">
      <c r="A50221" s="56"/>
    </row>
    <row r="50222" spans="1:1">
      <c r="A50222" s="56"/>
    </row>
    <row r="50223" spans="1:1">
      <c r="A50223" s="56"/>
    </row>
    <row r="50224" spans="1:1">
      <c r="A50224" s="56"/>
    </row>
    <row r="50225" spans="1:1">
      <c r="A50225" s="56"/>
    </row>
    <row r="50226" spans="1:1">
      <c r="A50226" s="56"/>
    </row>
    <row r="50227" spans="1:1">
      <c r="A50227" s="56"/>
    </row>
    <row r="50228" spans="1:1">
      <c r="A50228" s="56"/>
    </row>
    <row r="50229" spans="1:1">
      <c r="A50229" s="56"/>
    </row>
    <row r="50230" spans="1:1">
      <c r="A50230" s="56"/>
    </row>
    <row r="50231" spans="1:1">
      <c r="A50231" s="56"/>
    </row>
    <row r="50232" spans="1:1">
      <c r="A50232" s="56"/>
    </row>
    <row r="50233" spans="1:1">
      <c r="A50233" s="56"/>
    </row>
    <row r="50234" spans="1:1">
      <c r="A50234" s="56"/>
    </row>
    <row r="50235" spans="1:1">
      <c r="A50235" s="56"/>
    </row>
    <row r="50236" spans="1:1">
      <c r="A50236" s="56"/>
    </row>
    <row r="50237" spans="1:1">
      <c r="A50237" s="56"/>
    </row>
    <row r="50238" spans="1:1">
      <c r="A50238" s="56"/>
    </row>
    <row r="50239" spans="1:1">
      <c r="A50239" s="56"/>
    </row>
    <row r="50240" spans="1:1">
      <c r="A50240" s="56"/>
    </row>
    <row r="50241" spans="1:1">
      <c r="A50241" s="56"/>
    </row>
    <row r="50242" spans="1:1">
      <c r="A50242" s="56"/>
    </row>
    <row r="50243" spans="1:1">
      <c r="A50243" s="56"/>
    </row>
    <row r="50244" spans="1:1">
      <c r="A50244" s="56"/>
    </row>
    <row r="50245" spans="1:1">
      <c r="A50245" s="56"/>
    </row>
    <row r="50246" spans="1:1">
      <c r="A50246" s="56"/>
    </row>
    <row r="50247" spans="1:1">
      <c r="A50247" s="56"/>
    </row>
    <row r="50248" spans="1:1">
      <c r="A50248" s="56"/>
    </row>
    <row r="50249" spans="1:1">
      <c r="A50249" s="56"/>
    </row>
    <row r="50250" spans="1:1">
      <c r="A50250" s="56"/>
    </row>
    <row r="50251" spans="1:1">
      <c r="A50251" s="56"/>
    </row>
    <row r="50252" spans="1:1">
      <c r="A50252" s="56"/>
    </row>
    <row r="50253" spans="1:1">
      <c r="A50253" s="56"/>
    </row>
    <row r="50254" spans="1:1">
      <c r="A50254" s="56"/>
    </row>
    <row r="50255" spans="1:1">
      <c r="A50255" s="56"/>
    </row>
    <row r="50256" spans="1:1">
      <c r="A50256" s="56"/>
    </row>
    <row r="50257" spans="1:1">
      <c r="A50257" s="56"/>
    </row>
    <row r="50258" spans="1:1">
      <c r="A50258" s="56"/>
    </row>
    <row r="50259" spans="1:1">
      <c r="A50259" s="56"/>
    </row>
    <row r="50260" spans="1:1">
      <c r="A50260" s="56"/>
    </row>
    <row r="50261" spans="1:1">
      <c r="A50261" s="56"/>
    </row>
    <row r="50262" spans="1:1">
      <c r="A50262" s="56"/>
    </row>
    <row r="50263" spans="1:1">
      <c r="A50263" s="56"/>
    </row>
    <row r="50264" spans="1:1">
      <c r="A50264" s="56"/>
    </row>
    <row r="50265" spans="1:1">
      <c r="A50265" s="56"/>
    </row>
    <row r="50266" spans="1:1">
      <c r="A50266" s="56"/>
    </row>
    <row r="50267" spans="1:1">
      <c r="A50267" s="56"/>
    </row>
    <row r="50268" spans="1:1">
      <c r="A50268" s="56"/>
    </row>
    <row r="50269" spans="1:1">
      <c r="A50269" s="56"/>
    </row>
    <row r="50270" spans="1:1">
      <c r="A50270" s="56"/>
    </row>
    <row r="50271" spans="1:1">
      <c r="A50271" s="56"/>
    </row>
    <row r="50272" spans="1:1">
      <c r="A50272" s="56"/>
    </row>
    <row r="50273" spans="1:1">
      <c r="A50273" s="56"/>
    </row>
    <row r="50274" spans="1:1">
      <c r="A50274" s="56"/>
    </row>
    <row r="50275" spans="1:1">
      <c r="A50275" s="56"/>
    </row>
    <row r="50276" spans="1:1">
      <c r="A50276" s="56"/>
    </row>
    <row r="50277" spans="1:1">
      <c r="A50277" s="56"/>
    </row>
    <row r="50278" spans="1:1">
      <c r="A50278" s="56"/>
    </row>
    <row r="50279" spans="1:1">
      <c r="A50279" s="56"/>
    </row>
    <row r="50280" spans="1:1">
      <c r="A50280" s="56"/>
    </row>
    <row r="50281" spans="1:1">
      <c r="A50281" s="56"/>
    </row>
    <row r="50282" spans="1:1">
      <c r="A50282" s="56"/>
    </row>
    <row r="50283" spans="1:1">
      <c r="A50283" s="56"/>
    </row>
    <row r="50284" spans="1:1">
      <c r="A50284" s="56"/>
    </row>
    <row r="50285" spans="1:1">
      <c r="A50285" s="56"/>
    </row>
    <row r="50286" spans="1:1">
      <c r="A50286" s="56"/>
    </row>
    <row r="50287" spans="1:1">
      <c r="A50287" s="56"/>
    </row>
    <row r="50288" spans="1:1">
      <c r="A50288" s="56"/>
    </row>
    <row r="50289" spans="1:1">
      <c r="A50289" s="56"/>
    </row>
    <row r="50290" spans="1:1">
      <c r="A50290" s="56"/>
    </row>
    <row r="50291" spans="1:1">
      <c r="A50291" s="56"/>
    </row>
    <row r="50292" spans="1:1">
      <c r="A50292" s="56"/>
    </row>
    <row r="50293" spans="1:1">
      <c r="A50293" s="56"/>
    </row>
    <row r="50294" spans="1:1">
      <c r="A50294" s="56"/>
    </row>
    <row r="50295" spans="1:1">
      <c r="A50295" s="56"/>
    </row>
    <row r="50296" spans="1:1">
      <c r="A50296" s="56"/>
    </row>
    <row r="50297" spans="1:1">
      <c r="A50297" s="56"/>
    </row>
    <row r="50298" spans="1:1">
      <c r="A50298" s="56"/>
    </row>
    <row r="50299" spans="1:1">
      <c r="A50299" s="56"/>
    </row>
    <row r="50300" spans="1:1">
      <c r="A50300" s="56"/>
    </row>
    <row r="50301" spans="1:1">
      <c r="A50301" s="56"/>
    </row>
    <row r="50302" spans="1:1">
      <c r="A50302" s="56"/>
    </row>
    <row r="50303" spans="1:1">
      <c r="A50303" s="56"/>
    </row>
    <row r="50304" spans="1:1">
      <c r="A50304" s="56"/>
    </row>
    <row r="50305" spans="1:1">
      <c r="A50305" s="56"/>
    </row>
    <row r="50306" spans="1:1">
      <c r="A50306" s="56"/>
    </row>
    <row r="50307" spans="1:1">
      <c r="A50307" s="56"/>
    </row>
    <row r="50308" spans="1:1">
      <c r="A50308" s="56"/>
    </row>
    <row r="50309" spans="1:1">
      <c r="A50309" s="56"/>
    </row>
    <row r="50310" spans="1:1">
      <c r="A50310" s="56"/>
    </row>
    <row r="50311" spans="1:1">
      <c r="A50311" s="56"/>
    </row>
    <row r="50312" spans="1:1">
      <c r="A50312" s="56"/>
    </row>
    <row r="50313" spans="1:1">
      <c r="A50313" s="56"/>
    </row>
    <row r="50314" spans="1:1">
      <c r="A50314" s="56"/>
    </row>
    <row r="50315" spans="1:1">
      <c r="A50315" s="56"/>
    </row>
    <row r="50316" spans="1:1">
      <c r="A50316" s="56"/>
    </row>
    <row r="50317" spans="1:1">
      <c r="A50317" s="56"/>
    </row>
    <row r="50318" spans="1:1">
      <c r="A50318" s="56"/>
    </row>
    <row r="50319" spans="1:1">
      <c r="A50319" s="56"/>
    </row>
    <row r="50320" spans="1:1">
      <c r="A50320" s="56"/>
    </row>
    <row r="50321" spans="1:1">
      <c r="A50321" s="56"/>
    </row>
    <row r="50322" spans="1:1">
      <c r="A50322" s="56"/>
    </row>
    <row r="50323" spans="1:1">
      <c r="A50323" s="56"/>
    </row>
    <row r="50324" spans="1:1">
      <c r="A50324" s="56"/>
    </row>
    <row r="50325" spans="1:1">
      <c r="A50325" s="56"/>
    </row>
    <row r="50326" spans="1:1">
      <c r="A50326" s="56"/>
    </row>
    <row r="50327" spans="1:1">
      <c r="A50327" s="56"/>
    </row>
    <row r="50328" spans="1:1">
      <c r="A50328" s="56"/>
    </row>
    <row r="50329" spans="1:1">
      <c r="A50329" s="56"/>
    </row>
    <row r="50330" spans="1:1">
      <c r="A50330" s="56"/>
    </row>
    <row r="50331" spans="1:1">
      <c r="A50331" s="56"/>
    </row>
    <row r="50332" spans="1:1">
      <c r="A50332" s="56"/>
    </row>
    <row r="50333" spans="1:1">
      <c r="A50333" s="56"/>
    </row>
    <row r="50334" spans="1:1">
      <c r="A50334" s="56"/>
    </row>
    <row r="50335" spans="1:1">
      <c r="A50335" s="56"/>
    </row>
    <row r="50336" spans="1:1">
      <c r="A50336" s="56"/>
    </row>
    <row r="50337" spans="1:1">
      <c r="A50337" s="56"/>
    </row>
    <row r="50338" spans="1:1">
      <c r="A50338" s="56"/>
    </row>
    <row r="50339" spans="1:1">
      <c r="A50339" s="56"/>
    </row>
    <row r="50340" spans="1:1">
      <c r="A50340" s="56"/>
    </row>
    <row r="50341" spans="1:1">
      <c r="A50341" s="56"/>
    </row>
    <row r="50342" spans="1:1">
      <c r="A50342" s="56"/>
    </row>
    <row r="50343" spans="1:1">
      <c r="A50343" s="56"/>
    </row>
    <row r="50344" spans="1:1">
      <c r="A50344" s="56"/>
    </row>
    <row r="50345" spans="1:1">
      <c r="A50345" s="56"/>
    </row>
    <row r="50346" spans="1:1">
      <c r="A50346" s="56"/>
    </row>
    <row r="50347" spans="1:1">
      <c r="A50347" s="56"/>
    </row>
    <row r="50348" spans="1:1">
      <c r="A50348" s="56"/>
    </row>
    <row r="50349" spans="1:1">
      <c r="A50349" s="56"/>
    </row>
    <row r="50350" spans="1:1">
      <c r="A50350" s="56"/>
    </row>
    <row r="50351" spans="1:1">
      <c r="A50351" s="56"/>
    </row>
    <row r="50352" spans="1:1">
      <c r="A50352" s="56"/>
    </row>
    <row r="50353" spans="1:1">
      <c r="A50353" s="56"/>
    </row>
    <row r="50354" spans="1:1">
      <c r="A50354" s="56"/>
    </row>
    <row r="50355" spans="1:1">
      <c r="A50355" s="56"/>
    </row>
    <row r="50356" spans="1:1">
      <c r="A50356" s="56"/>
    </row>
    <row r="50357" spans="1:1">
      <c r="A50357" s="56"/>
    </row>
    <row r="50358" spans="1:1">
      <c r="A50358" s="56"/>
    </row>
    <row r="50359" spans="1:1">
      <c r="A50359" s="56"/>
    </row>
    <row r="50360" spans="1:1">
      <c r="A50360" s="56"/>
    </row>
    <row r="50361" spans="1:1">
      <c r="A50361" s="56"/>
    </row>
    <row r="50362" spans="1:1">
      <c r="A50362" s="56"/>
    </row>
    <row r="50363" spans="1:1">
      <c r="A50363" s="56"/>
    </row>
    <row r="50364" spans="1:1">
      <c r="A50364" s="56"/>
    </row>
    <row r="50365" spans="1:1">
      <c r="A50365" s="56"/>
    </row>
    <row r="50366" spans="1:1">
      <c r="A50366" s="56"/>
    </row>
    <row r="50367" spans="1:1">
      <c r="A50367" s="56"/>
    </row>
    <row r="50368" spans="1:1">
      <c r="A50368" s="56"/>
    </row>
    <row r="50369" spans="1:1">
      <c r="A50369" s="56"/>
    </row>
    <row r="50370" spans="1:1">
      <c r="A50370" s="56"/>
    </row>
    <row r="50371" spans="1:1">
      <c r="A50371" s="56"/>
    </row>
    <row r="50372" spans="1:1">
      <c r="A50372" s="56"/>
    </row>
    <row r="50373" spans="1:1">
      <c r="A50373" s="56"/>
    </row>
    <row r="50374" spans="1:1">
      <c r="A50374" s="56"/>
    </row>
    <row r="50375" spans="1:1">
      <c r="A50375" s="56"/>
    </row>
    <row r="50376" spans="1:1">
      <c r="A50376" s="56"/>
    </row>
    <row r="50377" spans="1:1">
      <c r="A50377" s="56"/>
    </row>
    <row r="50378" spans="1:1">
      <c r="A50378" s="56"/>
    </row>
    <row r="50379" spans="1:1">
      <c r="A50379" s="56"/>
    </row>
    <row r="50380" spans="1:1">
      <c r="A50380" s="56"/>
    </row>
    <row r="50381" spans="1:1">
      <c r="A50381" s="56"/>
    </row>
    <row r="50382" spans="1:1">
      <c r="A50382" s="56"/>
    </row>
    <row r="50383" spans="1:1">
      <c r="A50383" s="56"/>
    </row>
    <row r="50384" spans="1:1">
      <c r="A50384" s="56"/>
    </row>
    <row r="50385" spans="1:1">
      <c r="A50385" s="56"/>
    </row>
    <row r="50386" spans="1:1">
      <c r="A50386" s="56"/>
    </row>
    <row r="50387" spans="1:1">
      <c r="A50387" s="56"/>
    </row>
    <row r="50388" spans="1:1">
      <c r="A50388" s="56"/>
    </row>
    <row r="50389" spans="1:1">
      <c r="A50389" s="56"/>
    </row>
    <row r="50390" spans="1:1">
      <c r="A50390" s="56"/>
    </row>
    <row r="50391" spans="1:1">
      <c r="A50391" s="56"/>
    </row>
    <row r="50392" spans="1:1">
      <c r="A50392" s="56"/>
    </row>
    <row r="50393" spans="1:1">
      <c r="A50393" s="56"/>
    </row>
    <row r="50394" spans="1:1">
      <c r="A50394" s="56"/>
    </row>
    <row r="50395" spans="1:1">
      <c r="A50395" s="56"/>
    </row>
    <row r="50396" spans="1:1">
      <c r="A50396" s="56"/>
    </row>
    <row r="50397" spans="1:1">
      <c r="A50397" s="56"/>
    </row>
    <row r="50398" spans="1:1">
      <c r="A50398" s="56"/>
    </row>
    <row r="50399" spans="1:1">
      <c r="A50399" s="56"/>
    </row>
    <row r="50400" spans="1:1">
      <c r="A50400" s="56"/>
    </row>
    <row r="50401" spans="1:1">
      <c r="A50401" s="56"/>
    </row>
    <row r="50402" spans="1:1">
      <c r="A50402" s="56"/>
    </row>
    <row r="50403" spans="1:1">
      <c r="A50403" s="56"/>
    </row>
    <row r="50404" spans="1:1">
      <c r="A50404" s="56"/>
    </row>
    <row r="50405" spans="1:1">
      <c r="A50405" s="56"/>
    </row>
    <row r="50406" spans="1:1">
      <c r="A50406" s="56"/>
    </row>
    <row r="50407" spans="1:1">
      <c r="A50407" s="56"/>
    </row>
    <row r="50408" spans="1:1">
      <c r="A50408" s="56"/>
    </row>
    <row r="50409" spans="1:1">
      <c r="A50409" s="56"/>
    </row>
    <row r="50410" spans="1:1">
      <c r="A50410" s="56"/>
    </row>
    <row r="50411" spans="1:1">
      <c r="A50411" s="56"/>
    </row>
    <row r="50412" spans="1:1">
      <c r="A50412" s="56"/>
    </row>
    <row r="50413" spans="1:1">
      <c r="A50413" s="56"/>
    </row>
    <row r="50414" spans="1:1">
      <c r="A50414" s="56"/>
    </row>
    <row r="50415" spans="1:1">
      <c r="A50415" s="56"/>
    </row>
    <row r="50416" spans="1:1">
      <c r="A50416" s="56"/>
    </row>
    <row r="50417" spans="1:1">
      <c r="A50417" s="56"/>
    </row>
    <row r="50418" spans="1:1">
      <c r="A50418" s="56"/>
    </row>
    <row r="50419" spans="1:1">
      <c r="A50419" s="56"/>
    </row>
    <row r="50420" spans="1:1">
      <c r="A50420" s="56"/>
    </row>
    <row r="50421" spans="1:1">
      <c r="A50421" s="56"/>
    </row>
    <row r="50422" spans="1:1">
      <c r="A50422" s="56"/>
    </row>
    <row r="50423" spans="1:1">
      <c r="A50423" s="56"/>
    </row>
    <row r="50424" spans="1:1">
      <c r="A50424" s="56"/>
    </row>
    <row r="50425" spans="1:1">
      <c r="A50425" s="56"/>
    </row>
    <row r="50426" spans="1:1">
      <c r="A50426" s="56"/>
    </row>
    <row r="50427" spans="1:1">
      <c r="A50427" s="56"/>
    </row>
    <row r="50428" spans="1:1">
      <c r="A50428" s="56"/>
    </row>
    <row r="50429" spans="1:1">
      <c r="A50429" s="56"/>
    </row>
    <row r="50430" spans="1:1">
      <c r="A50430" s="56"/>
    </row>
    <row r="50431" spans="1:1">
      <c r="A50431" s="56"/>
    </row>
    <row r="50432" spans="1:1">
      <c r="A50432" s="56"/>
    </row>
    <row r="50433" spans="1:1">
      <c r="A50433" s="56"/>
    </row>
    <row r="50434" spans="1:1">
      <c r="A50434" s="56"/>
    </row>
    <row r="50435" spans="1:1">
      <c r="A50435" s="56"/>
    </row>
    <row r="50436" spans="1:1">
      <c r="A50436" s="56"/>
    </row>
    <row r="50437" spans="1:1">
      <c r="A50437" s="56"/>
    </row>
    <row r="50438" spans="1:1">
      <c r="A50438" s="56"/>
    </row>
    <row r="50439" spans="1:1">
      <c r="A50439" s="56"/>
    </row>
    <row r="50440" spans="1:1">
      <c r="A50440" s="56"/>
    </row>
    <row r="50441" spans="1:1">
      <c r="A50441" s="56"/>
    </row>
    <row r="50442" spans="1:1">
      <c r="A50442" s="56"/>
    </row>
    <row r="50443" spans="1:1">
      <c r="A50443" s="56"/>
    </row>
    <row r="50444" spans="1:1">
      <c r="A50444" s="56"/>
    </row>
    <row r="50445" spans="1:1">
      <c r="A50445" s="56"/>
    </row>
    <row r="50446" spans="1:1">
      <c r="A50446" s="56"/>
    </row>
    <row r="50447" spans="1:1">
      <c r="A50447" s="56"/>
    </row>
    <row r="50448" spans="1:1">
      <c r="A50448" s="56"/>
    </row>
    <row r="50449" spans="1:1">
      <c r="A50449" s="56"/>
    </row>
    <row r="50450" spans="1:1">
      <c r="A50450" s="56"/>
    </row>
    <row r="50451" spans="1:1">
      <c r="A50451" s="56"/>
    </row>
    <row r="50452" spans="1:1">
      <c r="A50452" s="56"/>
    </row>
    <row r="50453" spans="1:1">
      <c r="A50453" s="56"/>
    </row>
    <row r="50454" spans="1:1">
      <c r="A50454" s="56"/>
    </row>
    <row r="50455" spans="1:1">
      <c r="A50455" s="56"/>
    </row>
    <row r="50456" spans="1:1">
      <c r="A50456" s="56"/>
    </row>
    <row r="50457" spans="1:1">
      <c r="A50457" s="56"/>
    </row>
    <row r="50458" spans="1:1">
      <c r="A50458" s="56"/>
    </row>
    <row r="50459" spans="1:1">
      <c r="A50459" s="56"/>
    </row>
    <row r="50460" spans="1:1">
      <c r="A50460" s="56"/>
    </row>
    <row r="50461" spans="1:1">
      <c r="A50461" s="56"/>
    </row>
    <row r="50462" spans="1:1">
      <c r="A50462" s="56"/>
    </row>
    <row r="50463" spans="1:1">
      <c r="A50463" s="56"/>
    </row>
    <row r="50464" spans="1:1">
      <c r="A50464" s="56"/>
    </row>
    <row r="50465" spans="1:1">
      <c r="A50465" s="56"/>
    </row>
    <row r="50466" spans="1:1">
      <c r="A50466" s="56"/>
    </row>
    <row r="50467" spans="1:1">
      <c r="A50467" s="56"/>
    </row>
    <row r="50468" spans="1:1">
      <c r="A50468" s="56"/>
    </row>
    <row r="50469" spans="1:1">
      <c r="A50469" s="56"/>
    </row>
    <row r="50470" spans="1:1">
      <c r="A50470" s="56"/>
    </row>
    <row r="50471" spans="1:1">
      <c r="A50471" s="56"/>
    </row>
    <row r="50472" spans="1:1">
      <c r="A50472" s="56"/>
    </row>
    <row r="50473" spans="1:1">
      <c r="A50473" s="56"/>
    </row>
    <row r="50474" spans="1:1">
      <c r="A50474" s="56"/>
    </row>
    <row r="50475" spans="1:1">
      <c r="A50475" s="56"/>
    </row>
    <row r="50476" spans="1:1">
      <c r="A50476" s="56"/>
    </row>
    <row r="50477" spans="1:1">
      <c r="A50477" s="56"/>
    </row>
    <row r="50478" spans="1:1">
      <c r="A50478" s="56"/>
    </row>
    <row r="50479" spans="1:1">
      <c r="A50479" s="56"/>
    </row>
    <row r="50480" spans="1:1">
      <c r="A50480" s="56"/>
    </row>
    <row r="50481" spans="1:1">
      <c r="A50481" s="56"/>
    </row>
    <row r="50482" spans="1:1">
      <c r="A50482" s="56"/>
    </row>
    <row r="50483" spans="1:1">
      <c r="A50483" s="56"/>
    </row>
    <row r="50484" spans="1:1">
      <c r="A50484" s="56"/>
    </row>
    <row r="50485" spans="1:1">
      <c r="A50485" s="56"/>
    </row>
    <row r="50486" spans="1:1">
      <c r="A50486" s="56"/>
    </row>
    <row r="50487" spans="1:1">
      <c r="A50487" s="56"/>
    </row>
    <row r="50488" spans="1:1">
      <c r="A50488" s="56"/>
    </row>
    <row r="50489" spans="1:1">
      <c r="A50489" s="56"/>
    </row>
    <row r="50490" spans="1:1">
      <c r="A50490" s="56"/>
    </row>
    <row r="50491" spans="1:1">
      <c r="A50491" s="56"/>
    </row>
    <row r="50492" spans="1:1">
      <c r="A50492" s="56"/>
    </row>
    <row r="50493" spans="1:1">
      <c r="A50493" s="56"/>
    </row>
    <row r="50494" spans="1:1">
      <c r="A50494" s="56"/>
    </row>
    <row r="50495" spans="1:1">
      <c r="A50495" s="56"/>
    </row>
    <row r="50496" spans="1:1">
      <c r="A50496" s="56"/>
    </row>
    <row r="50497" spans="1:1">
      <c r="A50497" s="56"/>
    </row>
    <row r="50498" spans="1:1">
      <c r="A50498" s="56"/>
    </row>
    <row r="50499" spans="1:1">
      <c r="A50499" s="56"/>
    </row>
    <row r="50500" spans="1:1">
      <c r="A50500" s="56"/>
    </row>
    <row r="50501" spans="1:1">
      <c r="A50501" s="56"/>
    </row>
    <row r="50502" spans="1:1">
      <c r="A50502" s="56"/>
    </row>
    <row r="50503" spans="1:1">
      <c r="A50503" s="56"/>
    </row>
    <row r="50504" spans="1:1">
      <c r="A50504" s="56"/>
    </row>
    <row r="50505" spans="1:1">
      <c r="A50505" s="56"/>
    </row>
    <row r="50506" spans="1:1">
      <c r="A50506" s="56"/>
    </row>
    <row r="50507" spans="1:1">
      <c r="A50507" s="56"/>
    </row>
    <row r="50508" spans="1:1">
      <c r="A50508" s="56"/>
    </row>
    <row r="50509" spans="1:1">
      <c r="A50509" s="56"/>
    </row>
    <row r="50510" spans="1:1">
      <c r="A50510" s="56"/>
    </row>
    <row r="50511" spans="1:1">
      <c r="A50511" s="56"/>
    </row>
    <row r="50512" spans="1:1">
      <c r="A50512" s="56"/>
    </row>
    <row r="50513" spans="1:1">
      <c r="A50513" s="56"/>
    </row>
    <row r="50514" spans="1:1">
      <c r="A50514" s="56"/>
    </row>
    <row r="50515" spans="1:1">
      <c r="A50515" s="56"/>
    </row>
    <row r="50516" spans="1:1">
      <c r="A50516" s="56"/>
    </row>
    <row r="50517" spans="1:1">
      <c r="A50517" s="56"/>
    </row>
    <row r="50518" spans="1:1">
      <c r="A50518" s="56"/>
    </row>
    <row r="50519" spans="1:1">
      <c r="A50519" s="56"/>
    </row>
    <row r="50520" spans="1:1">
      <c r="A50520" s="56"/>
    </row>
    <row r="50521" spans="1:1">
      <c r="A50521" s="56"/>
    </row>
    <row r="50522" spans="1:1">
      <c r="A50522" s="56"/>
    </row>
    <row r="50523" spans="1:1">
      <c r="A50523" s="56"/>
    </row>
    <row r="50524" spans="1:1">
      <c r="A50524" s="56"/>
    </row>
    <row r="50525" spans="1:1">
      <c r="A50525" s="56"/>
    </row>
    <row r="50526" spans="1:1">
      <c r="A50526" s="56"/>
    </row>
    <row r="50527" spans="1:1">
      <c r="A50527" s="56"/>
    </row>
    <row r="50528" spans="1:1">
      <c r="A50528" s="56"/>
    </row>
    <row r="50529" spans="1:1">
      <c r="A50529" s="56"/>
    </row>
    <row r="50530" spans="1:1">
      <c r="A50530" s="56"/>
    </row>
    <row r="50531" spans="1:1">
      <c r="A50531" s="56"/>
    </row>
    <row r="50532" spans="1:1">
      <c r="A50532" s="56"/>
    </row>
    <row r="50533" spans="1:1">
      <c r="A50533" s="56"/>
    </row>
    <row r="50534" spans="1:1">
      <c r="A50534" s="56"/>
    </row>
    <row r="50535" spans="1:1">
      <c r="A50535" s="56"/>
    </row>
    <row r="50536" spans="1:1">
      <c r="A50536" s="56"/>
    </row>
    <row r="50537" spans="1:1">
      <c r="A50537" s="56"/>
    </row>
    <row r="50538" spans="1:1">
      <c r="A50538" s="56"/>
    </row>
    <row r="50539" spans="1:1">
      <c r="A50539" s="56"/>
    </row>
    <row r="50540" spans="1:1">
      <c r="A50540" s="56"/>
    </row>
    <row r="50541" spans="1:1">
      <c r="A50541" s="56"/>
    </row>
    <row r="50542" spans="1:1">
      <c r="A50542" s="56"/>
    </row>
    <row r="50543" spans="1:1">
      <c r="A50543" s="56"/>
    </row>
    <row r="50544" spans="1:1">
      <c r="A50544" s="56"/>
    </row>
    <row r="50545" spans="1:1">
      <c r="A50545" s="56"/>
    </row>
    <row r="50546" spans="1:1">
      <c r="A50546" s="56"/>
    </row>
    <row r="50547" spans="1:1">
      <c r="A50547" s="56"/>
    </row>
    <row r="50548" spans="1:1">
      <c r="A50548" s="56"/>
    </row>
    <row r="50549" spans="1:1">
      <c r="A50549" s="56"/>
    </row>
    <row r="50550" spans="1:1">
      <c r="A50550" s="56"/>
    </row>
    <row r="50551" spans="1:1">
      <c r="A50551" s="56"/>
    </row>
    <row r="50552" spans="1:1">
      <c r="A50552" s="56"/>
    </row>
    <row r="50553" spans="1:1">
      <c r="A50553" s="56"/>
    </row>
    <row r="50554" spans="1:1">
      <c r="A50554" s="56"/>
    </row>
    <row r="50555" spans="1:1">
      <c r="A50555" s="56"/>
    </row>
    <row r="50556" spans="1:1">
      <c r="A50556" s="56"/>
    </row>
    <row r="50557" spans="1:1">
      <c r="A50557" s="56"/>
    </row>
    <row r="50558" spans="1:1">
      <c r="A50558" s="56"/>
    </row>
    <row r="50559" spans="1:1">
      <c r="A50559" s="56"/>
    </row>
    <row r="50560" spans="1:1">
      <c r="A50560" s="56"/>
    </row>
    <row r="50561" spans="1:1">
      <c r="A50561" s="56"/>
    </row>
    <row r="50562" spans="1:1">
      <c r="A50562" s="56"/>
    </row>
    <row r="50563" spans="1:1">
      <c r="A50563" s="56"/>
    </row>
    <row r="50564" spans="1:1">
      <c r="A50564" s="56"/>
    </row>
    <row r="50565" spans="1:1">
      <c r="A50565" s="56"/>
    </row>
    <row r="50566" spans="1:1">
      <c r="A50566" s="56"/>
    </row>
    <row r="50567" spans="1:1">
      <c r="A50567" s="56"/>
    </row>
    <row r="50568" spans="1:1">
      <c r="A50568" s="56"/>
    </row>
    <row r="50569" spans="1:1">
      <c r="A50569" s="56"/>
    </row>
    <row r="50570" spans="1:1">
      <c r="A50570" s="56"/>
    </row>
    <row r="50571" spans="1:1">
      <c r="A50571" s="56"/>
    </row>
    <row r="50572" spans="1:1">
      <c r="A50572" s="56"/>
    </row>
    <row r="50573" spans="1:1">
      <c r="A50573" s="56"/>
    </row>
    <row r="50574" spans="1:1">
      <c r="A50574" s="56"/>
    </row>
    <row r="50575" spans="1:1">
      <c r="A50575" s="56"/>
    </row>
    <row r="50576" spans="1:1">
      <c r="A50576" s="56"/>
    </row>
    <row r="50577" spans="1:1">
      <c r="A50577" s="56"/>
    </row>
    <row r="50578" spans="1:1">
      <c r="A50578" s="56"/>
    </row>
    <row r="50579" spans="1:1">
      <c r="A50579" s="56"/>
    </row>
    <row r="50580" spans="1:1">
      <c r="A50580" s="56"/>
    </row>
    <row r="50581" spans="1:1">
      <c r="A50581" s="56"/>
    </row>
    <row r="50582" spans="1:1">
      <c r="A50582" s="56"/>
    </row>
    <row r="50583" spans="1:1">
      <c r="A50583" s="56"/>
    </row>
    <row r="50584" spans="1:1">
      <c r="A50584" s="56"/>
    </row>
    <row r="50585" spans="1:1">
      <c r="A50585" s="56"/>
    </row>
    <row r="50586" spans="1:1">
      <c r="A50586" s="56"/>
    </row>
    <row r="50587" spans="1:1">
      <c r="A50587" s="56"/>
    </row>
    <row r="50588" spans="1:1">
      <c r="A50588" s="56"/>
    </row>
    <row r="50589" spans="1:1">
      <c r="A50589" s="56"/>
    </row>
    <row r="50590" spans="1:1">
      <c r="A50590" s="56"/>
    </row>
    <row r="50591" spans="1:1">
      <c r="A50591" s="56"/>
    </row>
    <row r="50592" spans="1:1">
      <c r="A50592" s="56"/>
    </row>
    <row r="50593" spans="1:1">
      <c r="A50593" s="56"/>
    </row>
    <row r="50594" spans="1:1">
      <c r="A50594" s="56"/>
    </row>
    <row r="50595" spans="1:1">
      <c r="A50595" s="56"/>
    </row>
    <row r="50596" spans="1:1">
      <c r="A50596" s="56"/>
    </row>
    <row r="50597" spans="1:1">
      <c r="A50597" s="56"/>
    </row>
    <row r="50598" spans="1:1">
      <c r="A50598" s="56"/>
    </row>
    <row r="50599" spans="1:1">
      <c r="A50599" s="56"/>
    </row>
    <row r="50600" spans="1:1">
      <c r="A50600" s="56"/>
    </row>
    <row r="50601" spans="1:1">
      <c r="A50601" s="56"/>
    </row>
    <row r="50602" spans="1:1">
      <c r="A50602" s="56"/>
    </row>
    <row r="50603" spans="1:1">
      <c r="A50603" s="56"/>
    </row>
    <row r="50604" spans="1:1">
      <c r="A50604" s="56"/>
    </row>
    <row r="50605" spans="1:1">
      <c r="A50605" s="56"/>
    </row>
    <row r="50606" spans="1:1">
      <c r="A50606" s="56"/>
    </row>
    <row r="50607" spans="1:1">
      <c r="A50607" s="56"/>
    </row>
    <row r="50608" spans="1:1">
      <c r="A50608" s="56"/>
    </row>
    <row r="50609" spans="1:1">
      <c r="A50609" s="56"/>
    </row>
    <row r="50610" spans="1:1">
      <c r="A50610" s="56"/>
    </row>
    <row r="50611" spans="1:1">
      <c r="A50611" s="56"/>
    </row>
    <row r="50612" spans="1:1">
      <c r="A50612" s="56"/>
    </row>
    <row r="50613" spans="1:1">
      <c r="A50613" s="56"/>
    </row>
    <row r="50614" spans="1:1">
      <c r="A50614" s="56"/>
    </row>
    <row r="50615" spans="1:1">
      <c r="A50615" s="56"/>
    </row>
    <row r="50616" spans="1:1">
      <c r="A50616" s="56"/>
    </row>
    <row r="50617" spans="1:1">
      <c r="A50617" s="56"/>
    </row>
    <row r="50618" spans="1:1">
      <c r="A50618" s="56"/>
    </row>
    <row r="50619" spans="1:1">
      <c r="A50619" s="56"/>
    </row>
    <row r="50620" spans="1:1">
      <c r="A50620" s="56"/>
    </row>
    <row r="50621" spans="1:1">
      <c r="A50621" s="56"/>
    </row>
    <row r="50622" spans="1:1">
      <c r="A50622" s="56"/>
    </row>
    <row r="50623" spans="1:1">
      <c r="A50623" s="56"/>
    </row>
    <row r="50624" spans="1:1">
      <c r="A50624" s="56"/>
    </row>
    <row r="50625" spans="1:1">
      <c r="A50625" s="56"/>
    </row>
    <row r="50626" spans="1:1">
      <c r="A50626" s="56"/>
    </row>
    <row r="50627" spans="1:1">
      <c r="A50627" s="56"/>
    </row>
    <row r="50628" spans="1:1">
      <c r="A50628" s="56"/>
    </row>
    <row r="50629" spans="1:1">
      <c r="A50629" s="56"/>
    </row>
    <row r="50630" spans="1:1">
      <c r="A50630" s="56"/>
    </row>
    <row r="50631" spans="1:1">
      <c r="A50631" s="56"/>
    </row>
    <row r="50632" spans="1:1">
      <c r="A50632" s="56"/>
    </row>
    <row r="50633" spans="1:1">
      <c r="A50633" s="56"/>
    </row>
    <row r="50634" spans="1:1">
      <c r="A50634" s="56"/>
    </row>
    <row r="50635" spans="1:1">
      <c r="A50635" s="56"/>
    </row>
    <row r="50636" spans="1:1">
      <c r="A50636" s="56"/>
    </row>
    <row r="50637" spans="1:1">
      <c r="A50637" s="56"/>
    </row>
    <row r="50638" spans="1:1">
      <c r="A50638" s="56"/>
    </row>
    <row r="50639" spans="1:1">
      <c r="A50639" s="56"/>
    </row>
    <row r="50640" spans="1:1">
      <c r="A50640" s="56"/>
    </row>
    <row r="50641" spans="1:1">
      <c r="A50641" s="56"/>
    </row>
    <row r="50642" spans="1:1">
      <c r="A50642" s="56"/>
    </row>
    <row r="50643" spans="1:1">
      <c r="A50643" s="56"/>
    </row>
    <row r="50644" spans="1:1">
      <c r="A50644" s="56"/>
    </row>
    <row r="50645" spans="1:1">
      <c r="A50645" s="56"/>
    </row>
    <row r="50646" spans="1:1">
      <c r="A50646" s="56"/>
    </row>
    <row r="50647" spans="1:1">
      <c r="A50647" s="56"/>
    </row>
    <row r="50648" spans="1:1">
      <c r="A50648" s="56"/>
    </row>
    <row r="50649" spans="1:1">
      <c r="A50649" s="56"/>
    </row>
    <row r="50650" spans="1:1">
      <c r="A50650" s="56"/>
    </row>
    <row r="50651" spans="1:1">
      <c r="A50651" s="56"/>
    </row>
    <row r="50652" spans="1:1">
      <c r="A50652" s="56"/>
    </row>
    <row r="50653" spans="1:1">
      <c r="A50653" s="56"/>
    </row>
    <row r="50654" spans="1:1">
      <c r="A50654" s="56"/>
    </row>
    <row r="50655" spans="1:1">
      <c r="A50655" s="56"/>
    </row>
    <row r="50656" spans="1:1">
      <c r="A50656" s="56"/>
    </row>
    <row r="50657" spans="1:1">
      <c r="A50657" s="56"/>
    </row>
    <row r="50658" spans="1:1">
      <c r="A50658" s="56"/>
    </row>
    <row r="50659" spans="1:1">
      <c r="A50659" s="56"/>
    </row>
    <row r="50660" spans="1:1">
      <c r="A50660" s="56"/>
    </row>
    <row r="50661" spans="1:1">
      <c r="A50661" s="56"/>
    </row>
    <row r="50662" spans="1:1">
      <c r="A50662" s="56"/>
    </row>
    <row r="50663" spans="1:1">
      <c r="A50663" s="56"/>
    </row>
    <row r="50664" spans="1:1">
      <c r="A50664" s="56"/>
    </row>
    <row r="50665" spans="1:1">
      <c r="A50665" s="56"/>
    </row>
    <row r="50666" spans="1:1">
      <c r="A50666" s="56"/>
    </row>
    <row r="50667" spans="1:1">
      <c r="A50667" s="56"/>
    </row>
    <row r="50668" spans="1:1">
      <c r="A50668" s="56"/>
    </row>
    <row r="50669" spans="1:1">
      <c r="A50669" s="56"/>
    </row>
    <row r="50670" spans="1:1">
      <c r="A50670" s="56"/>
    </row>
    <row r="50671" spans="1:1">
      <c r="A50671" s="56"/>
    </row>
    <row r="50672" spans="1:1">
      <c r="A50672" s="56"/>
    </row>
    <row r="50673" spans="1:1">
      <c r="A50673" s="56"/>
    </row>
    <row r="50674" spans="1:1">
      <c r="A50674" s="56"/>
    </row>
    <row r="50675" spans="1:1">
      <c r="A50675" s="56"/>
    </row>
    <row r="50676" spans="1:1">
      <c r="A50676" s="56"/>
    </row>
    <row r="50677" spans="1:1">
      <c r="A50677" s="56"/>
    </row>
    <row r="50678" spans="1:1">
      <c r="A50678" s="56"/>
    </row>
    <row r="50679" spans="1:1">
      <c r="A50679" s="56"/>
    </row>
    <row r="50680" spans="1:1">
      <c r="A50680" s="56"/>
    </row>
    <row r="50681" spans="1:1">
      <c r="A50681" s="56"/>
    </row>
    <row r="50682" spans="1:1">
      <c r="A50682" s="56"/>
    </row>
    <row r="50683" spans="1:1">
      <c r="A50683" s="56"/>
    </row>
    <row r="50684" spans="1:1">
      <c r="A50684" s="56"/>
    </row>
    <row r="50685" spans="1:1">
      <c r="A50685" s="56"/>
    </row>
    <row r="50686" spans="1:1">
      <c r="A50686" s="56"/>
    </row>
    <row r="50687" spans="1:1">
      <c r="A50687" s="56"/>
    </row>
    <row r="50688" spans="1:1">
      <c r="A50688" s="56"/>
    </row>
    <row r="50689" spans="1:1">
      <c r="A50689" s="56"/>
    </row>
    <row r="50690" spans="1:1">
      <c r="A50690" s="56"/>
    </row>
    <row r="50691" spans="1:1">
      <c r="A50691" s="56"/>
    </row>
    <row r="50692" spans="1:1">
      <c r="A50692" s="56"/>
    </row>
    <row r="50693" spans="1:1">
      <c r="A50693" s="56"/>
    </row>
    <row r="50694" spans="1:1">
      <c r="A50694" s="56"/>
    </row>
    <row r="50695" spans="1:1">
      <c r="A50695" s="56"/>
    </row>
    <row r="50696" spans="1:1">
      <c r="A50696" s="56"/>
    </row>
    <row r="50697" spans="1:1">
      <c r="A50697" s="56"/>
    </row>
    <row r="50698" spans="1:1">
      <c r="A50698" s="56"/>
    </row>
    <row r="50699" spans="1:1">
      <c r="A50699" s="56"/>
    </row>
    <row r="50700" spans="1:1">
      <c r="A50700" s="56"/>
    </row>
    <row r="50701" spans="1:1">
      <c r="A50701" s="56"/>
    </row>
    <row r="50702" spans="1:1">
      <c r="A50702" s="56"/>
    </row>
    <row r="50703" spans="1:1">
      <c r="A50703" s="56"/>
    </row>
    <row r="50704" spans="1:1">
      <c r="A50704" s="56"/>
    </row>
    <row r="50705" spans="1:1">
      <c r="A50705" s="56"/>
    </row>
    <row r="50706" spans="1:1">
      <c r="A50706" s="56"/>
    </row>
    <row r="50707" spans="1:1">
      <c r="A50707" s="56"/>
    </row>
    <row r="50708" spans="1:1">
      <c r="A50708" s="56"/>
    </row>
    <row r="50709" spans="1:1">
      <c r="A50709" s="56"/>
    </row>
    <row r="50710" spans="1:1">
      <c r="A50710" s="56"/>
    </row>
    <row r="50711" spans="1:1">
      <c r="A50711" s="56"/>
    </row>
    <row r="50712" spans="1:1">
      <c r="A50712" s="56"/>
    </row>
    <row r="50713" spans="1:1">
      <c r="A50713" s="56"/>
    </row>
    <row r="50714" spans="1:1">
      <c r="A50714" s="56"/>
    </row>
    <row r="50715" spans="1:1">
      <c r="A50715" s="56"/>
    </row>
    <row r="50716" spans="1:1">
      <c r="A50716" s="56"/>
    </row>
    <row r="50717" spans="1:1">
      <c r="A50717" s="56"/>
    </row>
    <row r="50718" spans="1:1">
      <c r="A50718" s="56"/>
    </row>
    <row r="50719" spans="1:1">
      <c r="A50719" s="56"/>
    </row>
    <row r="50720" spans="1:1">
      <c r="A50720" s="56"/>
    </row>
    <row r="50721" spans="1:1">
      <c r="A50721" s="56"/>
    </row>
    <row r="50722" spans="1:1">
      <c r="A50722" s="56"/>
    </row>
    <row r="50723" spans="1:1">
      <c r="A50723" s="56"/>
    </row>
    <row r="50724" spans="1:1">
      <c r="A50724" s="56"/>
    </row>
    <row r="50725" spans="1:1">
      <c r="A50725" s="56"/>
    </row>
    <row r="50726" spans="1:1">
      <c r="A50726" s="56"/>
    </row>
    <row r="50727" spans="1:1">
      <c r="A50727" s="56"/>
    </row>
    <row r="50728" spans="1:1">
      <c r="A50728" s="56"/>
    </row>
    <row r="50729" spans="1:1">
      <c r="A50729" s="56"/>
    </row>
    <row r="50730" spans="1:1">
      <c r="A50730" s="56"/>
    </row>
    <row r="50731" spans="1:1">
      <c r="A50731" s="56"/>
    </row>
    <row r="50732" spans="1:1">
      <c r="A50732" s="56"/>
    </row>
    <row r="50733" spans="1:1">
      <c r="A50733" s="56"/>
    </row>
    <row r="50734" spans="1:1">
      <c r="A50734" s="56"/>
    </row>
    <row r="50735" spans="1:1">
      <c r="A50735" s="56"/>
    </row>
    <row r="50736" spans="1:1">
      <c r="A50736" s="56"/>
    </row>
    <row r="50737" spans="1:1">
      <c r="A50737" s="56"/>
    </row>
    <row r="50738" spans="1:1">
      <c r="A50738" s="56"/>
    </row>
    <row r="50739" spans="1:1">
      <c r="A50739" s="56"/>
    </row>
    <row r="50740" spans="1:1">
      <c r="A50740" s="56"/>
    </row>
    <row r="50741" spans="1:1">
      <c r="A50741" s="56"/>
    </row>
    <row r="50742" spans="1:1">
      <c r="A50742" s="56"/>
    </row>
    <row r="50743" spans="1:1">
      <c r="A50743" s="56"/>
    </row>
    <row r="50744" spans="1:1">
      <c r="A50744" s="56"/>
    </row>
    <row r="50745" spans="1:1">
      <c r="A50745" s="56"/>
    </row>
    <row r="50746" spans="1:1">
      <c r="A50746" s="56"/>
    </row>
    <row r="50747" spans="1:1">
      <c r="A50747" s="56"/>
    </row>
    <row r="50748" spans="1:1">
      <c r="A50748" s="56"/>
    </row>
    <row r="50749" spans="1:1">
      <c r="A50749" s="56"/>
    </row>
    <row r="50750" spans="1:1">
      <c r="A50750" s="56"/>
    </row>
    <row r="50751" spans="1:1">
      <c r="A50751" s="56"/>
    </row>
    <row r="50752" spans="1:1">
      <c r="A50752" s="56"/>
    </row>
    <row r="50753" spans="1:1">
      <c r="A50753" s="56"/>
    </row>
    <row r="50754" spans="1:1">
      <c r="A50754" s="56"/>
    </row>
    <row r="50755" spans="1:1">
      <c r="A50755" s="56"/>
    </row>
    <row r="50756" spans="1:1">
      <c r="A50756" s="56"/>
    </row>
    <row r="50757" spans="1:1">
      <c r="A50757" s="56"/>
    </row>
    <row r="50758" spans="1:1">
      <c r="A50758" s="56"/>
    </row>
    <row r="50759" spans="1:1">
      <c r="A50759" s="56"/>
    </row>
    <row r="50760" spans="1:1">
      <c r="A50760" s="56"/>
    </row>
    <row r="50761" spans="1:1">
      <c r="A50761" s="56"/>
    </row>
    <row r="50762" spans="1:1">
      <c r="A50762" s="56"/>
    </row>
    <row r="50763" spans="1:1">
      <c r="A50763" s="56"/>
    </row>
    <row r="50764" spans="1:1">
      <c r="A50764" s="56"/>
    </row>
    <row r="50765" spans="1:1">
      <c r="A50765" s="56"/>
    </row>
    <row r="50766" spans="1:1">
      <c r="A50766" s="56"/>
    </row>
    <row r="50767" spans="1:1">
      <c r="A50767" s="56"/>
    </row>
    <row r="50768" spans="1:1">
      <c r="A50768" s="56"/>
    </row>
    <row r="50769" spans="1:1">
      <c r="A50769" s="56"/>
    </row>
    <row r="50770" spans="1:1">
      <c r="A50770" s="56"/>
    </row>
    <row r="50771" spans="1:1">
      <c r="A50771" s="56"/>
    </row>
    <row r="50772" spans="1:1">
      <c r="A50772" s="56"/>
    </row>
    <row r="50773" spans="1:1">
      <c r="A50773" s="56"/>
    </row>
    <row r="50774" spans="1:1">
      <c r="A50774" s="56"/>
    </row>
    <row r="50775" spans="1:1">
      <c r="A50775" s="56"/>
    </row>
    <row r="50776" spans="1:1">
      <c r="A50776" s="56"/>
    </row>
    <row r="50777" spans="1:1">
      <c r="A50777" s="56"/>
    </row>
    <row r="50778" spans="1:1">
      <c r="A50778" s="56"/>
    </row>
    <row r="50779" spans="1:1">
      <c r="A50779" s="56"/>
    </row>
    <row r="50780" spans="1:1">
      <c r="A50780" s="56"/>
    </row>
    <row r="50781" spans="1:1">
      <c r="A50781" s="56"/>
    </row>
    <row r="50782" spans="1:1">
      <c r="A50782" s="56"/>
    </row>
    <row r="50783" spans="1:1">
      <c r="A50783" s="56"/>
    </row>
    <row r="50784" spans="1:1">
      <c r="A50784" s="56"/>
    </row>
    <row r="50785" spans="1:1">
      <c r="A50785" s="56"/>
    </row>
    <row r="50786" spans="1:1">
      <c r="A50786" s="56"/>
    </row>
    <row r="50787" spans="1:1">
      <c r="A50787" s="56"/>
    </row>
    <row r="50788" spans="1:1">
      <c r="A50788" s="56"/>
    </row>
    <row r="50789" spans="1:1">
      <c r="A50789" s="56"/>
    </row>
    <row r="50790" spans="1:1">
      <c r="A50790" s="56"/>
    </row>
    <row r="50791" spans="1:1">
      <c r="A50791" s="56"/>
    </row>
    <row r="50792" spans="1:1">
      <c r="A50792" s="56"/>
    </row>
    <row r="50793" spans="1:1">
      <c r="A50793" s="56"/>
    </row>
    <row r="50794" spans="1:1">
      <c r="A50794" s="56"/>
    </row>
    <row r="50795" spans="1:1">
      <c r="A50795" s="56"/>
    </row>
    <row r="50796" spans="1:1">
      <c r="A50796" s="56"/>
    </row>
    <row r="50797" spans="1:1">
      <c r="A50797" s="56"/>
    </row>
    <row r="50798" spans="1:1">
      <c r="A50798" s="56"/>
    </row>
    <row r="50799" spans="1:1">
      <c r="A50799" s="56"/>
    </row>
    <row r="50800" spans="1:1">
      <c r="A50800" s="56"/>
    </row>
    <row r="50801" spans="1:1">
      <c r="A50801" s="56"/>
    </row>
    <row r="50802" spans="1:1">
      <c r="A50802" s="56"/>
    </row>
    <row r="50803" spans="1:1">
      <c r="A50803" s="56"/>
    </row>
    <row r="50804" spans="1:1">
      <c r="A50804" s="56"/>
    </row>
    <row r="50805" spans="1:1">
      <c r="A50805" s="56"/>
    </row>
    <row r="50806" spans="1:1">
      <c r="A50806" s="56"/>
    </row>
    <row r="50807" spans="1:1">
      <c r="A50807" s="56"/>
    </row>
    <row r="50808" spans="1:1">
      <c r="A50808" s="56"/>
    </row>
    <row r="50809" spans="1:1">
      <c r="A50809" s="56"/>
    </row>
    <row r="50810" spans="1:1">
      <c r="A50810" s="56"/>
    </row>
    <row r="50811" spans="1:1">
      <c r="A50811" s="56"/>
    </row>
    <row r="50812" spans="1:1">
      <c r="A50812" s="56"/>
    </row>
    <row r="50813" spans="1:1">
      <c r="A50813" s="56"/>
    </row>
    <row r="50814" spans="1:1">
      <c r="A50814" s="56"/>
    </row>
    <row r="50815" spans="1:1">
      <c r="A50815" s="56"/>
    </row>
    <row r="50816" spans="1:1">
      <c r="A50816" s="56"/>
    </row>
    <row r="50817" spans="1:1">
      <c r="A50817" s="56"/>
    </row>
    <row r="50818" spans="1:1">
      <c r="A50818" s="56"/>
    </row>
    <row r="50819" spans="1:1">
      <c r="A50819" s="56"/>
    </row>
    <row r="50820" spans="1:1">
      <c r="A50820" s="56"/>
    </row>
    <row r="50821" spans="1:1">
      <c r="A50821" s="56"/>
    </row>
    <row r="50822" spans="1:1">
      <c r="A50822" s="56"/>
    </row>
    <row r="50823" spans="1:1">
      <c r="A50823" s="56"/>
    </row>
    <row r="50824" spans="1:1">
      <c r="A50824" s="56"/>
    </row>
    <row r="50825" spans="1:1">
      <c r="A50825" s="56"/>
    </row>
    <row r="50826" spans="1:1">
      <c r="A50826" s="56"/>
    </row>
    <row r="50827" spans="1:1">
      <c r="A50827" s="56"/>
    </row>
    <row r="50828" spans="1:1">
      <c r="A50828" s="56"/>
    </row>
    <row r="50829" spans="1:1">
      <c r="A50829" s="56"/>
    </row>
    <row r="50830" spans="1:1">
      <c r="A50830" s="56"/>
    </row>
    <row r="50831" spans="1:1">
      <c r="A50831" s="56"/>
    </row>
    <row r="50832" spans="1:1">
      <c r="A50832" s="56"/>
    </row>
    <row r="50833" spans="1:1">
      <c r="A50833" s="56"/>
    </row>
    <row r="50834" spans="1:1">
      <c r="A50834" s="56"/>
    </row>
    <row r="50835" spans="1:1">
      <c r="A50835" s="56"/>
    </row>
    <row r="50836" spans="1:1">
      <c r="A50836" s="56"/>
    </row>
    <row r="50837" spans="1:1">
      <c r="A50837" s="56"/>
    </row>
    <row r="50838" spans="1:1">
      <c r="A50838" s="56"/>
    </row>
    <row r="50839" spans="1:1">
      <c r="A50839" s="56"/>
    </row>
    <row r="50840" spans="1:1">
      <c r="A50840" s="56"/>
    </row>
    <row r="50841" spans="1:1">
      <c r="A50841" s="56"/>
    </row>
    <row r="50842" spans="1:1">
      <c r="A50842" s="56"/>
    </row>
    <row r="50843" spans="1:1">
      <c r="A50843" s="56"/>
    </row>
    <row r="50844" spans="1:1">
      <c r="A50844" s="56"/>
    </row>
    <row r="50845" spans="1:1">
      <c r="A50845" s="56"/>
    </row>
    <row r="50846" spans="1:1">
      <c r="A50846" s="56"/>
    </row>
    <row r="50847" spans="1:1">
      <c r="A50847" s="56"/>
    </row>
    <row r="50848" spans="1:1">
      <c r="A50848" s="56"/>
    </row>
    <row r="50849" spans="1:1">
      <c r="A50849" s="56"/>
    </row>
    <row r="50850" spans="1:1">
      <c r="A50850" s="56"/>
    </row>
    <row r="50851" spans="1:1">
      <c r="A50851" s="56"/>
    </row>
    <row r="50852" spans="1:1">
      <c r="A50852" s="56"/>
    </row>
    <row r="50853" spans="1:1">
      <c r="A50853" s="56"/>
    </row>
    <row r="50854" spans="1:1">
      <c r="A50854" s="56"/>
    </row>
    <row r="50855" spans="1:1">
      <c r="A50855" s="56"/>
    </row>
    <row r="50856" spans="1:1">
      <c r="A50856" s="56"/>
    </row>
    <row r="50857" spans="1:1">
      <c r="A50857" s="56"/>
    </row>
    <row r="50858" spans="1:1">
      <c r="A50858" s="56"/>
    </row>
    <row r="50859" spans="1:1">
      <c r="A50859" s="56"/>
    </row>
    <row r="50860" spans="1:1">
      <c r="A50860" s="56"/>
    </row>
    <row r="50861" spans="1:1">
      <c r="A50861" s="56"/>
    </row>
    <row r="50862" spans="1:1">
      <c r="A50862" s="56"/>
    </row>
    <row r="50863" spans="1:1">
      <c r="A50863" s="56"/>
    </row>
    <row r="50864" spans="1:1">
      <c r="A50864" s="56"/>
    </row>
    <row r="50865" spans="1:1">
      <c r="A50865" s="56"/>
    </row>
    <row r="50866" spans="1:1">
      <c r="A50866" s="56"/>
    </row>
    <row r="50867" spans="1:1">
      <c r="A50867" s="56"/>
    </row>
    <row r="50868" spans="1:1">
      <c r="A50868" s="56"/>
    </row>
    <row r="50869" spans="1:1">
      <c r="A50869" s="56"/>
    </row>
    <row r="50870" spans="1:1">
      <c r="A50870" s="56"/>
    </row>
    <row r="50871" spans="1:1">
      <c r="A50871" s="56"/>
    </row>
    <row r="50872" spans="1:1">
      <c r="A50872" s="56"/>
    </row>
    <row r="50873" spans="1:1">
      <c r="A50873" s="56"/>
    </row>
    <row r="50874" spans="1:1">
      <c r="A50874" s="56"/>
    </row>
    <row r="50875" spans="1:1">
      <c r="A50875" s="56"/>
    </row>
    <row r="50876" spans="1:1">
      <c r="A50876" s="56"/>
    </row>
    <row r="50877" spans="1:1">
      <c r="A50877" s="56"/>
    </row>
    <row r="50878" spans="1:1">
      <c r="A50878" s="56"/>
    </row>
    <row r="50879" spans="1:1">
      <c r="A50879" s="56"/>
    </row>
    <row r="50880" spans="1:1">
      <c r="A50880" s="56"/>
    </row>
    <row r="50881" spans="1:1">
      <c r="A50881" s="56"/>
    </row>
    <row r="50882" spans="1:1">
      <c r="A50882" s="56"/>
    </row>
    <row r="50883" spans="1:1">
      <c r="A50883" s="56"/>
    </row>
    <row r="50884" spans="1:1">
      <c r="A50884" s="56"/>
    </row>
    <row r="50885" spans="1:1">
      <c r="A50885" s="56"/>
    </row>
    <row r="50886" spans="1:1">
      <c r="A50886" s="56"/>
    </row>
    <row r="50887" spans="1:1">
      <c r="A50887" s="56"/>
    </row>
    <row r="50888" spans="1:1">
      <c r="A50888" s="56"/>
    </row>
    <row r="50889" spans="1:1">
      <c r="A50889" s="56"/>
    </row>
    <row r="50890" spans="1:1">
      <c r="A50890" s="56"/>
    </row>
    <row r="50891" spans="1:1">
      <c r="A50891" s="56"/>
    </row>
    <row r="50892" spans="1:1">
      <c r="A50892" s="56"/>
    </row>
    <row r="50893" spans="1:1">
      <c r="A50893" s="56"/>
    </row>
    <row r="50894" spans="1:1">
      <c r="A50894" s="56"/>
    </row>
    <row r="50895" spans="1:1">
      <c r="A50895" s="56"/>
    </row>
    <row r="50896" spans="1:1">
      <c r="A50896" s="56"/>
    </row>
    <row r="50897" spans="1:1">
      <c r="A50897" s="56"/>
    </row>
    <row r="50898" spans="1:1">
      <c r="A50898" s="56"/>
    </row>
    <row r="50899" spans="1:1">
      <c r="A50899" s="56"/>
    </row>
    <row r="50900" spans="1:1">
      <c r="A50900" s="56"/>
    </row>
    <row r="50901" spans="1:1">
      <c r="A50901" s="56"/>
    </row>
    <row r="50902" spans="1:1">
      <c r="A50902" s="56"/>
    </row>
    <row r="50903" spans="1:1">
      <c r="A50903" s="56"/>
    </row>
    <row r="50904" spans="1:1">
      <c r="A50904" s="56"/>
    </row>
    <row r="50905" spans="1:1">
      <c r="A50905" s="56"/>
    </row>
    <row r="50906" spans="1:1">
      <c r="A50906" s="56"/>
    </row>
    <row r="50907" spans="1:1">
      <c r="A50907" s="56"/>
    </row>
    <row r="50908" spans="1:1">
      <c r="A50908" s="56"/>
    </row>
    <row r="50909" spans="1:1">
      <c r="A50909" s="56"/>
    </row>
    <row r="50910" spans="1:1">
      <c r="A50910" s="56"/>
    </row>
    <row r="50911" spans="1:1">
      <c r="A50911" s="56"/>
    </row>
    <row r="50912" spans="1:1">
      <c r="A50912" s="56"/>
    </row>
    <row r="50913" spans="1:1">
      <c r="A50913" s="56"/>
    </row>
    <row r="50914" spans="1:1">
      <c r="A50914" s="56"/>
    </row>
    <row r="50915" spans="1:1">
      <c r="A50915" s="56"/>
    </row>
    <row r="50916" spans="1:1">
      <c r="A50916" s="56"/>
    </row>
    <row r="50917" spans="1:1">
      <c r="A50917" s="56"/>
    </row>
    <row r="50918" spans="1:1">
      <c r="A50918" s="56"/>
    </row>
    <row r="50919" spans="1:1">
      <c r="A50919" s="56"/>
    </row>
    <row r="50920" spans="1:1">
      <c r="A50920" s="56"/>
    </row>
    <row r="50921" spans="1:1">
      <c r="A50921" s="56"/>
    </row>
    <row r="50922" spans="1:1">
      <c r="A50922" s="56"/>
    </row>
    <row r="50923" spans="1:1">
      <c r="A50923" s="56"/>
    </row>
    <row r="50924" spans="1:1">
      <c r="A50924" s="56"/>
    </row>
    <row r="50925" spans="1:1">
      <c r="A50925" s="56"/>
    </row>
    <row r="50926" spans="1:1">
      <c r="A50926" s="56"/>
    </row>
    <row r="50927" spans="1:1">
      <c r="A50927" s="56"/>
    </row>
    <row r="50928" spans="1:1">
      <c r="A50928" s="56"/>
    </row>
    <row r="50929" spans="1:1">
      <c r="A50929" s="56"/>
    </row>
    <row r="50930" spans="1:1">
      <c r="A50930" s="56"/>
    </row>
    <row r="50931" spans="1:1">
      <c r="A50931" s="56"/>
    </row>
    <row r="50932" spans="1:1">
      <c r="A50932" s="56"/>
    </row>
    <row r="50933" spans="1:1">
      <c r="A50933" s="56"/>
    </row>
    <row r="50934" spans="1:1">
      <c r="A50934" s="56"/>
    </row>
    <row r="50935" spans="1:1">
      <c r="A50935" s="56"/>
    </row>
    <row r="50936" spans="1:1">
      <c r="A50936" s="56"/>
    </row>
    <row r="50937" spans="1:1">
      <c r="A50937" s="56"/>
    </row>
    <row r="50938" spans="1:1">
      <c r="A50938" s="56"/>
    </row>
    <row r="50939" spans="1:1">
      <c r="A50939" s="56"/>
    </row>
    <row r="50940" spans="1:1">
      <c r="A50940" s="56"/>
    </row>
    <row r="50941" spans="1:1">
      <c r="A50941" s="56"/>
    </row>
    <row r="50942" spans="1:1">
      <c r="A50942" s="56"/>
    </row>
    <row r="50943" spans="1:1">
      <c r="A50943" s="56"/>
    </row>
    <row r="50944" spans="1:1">
      <c r="A50944" s="56"/>
    </row>
    <row r="50945" spans="1:1">
      <c r="A50945" s="56"/>
    </row>
    <row r="50946" spans="1:1">
      <c r="A50946" s="56"/>
    </row>
    <row r="50947" spans="1:1">
      <c r="A50947" s="56"/>
    </row>
    <row r="50948" spans="1:1">
      <c r="A50948" s="56"/>
    </row>
    <row r="50949" spans="1:1">
      <c r="A50949" s="56"/>
    </row>
    <row r="50950" spans="1:1">
      <c r="A50950" s="56"/>
    </row>
    <row r="50951" spans="1:1">
      <c r="A50951" s="56"/>
    </row>
    <row r="50952" spans="1:1">
      <c r="A50952" s="56"/>
    </row>
    <row r="50953" spans="1:1">
      <c r="A50953" s="56"/>
    </row>
    <row r="50954" spans="1:1">
      <c r="A50954" s="56"/>
    </row>
    <row r="50955" spans="1:1">
      <c r="A50955" s="56"/>
    </row>
    <row r="50956" spans="1:1">
      <c r="A50956" s="56"/>
    </row>
    <row r="50957" spans="1:1">
      <c r="A50957" s="56"/>
    </row>
    <row r="50958" spans="1:1">
      <c r="A50958" s="56"/>
    </row>
    <row r="50959" spans="1:1">
      <c r="A50959" s="56"/>
    </row>
    <row r="50960" spans="1:1">
      <c r="A50960" s="56"/>
    </row>
    <row r="50961" spans="1:1">
      <c r="A50961" s="56"/>
    </row>
    <row r="50962" spans="1:1">
      <c r="A50962" s="56"/>
    </row>
    <row r="50963" spans="1:1">
      <c r="A50963" s="56"/>
    </row>
    <row r="50964" spans="1:1">
      <c r="A50964" s="56"/>
    </row>
    <row r="50965" spans="1:1">
      <c r="A50965" s="56"/>
    </row>
    <row r="50966" spans="1:1">
      <c r="A50966" s="56"/>
    </row>
    <row r="50967" spans="1:1">
      <c r="A50967" s="56"/>
    </row>
    <row r="50968" spans="1:1">
      <c r="A50968" s="56"/>
    </row>
    <row r="50969" spans="1:1">
      <c r="A50969" s="56"/>
    </row>
    <row r="50970" spans="1:1">
      <c r="A50970" s="56"/>
    </row>
    <row r="50971" spans="1:1">
      <c r="A50971" s="56"/>
    </row>
    <row r="50972" spans="1:1">
      <c r="A50972" s="56"/>
    </row>
    <row r="50973" spans="1:1">
      <c r="A50973" s="56"/>
    </row>
    <row r="50974" spans="1:1">
      <c r="A50974" s="56"/>
    </row>
    <row r="50975" spans="1:1">
      <c r="A50975" s="56"/>
    </row>
    <row r="50976" spans="1:1">
      <c r="A50976" s="56"/>
    </row>
    <row r="50977" spans="1:1">
      <c r="A50977" s="56"/>
    </row>
    <row r="50978" spans="1:1">
      <c r="A50978" s="56"/>
    </row>
    <row r="50979" spans="1:1">
      <c r="A50979" s="56"/>
    </row>
    <row r="50980" spans="1:1">
      <c r="A50980" s="56"/>
    </row>
    <row r="50981" spans="1:1">
      <c r="A50981" s="56"/>
    </row>
    <row r="50982" spans="1:1">
      <c r="A50982" s="56"/>
    </row>
    <row r="50983" spans="1:1">
      <c r="A50983" s="56"/>
    </row>
    <row r="50984" spans="1:1">
      <c r="A50984" s="56"/>
    </row>
    <row r="50985" spans="1:1">
      <c r="A50985" s="56"/>
    </row>
    <row r="50986" spans="1:1">
      <c r="A50986" s="56"/>
    </row>
    <row r="50987" spans="1:1">
      <c r="A50987" s="56"/>
    </row>
    <row r="50988" spans="1:1">
      <c r="A50988" s="56"/>
    </row>
    <row r="50989" spans="1:1">
      <c r="A50989" s="56"/>
    </row>
    <row r="50990" spans="1:1">
      <c r="A50990" s="56"/>
    </row>
    <row r="50991" spans="1:1">
      <c r="A50991" s="56"/>
    </row>
    <row r="50992" spans="1:1">
      <c r="A50992" s="56"/>
    </row>
    <row r="50993" spans="1:1">
      <c r="A50993" s="56"/>
    </row>
    <row r="50994" spans="1:1">
      <c r="A50994" s="56"/>
    </row>
    <row r="50995" spans="1:1">
      <c r="A50995" s="56"/>
    </row>
    <row r="50996" spans="1:1">
      <c r="A50996" s="56"/>
    </row>
    <row r="50997" spans="1:1">
      <c r="A50997" s="56"/>
    </row>
    <row r="50998" spans="1:1">
      <c r="A50998" s="56"/>
    </row>
    <row r="50999" spans="1:1">
      <c r="A50999" s="56"/>
    </row>
    <row r="51000" spans="1:1">
      <c r="A51000" s="56"/>
    </row>
    <row r="51001" spans="1:1">
      <c r="A51001" s="56"/>
    </row>
    <row r="51002" spans="1:1">
      <c r="A51002" s="56"/>
    </row>
    <row r="51003" spans="1:1">
      <c r="A51003" s="56"/>
    </row>
    <row r="51004" spans="1:1">
      <c r="A51004" s="56"/>
    </row>
    <row r="51005" spans="1:1">
      <c r="A51005" s="56"/>
    </row>
    <row r="51006" spans="1:1">
      <c r="A51006" s="56"/>
    </row>
    <row r="51007" spans="1:1">
      <c r="A51007" s="56"/>
    </row>
    <row r="51008" spans="1:1">
      <c r="A51008" s="56"/>
    </row>
    <row r="51009" spans="1:1">
      <c r="A51009" s="56"/>
    </row>
    <row r="51010" spans="1:1">
      <c r="A51010" s="56"/>
    </row>
    <row r="51011" spans="1:1">
      <c r="A51011" s="56"/>
    </row>
    <row r="51012" spans="1:1">
      <c r="A51012" s="56"/>
    </row>
    <row r="51013" spans="1:1">
      <c r="A51013" s="56"/>
    </row>
    <row r="51014" spans="1:1">
      <c r="A51014" s="56"/>
    </row>
    <row r="51015" spans="1:1">
      <c r="A51015" s="56"/>
    </row>
    <row r="51016" spans="1:1">
      <c r="A51016" s="56"/>
    </row>
    <row r="51017" spans="1:1">
      <c r="A51017" s="56"/>
    </row>
    <row r="51018" spans="1:1">
      <c r="A51018" s="56"/>
    </row>
    <row r="51019" spans="1:1">
      <c r="A51019" s="56"/>
    </row>
    <row r="51020" spans="1:1">
      <c r="A51020" s="56"/>
    </row>
    <row r="51021" spans="1:1">
      <c r="A51021" s="56"/>
    </row>
    <row r="51022" spans="1:1">
      <c r="A51022" s="56"/>
    </row>
    <row r="51023" spans="1:1">
      <c r="A51023" s="56"/>
    </row>
    <row r="51024" spans="1:1">
      <c r="A51024" s="56"/>
    </row>
    <row r="51025" spans="1:1">
      <c r="A51025" s="56"/>
    </row>
    <row r="51026" spans="1:1">
      <c r="A51026" s="56"/>
    </row>
    <row r="51027" spans="1:1">
      <c r="A51027" s="56"/>
    </row>
    <row r="51028" spans="1:1">
      <c r="A51028" s="56"/>
    </row>
    <row r="51029" spans="1:1">
      <c r="A51029" s="56"/>
    </row>
    <row r="51030" spans="1:1">
      <c r="A51030" s="56"/>
    </row>
    <row r="51031" spans="1:1">
      <c r="A51031" s="56"/>
    </row>
    <row r="51032" spans="1:1">
      <c r="A51032" s="56"/>
    </row>
    <row r="51033" spans="1:1">
      <c r="A51033" s="56"/>
    </row>
    <row r="51034" spans="1:1">
      <c r="A51034" s="56"/>
    </row>
    <row r="51035" spans="1:1">
      <c r="A51035" s="56"/>
    </row>
    <row r="51036" spans="1:1">
      <c r="A51036" s="56"/>
    </row>
    <row r="51037" spans="1:1">
      <c r="A51037" s="56"/>
    </row>
    <row r="51038" spans="1:1">
      <c r="A51038" s="56"/>
    </row>
    <row r="51039" spans="1:1">
      <c r="A51039" s="56"/>
    </row>
    <row r="51040" spans="1:1">
      <c r="A51040" s="56"/>
    </row>
    <row r="51041" spans="1:1">
      <c r="A51041" s="56"/>
    </row>
    <row r="51042" spans="1:1">
      <c r="A51042" s="56"/>
    </row>
    <row r="51043" spans="1:1">
      <c r="A51043" s="56"/>
    </row>
    <row r="51044" spans="1:1">
      <c r="A51044" s="56"/>
    </row>
    <row r="51045" spans="1:1">
      <c r="A51045" s="56"/>
    </row>
    <row r="51046" spans="1:1">
      <c r="A51046" s="56"/>
    </row>
    <row r="51047" spans="1:1">
      <c r="A51047" s="56"/>
    </row>
    <row r="51048" spans="1:1">
      <c r="A51048" s="56"/>
    </row>
    <row r="51049" spans="1:1">
      <c r="A51049" s="56"/>
    </row>
    <row r="51050" spans="1:1">
      <c r="A51050" s="56"/>
    </row>
    <row r="51051" spans="1:1">
      <c r="A51051" s="56"/>
    </row>
    <row r="51052" spans="1:1">
      <c r="A51052" s="56"/>
    </row>
    <row r="51053" spans="1:1">
      <c r="A51053" s="56"/>
    </row>
    <row r="51054" spans="1:1">
      <c r="A51054" s="56"/>
    </row>
    <row r="51055" spans="1:1">
      <c r="A51055" s="56"/>
    </row>
    <row r="51056" spans="1:1">
      <c r="A51056" s="56"/>
    </row>
    <row r="51057" spans="1:1">
      <c r="A51057" s="56"/>
    </row>
    <row r="51058" spans="1:1">
      <c r="A51058" s="56"/>
    </row>
    <row r="51059" spans="1:1">
      <c r="A51059" s="56"/>
    </row>
    <row r="51060" spans="1:1">
      <c r="A51060" s="56"/>
    </row>
    <row r="51061" spans="1:1">
      <c r="A51061" s="56"/>
    </row>
    <row r="51062" spans="1:1">
      <c r="A51062" s="56"/>
    </row>
    <row r="51063" spans="1:1">
      <c r="A51063" s="56"/>
    </row>
    <row r="51064" spans="1:1">
      <c r="A51064" s="56"/>
    </row>
    <row r="51065" spans="1:1">
      <c r="A51065" s="56"/>
    </row>
    <row r="51066" spans="1:1">
      <c r="A51066" s="56"/>
    </row>
    <row r="51067" spans="1:1">
      <c r="A51067" s="56"/>
    </row>
    <row r="51068" spans="1:1">
      <c r="A51068" s="56"/>
    </row>
    <row r="51069" spans="1:1">
      <c r="A51069" s="56"/>
    </row>
    <row r="51070" spans="1:1">
      <c r="A51070" s="56"/>
    </row>
    <row r="51071" spans="1:1">
      <c r="A51071" s="56"/>
    </row>
    <row r="51072" spans="1:1">
      <c r="A51072" s="56"/>
    </row>
    <row r="51073" spans="1:1">
      <c r="A51073" s="56"/>
    </row>
    <row r="51074" spans="1:1">
      <c r="A51074" s="56"/>
    </row>
    <row r="51075" spans="1:1">
      <c r="A51075" s="56"/>
    </row>
    <row r="51076" spans="1:1">
      <c r="A51076" s="56"/>
    </row>
    <row r="51077" spans="1:1">
      <c r="A51077" s="56"/>
    </row>
    <row r="51078" spans="1:1">
      <c r="A51078" s="56"/>
    </row>
    <row r="51079" spans="1:1">
      <c r="A51079" s="56"/>
    </row>
    <row r="51080" spans="1:1">
      <c r="A51080" s="56"/>
    </row>
    <row r="51081" spans="1:1">
      <c r="A51081" s="56"/>
    </row>
    <row r="51082" spans="1:1">
      <c r="A51082" s="56"/>
    </row>
    <row r="51083" spans="1:1">
      <c r="A51083" s="56"/>
    </row>
    <row r="51084" spans="1:1">
      <c r="A51084" s="56"/>
    </row>
    <row r="51085" spans="1:1">
      <c r="A51085" s="56"/>
    </row>
    <row r="51086" spans="1:1">
      <c r="A51086" s="56"/>
    </row>
    <row r="51087" spans="1:1">
      <c r="A51087" s="56"/>
    </row>
    <row r="51088" spans="1:1">
      <c r="A51088" s="56"/>
    </row>
    <row r="51089" spans="1:1">
      <c r="A51089" s="56"/>
    </row>
    <row r="51090" spans="1:1">
      <c r="A51090" s="56"/>
    </row>
    <row r="51091" spans="1:1">
      <c r="A51091" s="56"/>
    </row>
    <row r="51092" spans="1:1">
      <c r="A51092" s="56"/>
    </row>
    <row r="51093" spans="1:1">
      <c r="A51093" s="56"/>
    </row>
    <row r="51094" spans="1:1">
      <c r="A51094" s="56"/>
    </row>
    <row r="51095" spans="1:1">
      <c r="A51095" s="56"/>
    </row>
    <row r="51096" spans="1:1">
      <c r="A51096" s="56"/>
    </row>
    <row r="51097" spans="1:1">
      <c r="A51097" s="56"/>
    </row>
    <row r="51098" spans="1:1">
      <c r="A51098" s="56"/>
    </row>
    <row r="51099" spans="1:1">
      <c r="A51099" s="56"/>
    </row>
    <row r="51100" spans="1:1">
      <c r="A51100" s="56"/>
    </row>
    <row r="51101" spans="1:1">
      <c r="A51101" s="56"/>
    </row>
    <row r="51102" spans="1:1">
      <c r="A51102" s="56"/>
    </row>
    <row r="51103" spans="1:1">
      <c r="A51103" s="56"/>
    </row>
    <row r="51104" spans="1:1">
      <c r="A51104" s="56"/>
    </row>
    <row r="51105" spans="1:1">
      <c r="A51105" s="56"/>
    </row>
    <row r="51106" spans="1:1">
      <c r="A51106" s="56"/>
    </row>
    <row r="51107" spans="1:1">
      <c r="A51107" s="56"/>
    </row>
    <row r="51108" spans="1:1">
      <c r="A51108" s="56"/>
    </row>
    <row r="51109" spans="1:1">
      <c r="A51109" s="56"/>
    </row>
    <row r="51110" spans="1:1">
      <c r="A51110" s="56"/>
    </row>
    <row r="51111" spans="1:1">
      <c r="A51111" s="56"/>
    </row>
    <row r="51112" spans="1:1">
      <c r="A51112" s="56"/>
    </row>
    <row r="51113" spans="1:1">
      <c r="A51113" s="56"/>
    </row>
    <row r="51114" spans="1:1">
      <c r="A51114" s="56"/>
    </row>
    <row r="51115" spans="1:1">
      <c r="A51115" s="56"/>
    </row>
    <row r="51116" spans="1:1">
      <c r="A51116" s="56"/>
    </row>
    <row r="51117" spans="1:1">
      <c r="A51117" s="56"/>
    </row>
    <row r="51118" spans="1:1">
      <c r="A51118" s="56"/>
    </row>
    <row r="51119" spans="1:1">
      <c r="A51119" s="56"/>
    </row>
    <row r="51120" spans="1:1">
      <c r="A51120" s="56"/>
    </row>
    <row r="51121" spans="1:1">
      <c r="A51121" s="56"/>
    </row>
    <row r="51122" spans="1:1">
      <c r="A51122" s="56"/>
    </row>
    <row r="51123" spans="1:1">
      <c r="A51123" s="56"/>
    </row>
    <row r="51124" spans="1:1">
      <c r="A51124" s="56"/>
    </row>
    <row r="51125" spans="1:1">
      <c r="A51125" s="56"/>
    </row>
    <row r="51126" spans="1:1">
      <c r="A51126" s="56"/>
    </row>
    <row r="51127" spans="1:1">
      <c r="A51127" s="56"/>
    </row>
    <row r="51128" spans="1:1">
      <c r="A51128" s="56"/>
    </row>
    <row r="51129" spans="1:1">
      <c r="A51129" s="56"/>
    </row>
    <row r="51130" spans="1:1">
      <c r="A51130" s="56"/>
    </row>
    <row r="51131" spans="1:1">
      <c r="A51131" s="56"/>
    </row>
    <row r="51132" spans="1:1">
      <c r="A51132" s="56"/>
    </row>
    <row r="51133" spans="1:1">
      <c r="A51133" s="56"/>
    </row>
    <row r="51134" spans="1:1">
      <c r="A51134" s="56"/>
    </row>
    <row r="51135" spans="1:1">
      <c r="A51135" s="56"/>
    </row>
    <row r="51136" spans="1:1">
      <c r="A51136" s="56"/>
    </row>
    <row r="51137" spans="1:1">
      <c r="A51137" s="56"/>
    </row>
    <row r="51138" spans="1:1">
      <c r="A51138" s="56"/>
    </row>
    <row r="51139" spans="1:1">
      <c r="A51139" s="56"/>
    </row>
    <row r="51140" spans="1:1">
      <c r="A51140" s="56"/>
    </row>
    <row r="51141" spans="1:1">
      <c r="A51141" s="56"/>
    </row>
    <row r="51142" spans="1:1">
      <c r="A51142" s="56"/>
    </row>
    <row r="51143" spans="1:1">
      <c r="A51143" s="56"/>
    </row>
    <row r="51144" spans="1:1">
      <c r="A51144" s="56"/>
    </row>
    <row r="51145" spans="1:1">
      <c r="A51145" s="56"/>
    </row>
    <row r="51146" spans="1:1">
      <c r="A51146" s="56"/>
    </row>
    <row r="51147" spans="1:1">
      <c r="A51147" s="56"/>
    </row>
    <row r="51148" spans="1:1">
      <c r="A51148" s="56"/>
    </row>
    <row r="51149" spans="1:1">
      <c r="A51149" s="56"/>
    </row>
    <row r="51150" spans="1:1">
      <c r="A51150" s="56"/>
    </row>
    <row r="51151" spans="1:1">
      <c r="A51151" s="56"/>
    </row>
    <row r="51152" spans="1:1">
      <c r="A51152" s="56"/>
    </row>
    <row r="51153" spans="1:1">
      <c r="A51153" s="56"/>
    </row>
    <row r="51154" spans="1:1">
      <c r="A51154" s="56"/>
    </row>
    <row r="51155" spans="1:1">
      <c r="A51155" s="56"/>
    </row>
    <row r="51156" spans="1:1">
      <c r="A51156" s="56"/>
    </row>
    <row r="51157" spans="1:1">
      <c r="A51157" s="56"/>
    </row>
    <row r="51158" spans="1:1">
      <c r="A51158" s="56"/>
    </row>
    <row r="51159" spans="1:1">
      <c r="A51159" s="56"/>
    </row>
    <row r="51160" spans="1:1">
      <c r="A51160" s="56"/>
    </row>
    <row r="51161" spans="1:1">
      <c r="A51161" s="56"/>
    </row>
    <row r="51162" spans="1:1">
      <c r="A51162" s="56"/>
    </row>
    <row r="51163" spans="1:1">
      <c r="A51163" s="56"/>
    </row>
    <row r="51164" spans="1:1">
      <c r="A51164" s="56"/>
    </row>
    <row r="51165" spans="1:1">
      <c r="A51165" s="56"/>
    </row>
    <row r="51166" spans="1:1">
      <c r="A51166" s="56"/>
    </row>
    <row r="51167" spans="1:1">
      <c r="A51167" s="56"/>
    </row>
    <row r="51168" spans="1:1">
      <c r="A51168" s="56"/>
    </row>
    <row r="51169" spans="1:1">
      <c r="A51169" s="56"/>
    </row>
    <row r="51170" spans="1:1">
      <c r="A51170" s="56"/>
    </row>
    <row r="51171" spans="1:1">
      <c r="A51171" s="56"/>
    </row>
    <row r="51172" spans="1:1">
      <c r="A51172" s="56"/>
    </row>
    <row r="51173" spans="1:1">
      <c r="A51173" s="56"/>
    </row>
    <row r="51174" spans="1:1">
      <c r="A51174" s="56"/>
    </row>
    <row r="51175" spans="1:1">
      <c r="A51175" s="56"/>
    </row>
    <row r="51176" spans="1:1">
      <c r="A51176" s="56"/>
    </row>
    <row r="51177" spans="1:1">
      <c r="A51177" s="56"/>
    </row>
    <row r="51178" spans="1:1">
      <c r="A51178" s="56"/>
    </row>
    <row r="51179" spans="1:1">
      <c r="A51179" s="56"/>
    </row>
    <row r="51180" spans="1:1">
      <c r="A51180" s="56"/>
    </row>
    <row r="51181" spans="1:1">
      <c r="A51181" s="56"/>
    </row>
    <row r="51182" spans="1:1">
      <c r="A51182" s="56"/>
    </row>
    <row r="51183" spans="1:1">
      <c r="A51183" s="56"/>
    </row>
    <row r="51184" spans="1:1">
      <c r="A51184" s="56"/>
    </row>
    <row r="51185" spans="1:1">
      <c r="A51185" s="56"/>
    </row>
    <row r="51186" spans="1:1">
      <c r="A51186" s="56"/>
    </row>
    <row r="51187" spans="1:1">
      <c r="A51187" s="56"/>
    </row>
    <row r="51188" spans="1:1">
      <c r="A51188" s="56"/>
    </row>
    <row r="51189" spans="1:1">
      <c r="A51189" s="56"/>
    </row>
    <row r="51190" spans="1:1">
      <c r="A51190" s="56"/>
    </row>
    <row r="51191" spans="1:1">
      <c r="A51191" s="56"/>
    </row>
    <row r="51192" spans="1:1">
      <c r="A51192" s="56"/>
    </row>
    <row r="51193" spans="1:1">
      <c r="A51193" s="56"/>
    </row>
    <row r="51194" spans="1:1">
      <c r="A51194" s="56"/>
    </row>
    <row r="51195" spans="1:1">
      <c r="A51195" s="56"/>
    </row>
    <row r="51196" spans="1:1">
      <c r="A51196" s="56"/>
    </row>
    <row r="51197" spans="1:1">
      <c r="A51197" s="56"/>
    </row>
    <row r="51198" spans="1:1">
      <c r="A51198" s="56"/>
    </row>
    <row r="51199" spans="1:1">
      <c r="A51199" s="56"/>
    </row>
    <row r="51200" spans="1:1">
      <c r="A51200" s="56"/>
    </row>
    <row r="51201" spans="1:1">
      <c r="A51201" s="56"/>
    </row>
    <row r="51202" spans="1:1">
      <c r="A51202" s="56"/>
    </row>
    <row r="51203" spans="1:1">
      <c r="A51203" s="56"/>
    </row>
    <row r="51204" spans="1:1">
      <c r="A51204" s="56"/>
    </row>
    <row r="51205" spans="1:1">
      <c r="A51205" s="56"/>
    </row>
    <row r="51206" spans="1:1">
      <c r="A51206" s="56"/>
    </row>
    <row r="51207" spans="1:1">
      <c r="A51207" s="56"/>
    </row>
    <row r="51208" spans="1:1">
      <c r="A51208" s="56"/>
    </row>
    <row r="51209" spans="1:1">
      <c r="A51209" s="56"/>
    </row>
    <row r="51210" spans="1:1">
      <c r="A51210" s="56"/>
    </row>
    <row r="51211" spans="1:1">
      <c r="A51211" s="56"/>
    </row>
    <row r="51212" spans="1:1">
      <c r="A51212" s="56"/>
    </row>
    <row r="51213" spans="1:1">
      <c r="A51213" s="56"/>
    </row>
    <row r="51214" spans="1:1">
      <c r="A51214" s="56"/>
    </row>
    <row r="51215" spans="1:1">
      <c r="A51215" s="56"/>
    </row>
    <row r="51216" spans="1:1">
      <c r="A51216" s="56"/>
    </row>
    <row r="51217" spans="1:1">
      <c r="A51217" s="56"/>
    </row>
    <row r="51218" spans="1:1">
      <c r="A51218" s="56"/>
    </row>
    <row r="51219" spans="1:1">
      <c r="A51219" s="56"/>
    </row>
    <row r="51220" spans="1:1">
      <c r="A51220" s="56"/>
    </row>
    <row r="51221" spans="1:1">
      <c r="A51221" s="56"/>
    </row>
    <row r="51222" spans="1:1">
      <c r="A51222" s="56"/>
    </row>
    <row r="51223" spans="1:1">
      <c r="A51223" s="56"/>
    </row>
    <row r="51224" spans="1:1">
      <c r="A51224" s="56"/>
    </row>
    <row r="51225" spans="1:1">
      <c r="A51225" s="56"/>
    </row>
    <row r="51226" spans="1:1">
      <c r="A51226" s="56"/>
    </row>
    <row r="51227" spans="1:1">
      <c r="A51227" s="56"/>
    </row>
    <row r="51228" spans="1:1">
      <c r="A51228" s="56"/>
    </row>
    <row r="51229" spans="1:1">
      <c r="A51229" s="56"/>
    </row>
    <row r="51230" spans="1:1">
      <c r="A51230" s="56"/>
    </row>
    <row r="51231" spans="1:1">
      <c r="A51231" s="56"/>
    </row>
    <row r="51232" spans="1:1">
      <c r="A51232" s="56"/>
    </row>
    <row r="51233" spans="1:1">
      <c r="A51233" s="56"/>
    </row>
    <row r="51234" spans="1:1">
      <c r="A51234" s="56"/>
    </row>
    <row r="51235" spans="1:1">
      <c r="A51235" s="56"/>
    </row>
    <row r="51236" spans="1:1">
      <c r="A51236" s="56"/>
    </row>
    <row r="51237" spans="1:1">
      <c r="A51237" s="56"/>
    </row>
    <row r="51238" spans="1:1">
      <c r="A51238" s="56"/>
    </row>
    <row r="51239" spans="1:1">
      <c r="A51239" s="56"/>
    </row>
    <row r="51240" spans="1:1">
      <c r="A51240" s="56"/>
    </row>
    <row r="51241" spans="1:1">
      <c r="A51241" s="56"/>
    </row>
    <row r="51242" spans="1:1">
      <c r="A51242" s="56"/>
    </row>
    <row r="51243" spans="1:1">
      <c r="A51243" s="56"/>
    </row>
    <row r="51244" spans="1:1">
      <c r="A51244" s="56"/>
    </row>
    <row r="51245" spans="1:1">
      <c r="A51245" s="56"/>
    </row>
    <row r="51246" spans="1:1">
      <c r="A51246" s="56"/>
    </row>
    <row r="51247" spans="1:1">
      <c r="A51247" s="56"/>
    </row>
    <row r="51248" spans="1:1">
      <c r="A51248" s="56"/>
    </row>
    <row r="51249" spans="1:1">
      <c r="A51249" s="56"/>
    </row>
    <row r="51250" spans="1:1">
      <c r="A51250" s="56"/>
    </row>
    <row r="51251" spans="1:1">
      <c r="A51251" s="56"/>
    </row>
    <row r="51252" spans="1:1">
      <c r="A51252" s="56"/>
    </row>
    <row r="51253" spans="1:1">
      <c r="A51253" s="56"/>
    </row>
    <row r="51254" spans="1:1">
      <c r="A51254" s="56"/>
    </row>
    <row r="51255" spans="1:1">
      <c r="A51255" s="56"/>
    </row>
    <row r="51256" spans="1:1">
      <c r="A51256" s="56"/>
    </row>
    <row r="51257" spans="1:1">
      <c r="A51257" s="56"/>
    </row>
    <row r="51258" spans="1:1">
      <c r="A51258" s="56"/>
    </row>
    <row r="51259" spans="1:1">
      <c r="A51259" s="56"/>
    </row>
    <row r="51260" spans="1:1">
      <c r="A51260" s="56"/>
    </row>
    <row r="51261" spans="1:1">
      <c r="A51261" s="56"/>
    </row>
    <row r="51262" spans="1:1">
      <c r="A51262" s="56"/>
    </row>
    <row r="51263" spans="1:1">
      <c r="A51263" s="56"/>
    </row>
    <row r="51264" spans="1:1">
      <c r="A51264" s="56"/>
    </row>
    <row r="51265" spans="1:1">
      <c r="A51265" s="56"/>
    </row>
    <row r="51266" spans="1:1">
      <c r="A51266" s="56"/>
    </row>
    <row r="51267" spans="1:1">
      <c r="A51267" s="56"/>
    </row>
    <row r="51268" spans="1:1">
      <c r="A51268" s="56"/>
    </row>
    <row r="51269" spans="1:1">
      <c r="A51269" s="56"/>
    </row>
    <row r="51270" spans="1:1">
      <c r="A51270" s="56"/>
    </row>
    <row r="51271" spans="1:1">
      <c r="A51271" s="56"/>
    </row>
    <row r="51272" spans="1:1">
      <c r="A51272" s="56"/>
    </row>
    <row r="51273" spans="1:1">
      <c r="A51273" s="56"/>
    </row>
    <row r="51274" spans="1:1">
      <c r="A51274" s="56"/>
    </row>
    <row r="51275" spans="1:1">
      <c r="A51275" s="56"/>
    </row>
    <row r="51276" spans="1:1">
      <c r="A51276" s="56"/>
    </row>
    <row r="51277" spans="1:1">
      <c r="A51277" s="56"/>
    </row>
    <row r="51278" spans="1:1">
      <c r="A51278" s="56"/>
    </row>
    <row r="51279" spans="1:1">
      <c r="A51279" s="56"/>
    </row>
    <row r="51280" spans="1:1">
      <c r="A51280" s="56"/>
    </row>
    <row r="51281" spans="1:1">
      <c r="A51281" s="56"/>
    </row>
    <row r="51282" spans="1:1">
      <c r="A51282" s="56"/>
    </row>
    <row r="51283" spans="1:1">
      <c r="A51283" s="56"/>
    </row>
    <row r="51284" spans="1:1">
      <c r="A51284" s="56"/>
    </row>
    <row r="51285" spans="1:1">
      <c r="A51285" s="56"/>
    </row>
    <row r="51286" spans="1:1">
      <c r="A51286" s="56"/>
    </row>
    <row r="51287" spans="1:1">
      <c r="A51287" s="56"/>
    </row>
    <row r="51288" spans="1:1">
      <c r="A51288" s="56"/>
    </row>
    <row r="51289" spans="1:1">
      <c r="A51289" s="56"/>
    </row>
    <row r="51290" spans="1:1">
      <c r="A51290" s="56"/>
    </row>
    <row r="51291" spans="1:1">
      <c r="A51291" s="56"/>
    </row>
    <row r="51292" spans="1:1">
      <c r="A51292" s="56"/>
    </row>
    <row r="51293" spans="1:1">
      <c r="A51293" s="56"/>
    </row>
    <row r="51294" spans="1:1">
      <c r="A51294" s="56"/>
    </row>
    <row r="51295" spans="1:1">
      <c r="A51295" s="56"/>
    </row>
    <row r="51296" spans="1:1">
      <c r="A51296" s="56"/>
    </row>
    <row r="51297" spans="1:1">
      <c r="A51297" s="56"/>
    </row>
    <row r="51298" spans="1:1">
      <c r="A51298" s="56"/>
    </row>
    <row r="51299" spans="1:1">
      <c r="A51299" s="56"/>
    </row>
    <row r="51300" spans="1:1">
      <c r="A51300" s="56"/>
    </row>
    <row r="51301" spans="1:1">
      <c r="A51301" s="56"/>
    </row>
    <row r="51302" spans="1:1">
      <c r="A51302" s="56"/>
    </row>
    <row r="51303" spans="1:1">
      <c r="A51303" s="56"/>
    </row>
    <row r="51304" spans="1:1">
      <c r="A51304" s="56"/>
    </row>
    <row r="51305" spans="1:1">
      <c r="A51305" s="56"/>
    </row>
    <row r="51306" spans="1:1">
      <c r="A51306" s="56"/>
    </row>
    <row r="51307" spans="1:1">
      <c r="A51307" s="56"/>
    </row>
    <row r="51308" spans="1:1">
      <c r="A51308" s="56"/>
    </row>
    <row r="51309" spans="1:1">
      <c r="A51309" s="56"/>
    </row>
    <row r="51310" spans="1:1">
      <c r="A51310" s="56"/>
    </row>
    <row r="51311" spans="1:1">
      <c r="A51311" s="56"/>
    </row>
    <row r="51312" spans="1:1">
      <c r="A51312" s="56"/>
    </row>
    <row r="51313" spans="1:1">
      <c r="A51313" s="56"/>
    </row>
    <row r="51314" spans="1:1">
      <c r="A51314" s="56"/>
    </row>
    <row r="51315" spans="1:1">
      <c r="A51315" s="56"/>
    </row>
    <row r="51316" spans="1:1">
      <c r="A51316" s="56"/>
    </row>
    <row r="51317" spans="1:1">
      <c r="A51317" s="56"/>
    </row>
    <row r="51318" spans="1:1">
      <c r="A51318" s="56"/>
    </row>
    <row r="51319" spans="1:1">
      <c r="A51319" s="56"/>
    </row>
    <row r="51320" spans="1:1">
      <c r="A51320" s="56"/>
    </row>
    <row r="51321" spans="1:1">
      <c r="A51321" s="56"/>
    </row>
    <row r="51322" spans="1:1">
      <c r="A51322" s="56"/>
    </row>
    <row r="51323" spans="1:1">
      <c r="A51323" s="56"/>
    </row>
    <row r="51324" spans="1:1">
      <c r="A51324" s="56"/>
    </row>
    <row r="51325" spans="1:1">
      <c r="A51325" s="56"/>
    </row>
    <row r="51326" spans="1:1">
      <c r="A51326" s="56"/>
    </row>
    <row r="51327" spans="1:1">
      <c r="A51327" s="56"/>
    </row>
    <row r="51328" spans="1:1">
      <c r="A51328" s="56"/>
    </row>
    <row r="51329" spans="1:1">
      <c r="A51329" s="56"/>
    </row>
    <row r="51330" spans="1:1">
      <c r="A51330" s="56"/>
    </row>
    <row r="51331" spans="1:1">
      <c r="A51331" s="56"/>
    </row>
    <row r="51332" spans="1:1">
      <c r="A51332" s="56"/>
    </row>
    <row r="51333" spans="1:1">
      <c r="A51333" s="56"/>
    </row>
    <row r="51334" spans="1:1">
      <c r="A51334" s="56"/>
    </row>
    <row r="51335" spans="1:1">
      <c r="A51335" s="56"/>
    </row>
    <row r="51336" spans="1:1">
      <c r="A51336" s="56"/>
    </row>
    <row r="51337" spans="1:1">
      <c r="A51337" s="56"/>
    </row>
    <row r="51338" spans="1:1">
      <c r="A51338" s="56"/>
    </row>
    <row r="51339" spans="1:1">
      <c r="A51339" s="56"/>
    </row>
    <row r="51340" spans="1:1">
      <c r="A51340" s="56"/>
    </row>
    <row r="51341" spans="1:1">
      <c r="A51341" s="56"/>
    </row>
    <row r="51342" spans="1:1">
      <c r="A51342" s="56"/>
    </row>
    <row r="51343" spans="1:1">
      <c r="A51343" s="56"/>
    </row>
    <row r="51344" spans="1:1">
      <c r="A51344" s="56"/>
    </row>
    <row r="51345" spans="1:1">
      <c r="A51345" s="56"/>
    </row>
    <row r="51346" spans="1:1">
      <c r="A51346" s="56"/>
    </row>
    <row r="51347" spans="1:1">
      <c r="A51347" s="56"/>
    </row>
    <row r="51348" spans="1:1">
      <c r="A51348" s="56"/>
    </row>
    <row r="51349" spans="1:1">
      <c r="A51349" s="56"/>
    </row>
    <row r="51350" spans="1:1">
      <c r="A51350" s="56"/>
    </row>
    <row r="51351" spans="1:1">
      <c r="A51351" s="56"/>
    </row>
    <row r="51352" spans="1:1">
      <c r="A51352" s="56"/>
    </row>
    <row r="51353" spans="1:1">
      <c r="A51353" s="56"/>
    </row>
    <row r="51354" spans="1:1">
      <c r="A51354" s="56"/>
    </row>
    <row r="51355" spans="1:1">
      <c r="A51355" s="56"/>
    </row>
    <row r="51356" spans="1:1">
      <c r="A51356" s="56"/>
    </row>
    <row r="51357" spans="1:1">
      <c r="A51357" s="56"/>
    </row>
    <row r="51358" spans="1:1">
      <c r="A51358" s="56"/>
    </row>
    <row r="51359" spans="1:1">
      <c r="A51359" s="56"/>
    </row>
    <row r="51360" spans="1:1">
      <c r="A51360" s="56"/>
    </row>
    <row r="51361" spans="1:1">
      <c r="A51361" s="56"/>
    </row>
    <row r="51362" spans="1:1">
      <c r="A51362" s="56"/>
    </row>
    <row r="51363" spans="1:1">
      <c r="A51363" s="56"/>
    </row>
    <row r="51364" spans="1:1">
      <c r="A51364" s="56"/>
    </row>
    <row r="51365" spans="1:1">
      <c r="A51365" s="56"/>
    </row>
    <row r="51366" spans="1:1">
      <c r="A51366" s="56"/>
    </row>
    <row r="51367" spans="1:1">
      <c r="A51367" s="56"/>
    </row>
    <row r="51368" spans="1:1">
      <c r="A51368" s="56"/>
    </row>
    <row r="51369" spans="1:1">
      <c r="A51369" s="56"/>
    </row>
    <row r="51370" spans="1:1">
      <c r="A51370" s="56"/>
    </row>
    <row r="51371" spans="1:1">
      <c r="A51371" s="56"/>
    </row>
    <row r="51372" spans="1:1">
      <c r="A51372" s="56"/>
    </row>
    <row r="51373" spans="1:1">
      <c r="A51373" s="56"/>
    </row>
    <row r="51374" spans="1:1">
      <c r="A51374" s="56"/>
    </row>
    <row r="51375" spans="1:1">
      <c r="A51375" s="56"/>
    </row>
    <row r="51376" spans="1:1">
      <c r="A51376" s="56"/>
    </row>
    <row r="51377" spans="1:1">
      <c r="A51377" s="56"/>
    </row>
    <row r="51378" spans="1:1">
      <c r="A51378" s="56"/>
    </row>
    <row r="51379" spans="1:1">
      <c r="A51379" s="56"/>
    </row>
    <row r="51380" spans="1:1">
      <c r="A51380" s="56"/>
    </row>
    <row r="51381" spans="1:1">
      <c r="A51381" s="56"/>
    </row>
    <row r="51382" spans="1:1">
      <c r="A51382" s="56"/>
    </row>
    <row r="51383" spans="1:1">
      <c r="A51383" s="56"/>
    </row>
    <row r="51384" spans="1:1">
      <c r="A51384" s="56"/>
    </row>
    <row r="51385" spans="1:1">
      <c r="A51385" s="56"/>
    </row>
    <row r="51386" spans="1:1">
      <c r="A51386" s="56"/>
    </row>
    <row r="51387" spans="1:1">
      <c r="A51387" s="56"/>
    </row>
    <row r="51388" spans="1:1">
      <c r="A51388" s="56"/>
    </row>
    <row r="51389" spans="1:1">
      <c r="A51389" s="56"/>
    </row>
    <row r="51390" spans="1:1">
      <c r="A51390" s="56"/>
    </row>
    <row r="51391" spans="1:1">
      <c r="A51391" s="56"/>
    </row>
    <row r="51392" spans="1:1">
      <c r="A51392" s="56"/>
    </row>
    <row r="51393" spans="1:1">
      <c r="A51393" s="56"/>
    </row>
    <row r="51394" spans="1:1">
      <c r="A51394" s="56"/>
    </row>
    <row r="51395" spans="1:1">
      <c r="A51395" s="56"/>
    </row>
    <row r="51396" spans="1:1">
      <c r="A51396" s="56"/>
    </row>
    <row r="51397" spans="1:1">
      <c r="A51397" s="56"/>
    </row>
    <row r="51398" spans="1:1">
      <c r="A51398" s="56"/>
    </row>
    <row r="51399" spans="1:1">
      <c r="A51399" s="56"/>
    </row>
    <row r="51400" spans="1:1">
      <c r="A51400" s="56"/>
    </row>
    <row r="51401" spans="1:1">
      <c r="A51401" s="56"/>
    </row>
    <row r="51402" spans="1:1">
      <c r="A51402" s="56"/>
    </row>
    <row r="51403" spans="1:1">
      <c r="A51403" s="56"/>
    </row>
    <row r="51404" spans="1:1">
      <c r="A51404" s="56"/>
    </row>
    <row r="51405" spans="1:1">
      <c r="A51405" s="56"/>
    </row>
    <row r="51406" spans="1:1">
      <c r="A51406" s="56"/>
    </row>
    <row r="51407" spans="1:1">
      <c r="A51407" s="56"/>
    </row>
    <row r="51408" spans="1:1">
      <c r="A51408" s="56"/>
    </row>
    <row r="51409" spans="1:1">
      <c r="A51409" s="56"/>
    </row>
    <row r="51410" spans="1:1">
      <c r="A51410" s="56"/>
    </row>
    <row r="51411" spans="1:1">
      <c r="A51411" s="56"/>
    </row>
    <row r="51412" spans="1:1">
      <c r="A51412" s="56"/>
    </row>
    <row r="51413" spans="1:1">
      <c r="A51413" s="56"/>
    </row>
    <row r="51414" spans="1:1">
      <c r="A51414" s="56"/>
    </row>
    <row r="51415" spans="1:1">
      <c r="A51415" s="56"/>
    </row>
    <row r="51416" spans="1:1">
      <c r="A51416" s="56"/>
    </row>
    <row r="51417" spans="1:1">
      <c r="A51417" s="56"/>
    </row>
    <row r="51418" spans="1:1">
      <c r="A51418" s="56"/>
    </row>
    <row r="51419" spans="1:1">
      <c r="A51419" s="56"/>
    </row>
    <row r="51420" spans="1:1">
      <c r="A51420" s="56"/>
    </row>
    <row r="51421" spans="1:1">
      <c r="A51421" s="56"/>
    </row>
    <row r="51422" spans="1:1">
      <c r="A51422" s="56"/>
    </row>
    <row r="51423" spans="1:1">
      <c r="A51423" s="56"/>
    </row>
    <row r="51424" spans="1:1">
      <c r="A51424" s="56"/>
    </row>
    <row r="51425" spans="1:1">
      <c r="A51425" s="56"/>
    </row>
    <row r="51426" spans="1:1">
      <c r="A51426" s="56"/>
    </row>
    <row r="51427" spans="1:1">
      <c r="A51427" s="56"/>
    </row>
    <row r="51428" spans="1:1">
      <c r="A51428" s="56"/>
    </row>
    <row r="51429" spans="1:1">
      <c r="A51429" s="56"/>
    </row>
    <row r="51430" spans="1:1">
      <c r="A51430" s="56"/>
    </row>
    <row r="51431" spans="1:1">
      <c r="A51431" s="56"/>
    </row>
    <row r="51432" spans="1:1">
      <c r="A51432" s="56"/>
    </row>
    <row r="51433" spans="1:1">
      <c r="A51433" s="56"/>
    </row>
    <row r="51434" spans="1:1">
      <c r="A51434" s="56"/>
    </row>
    <row r="51435" spans="1:1">
      <c r="A51435" s="56"/>
    </row>
    <row r="51436" spans="1:1">
      <c r="A51436" s="56"/>
    </row>
    <row r="51437" spans="1:1">
      <c r="A51437" s="56"/>
    </row>
    <row r="51438" spans="1:1">
      <c r="A51438" s="56"/>
    </row>
    <row r="51439" spans="1:1">
      <c r="A51439" s="56"/>
    </row>
    <row r="51440" spans="1:1">
      <c r="A51440" s="56"/>
    </row>
    <row r="51441" spans="1:1">
      <c r="A51441" s="56"/>
    </row>
    <row r="51442" spans="1:1">
      <c r="A51442" s="56"/>
    </row>
    <row r="51443" spans="1:1">
      <c r="A51443" s="56"/>
    </row>
    <row r="51444" spans="1:1">
      <c r="A51444" s="56"/>
    </row>
    <row r="51445" spans="1:1">
      <c r="A51445" s="56"/>
    </row>
    <row r="51446" spans="1:1">
      <c r="A51446" s="56"/>
    </row>
    <row r="51447" spans="1:1">
      <c r="A51447" s="56"/>
    </row>
    <row r="51448" spans="1:1">
      <c r="A51448" s="56"/>
    </row>
    <row r="51449" spans="1:1">
      <c r="A51449" s="56"/>
    </row>
    <row r="51450" spans="1:1">
      <c r="A51450" s="56"/>
    </row>
    <row r="51451" spans="1:1">
      <c r="A51451" s="56"/>
    </row>
    <row r="51452" spans="1:1">
      <c r="A51452" s="56"/>
    </row>
    <row r="51453" spans="1:1">
      <c r="A51453" s="56"/>
    </row>
    <row r="51454" spans="1:1">
      <c r="A51454" s="56"/>
    </row>
    <row r="51455" spans="1:1">
      <c r="A51455" s="56"/>
    </row>
    <row r="51456" spans="1:1">
      <c r="A51456" s="56"/>
    </row>
    <row r="51457" spans="1:1">
      <c r="A51457" s="56"/>
    </row>
    <row r="51458" spans="1:1">
      <c r="A51458" s="56"/>
    </row>
    <row r="51459" spans="1:1">
      <c r="A51459" s="56"/>
    </row>
    <row r="51460" spans="1:1">
      <c r="A51460" s="56"/>
    </row>
    <row r="51461" spans="1:1">
      <c r="A51461" s="56"/>
    </row>
    <row r="51462" spans="1:1">
      <c r="A51462" s="56"/>
    </row>
    <row r="51463" spans="1:1">
      <c r="A51463" s="56"/>
    </row>
    <row r="51464" spans="1:1">
      <c r="A51464" s="56"/>
    </row>
    <row r="51465" spans="1:1">
      <c r="A51465" s="56"/>
    </row>
    <row r="51466" spans="1:1">
      <c r="A51466" s="56"/>
    </row>
    <row r="51467" spans="1:1">
      <c r="A51467" s="56"/>
    </row>
    <row r="51468" spans="1:1">
      <c r="A51468" s="56"/>
    </row>
    <row r="51469" spans="1:1">
      <c r="A51469" s="56"/>
    </row>
    <row r="51470" spans="1:1">
      <c r="A51470" s="56"/>
    </row>
    <row r="51471" spans="1:1">
      <c r="A51471" s="56"/>
    </row>
    <row r="51472" spans="1:1">
      <c r="A51472" s="56"/>
    </row>
    <row r="51473" spans="1:1">
      <c r="A51473" s="56"/>
    </row>
    <row r="51474" spans="1:1">
      <c r="A51474" s="56"/>
    </row>
    <row r="51475" spans="1:1">
      <c r="A51475" s="56"/>
    </row>
    <row r="51476" spans="1:1">
      <c r="A51476" s="56"/>
    </row>
    <row r="51477" spans="1:1">
      <c r="A51477" s="56"/>
    </row>
    <row r="51478" spans="1:1">
      <c r="A51478" s="56"/>
    </row>
    <row r="51479" spans="1:1">
      <c r="A51479" s="56"/>
    </row>
    <row r="51480" spans="1:1">
      <c r="A51480" s="56"/>
    </row>
    <row r="51481" spans="1:1">
      <c r="A51481" s="56"/>
    </row>
    <row r="51482" spans="1:1">
      <c r="A51482" s="56"/>
    </row>
    <row r="51483" spans="1:1">
      <c r="A51483" s="56"/>
    </row>
    <row r="51484" spans="1:1">
      <c r="A51484" s="56"/>
    </row>
    <row r="51485" spans="1:1">
      <c r="A51485" s="56"/>
    </row>
    <row r="51486" spans="1:1">
      <c r="A51486" s="56"/>
    </row>
    <row r="51487" spans="1:1">
      <c r="A51487" s="56"/>
    </row>
    <row r="51488" spans="1:1">
      <c r="A51488" s="56"/>
    </row>
    <row r="51489" spans="1:1">
      <c r="A51489" s="56"/>
    </row>
    <row r="51490" spans="1:1">
      <c r="A51490" s="56"/>
    </row>
    <row r="51491" spans="1:1">
      <c r="A51491" s="56"/>
    </row>
    <row r="51492" spans="1:1">
      <c r="A51492" s="56"/>
    </row>
    <row r="51493" spans="1:1">
      <c r="A51493" s="56"/>
    </row>
    <row r="51494" spans="1:1">
      <c r="A51494" s="56"/>
    </row>
    <row r="51495" spans="1:1">
      <c r="A51495" s="56"/>
    </row>
    <row r="51496" spans="1:1">
      <c r="A51496" s="56"/>
    </row>
    <row r="51497" spans="1:1">
      <c r="A51497" s="56"/>
    </row>
    <row r="51498" spans="1:1">
      <c r="A51498" s="56"/>
    </row>
    <row r="51499" spans="1:1">
      <c r="A51499" s="56"/>
    </row>
    <row r="51500" spans="1:1">
      <c r="A51500" s="56"/>
    </row>
    <row r="51501" spans="1:1">
      <c r="A51501" s="56"/>
    </row>
    <row r="51502" spans="1:1">
      <c r="A51502" s="56"/>
    </row>
    <row r="51503" spans="1:1">
      <c r="A51503" s="56"/>
    </row>
    <row r="51504" spans="1:1">
      <c r="A51504" s="56"/>
    </row>
    <row r="51505" spans="1:1">
      <c r="A51505" s="56"/>
    </row>
    <row r="51506" spans="1:1">
      <c r="A51506" s="56"/>
    </row>
    <row r="51507" spans="1:1">
      <c r="A51507" s="56"/>
    </row>
    <row r="51508" spans="1:1">
      <c r="A51508" s="56"/>
    </row>
    <row r="51509" spans="1:1">
      <c r="A51509" s="56"/>
    </row>
    <row r="51510" spans="1:1">
      <c r="A51510" s="56"/>
    </row>
    <row r="51511" spans="1:1">
      <c r="A51511" s="56"/>
    </row>
    <row r="51512" spans="1:1">
      <c r="A51512" s="56"/>
    </row>
    <row r="51513" spans="1:1">
      <c r="A51513" s="56"/>
    </row>
    <row r="51514" spans="1:1">
      <c r="A51514" s="56"/>
    </row>
    <row r="51515" spans="1:1">
      <c r="A51515" s="56"/>
    </row>
    <row r="51516" spans="1:1">
      <c r="A51516" s="56"/>
    </row>
    <row r="51517" spans="1:1">
      <c r="A51517" s="56"/>
    </row>
    <row r="51518" spans="1:1">
      <c r="A51518" s="56"/>
    </row>
    <row r="51519" spans="1:1">
      <c r="A51519" s="56"/>
    </row>
    <row r="51520" spans="1:1">
      <c r="A51520" s="56"/>
    </row>
    <row r="51521" spans="1:1">
      <c r="A51521" s="56"/>
    </row>
    <row r="51522" spans="1:1">
      <c r="A51522" s="56"/>
    </row>
    <row r="51523" spans="1:1">
      <c r="A51523" s="56"/>
    </row>
    <row r="51524" spans="1:1">
      <c r="A51524" s="56"/>
    </row>
    <row r="51525" spans="1:1">
      <c r="A51525" s="56"/>
    </row>
    <row r="51526" spans="1:1">
      <c r="A51526" s="56"/>
    </row>
    <row r="51527" spans="1:1">
      <c r="A51527" s="56"/>
    </row>
    <row r="51528" spans="1:1">
      <c r="A51528" s="56"/>
    </row>
    <row r="51529" spans="1:1">
      <c r="A51529" s="56"/>
    </row>
    <row r="51530" spans="1:1">
      <c r="A51530" s="56"/>
    </row>
    <row r="51531" spans="1:1">
      <c r="A51531" s="56"/>
    </row>
    <row r="51532" spans="1:1">
      <c r="A51532" s="56"/>
    </row>
    <row r="51533" spans="1:1">
      <c r="A51533" s="56"/>
    </row>
    <row r="51534" spans="1:1">
      <c r="A51534" s="56"/>
    </row>
    <row r="51535" spans="1:1">
      <c r="A51535" s="56"/>
    </row>
    <row r="51536" spans="1:1">
      <c r="A51536" s="56"/>
    </row>
    <row r="51537" spans="1:1">
      <c r="A51537" s="56"/>
    </row>
    <row r="51538" spans="1:1">
      <c r="A51538" s="56"/>
    </row>
    <row r="51539" spans="1:1">
      <c r="A51539" s="56"/>
    </row>
    <row r="51540" spans="1:1">
      <c r="A51540" s="56"/>
    </row>
    <row r="51541" spans="1:1">
      <c r="A51541" s="56"/>
    </row>
    <row r="51542" spans="1:1">
      <c r="A51542" s="56"/>
    </row>
    <row r="51543" spans="1:1">
      <c r="A51543" s="56"/>
    </row>
    <row r="51544" spans="1:1">
      <c r="A51544" s="56"/>
    </row>
    <row r="51545" spans="1:1">
      <c r="A51545" s="56"/>
    </row>
    <row r="51546" spans="1:1">
      <c r="A51546" s="56"/>
    </row>
    <row r="51547" spans="1:1">
      <c r="A51547" s="56"/>
    </row>
    <row r="51548" spans="1:1">
      <c r="A51548" s="56"/>
    </row>
    <row r="51549" spans="1:1">
      <c r="A51549" s="56"/>
    </row>
    <row r="51550" spans="1:1">
      <c r="A51550" s="56"/>
    </row>
    <row r="51551" spans="1:1">
      <c r="A51551" s="56"/>
    </row>
    <row r="51552" spans="1:1">
      <c r="A51552" s="56"/>
    </row>
    <row r="51553" spans="1:1">
      <c r="A51553" s="56"/>
    </row>
    <row r="51554" spans="1:1">
      <c r="A51554" s="56"/>
    </row>
    <row r="51555" spans="1:1">
      <c r="A51555" s="56"/>
    </row>
    <row r="51556" spans="1:1">
      <c r="A51556" s="56"/>
    </row>
    <row r="51557" spans="1:1">
      <c r="A51557" s="56"/>
    </row>
    <row r="51558" spans="1:1">
      <c r="A51558" s="56"/>
    </row>
    <row r="51559" spans="1:1">
      <c r="A51559" s="56"/>
    </row>
    <row r="51560" spans="1:1">
      <c r="A51560" s="56"/>
    </row>
    <row r="51561" spans="1:1">
      <c r="A51561" s="56"/>
    </row>
    <row r="51562" spans="1:1">
      <c r="A51562" s="56"/>
    </row>
    <row r="51563" spans="1:1">
      <c r="A51563" s="56"/>
    </row>
    <row r="51564" spans="1:1">
      <c r="A51564" s="56"/>
    </row>
    <row r="51565" spans="1:1">
      <c r="A51565" s="56"/>
    </row>
    <row r="51566" spans="1:1">
      <c r="A51566" s="56"/>
    </row>
    <row r="51567" spans="1:1">
      <c r="A51567" s="56"/>
    </row>
    <row r="51568" spans="1:1">
      <c r="A51568" s="56"/>
    </row>
    <row r="51569" spans="1:1">
      <c r="A51569" s="56"/>
    </row>
    <row r="51570" spans="1:1">
      <c r="A51570" s="56"/>
    </row>
    <row r="51571" spans="1:1">
      <c r="A51571" s="56"/>
    </row>
    <row r="51572" spans="1:1">
      <c r="A51572" s="56"/>
    </row>
    <row r="51573" spans="1:1">
      <c r="A51573" s="56"/>
    </row>
    <row r="51574" spans="1:1">
      <c r="A51574" s="56"/>
    </row>
    <row r="51575" spans="1:1">
      <c r="A51575" s="56"/>
    </row>
    <row r="51576" spans="1:1">
      <c r="A51576" s="56"/>
    </row>
    <row r="51577" spans="1:1">
      <c r="A51577" s="56"/>
    </row>
    <row r="51578" spans="1:1">
      <c r="A51578" s="56"/>
    </row>
    <row r="51579" spans="1:1">
      <c r="A51579" s="56"/>
    </row>
    <row r="51580" spans="1:1">
      <c r="A51580" s="56"/>
    </row>
    <row r="51581" spans="1:1">
      <c r="A51581" s="56"/>
    </row>
    <row r="51582" spans="1:1">
      <c r="A51582" s="56"/>
    </row>
    <row r="51583" spans="1:1">
      <c r="A51583" s="56"/>
    </row>
    <row r="51584" spans="1:1">
      <c r="A51584" s="56"/>
    </row>
    <row r="51585" spans="1:1">
      <c r="A51585" s="56"/>
    </row>
    <row r="51586" spans="1:1">
      <c r="A51586" s="56"/>
    </row>
    <row r="51587" spans="1:1">
      <c r="A51587" s="56"/>
    </row>
    <row r="51588" spans="1:1">
      <c r="A51588" s="56"/>
    </row>
    <row r="51589" spans="1:1">
      <c r="A51589" s="56"/>
    </row>
    <row r="51590" spans="1:1">
      <c r="A51590" s="56"/>
    </row>
    <row r="51591" spans="1:1">
      <c r="A51591" s="56"/>
    </row>
    <row r="51592" spans="1:1">
      <c r="A51592" s="56"/>
    </row>
    <row r="51593" spans="1:1">
      <c r="A51593" s="56"/>
    </row>
    <row r="51594" spans="1:1">
      <c r="A51594" s="56"/>
    </row>
    <row r="51595" spans="1:1">
      <c r="A51595" s="56"/>
    </row>
    <row r="51596" spans="1:1">
      <c r="A51596" s="56"/>
    </row>
    <row r="51597" spans="1:1">
      <c r="A51597" s="56"/>
    </row>
    <row r="51598" spans="1:1">
      <c r="A51598" s="56"/>
    </row>
    <row r="51599" spans="1:1">
      <c r="A51599" s="56"/>
    </row>
    <row r="51600" spans="1:1">
      <c r="A51600" s="56"/>
    </row>
    <row r="51601" spans="1:1">
      <c r="A51601" s="56"/>
    </row>
    <row r="51602" spans="1:1">
      <c r="A51602" s="56"/>
    </row>
    <row r="51603" spans="1:1">
      <c r="A51603" s="56"/>
    </row>
    <row r="51604" spans="1:1">
      <c r="A51604" s="56"/>
    </row>
    <row r="51605" spans="1:1">
      <c r="A51605" s="56"/>
    </row>
    <row r="51606" spans="1:1">
      <c r="A51606" s="56"/>
    </row>
    <row r="51607" spans="1:1">
      <c r="A51607" s="56"/>
    </row>
    <row r="51608" spans="1:1">
      <c r="A51608" s="56"/>
    </row>
    <row r="51609" spans="1:1">
      <c r="A51609" s="56"/>
    </row>
    <row r="51610" spans="1:1">
      <c r="A51610" s="56"/>
    </row>
    <row r="51611" spans="1:1">
      <c r="A51611" s="56"/>
    </row>
    <row r="51612" spans="1:1">
      <c r="A51612" s="56"/>
    </row>
    <row r="51613" spans="1:1">
      <c r="A51613" s="56"/>
    </row>
    <row r="51614" spans="1:1">
      <c r="A51614" s="56"/>
    </row>
    <row r="51615" spans="1:1">
      <c r="A51615" s="56"/>
    </row>
    <row r="51616" spans="1:1">
      <c r="A51616" s="56"/>
    </row>
    <row r="51617" spans="1:1">
      <c r="A51617" s="56"/>
    </row>
    <row r="51618" spans="1:1">
      <c r="A51618" s="56"/>
    </row>
    <row r="51619" spans="1:1">
      <c r="A51619" s="56"/>
    </row>
    <row r="51620" spans="1:1">
      <c r="A51620" s="56"/>
    </row>
    <row r="51621" spans="1:1">
      <c r="A51621" s="56"/>
    </row>
    <row r="51622" spans="1:1">
      <c r="A51622" s="56"/>
    </row>
    <row r="51623" spans="1:1">
      <c r="A51623" s="56"/>
    </row>
    <row r="51624" spans="1:1">
      <c r="A51624" s="56"/>
    </row>
    <row r="51625" spans="1:1">
      <c r="A51625" s="56"/>
    </row>
    <row r="51626" spans="1:1">
      <c r="A51626" s="56"/>
    </row>
    <row r="51627" spans="1:1">
      <c r="A51627" s="56"/>
    </row>
    <row r="51628" spans="1:1">
      <c r="A51628" s="56"/>
    </row>
    <row r="51629" spans="1:1">
      <c r="A51629" s="56"/>
    </row>
    <row r="51630" spans="1:1">
      <c r="A51630" s="56"/>
    </row>
    <row r="51631" spans="1:1">
      <c r="A51631" s="56"/>
    </row>
    <row r="51632" spans="1:1">
      <c r="A51632" s="56"/>
    </row>
    <row r="51633" spans="1:1">
      <c r="A51633" s="56"/>
    </row>
    <row r="51634" spans="1:1">
      <c r="A51634" s="56"/>
    </row>
    <row r="51635" spans="1:1">
      <c r="A51635" s="56"/>
    </row>
    <row r="51636" spans="1:1">
      <c r="A51636" s="56"/>
    </row>
    <row r="51637" spans="1:1">
      <c r="A51637" s="56"/>
    </row>
    <row r="51638" spans="1:1">
      <c r="A51638" s="56"/>
    </row>
    <row r="51639" spans="1:1">
      <c r="A51639" s="56"/>
    </row>
    <row r="51640" spans="1:1">
      <c r="A51640" s="56"/>
    </row>
    <row r="51641" spans="1:1">
      <c r="A51641" s="56"/>
    </row>
    <row r="51642" spans="1:1">
      <c r="A51642" s="56"/>
    </row>
    <row r="51643" spans="1:1">
      <c r="A51643" s="56"/>
    </row>
    <row r="51644" spans="1:1">
      <c r="A51644" s="56"/>
    </row>
    <row r="51645" spans="1:1">
      <c r="A51645" s="56"/>
    </row>
    <row r="51646" spans="1:1">
      <c r="A51646" s="56"/>
    </row>
    <row r="51647" spans="1:1">
      <c r="A51647" s="56"/>
    </row>
    <row r="51648" spans="1:1">
      <c r="A51648" s="56"/>
    </row>
    <row r="51649" spans="1:1">
      <c r="A51649" s="56"/>
    </row>
    <row r="51650" spans="1:1">
      <c r="A51650" s="56"/>
    </row>
    <row r="51651" spans="1:1">
      <c r="A51651" s="56"/>
    </row>
    <row r="51652" spans="1:1">
      <c r="A51652" s="56"/>
    </row>
    <row r="51653" spans="1:1">
      <c r="A51653" s="56"/>
    </row>
    <row r="51654" spans="1:1">
      <c r="A51654" s="56"/>
    </row>
    <row r="51655" spans="1:1">
      <c r="A51655" s="56"/>
    </row>
    <row r="51656" spans="1:1">
      <c r="A51656" s="56"/>
    </row>
    <row r="51657" spans="1:1">
      <c r="A51657" s="56"/>
    </row>
    <row r="51658" spans="1:1">
      <c r="A51658" s="56"/>
    </row>
    <row r="51659" spans="1:1">
      <c r="A51659" s="56"/>
    </row>
    <row r="51660" spans="1:1">
      <c r="A51660" s="56"/>
    </row>
    <row r="51661" spans="1:1">
      <c r="A51661" s="56"/>
    </row>
    <row r="51662" spans="1:1">
      <c r="A51662" s="56"/>
    </row>
    <row r="51663" spans="1:1">
      <c r="A51663" s="56"/>
    </row>
    <row r="51664" spans="1:1">
      <c r="A51664" s="56"/>
    </row>
    <row r="51665" spans="1:1">
      <c r="A51665" s="56"/>
    </row>
    <row r="51666" spans="1:1">
      <c r="A51666" s="56"/>
    </row>
    <row r="51667" spans="1:1">
      <c r="A51667" s="56"/>
    </row>
    <row r="51668" spans="1:1">
      <c r="A51668" s="56"/>
    </row>
    <row r="51669" spans="1:1">
      <c r="A51669" s="56"/>
    </row>
    <row r="51670" spans="1:1">
      <c r="A51670" s="56"/>
    </row>
    <row r="51671" spans="1:1">
      <c r="A51671" s="56"/>
    </row>
    <row r="51672" spans="1:1">
      <c r="A51672" s="56"/>
    </row>
    <row r="51673" spans="1:1">
      <c r="A51673" s="56"/>
    </row>
    <row r="51674" spans="1:1">
      <c r="A51674" s="56"/>
    </row>
    <row r="51675" spans="1:1">
      <c r="A51675" s="56"/>
    </row>
    <row r="51676" spans="1:1">
      <c r="A51676" s="56"/>
    </row>
    <row r="51677" spans="1:1">
      <c r="A51677" s="56"/>
    </row>
    <row r="51678" spans="1:1">
      <c r="A51678" s="56"/>
    </row>
    <row r="51679" spans="1:1">
      <c r="A51679" s="56"/>
    </row>
    <row r="51680" spans="1:1">
      <c r="A51680" s="56"/>
    </row>
    <row r="51681" spans="1:1">
      <c r="A51681" s="56"/>
    </row>
    <row r="51682" spans="1:1">
      <c r="A51682" s="56"/>
    </row>
    <row r="51683" spans="1:1">
      <c r="A51683" s="56"/>
    </row>
    <row r="51684" spans="1:1">
      <c r="A51684" s="56"/>
    </row>
    <row r="51685" spans="1:1">
      <c r="A51685" s="56"/>
    </row>
    <row r="51686" spans="1:1">
      <c r="A51686" s="56"/>
    </row>
    <row r="51687" spans="1:1">
      <c r="A51687" s="56"/>
    </row>
    <row r="51688" spans="1:1">
      <c r="A51688" s="56"/>
    </row>
    <row r="51689" spans="1:1">
      <c r="A51689" s="56"/>
    </row>
    <row r="51690" spans="1:1">
      <c r="A51690" s="56"/>
    </row>
    <row r="51691" spans="1:1">
      <c r="A51691" s="56"/>
    </row>
    <row r="51692" spans="1:1">
      <c r="A51692" s="56"/>
    </row>
    <row r="51693" spans="1:1">
      <c r="A51693" s="56"/>
    </row>
    <row r="51694" spans="1:1">
      <c r="A51694" s="56"/>
    </row>
    <row r="51695" spans="1:1">
      <c r="A51695" s="56"/>
    </row>
    <row r="51696" spans="1:1">
      <c r="A51696" s="56"/>
    </row>
    <row r="51697" spans="1:1">
      <c r="A51697" s="56"/>
    </row>
    <row r="51698" spans="1:1">
      <c r="A51698" s="56"/>
    </row>
    <row r="51699" spans="1:1">
      <c r="A51699" s="56"/>
    </row>
    <row r="51700" spans="1:1">
      <c r="A51700" s="56"/>
    </row>
    <row r="51701" spans="1:1">
      <c r="A51701" s="56"/>
    </row>
    <row r="51702" spans="1:1">
      <c r="A51702" s="56"/>
    </row>
    <row r="51703" spans="1:1">
      <c r="A51703" s="56"/>
    </row>
    <row r="51704" spans="1:1">
      <c r="A51704" s="56"/>
    </row>
    <row r="51705" spans="1:1">
      <c r="A51705" s="56"/>
    </row>
    <row r="51706" spans="1:1">
      <c r="A51706" s="56"/>
    </row>
    <row r="51707" spans="1:1">
      <c r="A51707" s="56"/>
    </row>
    <row r="51708" spans="1:1">
      <c r="A51708" s="56"/>
    </row>
    <row r="51709" spans="1:1">
      <c r="A51709" s="56"/>
    </row>
    <row r="51710" spans="1:1">
      <c r="A51710" s="56"/>
    </row>
    <row r="51711" spans="1:1">
      <c r="A51711" s="56"/>
    </row>
    <row r="51712" spans="1:1">
      <c r="A51712" s="56"/>
    </row>
    <row r="51713" spans="1:1">
      <c r="A51713" s="56"/>
    </row>
    <row r="51714" spans="1:1">
      <c r="A51714" s="56"/>
    </row>
    <row r="51715" spans="1:1">
      <c r="A51715" s="56"/>
    </row>
    <row r="51716" spans="1:1">
      <c r="A51716" s="56"/>
    </row>
    <row r="51717" spans="1:1">
      <c r="A51717" s="56"/>
    </row>
    <row r="51718" spans="1:1">
      <c r="A51718" s="56"/>
    </row>
    <row r="51719" spans="1:1">
      <c r="A51719" s="56"/>
    </row>
    <row r="51720" spans="1:1">
      <c r="A51720" s="56"/>
    </row>
    <row r="51721" spans="1:1">
      <c r="A51721" s="56"/>
    </row>
    <row r="51722" spans="1:1">
      <c r="A51722" s="56"/>
    </row>
    <row r="51723" spans="1:1">
      <c r="A51723" s="56"/>
    </row>
    <row r="51724" spans="1:1">
      <c r="A51724" s="56"/>
    </row>
    <row r="51725" spans="1:1">
      <c r="A51725" s="56"/>
    </row>
    <row r="51726" spans="1:1">
      <c r="A51726" s="56"/>
    </row>
    <row r="51727" spans="1:1">
      <c r="A51727" s="56"/>
    </row>
    <row r="51728" spans="1:1">
      <c r="A51728" s="56"/>
    </row>
    <row r="51729" spans="1:1">
      <c r="A51729" s="56"/>
    </row>
    <row r="51730" spans="1:1">
      <c r="A51730" s="56"/>
    </row>
    <row r="51731" spans="1:1">
      <c r="A51731" s="56"/>
    </row>
    <row r="51732" spans="1:1">
      <c r="A51732" s="56"/>
    </row>
    <row r="51733" spans="1:1">
      <c r="A51733" s="56"/>
    </row>
    <row r="51734" spans="1:1">
      <c r="A51734" s="56"/>
    </row>
    <row r="51735" spans="1:1">
      <c r="A51735" s="56"/>
    </row>
    <row r="51736" spans="1:1">
      <c r="A51736" s="56"/>
    </row>
    <row r="51737" spans="1:1">
      <c r="A51737" s="56"/>
    </row>
    <row r="51738" spans="1:1">
      <c r="A51738" s="56"/>
    </row>
    <row r="51739" spans="1:1">
      <c r="A51739" s="56"/>
    </row>
    <row r="51740" spans="1:1">
      <c r="A51740" s="56"/>
    </row>
    <row r="51741" spans="1:1">
      <c r="A51741" s="56"/>
    </row>
    <row r="51742" spans="1:1">
      <c r="A51742" s="56"/>
    </row>
    <row r="51743" spans="1:1">
      <c r="A51743" s="56"/>
    </row>
    <row r="51744" spans="1:1">
      <c r="A51744" s="56"/>
    </row>
    <row r="51745" spans="1:1">
      <c r="A51745" s="56"/>
    </row>
    <row r="51746" spans="1:1">
      <c r="A51746" s="56"/>
    </row>
    <row r="51747" spans="1:1">
      <c r="A51747" s="56"/>
    </row>
    <row r="51748" spans="1:1">
      <c r="A51748" s="56"/>
    </row>
    <row r="51749" spans="1:1">
      <c r="A51749" s="56"/>
    </row>
    <row r="51750" spans="1:1">
      <c r="A51750" s="56"/>
    </row>
    <row r="51751" spans="1:1">
      <c r="A51751" s="56"/>
    </row>
    <row r="51752" spans="1:1">
      <c r="A51752" s="56"/>
    </row>
    <row r="51753" spans="1:1">
      <c r="A51753" s="56"/>
    </row>
    <row r="51754" spans="1:1">
      <c r="A51754" s="56"/>
    </row>
    <row r="51755" spans="1:1">
      <c r="A51755" s="56"/>
    </row>
    <row r="51756" spans="1:1">
      <c r="A51756" s="56"/>
    </row>
    <row r="51757" spans="1:1">
      <c r="A51757" s="56"/>
    </row>
    <row r="51758" spans="1:1">
      <c r="A51758" s="56"/>
    </row>
    <row r="51759" spans="1:1">
      <c r="A51759" s="56"/>
    </row>
    <row r="51760" spans="1:1">
      <c r="A51760" s="56"/>
    </row>
    <row r="51761" spans="1:1">
      <c r="A51761" s="56"/>
    </row>
    <row r="51762" spans="1:1">
      <c r="A51762" s="56"/>
    </row>
    <row r="51763" spans="1:1">
      <c r="A51763" s="56"/>
    </row>
    <row r="51764" spans="1:1">
      <c r="A51764" s="56"/>
    </row>
    <row r="51765" spans="1:1">
      <c r="A51765" s="56"/>
    </row>
    <row r="51766" spans="1:1">
      <c r="A51766" s="56"/>
    </row>
    <row r="51767" spans="1:1">
      <c r="A51767" s="56"/>
    </row>
    <row r="51768" spans="1:1">
      <c r="A51768" s="56"/>
    </row>
    <row r="51769" spans="1:1">
      <c r="A51769" s="56"/>
    </row>
    <row r="51770" spans="1:1">
      <c r="A51770" s="56"/>
    </row>
    <row r="51771" spans="1:1">
      <c r="A51771" s="56"/>
    </row>
    <row r="51772" spans="1:1">
      <c r="A51772" s="56"/>
    </row>
    <row r="51773" spans="1:1">
      <c r="A51773" s="56"/>
    </row>
    <row r="51774" spans="1:1">
      <c r="A51774" s="56"/>
    </row>
    <row r="51775" spans="1:1">
      <c r="A51775" s="56"/>
    </row>
    <row r="51776" spans="1:1">
      <c r="A51776" s="56"/>
    </row>
    <row r="51777" spans="1:1">
      <c r="A51777" s="56"/>
    </row>
    <row r="51778" spans="1:1">
      <c r="A51778" s="56"/>
    </row>
    <row r="51779" spans="1:1">
      <c r="A51779" s="56"/>
    </row>
    <row r="51780" spans="1:1">
      <c r="A51780" s="56"/>
    </row>
    <row r="51781" spans="1:1">
      <c r="A51781" s="56"/>
    </row>
    <row r="51782" spans="1:1">
      <c r="A51782" s="56"/>
    </row>
    <row r="51783" spans="1:1">
      <c r="A51783" s="56"/>
    </row>
    <row r="51784" spans="1:1">
      <c r="A51784" s="56"/>
    </row>
    <row r="51785" spans="1:1">
      <c r="A51785" s="56"/>
    </row>
    <row r="51786" spans="1:1">
      <c r="A51786" s="56"/>
    </row>
    <row r="51787" spans="1:1">
      <c r="A51787" s="56"/>
    </row>
    <row r="51788" spans="1:1">
      <c r="A51788" s="56"/>
    </row>
    <row r="51789" spans="1:1">
      <c r="A51789" s="56"/>
    </row>
    <row r="51790" spans="1:1">
      <c r="A51790" s="56"/>
    </row>
    <row r="51791" spans="1:1">
      <c r="A51791" s="56"/>
    </row>
    <row r="51792" spans="1:1">
      <c r="A51792" s="56"/>
    </row>
    <row r="51793" spans="1:1">
      <c r="A51793" s="56"/>
    </row>
    <row r="51794" spans="1:1">
      <c r="A51794" s="56"/>
    </row>
    <row r="51795" spans="1:1">
      <c r="A51795" s="56"/>
    </row>
    <row r="51796" spans="1:1">
      <c r="A51796" s="56"/>
    </row>
    <row r="51797" spans="1:1">
      <c r="A51797" s="56"/>
    </row>
    <row r="51798" spans="1:1">
      <c r="A51798" s="56"/>
    </row>
    <row r="51799" spans="1:1">
      <c r="A51799" s="56"/>
    </row>
    <row r="51800" spans="1:1">
      <c r="A51800" s="56"/>
    </row>
    <row r="51801" spans="1:1">
      <c r="A51801" s="56"/>
    </row>
    <row r="51802" spans="1:1">
      <c r="A51802" s="56"/>
    </row>
    <row r="51803" spans="1:1">
      <c r="A51803" s="56"/>
    </row>
    <row r="51804" spans="1:1">
      <c r="A51804" s="56"/>
    </row>
    <row r="51805" spans="1:1">
      <c r="A51805" s="56"/>
    </row>
    <row r="51806" spans="1:1">
      <c r="A51806" s="56"/>
    </row>
    <row r="51807" spans="1:1">
      <c r="A51807" s="56"/>
    </row>
    <row r="51808" spans="1:1">
      <c r="A51808" s="56"/>
    </row>
    <row r="51809" spans="1:1">
      <c r="A51809" s="56"/>
    </row>
    <row r="51810" spans="1:1">
      <c r="A51810" s="56"/>
    </row>
    <row r="51811" spans="1:1">
      <c r="A51811" s="56"/>
    </row>
    <row r="51812" spans="1:1">
      <c r="A51812" s="56"/>
    </row>
    <row r="51813" spans="1:1">
      <c r="A51813" s="56"/>
    </row>
    <row r="51814" spans="1:1">
      <c r="A51814" s="56"/>
    </row>
    <row r="51815" spans="1:1">
      <c r="A51815" s="56"/>
    </row>
    <row r="51816" spans="1:1">
      <c r="A51816" s="56"/>
    </row>
    <row r="51817" spans="1:1">
      <c r="A51817" s="56"/>
    </row>
    <row r="51818" spans="1:1">
      <c r="A51818" s="56"/>
    </row>
    <row r="51819" spans="1:1">
      <c r="A51819" s="56"/>
    </row>
    <row r="51820" spans="1:1">
      <c r="A51820" s="56"/>
    </row>
    <row r="51821" spans="1:1">
      <c r="A51821" s="56"/>
    </row>
    <row r="51822" spans="1:1">
      <c r="A51822" s="56"/>
    </row>
    <row r="51823" spans="1:1">
      <c r="A51823" s="56"/>
    </row>
    <row r="51824" spans="1:1">
      <c r="A51824" s="56"/>
    </row>
    <row r="51825" spans="1:1">
      <c r="A51825" s="56"/>
    </row>
    <row r="51826" spans="1:1">
      <c r="A51826" s="56"/>
    </row>
    <row r="51827" spans="1:1">
      <c r="A51827" s="56"/>
    </row>
    <row r="51828" spans="1:1">
      <c r="A51828" s="56"/>
    </row>
    <row r="51829" spans="1:1">
      <c r="A51829" s="56"/>
    </row>
    <row r="51830" spans="1:1">
      <c r="A51830" s="56"/>
    </row>
    <row r="51831" spans="1:1">
      <c r="A51831" s="56"/>
    </row>
    <row r="51832" spans="1:1">
      <c r="A51832" s="56"/>
    </row>
    <row r="51833" spans="1:1">
      <c r="A51833" s="56"/>
    </row>
    <row r="51834" spans="1:1">
      <c r="A51834" s="56"/>
    </row>
    <row r="51835" spans="1:1">
      <c r="A51835" s="56"/>
    </row>
    <row r="51836" spans="1:1">
      <c r="A51836" s="56"/>
    </row>
    <row r="51837" spans="1:1">
      <c r="A51837" s="56"/>
    </row>
    <row r="51838" spans="1:1">
      <c r="A51838" s="56"/>
    </row>
    <row r="51839" spans="1:1">
      <c r="A51839" s="56"/>
    </row>
    <row r="51840" spans="1:1">
      <c r="A51840" s="56"/>
    </row>
    <row r="51841" spans="1:1">
      <c r="A51841" s="56"/>
    </row>
    <row r="51842" spans="1:1">
      <c r="A51842" s="56"/>
    </row>
    <row r="51843" spans="1:1">
      <c r="A51843" s="56"/>
    </row>
    <row r="51844" spans="1:1">
      <c r="A51844" s="56"/>
    </row>
    <row r="51845" spans="1:1">
      <c r="A51845" s="56"/>
    </row>
    <row r="51846" spans="1:1">
      <c r="A51846" s="56"/>
    </row>
    <row r="51847" spans="1:1">
      <c r="A51847" s="56"/>
    </row>
    <row r="51848" spans="1:1">
      <c r="A51848" s="56"/>
    </row>
    <row r="51849" spans="1:1">
      <c r="A51849" s="56"/>
    </row>
    <row r="51850" spans="1:1">
      <c r="A51850" s="56"/>
    </row>
    <row r="51851" spans="1:1">
      <c r="A51851" s="56"/>
    </row>
    <row r="51852" spans="1:1">
      <c r="A51852" s="56"/>
    </row>
    <row r="51853" spans="1:1">
      <c r="A51853" s="56"/>
    </row>
    <row r="51854" spans="1:1">
      <c r="A51854" s="56"/>
    </row>
    <row r="51855" spans="1:1">
      <c r="A51855" s="56"/>
    </row>
    <row r="51856" spans="1:1">
      <c r="A51856" s="56"/>
    </row>
    <row r="51857" spans="1:1">
      <c r="A51857" s="56"/>
    </row>
    <row r="51858" spans="1:1">
      <c r="A51858" s="56"/>
    </row>
    <row r="51859" spans="1:1">
      <c r="A51859" s="56"/>
    </row>
    <row r="51860" spans="1:1">
      <c r="A51860" s="56"/>
    </row>
    <row r="51861" spans="1:1">
      <c r="A51861" s="56"/>
    </row>
    <row r="51862" spans="1:1">
      <c r="A51862" s="56"/>
    </row>
    <row r="51863" spans="1:1">
      <c r="A51863" s="56"/>
    </row>
    <row r="51864" spans="1:1">
      <c r="A51864" s="56"/>
    </row>
    <row r="51865" spans="1:1">
      <c r="A51865" s="56"/>
    </row>
    <row r="51866" spans="1:1">
      <c r="A51866" s="56"/>
    </row>
    <row r="51867" spans="1:1">
      <c r="A51867" s="56"/>
    </row>
    <row r="51868" spans="1:1">
      <c r="A51868" s="56"/>
    </row>
    <row r="51869" spans="1:1">
      <c r="A51869" s="56"/>
    </row>
    <row r="51870" spans="1:1">
      <c r="A51870" s="56"/>
    </row>
    <row r="51871" spans="1:1">
      <c r="A51871" s="56"/>
    </row>
    <row r="51872" spans="1:1">
      <c r="A51872" s="56"/>
    </row>
    <row r="51873" spans="1:1">
      <c r="A51873" s="56"/>
    </row>
    <row r="51874" spans="1:1">
      <c r="A51874" s="56"/>
    </row>
    <row r="51875" spans="1:1">
      <c r="A51875" s="56"/>
    </row>
    <row r="51876" spans="1:1">
      <c r="A51876" s="56"/>
    </row>
    <row r="51877" spans="1:1">
      <c r="A51877" s="56"/>
    </row>
    <row r="51878" spans="1:1">
      <c r="A51878" s="56"/>
    </row>
    <row r="51879" spans="1:1">
      <c r="A51879" s="56"/>
    </row>
    <row r="51880" spans="1:1">
      <c r="A51880" s="56"/>
    </row>
    <row r="51881" spans="1:1">
      <c r="A51881" s="56"/>
    </row>
    <row r="51882" spans="1:1">
      <c r="A51882" s="56"/>
    </row>
    <row r="51883" spans="1:1">
      <c r="A51883" s="56"/>
    </row>
    <row r="51884" spans="1:1">
      <c r="A51884" s="56"/>
    </row>
    <row r="51885" spans="1:1">
      <c r="A51885" s="56"/>
    </row>
    <row r="51886" spans="1:1">
      <c r="A51886" s="56"/>
    </row>
    <row r="51887" spans="1:1">
      <c r="A51887" s="56"/>
    </row>
    <row r="51888" spans="1:1">
      <c r="A51888" s="56"/>
    </row>
    <row r="51889" spans="1:1">
      <c r="A51889" s="56"/>
    </row>
    <row r="51890" spans="1:1">
      <c r="A51890" s="56"/>
    </row>
    <row r="51891" spans="1:1">
      <c r="A51891" s="56"/>
    </row>
    <row r="51892" spans="1:1">
      <c r="A51892" s="56"/>
    </row>
    <row r="51893" spans="1:1">
      <c r="A51893" s="56"/>
    </row>
    <row r="51894" spans="1:1">
      <c r="A51894" s="56"/>
    </row>
    <row r="51895" spans="1:1">
      <c r="A51895" s="56"/>
    </row>
    <row r="51896" spans="1:1">
      <c r="A51896" s="56"/>
    </row>
    <row r="51897" spans="1:1">
      <c r="A51897" s="56"/>
    </row>
    <row r="51898" spans="1:1">
      <c r="A51898" s="56"/>
    </row>
    <row r="51899" spans="1:1">
      <c r="A51899" s="56"/>
    </row>
    <row r="51900" spans="1:1">
      <c r="A51900" s="56"/>
    </row>
    <row r="51901" spans="1:1">
      <c r="A51901" s="56"/>
    </row>
    <row r="51902" spans="1:1">
      <c r="A51902" s="56"/>
    </row>
    <row r="51903" spans="1:1">
      <c r="A51903" s="56"/>
    </row>
    <row r="51904" spans="1:1">
      <c r="A51904" s="56"/>
    </row>
    <row r="51905" spans="1:1">
      <c r="A51905" s="56"/>
    </row>
    <row r="51906" spans="1:1">
      <c r="A51906" s="56"/>
    </row>
    <row r="51907" spans="1:1">
      <c r="A51907" s="56"/>
    </row>
    <row r="51908" spans="1:1">
      <c r="A51908" s="56"/>
    </row>
    <row r="51909" spans="1:1">
      <c r="A51909" s="56"/>
    </row>
    <row r="51910" spans="1:1">
      <c r="A51910" s="56"/>
    </row>
    <row r="51911" spans="1:1">
      <c r="A51911" s="56"/>
    </row>
    <row r="51912" spans="1:1">
      <c r="A51912" s="56"/>
    </row>
    <row r="51913" spans="1:1">
      <c r="A51913" s="56"/>
    </row>
    <row r="51914" spans="1:1">
      <c r="A51914" s="56"/>
    </row>
    <row r="51915" spans="1:1">
      <c r="A51915" s="56"/>
    </row>
    <row r="51916" spans="1:1">
      <c r="A51916" s="56"/>
    </row>
    <row r="51917" spans="1:1">
      <c r="A51917" s="56"/>
    </row>
    <row r="51918" spans="1:1">
      <c r="A51918" s="56"/>
    </row>
    <row r="51919" spans="1:1">
      <c r="A51919" s="56"/>
    </row>
    <row r="51920" spans="1:1">
      <c r="A51920" s="56"/>
    </row>
    <row r="51921" spans="1:1">
      <c r="A51921" s="56"/>
    </row>
    <row r="51922" spans="1:1">
      <c r="A51922" s="56"/>
    </row>
    <row r="51923" spans="1:1">
      <c r="A51923" s="56"/>
    </row>
    <row r="51924" spans="1:1">
      <c r="A51924" s="56"/>
    </row>
    <row r="51925" spans="1:1">
      <c r="A51925" s="56"/>
    </row>
    <row r="51926" spans="1:1">
      <c r="A51926" s="56"/>
    </row>
    <row r="51927" spans="1:1">
      <c r="A51927" s="56"/>
    </row>
    <row r="51928" spans="1:1">
      <c r="A51928" s="56"/>
    </row>
    <row r="51929" spans="1:1">
      <c r="A51929" s="56"/>
    </row>
    <row r="51930" spans="1:1">
      <c r="A51930" s="56"/>
    </row>
    <row r="51931" spans="1:1">
      <c r="A51931" s="56"/>
    </row>
    <row r="51932" spans="1:1">
      <c r="A51932" s="56"/>
    </row>
    <row r="51933" spans="1:1">
      <c r="A51933" s="56"/>
    </row>
    <row r="51934" spans="1:1">
      <c r="A51934" s="56"/>
    </row>
    <row r="51935" spans="1:1">
      <c r="A51935" s="56"/>
    </row>
    <row r="51936" spans="1:1">
      <c r="A51936" s="56"/>
    </row>
    <row r="51937" spans="1:1">
      <c r="A51937" s="56"/>
    </row>
    <row r="51938" spans="1:1">
      <c r="A51938" s="56"/>
    </row>
    <row r="51939" spans="1:1">
      <c r="A51939" s="56"/>
    </row>
    <row r="51940" spans="1:1">
      <c r="A51940" s="56"/>
    </row>
    <row r="51941" spans="1:1">
      <c r="A51941" s="56"/>
    </row>
    <row r="51942" spans="1:1">
      <c r="A51942" s="56"/>
    </row>
    <row r="51943" spans="1:1">
      <c r="A51943" s="56"/>
    </row>
    <row r="51944" spans="1:1">
      <c r="A51944" s="56"/>
    </row>
    <row r="51945" spans="1:1">
      <c r="A51945" s="56"/>
    </row>
    <row r="51946" spans="1:1">
      <c r="A51946" s="56"/>
    </row>
    <row r="51947" spans="1:1">
      <c r="A51947" s="56"/>
    </row>
    <row r="51948" spans="1:1">
      <c r="A51948" s="56"/>
    </row>
    <row r="51949" spans="1:1">
      <c r="A51949" s="56"/>
    </row>
    <row r="51950" spans="1:1">
      <c r="A51950" s="56"/>
    </row>
    <row r="51951" spans="1:1">
      <c r="A51951" s="56"/>
    </row>
    <row r="51952" spans="1:1">
      <c r="A51952" s="56"/>
    </row>
    <row r="51953" spans="1:1">
      <c r="A51953" s="56"/>
    </row>
    <row r="51954" spans="1:1">
      <c r="A51954" s="56"/>
    </row>
    <row r="51955" spans="1:1">
      <c r="A51955" s="56"/>
    </row>
    <row r="51956" spans="1:1">
      <c r="A51956" s="56"/>
    </row>
    <row r="51957" spans="1:1">
      <c r="A51957" s="56"/>
    </row>
    <row r="51958" spans="1:1">
      <c r="A51958" s="56"/>
    </row>
    <row r="51959" spans="1:1">
      <c r="A51959" s="56"/>
    </row>
    <row r="51960" spans="1:1">
      <c r="A51960" s="56"/>
    </row>
    <row r="51961" spans="1:1">
      <c r="A51961" s="56"/>
    </row>
    <row r="51962" spans="1:1">
      <c r="A51962" s="56"/>
    </row>
    <row r="51963" spans="1:1">
      <c r="A51963" s="56"/>
    </row>
    <row r="51964" spans="1:1">
      <c r="A51964" s="56"/>
    </row>
    <row r="51965" spans="1:1">
      <c r="A51965" s="56"/>
    </row>
    <row r="51966" spans="1:1">
      <c r="A51966" s="56"/>
    </row>
    <row r="51967" spans="1:1">
      <c r="A51967" s="56"/>
    </row>
    <row r="51968" spans="1:1">
      <c r="A51968" s="56"/>
    </row>
    <row r="51969" spans="1:1">
      <c r="A51969" s="56"/>
    </row>
    <row r="51970" spans="1:1">
      <c r="A51970" s="56"/>
    </row>
    <row r="51971" spans="1:1">
      <c r="A51971" s="56"/>
    </row>
    <row r="51972" spans="1:1">
      <c r="A51972" s="56"/>
    </row>
    <row r="51973" spans="1:1">
      <c r="A51973" s="56"/>
    </row>
    <row r="51974" spans="1:1">
      <c r="A51974" s="56"/>
    </row>
    <row r="51975" spans="1:1">
      <c r="A51975" s="56"/>
    </row>
    <row r="51976" spans="1:1">
      <c r="A51976" s="56"/>
    </row>
    <row r="51977" spans="1:1">
      <c r="A51977" s="56"/>
    </row>
    <row r="51978" spans="1:1">
      <c r="A51978" s="56"/>
    </row>
    <row r="51979" spans="1:1">
      <c r="A51979" s="56"/>
    </row>
    <row r="51980" spans="1:1">
      <c r="A51980" s="56"/>
    </row>
    <row r="51981" spans="1:1">
      <c r="A51981" s="56"/>
    </row>
    <row r="51982" spans="1:1">
      <c r="A51982" s="56"/>
    </row>
    <row r="51983" spans="1:1">
      <c r="A51983" s="56"/>
    </row>
    <row r="51984" spans="1:1">
      <c r="A51984" s="56"/>
    </row>
    <row r="51985" spans="1:1">
      <c r="A51985" s="56"/>
    </row>
    <row r="51986" spans="1:1">
      <c r="A51986" s="56"/>
    </row>
    <row r="51987" spans="1:1">
      <c r="A51987" s="56"/>
    </row>
    <row r="51988" spans="1:1">
      <c r="A51988" s="56"/>
    </row>
    <row r="51989" spans="1:1">
      <c r="A51989" s="56"/>
    </row>
    <row r="51990" spans="1:1">
      <c r="A51990" s="56"/>
    </row>
    <row r="51991" spans="1:1">
      <c r="A51991" s="56"/>
    </row>
    <row r="51992" spans="1:1">
      <c r="A51992" s="56"/>
    </row>
    <row r="51993" spans="1:1">
      <c r="A51993" s="56"/>
    </row>
    <row r="51994" spans="1:1">
      <c r="A51994" s="56"/>
    </row>
    <row r="51995" spans="1:1">
      <c r="A51995" s="56"/>
    </row>
    <row r="51996" spans="1:1">
      <c r="A51996" s="56"/>
    </row>
    <row r="51997" spans="1:1">
      <c r="A51997" s="56"/>
    </row>
    <row r="51998" spans="1:1">
      <c r="A51998" s="56"/>
    </row>
    <row r="51999" spans="1:1">
      <c r="A51999" s="56"/>
    </row>
    <row r="52000" spans="1:1">
      <c r="A52000" s="56"/>
    </row>
    <row r="52001" spans="1:1">
      <c r="A52001" s="56"/>
    </row>
    <row r="52002" spans="1:1">
      <c r="A52002" s="56"/>
    </row>
    <row r="52003" spans="1:1">
      <c r="A52003" s="56"/>
    </row>
    <row r="52004" spans="1:1">
      <c r="A52004" s="56"/>
    </row>
    <row r="52005" spans="1:1">
      <c r="A52005" s="56"/>
    </row>
    <row r="52006" spans="1:1">
      <c r="A52006" s="56"/>
    </row>
    <row r="52007" spans="1:1">
      <c r="A52007" s="56"/>
    </row>
    <row r="52008" spans="1:1">
      <c r="A52008" s="56"/>
    </row>
    <row r="52009" spans="1:1">
      <c r="A52009" s="56"/>
    </row>
    <row r="52010" spans="1:1">
      <c r="A52010" s="56"/>
    </row>
    <row r="52011" spans="1:1">
      <c r="A52011" s="56"/>
    </row>
    <row r="52012" spans="1:1">
      <c r="A52012" s="56"/>
    </row>
    <row r="52013" spans="1:1">
      <c r="A52013" s="56"/>
    </row>
    <row r="52014" spans="1:1">
      <c r="A52014" s="56"/>
    </row>
    <row r="52015" spans="1:1">
      <c r="A52015" s="56"/>
    </row>
    <row r="52016" spans="1:1">
      <c r="A52016" s="56"/>
    </row>
    <row r="52017" spans="1:1">
      <c r="A52017" s="56"/>
    </row>
    <row r="52018" spans="1:1">
      <c r="A52018" s="56"/>
    </row>
    <row r="52019" spans="1:1">
      <c r="A52019" s="56"/>
    </row>
    <row r="52020" spans="1:1">
      <c r="A52020" s="56"/>
    </row>
    <row r="52021" spans="1:1">
      <c r="A52021" s="56"/>
    </row>
    <row r="52022" spans="1:1">
      <c r="A52022" s="56"/>
    </row>
    <row r="52023" spans="1:1">
      <c r="A52023" s="56"/>
    </row>
    <row r="52024" spans="1:1">
      <c r="A52024" s="56"/>
    </row>
    <row r="52025" spans="1:1">
      <c r="A52025" s="56"/>
    </row>
    <row r="52026" spans="1:1">
      <c r="A52026" s="56"/>
    </row>
    <row r="52027" spans="1:1">
      <c r="A52027" s="56"/>
    </row>
    <row r="52028" spans="1:1">
      <c r="A52028" s="56"/>
    </row>
    <row r="52029" spans="1:1">
      <c r="A52029" s="56"/>
    </row>
    <row r="52030" spans="1:1">
      <c r="A52030" s="56"/>
    </row>
    <row r="52031" spans="1:1">
      <c r="A52031" s="56"/>
    </row>
    <row r="52032" spans="1:1">
      <c r="A52032" s="56"/>
    </row>
    <row r="52033" spans="1:1">
      <c r="A52033" s="56"/>
    </row>
    <row r="52034" spans="1:1">
      <c r="A52034" s="56"/>
    </row>
    <row r="52035" spans="1:1">
      <c r="A52035" s="56"/>
    </row>
    <row r="52036" spans="1:1">
      <c r="A52036" s="56"/>
    </row>
    <row r="52037" spans="1:1">
      <c r="A52037" s="56"/>
    </row>
    <row r="52038" spans="1:1">
      <c r="A52038" s="56"/>
    </row>
    <row r="52039" spans="1:1">
      <c r="A52039" s="56"/>
    </row>
    <row r="52040" spans="1:1">
      <c r="A52040" s="56"/>
    </row>
    <row r="52041" spans="1:1">
      <c r="A52041" s="56"/>
    </row>
    <row r="52042" spans="1:1">
      <c r="A52042" s="56"/>
    </row>
    <row r="52043" spans="1:1">
      <c r="A52043" s="56"/>
    </row>
    <row r="52044" spans="1:1">
      <c r="A52044" s="56"/>
    </row>
    <row r="52045" spans="1:1">
      <c r="A52045" s="56"/>
    </row>
    <row r="52046" spans="1:1">
      <c r="A52046" s="56"/>
    </row>
    <row r="52047" spans="1:1">
      <c r="A52047" s="56"/>
    </row>
    <row r="52048" spans="1:1">
      <c r="A52048" s="56"/>
    </row>
    <row r="52049" spans="1:1">
      <c r="A52049" s="56"/>
    </row>
    <row r="52050" spans="1:1">
      <c r="A52050" s="56"/>
    </row>
    <row r="52051" spans="1:1">
      <c r="A52051" s="56"/>
    </row>
    <row r="52052" spans="1:1">
      <c r="A52052" s="56"/>
    </row>
    <row r="52053" spans="1:1">
      <c r="A52053" s="56"/>
    </row>
    <row r="52054" spans="1:1">
      <c r="A52054" s="56"/>
    </row>
    <row r="52055" spans="1:1">
      <c r="A52055" s="56"/>
    </row>
    <row r="52056" spans="1:1">
      <c r="A52056" s="56"/>
    </row>
    <row r="52057" spans="1:1">
      <c r="A52057" s="56"/>
    </row>
    <row r="52058" spans="1:1">
      <c r="A52058" s="56"/>
    </row>
    <row r="52059" spans="1:1">
      <c r="A52059" s="56"/>
    </row>
    <row r="52060" spans="1:1">
      <c r="A52060" s="56"/>
    </row>
    <row r="52061" spans="1:1">
      <c r="A52061" s="56"/>
    </row>
    <row r="52062" spans="1:1">
      <c r="A52062" s="56"/>
    </row>
    <row r="52063" spans="1:1">
      <c r="A52063" s="56"/>
    </row>
    <row r="52064" spans="1:1">
      <c r="A52064" s="56"/>
    </row>
    <row r="52065" spans="1:1">
      <c r="A52065" s="56"/>
    </row>
    <row r="52066" spans="1:1">
      <c r="A52066" s="56"/>
    </row>
    <row r="52067" spans="1:1">
      <c r="A52067" s="56"/>
    </row>
    <row r="52068" spans="1:1">
      <c r="A52068" s="56"/>
    </row>
    <row r="52069" spans="1:1">
      <c r="A52069" s="56"/>
    </row>
    <row r="52070" spans="1:1">
      <c r="A52070" s="56"/>
    </row>
    <row r="52071" spans="1:1">
      <c r="A52071" s="56"/>
    </row>
    <row r="52072" spans="1:1">
      <c r="A52072" s="56"/>
    </row>
    <row r="52073" spans="1:1">
      <c r="A52073" s="56"/>
    </row>
    <row r="52074" spans="1:1">
      <c r="A52074" s="56"/>
    </row>
    <row r="52075" spans="1:1">
      <c r="A52075" s="56"/>
    </row>
    <row r="52076" spans="1:1">
      <c r="A52076" s="56"/>
    </row>
    <row r="52077" spans="1:1">
      <c r="A52077" s="56"/>
    </row>
    <row r="52078" spans="1:1">
      <c r="A52078" s="56"/>
    </row>
    <row r="52079" spans="1:1">
      <c r="A52079" s="56"/>
    </row>
    <row r="52080" spans="1:1">
      <c r="A52080" s="56"/>
    </row>
    <row r="52081" spans="1:1">
      <c r="A52081" s="56"/>
    </row>
    <row r="52082" spans="1:1">
      <c r="A52082" s="56"/>
    </row>
    <row r="52083" spans="1:1">
      <c r="A52083" s="56"/>
    </row>
    <row r="52084" spans="1:1">
      <c r="A52084" s="56"/>
    </row>
    <row r="52085" spans="1:1">
      <c r="A52085" s="56"/>
    </row>
    <row r="52086" spans="1:1">
      <c r="A52086" s="56"/>
    </row>
    <row r="52087" spans="1:1">
      <c r="A52087" s="56"/>
    </row>
    <row r="52088" spans="1:1">
      <c r="A52088" s="56"/>
    </row>
    <row r="52089" spans="1:1">
      <c r="A52089" s="56"/>
    </row>
    <row r="52090" spans="1:1">
      <c r="A52090" s="56"/>
    </row>
    <row r="52091" spans="1:1">
      <c r="A52091" s="56"/>
    </row>
    <row r="52092" spans="1:1">
      <c r="A52092" s="56"/>
    </row>
    <row r="52093" spans="1:1">
      <c r="A52093" s="56"/>
    </row>
    <row r="52094" spans="1:1">
      <c r="A52094" s="56"/>
    </row>
    <row r="52095" spans="1:1">
      <c r="A52095" s="56"/>
    </row>
    <row r="52096" spans="1:1">
      <c r="A52096" s="56"/>
    </row>
    <row r="52097" spans="1:1">
      <c r="A52097" s="56"/>
    </row>
    <row r="52098" spans="1:1">
      <c r="A52098" s="56"/>
    </row>
    <row r="52099" spans="1:1">
      <c r="A52099" s="56"/>
    </row>
    <row r="52100" spans="1:1">
      <c r="A52100" s="56"/>
    </row>
    <row r="52101" spans="1:1">
      <c r="A52101" s="56"/>
    </row>
    <row r="52102" spans="1:1">
      <c r="A52102" s="56"/>
    </row>
    <row r="52103" spans="1:1">
      <c r="A52103" s="56"/>
    </row>
    <row r="52104" spans="1:1">
      <c r="A52104" s="56"/>
    </row>
    <row r="52105" spans="1:1">
      <c r="A52105" s="56"/>
    </row>
    <row r="52106" spans="1:1">
      <c r="A52106" s="56"/>
    </row>
    <row r="52107" spans="1:1">
      <c r="A52107" s="56"/>
    </row>
    <row r="52108" spans="1:1">
      <c r="A52108" s="56"/>
    </row>
    <row r="52109" spans="1:1">
      <c r="A52109" s="56"/>
    </row>
    <row r="52110" spans="1:1">
      <c r="A52110" s="56"/>
    </row>
    <row r="52111" spans="1:1">
      <c r="A52111" s="56"/>
    </row>
    <row r="52112" spans="1:1">
      <c r="A52112" s="56"/>
    </row>
    <row r="52113" spans="1:1">
      <c r="A52113" s="56"/>
    </row>
    <row r="52114" spans="1:1">
      <c r="A52114" s="56"/>
    </row>
    <row r="52115" spans="1:1">
      <c r="A52115" s="56"/>
    </row>
    <row r="52116" spans="1:1">
      <c r="A52116" s="56"/>
    </row>
    <row r="52117" spans="1:1">
      <c r="A52117" s="56"/>
    </row>
    <row r="52118" spans="1:1">
      <c r="A52118" s="56"/>
    </row>
    <row r="52119" spans="1:1">
      <c r="A52119" s="56"/>
    </row>
    <row r="52120" spans="1:1">
      <c r="A52120" s="56"/>
    </row>
    <row r="52121" spans="1:1">
      <c r="A52121" s="56"/>
    </row>
    <row r="52122" spans="1:1">
      <c r="A52122" s="56"/>
    </row>
    <row r="52123" spans="1:1">
      <c r="A52123" s="56"/>
    </row>
    <row r="52124" spans="1:1">
      <c r="A52124" s="56"/>
    </row>
    <row r="52125" spans="1:1">
      <c r="A52125" s="56"/>
    </row>
    <row r="52126" spans="1:1">
      <c r="A52126" s="56"/>
    </row>
    <row r="52127" spans="1:1">
      <c r="A52127" s="56"/>
    </row>
    <row r="52128" spans="1:1">
      <c r="A52128" s="56"/>
    </row>
    <row r="52129" spans="1:1">
      <c r="A52129" s="56"/>
    </row>
    <row r="52130" spans="1:1">
      <c r="A52130" s="56"/>
    </row>
    <row r="52131" spans="1:1">
      <c r="A52131" s="56"/>
    </row>
    <row r="52132" spans="1:1">
      <c r="A52132" s="56"/>
    </row>
    <row r="52133" spans="1:1">
      <c r="A52133" s="56"/>
    </row>
    <row r="52134" spans="1:1">
      <c r="A52134" s="56"/>
    </row>
    <row r="52135" spans="1:1">
      <c r="A52135" s="56"/>
    </row>
    <row r="52136" spans="1:1">
      <c r="A52136" s="56"/>
    </row>
    <row r="52137" spans="1:1">
      <c r="A52137" s="56"/>
    </row>
    <row r="52138" spans="1:1">
      <c r="A52138" s="56"/>
    </row>
    <row r="52139" spans="1:1">
      <c r="A52139" s="56"/>
    </row>
    <row r="52140" spans="1:1">
      <c r="A52140" s="56"/>
    </row>
    <row r="52141" spans="1:1">
      <c r="A52141" s="56"/>
    </row>
    <row r="52142" spans="1:1">
      <c r="A52142" s="56"/>
    </row>
    <row r="52143" spans="1:1">
      <c r="A52143" s="56"/>
    </row>
    <row r="52144" spans="1:1">
      <c r="A52144" s="56"/>
    </row>
    <row r="52145" spans="1:1">
      <c r="A52145" s="56"/>
    </row>
    <row r="52146" spans="1:1">
      <c r="A52146" s="56"/>
    </row>
    <row r="52147" spans="1:1">
      <c r="A52147" s="56"/>
    </row>
    <row r="52148" spans="1:1">
      <c r="A52148" s="56"/>
    </row>
    <row r="52149" spans="1:1">
      <c r="A52149" s="56"/>
    </row>
    <row r="52150" spans="1:1">
      <c r="A52150" s="56"/>
    </row>
    <row r="52151" spans="1:1">
      <c r="A52151" s="56"/>
    </row>
    <row r="52152" spans="1:1">
      <c r="A52152" s="56"/>
    </row>
    <row r="52153" spans="1:1">
      <c r="A52153" s="56"/>
    </row>
    <row r="52154" spans="1:1">
      <c r="A52154" s="56"/>
    </row>
    <row r="52155" spans="1:1">
      <c r="A52155" s="56"/>
    </row>
    <row r="52156" spans="1:1">
      <c r="A52156" s="56"/>
    </row>
    <row r="52157" spans="1:1">
      <c r="A52157" s="56"/>
    </row>
    <row r="52158" spans="1:1">
      <c r="A52158" s="56"/>
    </row>
    <row r="52159" spans="1:1">
      <c r="A52159" s="56"/>
    </row>
    <row r="52160" spans="1:1">
      <c r="A52160" s="56"/>
    </row>
    <row r="52161" spans="1:1">
      <c r="A52161" s="56"/>
    </row>
    <row r="52162" spans="1:1">
      <c r="A52162" s="56"/>
    </row>
    <row r="52163" spans="1:1">
      <c r="A52163" s="56"/>
    </row>
    <row r="52164" spans="1:1">
      <c r="A52164" s="56"/>
    </row>
    <row r="52165" spans="1:1">
      <c r="A52165" s="56"/>
    </row>
    <row r="52166" spans="1:1">
      <c r="A52166" s="56"/>
    </row>
    <row r="52167" spans="1:1">
      <c r="A52167" s="56"/>
    </row>
    <row r="52168" spans="1:1">
      <c r="A52168" s="56"/>
    </row>
    <row r="52169" spans="1:1">
      <c r="A52169" s="56"/>
    </row>
    <row r="52170" spans="1:1">
      <c r="A52170" s="56"/>
    </row>
    <row r="52171" spans="1:1">
      <c r="A52171" s="56"/>
    </row>
    <row r="52172" spans="1:1">
      <c r="A52172" s="56"/>
    </row>
    <row r="52173" spans="1:1">
      <c r="A52173" s="56"/>
    </row>
    <row r="52174" spans="1:1">
      <c r="A52174" s="56"/>
    </row>
    <row r="52175" spans="1:1">
      <c r="A52175" s="56"/>
    </row>
    <row r="52176" spans="1:1">
      <c r="A52176" s="56"/>
    </row>
    <row r="52177" spans="1:1">
      <c r="A52177" s="56"/>
    </row>
    <row r="52178" spans="1:1">
      <c r="A52178" s="56"/>
    </row>
    <row r="52179" spans="1:1">
      <c r="A52179" s="56"/>
    </row>
    <row r="52180" spans="1:1">
      <c r="A52180" s="56"/>
    </row>
    <row r="52181" spans="1:1">
      <c r="A52181" s="56"/>
    </row>
    <row r="52182" spans="1:1">
      <c r="A52182" s="56"/>
    </row>
    <row r="52183" spans="1:1">
      <c r="A52183" s="56"/>
    </row>
    <row r="52184" spans="1:1">
      <c r="A52184" s="56"/>
    </row>
    <row r="52185" spans="1:1">
      <c r="A52185" s="56"/>
    </row>
    <row r="52186" spans="1:1">
      <c r="A52186" s="56"/>
    </row>
    <row r="52187" spans="1:1">
      <c r="A52187" s="56"/>
    </row>
    <row r="52188" spans="1:1">
      <c r="A52188" s="56"/>
    </row>
    <row r="52189" spans="1:1">
      <c r="A52189" s="56"/>
    </row>
    <row r="52190" spans="1:1">
      <c r="A52190" s="56"/>
    </row>
    <row r="52191" spans="1:1">
      <c r="A52191" s="56"/>
    </row>
    <row r="52192" spans="1:1">
      <c r="A52192" s="56"/>
    </row>
    <row r="52193" spans="1:1">
      <c r="A52193" s="56"/>
    </row>
    <row r="52194" spans="1:1">
      <c r="A52194" s="56"/>
    </row>
    <row r="52195" spans="1:1">
      <c r="A52195" s="56"/>
    </row>
    <row r="52196" spans="1:1">
      <c r="A52196" s="56"/>
    </row>
    <row r="52197" spans="1:1">
      <c r="A52197" s="56"/>
    </row>
    <row r="52198" spans="1:1">
      <c r="A52198" s="56"/>
    </row>
    <row r="52199" spans="1:1">
      <c r="A52199" s="56"/>
    </row>
    <row r="52200" spans="1:1">
      <c r="A52200" s="56"/>
    </row>
    <row r="52201" spans="1:1">
      <c r="A52201" s="56"/>
    </row>
    <row r="52202" spans="1:1">
      <c r="A52202" s="56"/>
    </row>
    <row r="52203" spans="1:1">
      <c r="A52203" s="56"/>
    </row>
    <row r="52204" spans="1:1">
      <c r="A52204" s="56"/>
    </row>
    <row r="52205" spans="1:1">
      <c r="A52205" s="56"/>
    </row>
    <row r="52206" spans="1:1">
      <c r="A52206" s="56"/>
    </row>
    <row r="52207" spans="1:1">
      <c r="A52207" s="56"/>
    </row>
    <row r="52208" spans="1:1">
      <c r="A52208" s="56"/>
    </row>
    <row r="52209" spans="1:1">
      <c r="A52209" s="56"/>
    </row>
    <row r="52210" spans="1:1">
      <c r="A52210" s="56"/>
    </row>
    <row r="52211" spans="1:1">
      <c r="A52211" s="56"/>
    </row>
    <row r="52212" spans="1:1">
      <c r="A52212" s="56"/>
    </row>
    <row r="52213" spans="1:1">
      <c r="A52213" s="56"/>
    </row>
    <row r="52214" spans="1:1">
      <c r="A52214" s="56"/>
    </row>
    <row r="52215" spans="1:1">
      <c r="A52215" s="56"/>
    </row>
    <row r="52216" spans="1:1">
      <c r="A52216" s="56"/>
    </row>
    <row r="52217" spans="1:1">
      <c r="A52217" s="56"/>
    </row>
    <row r="52218" spans="1:1">
      <c r="A52218" s="56"/>
    </row>
    <row r="52219" spans="1:1">
      <c r="A52219" s="56"/>
    </row>
    <row r="52220" spans="1:1">
      <c r="A52220" s="56"/>
    </row>
    <row r="52221" spans="1:1">
      <c r="A52221" s="56"/>
    </row>
    <row r="52222" spans="1:1">
      <c r="A52222" s="56"/>
    </row>
    <row r="52223" spans="1:1">
      <c r="A52223" s="56"/>
    </row>
    <row r="52224" spans="1:1">
      <c r="A52224" s="56"/>
    </row>
    <row r="52225" spans="1:1">
      <c r="A52225" s="56"/>
    </row>
    <row r="52226" spans="1:1">
      <c r="A52226" s="56"/>
    </row>
    <row r="52227" spans="1:1">
      <c r="A52227" s="56"/>
    </row>
    <row r="52228" spans="1:1">
      <c r="A52228" s="56"/>
    </row>
    <row r="52229" spans="1:1">
      <c r="A52229" s="56"/>
    </row>
    <row r="52230" spans="1:1">
      <c r="A52230" s="56"/>
    </row>
    <row r="52231" spans="1:1">
      <c r="A52231" s="56"/>
    </row>
    <row r="52232" spans="1:1">
      <c r="A52232" s="56"/>
    </row>
    <row r="52233" spans="1:1">
      <c r="A52233" s="56"/>
    </row>
    <row r="52234" spans="1:1">
      <c r="A52234" s="56"/>
    </row>
    <row r="52235" spans="1:1">
      <c r="A52235" s="56"/>
    </row>
    <row r="52236" spans="1:1">
      <c r="A52236" s="56"/>
    </row>
    <row r="52237" spans="1:1">
      <c r="A52237" s="56"/>
    </row>
    <row r="52238" spans="1:1">
      <c r="A52238" s="56"/>
    </row>
    <row r="52239" spans="1:1">
      <c r="A52239" s="56"/>
    </row>
    <row r="52240" spans="1:1">
      <c r="A52240" s="56"/>
    </row>
    <row r="52241" spans="1:1">
      <c r="A52241" s="56"/>
    </row>
    <row r="52242" spans="1:1">
      <c r="A52242" s="56"/>
    </row>
    <row r="52243" spans="1:1">
      <c r="A52243" s="56"/>
    </row>
    <row r="52244" spans="1:1">
      <c r="A52244" s="56"/>
    </row>
    <row r="52245" spans="1:1">
      <c r="A52245" s="56"/>
    </row>
    <row r="52246" spans="1:1">
      <c r="A52246" s="56"/>
    </row>
    <row r="52247" spans="1:1">
      <c r="A52247" s="56"/>
    </row>
    <row r="52248" spans="1:1">
      <c r="A52248" s="56"/>
    </row>
    <row r="52249" spans="1:1">
      <c r="A52249" s="56"/>
    </row>
    <row r="52250" spans="1:1">
      <c r="A52250" s="56"/>
    </row>
    <row r="52251" spans="1:1">
      <c r="A52251" s="56"/>
    </row>
    <row r="52252" spans="1:1">
      <c r="A52252" s="56"/>
    </row>
    <row r="52253" spans="1:1">
      <c r="A52253" s="56"/>
    </row>
    <row r="52254" spans="1:1">
      <c r="A52254" s="56"/>
    </row>
    <row r="52255" spans="1:1">
      <c r="A52255" s="56"/>
    </row>
    <row r="52256" spans="1:1">
      <c r="A52256" s="56"/>
    </row>
    <row r="52257" spans="1:1">
      <c r="A52257" s="56"/>
    </row>
    <row r="52258" spans="1:1">
      <c r="A52258" s="56"/>
    </row>
    <row r="52259" spans="1:1">
      <c r="A52259" s="56"/>
    </row>
    <row r="52260" spans="1:1">
      <c r="A52260" s="56"/>
    </row>
    <row r="52261" spans="1:1">
      <c r="A52261" s="56"/>
    </row>
    <row r="52262" spans="1:1">
      <c r="A52262" s="56"/>
    </row>
    <row r="52263" spans="1:1">
      <c r="A52263" s="56"/>
    </row>
    <row r="52264" spans="1:1">
      <c r="A52264" s="56"/>
    </row>
    <row r="52265" spans="1:1">
      <c r="A52265" s="56"/>
    </row>
    <row r="52266" spans="1:1">
      <c r="A52266" s="56"/>
    </row>
    <row r="52267" spans="1:1">
      <c r="A52267" s="56"/>
    </row>
    <row r="52268" spans="1:1">
      <c r="A52268" s="56"/>
    </row>
    <row r="52269" spans="1:1">
      <c r="A52269" s="56"/>
    </row>
    <row r="52270" spans="1:1">
      <c r="A52270" s="56"/>
    </row>
    <row r="52271" spans="1:1">
      <c r="A52271" s="56"/>
    </row>
    <row r="52272" spans="1:1">
      <c r="A52272" s="56"/>
    </row>
    <row r="52273" spans="1:1">
      <c r="A52273" s="56"/>
    </row>
    <row r="52274" spans="1:1">
      <c r="A52274" s="56"/>
    </row>
    <row r="52275" spans="1:1">
      <c r="A52275" s="56"/>
    </row>
    <row r="52276" spans="1:1">
      <c r="A52276" s="56"/>
    </row>
    <row r="52277" spans="1:1">
      <c r="A52277" s="56"/>
    </row>
    <row r="52278" spans="1:1">
      <c r="A52278" s="56"/>
    </row>
    <row r="52279" spans="1:1">
      <c r="A52279" s="56"/>
    </row>
    <row r="52280" spans="1:1">
      <c r="A52280" s="56"/>
    </row>
    <row r="52281" spans="1:1">
      <c r="A52281" s="56"/>
    </row>
    <row r="52282" spans="1:1">
      <c r="A52282" s="56"/>
    </row>
    <row r="52283" spans="1:1">
      <c r="A52283" s="56"/>
    </row>
    <row r="52284" spans="1:1">
      <c r="A52284" s="56"/>
    </row>
    <row r="52285" spans="1:1">
      <c r="A52285" s="56"/>
    </row>
    <row r="52286" spans="1:1">
      <c r="A52286" s="56"/>
    </row>
    <row r="52287" spans="1:1">
      <c r="A52287" s="56"/>
    </row>
    <row r="52288" spans="1:1">
      <c r="A52288" s="56"/>
    </row>
    <row r="52289" spans="1:1">
      <c r="A52289" s="56"/>
    </row>
    <row r="52290" spans="1:1">
      <c r="A52290" s="56"/>
    </row>
    <row r="52291" spans="1:1">
      <c r="A52291" s="56"/>
    </row>
    <row r="52292" spans="1:1">
      <c r="A52292" s="56"/>
    </row>
    <row r="52293" spans="1:1">
      <c r="A52293" s="56"/>
    </row>
    <row r="52294" spans="1:1">
      <c r="A52294" s="56"/>
    </row>
    <row r="52295" spans="1:1">
      <c r="A52295" s="56"/>
    </row>
    <row r="52296" spans="1:1">
      <c r="A52296" s="56"/>
    </row>
    <row r="52297" spans="1:1">
      <c r="A52297" s="56"/>
    </row>
    <row r="52298" spans="1:1">
      <c r="A52298" s="56"/>
    </row>
    <row r="52299" spans="1:1">
      <c r="A52299" s="56"/>
    </row>
    <row r="52300" spans="1:1">
      <c r="A52300" s="56"/>
    </row>
    <row r="52301" spans="1:1">
      <c r="A52301" s="56"/>
    </row>
    <row r="52302" spans="1:1">
      <c r="A52302" s="56"/>
    </row>
    <row r="52303" spans="1:1">
      <c r="A52303" s="56"/>
    </row>
    <row r="52304" spans="1:1">
      <c r="A52304" s="56"/>
    </row>
    <row r="52305" spans="1:1">
      <c r="A52305" s="56"/>
    </row>
    <row r="52306" spans="1:1">
      <c r="A52306" s="56"/>
    </row>
    <row r="52307" spans="1:1">
      <c r="A52307" s="56"/>
    </row>
    <row r="52308" spans="1:1">
      <c r="A52308" s="56"/>
    </row>
    <row r="52309" spans="1:1">
      <c r="A52309" s="56"/>
    </row>
    <row r="52310" spans="1:1">
      <c r="A52310" s="56"/>
    </row>
    <row r="52311" spans="1:1">
      <c r="A52311" s="56"/>
    </row>
    <row r="52312" spans="1:1">
      <c r="A52312" s="56"/>
    </row>
    <row r="52313" spans="1:1">
      <c r="A52313" s="56"/>
    </row>
    <row r="52314" spans="1:1">
      <c r="A52314" s="56"/>
    </row>
    <row r="52315" spans="1:1">
      <c r="A52315" s="56"/>
    </row>
    <row r="52316" spans="1:1">
      <c r="A52316" s="56"/>
    </row>
    <row r="52317" spans="1:1">
      <c r="A52317" s="56"/>
    </row>
    <row r="52318" spans="1:1">
      <c r="A52318" s="56"/>
    </row>
    <row r="52319" spans="1:1">
      <c r="A52319" s="56"/>
    </row>
    <row r="52320" spans="1:1">
      <c r="A52320" s="56"/>
    </row>
    <row r="52321" spans="1:1">
      <c r="A52321" s="56"/>
    </row>
    <row r="52322" spans="1:1">
      <c r="A52322" s="56"/>
    </row>
    <row r="52323" spans="1:1">
      <c r="A52323" s="56"/>
    </row>
    <row r="52324" spans="1:1">
      <c r="A52324" s="56"/>
    </row>
    <row r="52325" spans="1:1">
      <c r="A52325" s="56"/>
    </row>
    <row r="52326" spans="1:1">
      <c r="A52326" s="56"/>
    </row>
    <row r="52327" spans="1:1">
      <c r="A52327" s="56"/>
    </row>
    <row r="52328" spans="1:1">
      <c r="A52328" s="56"/>
    </row>
    <row r="52329" spans="1:1">
      <c r="A52329" s="56"/>
    </row>
    <row r="52330" spans="1:1">
      <c r="A52330" s="56"/>
    </row>
    <row r="52331" spans="1:1">
      <c r="A52331" s="56"/>
    </row>
    <row r="52332" spans="1:1">
      <c r="A52332" s="56"/>
    </row>
    <row r="52333" spans="1:1">
      <c r="A52333" s="56"/>
    </row>
    <row r="52334" spans="1:1">
      <c r="A52334" s="56"/>
    </row>
    <row r="52335" spans="1:1">
      <c r="A52335" s="56"/>
    </row>
    <row r="52336" spans="1:1">
      <c r="A52336" s="56"/>
    </row>
    <row r="52337" spans="1:1">
      <c r="A52337" s="56"/>
    </row>
    <row r="52338" spans="1:1">
      <c r="A52338" s="56"/>
    </row>
    <row r="52339" spans="1:1">
      <c r="A52339" s="56"/>
    </row>
    <row r="52340" spans="1:1">
      <c r="A52340" s="56"/>
    </row>
    <row r="52341" spans="1:1">
      <c r="A52341" s="56"/>
    </row>
    <row r="52342" spans="1:1">
      <c r="A52342" s="56"/>
    </row>
    <row r="52343" spans="1:1">
      <c r="A52343" s="56"/>
    </row>
    <row r="52344" spans="1:1">
      <c r="A52344" s="56"/>
    </row>
    <row r="52345" spans="1:1">
      <c r="A52345" s="56"/>
    </row>
    <row r="52346" spans="1:1">
      <c r="A52346" s="56"/>
    </row>
    <row r="52347" spans="1:1">
      <c r="A52347" s="56"/>
    </row>
    <row r="52348" spans="1:1">
      <c r="A52348" s="56"/>
    </row>
    <row r="52349" spans="1:1">
      <c r="A52349" s="56"/>
    </row>
    <row r="52350" spans="1:1">
      <c r="A52350" s="56"/>
    </row>
    <row r="52351" spans="1:1">
      <c r="A52351" s="56"/>
    </row>
    <row r="52352" spans="1:1">
      <c r="A52352" s="56"/>
    </row>
    <row r="52353" spans="1:1">
      <c r="A52353" s="56"/>
    </row>
    <row r="52354" spans="1:1">
      <c r="A52354" s="56"/>
    </row>
    <row r="52355" spans="1:1">
      <c r="A52355" s="56"/>
    </row>
    <row r="52356" spans="1:1">
      <c r="A52356" s="56"/>
    </row>
    <row r="52357" spans="1:1">
      <c r="A52357" s="56"/>
    </row>
    <row r="52358" spans="1:1">
      <c r="A52358" s="56"/>
    </row>
    <row r="52359" spans="1:1">
      <c r="A52359" s="56"/>
    </row>
    <row r="52360" spans="1:1">
      <c r="A52360" s="56"/>
    </row>
    <row r="52361" spans="1:1">
      <c r="A52361" s="56"/>
    </row>
    <row r="52362" spans="1:1">
      <c r="A52362" s="56"/>
    </row>
    <row r="52363" spans="1:1">
      <c r="A52363" s="56"/>
    </row>
    <row r="52364" spans="1:1">
      <c r="A52364" s="56"/>
    </row>
    <row r="52365" spans="1:1">
      <c r="A52365" s="56"/>
    </row>
    <row r="52366" spans="1:1">
      <c r="A52366" s="56"/>
    </row>
    <row r="52367" spans="1:1">
      <c r="A52367" s="56"/>
    </row>
    <row r="52368" spans="1:1">
      <c r="A52368" s="56"/>
    </row>
    <row r="52369" spans="1:1">
      <c r="A52369" s="56"/>
    </row>
    <row r="52370" spans="1:1">
      <c r="A52370" s="56"/>
    </row>
    <row r="52371" spans="1:1">
      <c r="A52371" s="56"/>
    </row>
    <row r="52372" spans="1:1">
      <c r="A52372" s="56"/>
    </row>
    <row r="52373" spans="1:1">
      <c r="A52373" s="56"/>
    </row>
    <row r="52374" spans="1:1">
      <c r="A52374" s="56"/>
    </row>
    <row r="52375" spans="1:1">
      <c r="A52375" s="56"/>
    </row>
    <row r="52376" spans="1:1">
      <c r="A52376" s="56"/>
    </row>
    <row r="52377" spans="1:1">
      <c r="A52377" s="56"/>
    </row>
    <row r="52378" spans="1:1">
      <c r="A52378" s="56"/>
    </row>
    <row r="52379" spans="1:1">
      <c r="A52379" s="56"/>
    </row>
    <row r="52380" spans="1:1">
      <c r="A52380" s="56"/>
    </row>
    <row r="52381" spans="1:1">
      <c r="A52381" s="56"/>
    </row>
    <row r="52382" spans="1:1">
      <c r="A52382" s="56"/>
    </row>
    <row r="52383" spans="1:1">
      <c r="A52383" s="56"/>
    </row>
    <row r="52384" spans="1:1">
      <c r="A52384" s="56"/>
    </row>
    <row r="52385" spans="1:1">
      <c r="A52385" s="56"/>
    </row>
    <row r="52386" spans="1:1">
      <c r="A52386" s="56"/>
    </row>
    <row r="52387" spans="1:1">
      <c r="A52387" s="56"/>
    </row>
    <row r="52388" spans="1:1">
      <c r="A52388" s="56"/>
    </row>
    <row r="52389" spans="1:1">
      <c r="A52389" s="56"/>
    </row>
    <row r="52390" spans="1:1">
      <c r="A52390" s="56"/>
    </row>
    <row r="52391" spans="1:1">
      <c r="A52391" s="56"/>
    </row>
    <row r="52392" spans="1:1">
      <c r="A52392" s="56"/>
    </row>
    <row r="52393" spans="1:1">
      <c r="A52393" s="56"/>
    </row>
    <row r="52394" spans="1:1">
      <c r="A52394" s="56"/>
    </row>
    <row r="52395" spans="1:1">
      <c r="A52395" s="56"/>
    </row>
    <row r="52396" spans="1:1">
      <c r="A52396" s="56"/>
    </row>
    <row r="52397" spans="1:1">
      <c r="A52397" s="56"/>
    </row>
    <row r="52398" spans="1:1">
      <c r="A52398" s="56"/>
    </row>
    <row r="52399" spans="1:1">
      <c r="A52399" s="56"/>
    </row>
    <row r="52400" spans="1:1">
      <c r="A52400" s="56"/>
    </row>
    <row r="52401" spans="1:1">
      <c r="A52401" s="56"/>
    </row>
    <row r="52402" spans="1:1">
      <c r="A52402" s="56"/>
    </row>
    <row r="52403" spans="1:1">
      <c r="A52403" s="56"/>
    </row>
    <row r="52404" spans="1:1">
      <c r="A52404" s="56"/>
    </row>
    <row r="52405" spans="1:1">
      <c r="A52405" s="56"/>
    </row>
    <row r="52406" spans="1:1">
      <c r="A52406" s="56"/>
    </row>
    <row r="52407" spans="1:1">
      <c r="A52407" s="56"/>
    </row>
    <row r="52408" spans="1:1">
      <c r="A52408" s="56"/>
    </row>
    <row r="52409" spans="1:1">
      <c r="A52409" s="56"/>
    </row>
    <row r="52410" spans="1:1">
      <c r="A52410" s="56"/>
    </row>
    <row r="52411" spans="1:1">
      <c r="A52411" s="56"/>
    </row>
    <row r="52412" spans="1:1">
      <c r="A52412" s="56"/>
    </row>
    <row r="52413" spans="1:1">
      <c r="A52413" s="56"/>
    </row>
    <row r="52414" spans="1:1">
      <c r="A52414" s="56"/>
    </row>
    <row r="52415" spans="1:1">
      <c r="A52415" s="56"/>
    </row>
    <row r="52416" spans="1:1">
      <c r="A52416" s="56"/>
    </row>
    <row r="52417" spans="1:1">
      <c r="A52417" s="56"/>
    </row>
    <row r="52418" spans="1:1">
      <c r="A52418" s="56"/>
    </row>
    <row r="52419" spans="1:1">
      <c r="A52419" s="56"/>
    </row>
    <row r="52420" spans="1:1">
      <c r="A52420" s="56"/>
    </row>
    <row r="52421" spans="1:1">
      <c r="A52421" s="56"/>
    </row>
    <row r="52422" spans="1:1">
      <c r="A52422" s="56"/>
    </row>
    <row r="52423" spans="1:1">
      <c r="A52423" s="56"/>
    </row>
    <row r="52424" spans="1:1">
      <c r="A52424" s="56"/>
    </row>
    <row r="52425" spans="1:1">
      <c r="A52425" s="56"/>
    </row>
    <row r="52426" spans="1:1">
      <c r="A52426" s="56"/>
    </row>
    <row r="52427" spans="1:1">
      <c r="A52427" s="56"/>
    </row>
    <row r="52428" spans="1:1">
      <c r="A52428" s="56"/>
    </row>
    <row r="52429" spans="1:1">
      <c r="A52429" s="56"/>
    </row>
    <row r="52430" spans="1:1">
      <c r="A52430" s="56"/>
    </row>
    <row r="52431" spans="1:1">
      <c r="A52431" s="56"/>
    </row>
    <row r="52432" spans="1:1">
      <c r="A52432" s="56"/>
    </row>
    <row r="52433" spans="1:1">
      <c r="A52433" s="56"/>
    </row>
    <row r="52434" spans="1:1">
      <c r="A52434" s="56"/>
    </row>
    <row r="52435" spans="1:1">
      <c r="A52435" s="56"/>
    </row>
    <row r="52436" spans="1:1">
      <c r="A52436" s="56"/>
    </row>
    <row r="52437" spans="1:1">
      <c r="A52437" s="56"/>
    </row>
    <row r="52438" spans="1:1">
      <c r="A52438" s="56"/>
    </row>
    <row r="52439" spans="1:1">
      <c r="A52439" s="56"/>
    </row>
    <row r="52440" spans="1:1">
      <c r="A52440" s="56"/>
    </row>
    <row r="52441" spans="1:1">
      <c r="A52441" s="56"/>
    </row>
    <row r="52442" spans="1:1">
      <c r="A52442" s="56"/>
    </row>
    <row r="52443" spans="1:1">
      <c r="A52443" s="56"/>
    </row>
    <row r="52444" spans="1:1">
      <c r="A52444" s="56"/>
    </row>
    <row r="52445" spans="1:1">
      <c r="A52445" s="56"/>
    </row>
    <row r="52446" spans="1:1">
      <c r="A52446" s="56"/>
    </row>
    <row r="52447" spans="1:1">
      <c r="A52447" s="56"/>
    </row>
    <row r="52448" spans="1:1">
      <c r="A52448" s="56"/>
    </row>
    <row r="52449" spans="1:1">
      <c r="A52449" s="56"/>
    </row>
    <row r="52450" spans="1:1">
      <c r="A52450" s="56"/>
    </row>
    <row r="52451" spans="1:1">
      <c r="A52451" s="56"/>
    </row>
    <row r="52452" spans="1:1">
      <c r="A52452" s="56"/>
    </row>
    <row r="52453" spans="1:1">
      <c r="A52453" s="56"/>
    </row>
    <row r="52454" spans="1:1">
      <c r="A52454" s="56"/>
    </row>
    <row r="52455" spans="1:1">
      <c r="A52455" s="56"/>
    </row>
    <row r="52456" spans="1:1">
      <c r="A52456" s="56"/>
    </row>
    <row r="52457" spans="1:1">
      <c r="A52457" s="56"/>
    </row>
    <row r="52458" spans="1:1">
      <c r="A52458" s="56"/>
    </row>
    <row r="52459" spans="1:1">
      <c r="A52459" s="56"/>
    </row>
    <row r="52460" spans="1:1">
      <c r="A52460" s="56"/>
    </row>
    <row r="52461" spans="1:1">
      <c r="A52461" s="56"/>
    </row>
    <row r="52462" spans="1:1">
      <c r="A52462" s="56"/>
    </row>
    <row r="52463" spans="1:1">
      <c r="A52463" s="56"/>
    </row>
    <row r="52464" spans="1:1">
      <c r="A52464" s="56"/>
    </row>
    <row r="52465" spans="1:1">
      <c r="A52465" s="56"/>
    </row>
    <row r="52466" spans="1:1">
      <c r="A52466" s="56"/>
    </row>
    <row r="52467" spans="1:1">
      <c r="A52467" s="56"/>
    </row>
    <row r="52468" spans="1:1">
      <c r="A52468" s="56"/>
    </row>
    <row r="52469" spans="1:1">
      <c r="A52469" s="56"/>
    </row>
    <row r="52470" spans="1:1">
      <c r="A52470" s="56"/>
    </row>
    <row r="52471" spans="1:1">
      <c r="A52471" s="56"/>
    </row>
    <row r="52472" spans="1:1">
      <c r="A52472" s="56"/>
    </row>
    <row r="52473" spans="1:1">
      <c r="A52473" s="56"/>
    </row>
    <row r="52474" spans="1:1">
      <c r="A52474" s="56"/>
    </row>
    <row r="52475" spans="1:1">
      <c r="A52475" s="56"/>
    </row>
    <row r="52476" spans="1:1">
      <c r="A52476" s="56"/>
    </row>
    <row r="52477" spans="1:1">
      <c r="A52477" s="56"/>
    </row>
    <row r="52478" spans="1:1">
      <c r="A52478" s="56"/>
    </row>
    <row r="52479" spans="1:1">
      <c r="A52479" s="56"/>
    </row>
    <row r="52480" spans="1:1">
      <c r="A52480" s="56"/>
    </row>
    <row r="52481" spans="1:1">
      <c r="A52481" s="56"/>
    </row>
    <row r="52482" spans="1:1">
      <c r="A52482" s="56"/>
    </row>
    <row r="52483" spans="1:1">
      <c r="A52483" s="56"/>
    </row>
    <row r="52484" spans="1:1">
      <c r="A52484" s="56"/>
    </row>
    <row r="52485" spans="1:1">
      <c r="A52485" s="56"/>
    </row>
    <row r="52486" spans="1:1">
      <c r="A52486" s="56"/>
    </row>
    <row r="52487" spans="1:1">
      <c r="A52487" s="56"/>
    </row>
    <row r="52488" spans="1:1">
      <c r="A52488" s="56"/>
    </row>
    <row r="52489" spans="1:1">
      <c r="A52489" s="56"/>
    </row>
    <row r="52490" spans="1:1">
      <c r="A52490" s="56"/>
    </row>
    <row r="52491" spans="1:1">
      <c r="A52491" s="56"/>
    </row>
    <row r="52492" spans="1:1">
      <c r="A52492" s="56"/>
    </row>
    <row r="52493" spans="1:1">
      <c r="A52493" s="56"/>
    </row>
    <row r="52494" spans="1:1">
      <c r="A52494" s="56"/>
    </row>
    <row r="52495" spans="1:1">
      <c r="A52495" s="56"/>
    </row>
    <row r="52496" spans="1:1">
      <c r="A52496" s="56"/>
    </row>
    <row r="52497" spans="1:1">
      <c r="A52497" s="56"/>
    </row>
    <row r="52498" spans="1:1">
      <c r="A52498" s="56"/>
    </row>
    <row r="52499" spans="1:1">
      <c r="A52499" s="56"/>
    </row>
    <row r="52500" spans="1:1">
      <c r="A52500" s="56"/>
    </row>
    <row r="52501" spans="1:1">
      <c r="A52501" s="56"/>
    </row>
    <row r="52502" spans="1:1">
      <c r="A52502" s="56"/>
    </row>
    <row r="52503" spans="1:1">
      <c r="A52503" s="56"/>
    </row>
    <row r="52504" spans="1:1">
      <c r="A52504" s="56"/>
    </row>
    <row r="52505" spans="1:1">
      <c r="A52505" s="56"/>
    </row>
    <row r="52506" spans="1:1">
      <c r="A52506" s="56"/>
    </row>
    <row r="52507" spans="1:1">
      <c r="A52507" s="56"/>
    </row>
    <row r="52508" spans="1:1">
      <c r="A52508" s="56"/>
    </row>
    <row r="52509" spans="1:1">
      <c r="A52509" s="56"/>
    </row>
    <row r="52510" spans="1:1">
      <c r="A52510" s="56"/>
    </row>
    <row r="52511" spans="1:1">
      <c r="A52511" s="56"/>
    </row>
    <row r="52512" spans="1:1">
      <c r="A52512" s="56"/>
    </row>
    <row r="52513" spans="1:1">
      <c r="A52513" s="56"/>
    </row>
    <row r="52514" spans="1:1">
      <c r="A52514" s="56"/>
    </row>
    <row r="52515" spans="1:1">
      <c r="A52515" s="56"/>
    </row>
    <row r="52516" spans="1:1">
      <c r="A52516" s="56"/>
    </row>
    <row r="52517" spans="1:1">
      <c r="A52517" s="56"/>
    </row>
    <row r="52518" spans="1:1">
      <c r="A52518" s="56"/>
    </row>
    <row r="52519" spans="1:1">
      <c r="A52519" s="56"/>
    </row>
    <row r="52520" spans="1:1">
      <c r="A52520" s="56"/>
    </row>
    <row r="52521" spans="1:1">
      <c r="A52521" s="56"/>
    </row>
    <row r="52522" spans="1:1">
      <c r="A52522" s="56"/>
    </row>
    <row r="52523" spans="1:1">
      <c r="A52523" s="56"/>
    </row>
    <row r="52524" spans="1:1">
      <c r="A52524" s="56"/>
    </row>
    <row r="52525" spans="1:1">
      <c r="A52525" s="56"/>
    </row>
    <row r="52526" spans="1:1">
      <c r="A52526" s="56"/>
    </row>
    <row r="52527" spans="1:1">
      <c r="A52527" s="56"/>
    </row>
    <row r="52528" spans="1:1">
      <c r="A52528" s="56"/>
    </row>
    <row r="52529" spans="1:1">
      <c r="A52529" s="56"/>
    </row>
    <row r="52530" spans="1:1">
      <c r="A52530" s="56"/>
    </row>
    <row r="52531" spans="1:1">
      <c r="A52531" s="56"/>
    </row>
    <row r="52532" spans="1:1">
      <c r="A52532" s="56"/>
    </row>
    <row r="52533" spans="1:1">
      <c r="A52533" s="56"/>
    </row>
    <row r="52534" spans="1:1">
      <c r="A52534" s="56"/>
    </row>
    <row r="52535" spans="1:1">
      <c r="A52535" s="56"/>
    </row>
    <row r="52536" spans="1:1">
      <c r="A52536" s="56"/>
    </row>
    <row r="52537" spans="1:1">
      <c r="A52537" s="56"/>
    </row>
    <row r="52538" spans="1:1">
      <c r="A52538" s="56"/>
    </row>
    <row r="52539" spans="1:1">
      <c r="A52539" s="56"/>
    </row>
    <row r="52540" spans="1:1">
      <c r="A52540" s="56"/>
    </row>
    <row r="52541" spans="1:1">
      <c r="A52541" s="56"/>
    </row>
    <row r="52542" spans="1:1">
      <c r="A52542" s="56"/>
    </row>
    <row r="52543" spans="1:1">
      <c r="A52543" s="56"/>
    </row>
    <row r="52544" spans="1:1">
      <c r="A52544" s="56"/>
    </row>
    <row r="52545" spans="1:1">
      <c r="A52545" s="56"/>
    </row>
    <row r="52546" spans="1:1">
      <c r="A52546" s="56"/>
    </row>
    <row r="52547" spans="1:1">
      <c r="A52547" s="56"/>
    </row>
    <row r="52548" spans="1:1">
      <c r="A52548" s="56"/>
    </row>
    <row r="52549" spans="1:1">
      <c r="A52549" s="56"/>
    </row>
    <row r="52550" spans="1:1">
      <c r="A52550" s="56"/>
    </row>
    <row r="52551" spans="1:1">
      <c r="A52551" s="56"/>
    </row>
    <row r="52552" spans="1:1">
      <c r="A52552" s="56"/>
    </row>
    <row r="52553" spans="1:1">
      <c r="A52553" s="56"/>
    </row>
    <row r="52554" spans="1:1">
      <c r="A52554" s="56"/>
    </row>
    <row r="52555" spans="1:1">
      <c r="A52555" s="56"/>
    </row>
    <row r="52556" spans="1:1">
      <c r="A52556" s="56"/>
    </row>
    <row r="52557" spans="1:1">
      <c r="A52557" s="56"/>
    </row>
    <row r="52558" spans="1:1">
      <c r="A52558" s="56"/>
    </row>
    <row r="52559" spans="1:1">
      <c r="A52559" s="56"/>
    </row>
    <row r="52560" spans="1:1">
      <c r="A52560" s="56"/>
    </row>
    <row r="52561" spans="1:1">
      <c r="A52561" s="56"/>
    </row>
    <row r="52562" spans="1:1">
      <c r="A52562" s="56"/>
    </row>
    <row r="52563" spans="1:1">
      <c r="A52563" s="56"/>
    </row>
    <row r="52564" spans="1:1">
      <c r="A52564" s="56"/>
    </row>
    <row r="52565" spans="1:1">
      <c r="A52565" s="56"/>
    </row>
    <row r="52566" spans="1:1">
      <c r="A52566" s="56"/>
    </row>
    <row r="52567" spans="1:1">
      <c r="A52567" s="56"/>
    </row>
    <row r="52568" spans="1:1">
      <c r="A52568" s="56"/>
    </row>
    <row r="52569" spans="1:1">
      <c r="A52569" s="56"/>
    </row>
    <row r="52570" spans="1:1">
      <c r="A52570" s="56"/>
    </row>
    <row r="52571" spans="1:1">
      <c r="A52571" s="56"/>
    </row>
    <row r="52572" spans="1:1">
      <c r="A52572" s="56"/>
    </row>
    <row r="52573" spans="1:1">
      <c r="A52573" s="56"/>
    </row>
    <row r="52574" spans="1:1">
      <c r="A52574" s="56"/>
    </row>
    <row r="52575" spans="1:1">
      <c r="A52575" s="56"/>
    </row>
    <row r="52576" spans="1:1">
      <c r="A52576" s="56"/>
    </row>
    <row r="52577" spans="1:1">
      <c r="A52577" s="56"/>
    </row>
    <row r="52578" spans="1:1">
      <c r="A52578" s="56"/>
    </row>
    <row r="52579" spans="1:1">
      <c r="A52579" s="56"/>
    </row>
    <row r="52580" spans="1:1">
      <c r="A52580" s="56"/>
    </row>
    <row r="52581" spans="1:1">
      <c r="A52581" s="56"/>
    </row>
    <row r="52582" spans="1:1">
      <c r="A52582" s="56"/>
    </row>
    <row r="52583" spans="1:1">
      <c r="A52583" s="56"/>
    </row>
    <row r="52584" spans="1:1">
      <c r="A52584" s="56"/>
    </row>
    <row r="52585" spans="1:1">
      <c r="A52585" s="56"/>
    </row>
    <row r="52586" spans="1:1">
      <c r="A52586" s="56"/>
    </row>
    <row r="52587" spans="1:1">
      <c r="A52587" s="56"/>
    </row>
    <row r="52588" spans="1:1">
      <c r="A52588" s="56"/>
    </row>
    <row r="52589" spans="1:1">
      <c r="A52589" s="56"/>
    </row>
    <row r="52590" spans="1:1">
      <c r="A52590" s="56"/>
    </row>
    <row r="52591" spans="1:1">
      <c r="A52591" s="56"/>
    </row>
    <row r="52592" spans="1:1">
      <c r="A52592" s="56"/>
    </row>
    <row r="52593" spans="1:1">
      <c r="A52593" s="56"/>
    </row>
    <row r="52594" spans="1:1">
      <c r="A52594" s="56"/>
    </row>
    <row r="52595" spans="1:1">
      <c r="A52595" s="56"/>
    </row>
    <row r="52596" spans="1:1">
      <c r="A52596" s="56"/>
    </row>
    <row r="52597" spans="1:1">
      <c r="A52597" s="56"/>
    </row>
    <row r="52598" spans="1:1">
      <c r="A52598" s="56"/>
    </row>
    <row r="52599" spans="1:1">
      <c r="A52599" s="56"/>
    </row>
    <row r="52600" spans="1:1">
      <c r="A52600" s="56"/>
    </row>
    <row r="52601" spans="1:1">
      <c r="A52601" s="56"/>
    </row>
    <row r="52602" spans="1:1">
      <c r="A52602" s="56"/>
    </row>
    <row r="52603" spans="1:1">
      <c r="A52603" s="56"/>
    </row>
    <row r="52604" spans="1:1">
      <c r="A52604" s="56"/>
    </row>
    <row r="52605" spans="1:1">
      <c r="A52605" s="56"/>
    </row>
    <row r="52606" spans="1:1">
      <c r="A52606" s="56"/>
    </row>
    <row r="52607" spans="1:1">
      <c r="A52607" s="56"/>
    </row>
    <row r="52608" spans="1:1">
      <c r="A52608" s="56"/>
    </row>
    <row r="52609" spans="1:1">
      <c r="A52609" s="56"/>
    </row>
    <row r="52610" spans="1:1">
      <c r="A52610" s="56"/>
    </row>
    <row r="52611" spans="1:1">
      <c r="A52611" s="56"/>
    </row>
    <row r="52612" spans="1:1">
      <c r="A52612" s="56"/>
    </row>
    <row r="52613" spans="1:1">
      <c r="A52613" s="56"/>
    </row>
    <row r="52614" spans="1:1">
      <c r="A52614" s="56"/>
    </row>
    <row r="52615" spans="1:1">
      <c r="A52615" s="56"/>
    </row>
    <row r="52616" spans="1:1">
      <c r="A52616" s="56"/>
    </row>
    <row r="52617" spans="1:1">
      <c r="A52617" s="56"/>
    </row>
    <row r="52618" spans="1:1">
      <c r="A52618" s="56"/>
    </row>
    <row r="52619" spans="1:1">
      <c r="A52619" s="56"/>
    </row>
    <row r="52620" spans="1:1">
      <c r="A52620" s="56"/>
    </row>
    <row r="52621" spans="1:1">
      <c r="A52621" s="56"/>
    </row>
    <row r="52622" spans="1:1">
      <c r="A52622" s="56"/>
    </row>
    <row r="52623" spans="1:1">
      <c r="A52623" s="56"/>
    </row>
    <row r="52624" spans="1:1">
      <c r="A52624" s="56"/>
    </row>
    <row r="52625" spans="1:1">
      <c r="A52625" s="56"/>
    </row>
    <row r="52626" spans="1:1">
      <c r="A52626" s="56"/>
    </row>
    <row r="52627" spans="1:1">
      <c r="A52627" s="56"/>
    </row>
    <row r="52628" spans="1:1">
      <c r="A52628" s="56"/>
    </row>
    <row r="52629" spans="1:1">
      <c r="A52629" s="56"/>
    </row>
    <row r="52630" spans="1:1">
      <c r="A52630" s="56"/>
    </row>
    <row r="52631" spans="1:1">
      <c r="A52631" s="56"/>
    </row>
    <row r="52632" spans="1:1">
      <c r="A52632" s="56"/>
    </row>
    <row r="52633" spans="1:1">
      <c r="A52633" s="56"/>
    </row>
    <row r="52634" spans="1:1">
      <c r="A52634" s="56"/>
    </row>
    <row r="52635" spans="1:1">
      <c r="A52635" s="56"/>
    </row>
    <row r="52636" spans="1:1">
      <c r="A52636" s="56"/>
    </row>
    <row r="52637" spans="1:1">
      <c r="A52637" s="56"/>
    </row>
    <row r="52638" spans="1:1">
      <c r="A52638" s="56"/>
    </row>
    <row r="52639" spans="1:1">
      <c r="A52639" s="56"/>
    </row>
    <row r="52640" spans="1:1">
      <c r="A52640" s="56"/>
    </row>
    <row r="52641" spans="1:1">
      <c r="A52641" s="56"/>
    </row>
    <row r="52642" spans="1:1">
      <c r="A52642" s="56"/>
    </row>
    <row r="52643" spans="1:1">
      <c r="A52643" s="56"/>
    </row>
    <row r="52644" spans="1:1">
      <c r="A52644" s="56"/>
    </row>
    <row r="52645" spans="1:1">
      <c r="A52645" s="56"/>
    </row>
    <row r="52646" spans="1:1">
      <c r="A52646" s="56"/>
    </row>
    <row r="52647" spans="1:1">
      <c r="A52647" s="56"/>
    </row>
    <row r="52648" spans="1:1">
      <c r="A52648" s="56"/>
    </row>
    <row r="52649" spans="1:1">
      <c r="A52649" s="56"/>
    </row>
    <row r="52650" spans="1:1">
      <c r="A52650" s="56"/>
    </row>
    <row r="52651" spans="1:1">
      <c r="A52651" s="56"/>
    </row>
    <row r="52652" spans="1:1">
      <c r="A52652" s="56"/>
    </row>
    <row r="52653" spans="1:1">
      <c r="A52653" s="56"/>
    </row>
    <row r="52654" spans="1:1">
      <c r="A52654" s="56"/>
    </row>
    <row r="52655" spans="1:1">
      <c r="A52655" s="56"/>
    </row>
    <row r="52656" spans="1:1">
      <c r="A52656" s="56"/>
    </row>
    <row r="52657" spans="1:1">
      <c r="A52657" s="56"/>
    </row>
    <row r="52658" spans="1:1">
      <c r="A52658" s="56"/>
    </row>
    <row r="52659" spans="1:1">
      <c r="A52659" s="56"/>
    </row>
    <row r="52660" spans="1:1">
      <c r="A52660" s="56"/>
    </row>
    <row r="52661" spans="1:1">
      <c r="A52661" s="56"/>
    </row>
    <row r="52662" spans="1:1">
      <c r="A52662" s="56"/>
    </row>
    <row r="52663" spans="1:1">
      <c r="A52663" s="56"/>
    </row>
    <row r="52664" spans="1:1">
      <c r="A52664" s="56"/>
    </row>
    <row r="52665" spans="1:1">
      <c r="A52665" s="56"/>
    </row>
    <row r="52666" spans="1:1">
      <c r="A52666" s="56"/>
    </row>
    <row r="52667" spans="1:1">
      <c r="A52667" s="56"/>
    </row>
    <row r="52668" spans="1:1">
      <c r="A52668" s="56"/>
    </row>
    <row r="52669" spans="1:1">
      <c r="A52669" s="56"/>
    </row>
    <row r="52670" spans="1:1">
      <c r="A52670" s="56"/>
    </row>
    <row r="52671" spans="1:1">
      <c r="A52671" s="56"/>
    </row>
    <row r="52672" spans="1:1">
      <c r="A52672" s="56"/>
    </row>
    <row r="52673" spans="1:1">
      <c r="A52673" s="56"/>
    </row>
    <row r="52674" spans="1:1">
      <c r="A52674" s="56"/>
    </row>
    <row r="52675" spans="1:1">
      <c r="A52675" s="56"/>
    </row>
    <row r="52676" spans="1:1">
      <c r="A52676" s="56"/>
    </row>
    <row r="52677" spans="1:1">
      <c r="A52677" s="56"/>
    </row>
    <row r="52678" spans="1:1">
      <c r="A52678" s="56"/>
    </row>
    <row r="52679" spans="1:1">
      <c r="A52679" s="56"/>
    </row>
    <row r="52680" spans="1:1">
      <c r="A52680" s="56"/>
    </row>
    <row r="52681" spans="1:1">
      <c r="A52681" s="56"/>
    </row>
    <row r="52682" spans="1:1">
      <c r="A52682" s="56"/>
    </row>
    <row r="52683" spans="1:1">
      <c r="A52683" s="56"/>
    </row>
    <row r="52684" spans="1:1">
      <c r="A52684" s="56"/>
    </row>
    <row r="52685" spans="1:1">
      <c r="A52685" s="56"/>
    </row>
    <row r="52686" spans="1:1">
      <c r="A52686" s="56"/>
    </row>
    <row r="52687" spans="1:1">
      <c r="A52687" s="56"/>
    </row>
    <row r="52688" spans="1:1">
      <c r="A52688" s="56"/>
    </row>
    <row r="52689" spans="1:1">
      <c r="A52689" s="56"/>
    </row>
    <row r="52690" spans="1:1">
      <c r="A52690" s="56"/>
    </row>
    <row r="52691" spans="1:1">
      <c r="A52691" s="56"/>
    </row>
    <row r="52692" spans="1:1">
      <c r="A52692" s="56"/>
    </row>
    <row r="52693" spans="1:1">
      <c r="A52693" s="56"/>
    </row>
    <row r="52694" spans="1:1">
      <c r="A52694" s="56"/>
    </row>
    <row r="52695" spans="1:1">
      <c r="A52695" s="56"/>
    </row>
    <row r="52696" spans="1:1">
      <c r="A52696" s="56"/>
    </row>
    <row r="52697" spans="1:1">
      <c r="A52697" s="56"/>
    </row>
    <row r="52698" spans="1:1">
      <c r="A52698" s="56"/>
    </row>
    <row r="52699" spans="1:1">
      <c r="A52699" s="56"/>
    </row>
    <row r="52700" spans="1:1">
      <c r="A52700" s="56"/>
    </row>
    <row r="52701" spans="1:1">
      <c r="A52701" s="56"/>
    </row>
    <row r="52702" spans="1:1">
      <c r="A52702" s="56"/>
    </row>
    <row r="52703" spans="1:1">
      <c r="A52703" s="56"/>
    </row>
    <row r="52704" spans="1:1">
      <c r="A52704" s="56"/>
    </row>
    <row r="52705" spans="1:1">
      <c r="A52705" s="56"/>
    </row>
    <row r="52706" spans="1:1">
      <c r="A52706" s="56"/>
    </row>
    <row r="52707" spans="1:1">
      <c r="A52707" s="56"/>
    </row>
    <row r="52708" spans="1:1">
      <c r="A52708" s="56"/>
    </row>
    <row r="52709" spans="1:1">
      <c r="A52709" s="56"/>
    </row>
    <row r="52710" spans="1:1">
      <c r="A52710" s="56"/>
    </row>
    <row r="52711" spans="1:1">
      <c r="A52711" s="56"/>
    </row>
    <row r="52712" spans="1:1">
      <c r="A52712" s="56"/>
    </row>
    <row r="52713" spans="1:1">
      <c r="A52713" s="56"/>
    </row>
    <row r="52714" spans="1:1">
      <c r="A52714" s="56"/>
    </row>
    <row r="52715" spans="1:1">
      <c r="A52715" s="56"/>
    </row>
    <row r="52716" spans="1:1">
      <c r="A52716" s="56"/>
    </row>
    <row r="52717" spans="1:1">
      <c r="A52717" s="56"/>
    </row>
    <row r="52718" spans="1:1">
      <c r="A52718" s="56"/>
    </row>
    <row r="52719" spans="1:1">
      <c r="A52719" s="56"/>
    </row>
    <row r="52720" spans="1:1">
      <c r="A52720" s="56"/>
    </row>
    <row r="52721" spans="1:1">
      <c r="A52721" s="56"/>
    </row>
    <row r="52722" spans="1:1">
      <c r="A52722" s="56"/>
    </row>
    <row r="52723" spans="1:1">
      <c r="A52723" s="56"/>
    </row>
    <row r="52724" spans="1:1">
      <c r="A52724" s="56"/>
    </row>
    <row r="52725" spans="1:1">
      <c r="A52725" s="56"/>
    </row>
    <row r="52726" spans="1:1">
      <c r="A52726" s="56"/>
    </row>
    <row r="52727" spans="1:1">
      <c r="A52727" s="56"/>
    </row>
    <row r="52728" spans="1:1">
      <c r="A52728" s="56"/>
    </row>
    <row r="52729" spans="1:1">
      <c r="A52729" s="56"/>
    </row>
    <row r="52730" spans="1:1">
      <c r="A52730" s="56"/>
    </row>
    <row r="52731" spans="1:1">
      <c r="A52731" s="56"/>
    </row>
    <row r="52732" spans="1:1">
      <c r="A52732" s="56"/>
    </row>
    <row r="52733" spans="1:1">
      <c r="A52733" s="56"/>
    </row>
    <row r="52734" spans="1:1">
      <c r="A52734" s="56"/>
    </row>
    <row r="52735" spans="1:1">
      <c r="A52735" s="56"/>
    </row>
    <row r="52736" spans="1:1">
      <c r="A52736" s="56"/>
    </row>
    <row r="52737" spans="1:1">
      <c r="A52737" s="56"/>
    </row>
    <row r="52738" spans="1:1">
      <c r="A52738" s="56"/>
    </row>
    <row r="52739" spans="1:1">
      <c r="A52739" s="56"/>
    </row>
    <row r="52740" spans="1:1">
      <c r="A52740" s="56"/>
    </row>
    <row r="52741" spans="1:1">
      <c r="A52741" s="56"/>
    </row>
    <row r="52742" spans="1:1">
      <c r="A52742" s="56"/>
    </row>
    <row r="52743" spans="1:1">
      <c r="A52743" s="56"/>
    </row>
    <row r="52744" spans="1:1">
      <c r="A52744" s="56"/>
    </row>
    <row r="52745" spans="1:1">
      <c r="A52745" s="56"/>
    </row>
    <row r="52746" spans="1:1">
      <c r="A52746" s="56"/>
    </row>
    <row r="52747" spans="1:1">
      <c r="A52747" s="56"/>
    </row>
    <row r="52748" spans="1:1">
      <c r="A52748" s="56"/>
    </row>
    <row r="52749" spans="1:1">
      <c r="A52749" s="56"/>
    </row>
    <row r="52750" spans="1:1">
      <c r="A52750" s="56"/>
    </row>
    <row r="52751" spans="1:1">
      <c r="A52751" s="56"/>
    </row>
    <row r="52752" spans="1:1">
      <c r="A52752" s="56"/>
    </row>
    <row r="52753" spans="1:1">
      <c r="A52753" s="56"/>
    </row>
    <row r="52754" spans="1:1">
      <c r="A52754" s="56"/>
    </row>
    <row r="52755" spans="1:1">
      <c r="A52755" s="56"/>
    </row>
    <row r="52756" spans="1:1">
      <c r="A52756" s="56"/>
    </row>
    <row r="52757" spans="1:1">
      <c r="A52757" s="56"/>
    </row>
    <row r="52758" spans="1:1">
      <c r="A52758" s="56"/>
    </row>
    <row r="52759" spans="1:1">
      <c r="A52759" s="56"/>
    </row>
    <row r="52760" spans="1:1">
      <c r="A52760" s="56"/>
    </row>
    <row r="52761" spans="1:1">
      <c r="A52761" s="56"/>
    </row>
    <row r="52762" spans="1:1">
      <c r="A52762" s="56"/>
    </row>
    <row r="52763" spans="1:1">
      <c r="A52763" s="56"/>
    </row>
    <row r="52764" spans="1:1">
      <c r="A52764" s="56"/>
    </row>
    <row r="52765" spans="1:1">
      <c r="A52765" s="56"/>
    </row>
    <row r="52766" spans="1:1">
      <c r="A52766" s="56"/>
    </row>
    <row r="52767" spans="1:1">
      <c r="A52767" s="56"/>
    </row>
    <row r="52768" spans="1:1">
      <c r="A52768" s="56"/>
    </row>
    <row r="52769" spans="1:1">
      <c r="A52769" s="56"/>
    </row>
    <row r="52770" spans="1:1">
      <c r="A52770" s="56"/>
    </row>
    <row r="52771" spans="1:1">
      <c r="A52771" s="56"/>
    </row>
    <row r="52772" spans="1:1">
      <c r="A52772" s="56"/>
    </row>
    <row r="52773" spans="1:1">
      <c r="A52773" s="56"/>
    </row>
    <row r="52774" spans="1:1">
      <c r="A52774" s="56"/>
    </row>
    <row r="52775" spans="1:1">
      <c r="A52775" s="56"/>
    </row>
    <row r="52776" spans="1:1">
      <c r="A52776" s="56"/>
    </row>
    <row r="52777" spans="1:1">
      <c r="A52777" s="56"/>
    </row>
    <row r="52778" spans="1:1">
      <c r="A52778" s="56"/>
    </row>
    <row r="52779" spans="1:1">
      <c r="A52779" s="56"/>
    </row>
    <row r="52780" spans="1:1">
      <c r="A52780" s="56"/>
    </row>
    <row r="52781" spans="1:1">
      <c r="A52781" s="56"/>
    </row>
    <row r="52782" spans="1:1">
      <c r="A52782" s="56"/>
    </row>
    <row r="52783" spans="1:1">
      <c r="A52783" s="56"/>
    </row>
    <row r="52784" spans="1:1">
      <c r="A52784" s="56"/>
    </row>
    <row r="52785" spans="1:1">
      <c r="A52785" s="56"/>
    </row>
    <row r="52786" spans="1:1">
      <c r="A52786" s="56"/>
    </row>
    <row r="52787" spans="1:1">
      <c r="A52787" s="56"/>
    </row>
    <row r="52788" spans="1:1">
      <c r="A52788" s="56"/>
    </row>
    <row r="52789" spans="1:1">
      <c r="A52789" s="56"/>
    </row>
    <row r="52790" spans="1:1">
      <c r="A52790" s="56"/>
    </row>
    <row r="52791" spans="1:1">
      <c r="A52791" s="56"/>
    </row>
    <row r="52792" spans="1:1">
      <c r="A52792" s="56"/>
    </row>
    <row r="52793" spans="1:1">
      <c r="A52793" s="56"/>
    </row>
    <row r="52794" spans="1:1">
      <c r="A52794" s="56"/>
    </row>
    <row r="52795" spans="1:1">
      <c r="A52795" s="56"/>
    </row>
    <row r="52796" spans="1:1">
      <c r="A52796" s="56"/>
    </row>
    <row r="52797" spans="1:1">
      <c r="A52797" s="56"/>
    </row>
    <row r="52798" spans="1:1">
      <c r="A52798" s="56"/>
    </row>
    <row r="52799" spans="1:1">
      <c r="A52799" s="56"/>
    </row>
    <row r="52800" spans="1:1">
      <c r="A52800" s="56"/>
    </row>
    <row r="52801" spans="1:1">
      <c r="A52801" s="56"/>
    </row>
    <row r="52802" spans="1:1">
      <c r="A52802" s="56"/>
    </row>
    <row r="52803" spans="1:1">
      <c r="A52803" s="56"/>
    </row>
    <row r="52804" spans="1:1">
      <c r="A52804" s="56"/>
    </row>
    <row r="52805" spans="1:1">
      <c r="A52805" s="56"/>
    </row>
    <row r="52806" spans="1:1">
      <c r="A52806" s="56"/>
    </row>
    <row r="52807" spans="1:1">
      <c r="A52807" s="56"/>
    </row>
    <row r="52808" spans="1:1">
      <c r="A52808" s="56"/>
    </row>
    <row r="52809" spans="1:1">
      <c r="A52809" s="56"/>
    </row>
    <row r="52810" spans="1:1">
      <c r="A52810" s="56"/>
    </row>
    <row r="52811" spans="1:1">
      <c r="A52811" s="56"/>
    </row>
    <row r="52812" spans="1:1">
      <c r="A52812" s="56"/>
    </row>
    <row r="52813" spans="1:1">
      <c r="A52813" s="56"/>
    </row>
    <row r="52814" spans="1:1">
      <c r="A52814" s="56"/>
    </row>
    <row r="52815" spans="1:1">
      <c r="A52815" s="56"/>
    </row>
    <row r="52816" spans="1:1">
      <c r="A52816" s="56"/>
    </row>
    <row r="52817" spans="1:1">
      <c r="A52817" s="56"/>
    </row>
    <row r="52818" spans="1:1">
      <c r="A52818" s="56"/>
    </row>
    <row r="52819" spans="1:1">
      <c r="A52819" s="56"/>
    </row>
    <row r="52820" spans="1:1">
      <c r="A52820" s="56"/>
    </row>
    <row r="52821" spans="1:1">
      <c r="A52821" s="56"/>
    </row>
    <row r="52822" spans="1:1">
      <c r="A52822" s="56"/>
    </row>
    <row r="52823" spans="1:1">
      <c r="A52823" s="56"/>
    </row>
    <row r="52824" spans="1:1">
      <c r="A52824" s="56"/>
    </row>
    <row r="52825" spans="1:1">
      <c r="A52825" s="56"/>
    </row>
    <row r="52826" spans="1:1">
      <c r="A52826" s="56"/>
    </row>
    <row r="52827" spans="1:1">
      <c r="A52827" s="56"/>
    </row>
    <row r="52828" spans="1:1">
      <c r="A52828" s="56"/>
    </row>
    <row r="52829" spans="1:1">
      <c r="A52829" s="56"/>
    </row>
    <row r="52830" spans="1:1">
      <c r="A52830" s="56"/>
    </row>
    <row r="52831" spans="1:1">
      <c r="A52831" s="56"/>
    </row>
    <row r="52832" spans="1:1">
      <c r="A52832" s="56"/>
    </row>
    <row r="52833" spans="1:1">
      <c r="A52833" s="56"/>
    </row>
    <row r="52834" spans="1:1">
      <c r="A52834" s="56"/>
    </row>
    <row r="52835" spans="1:1">
      <c r="A52835" s="56"/>
    </row>
    <row r="52836" spans="1:1">
      <c r="A52836" s="56"/>
    </row>
    <row r="52837" spans="1:1">
      <c r="A52837" s="56"/>
    </row>
    <row r="52838" spans="1:1">
      <c r="A52838" s="56"/>
    </row>
    <row r="52839" spans="1:1">
      <c r="A52839" s="56"/>
    </row>
    <row r="52840" spans="1:1">
      <c r="A52840" s="56"/>
    </row>
    <row r="52841" spans="1:1">
      <c r="A52841" s="56"/>
    </row>
    <row r="52842" spans="1:1">
      <c r="A52842" s="56"/>
    </row>
    <row r="52843" spans="1:1">
      <c r="A52843" s="56"/>
    </row>
    <row r="52844" spans="1:1">
      <c r="A52844" s="56"/>
    </row>
    <row r="52845" spans="1:1">
      <c r="A52845" s="56"/>
    </row>
    <row r="52846" spans="1:1">
      <c r="A52846" s="56"/>
    </row>
    <row r="52847" spans="1:1">
      <c r="A52847" s="56"/>
    </row>
    <row r="52848" spans="1:1">
      <c r="A52848" s="56"/>
    </row>
    <row r="52849" spans="1:1">
      <c r="A52849" s="56"/>
    </row>
    <row r="52850" spans="1:1">
      <c r="A52850" s="56"/>
    </row>
    <row r="52851" spans="1:1">
      <c r="A52851" s="56"/>
    </row>
    <row r="52852" spans="1:1">
      <c r="A52852" s="56"/>
    </row>
    <row r="52853" spans="1:1">
      <c r="A52853" s="56"/>
    </row>
    <row r="52854" spans="1:1">
      <c r="A52854" s="56"/>
    </row>
    <row r="52855" spans="1:1">
      <c r="A52855" s="56"/>
    </row>
    <row r="52856" spans="1:1">
      <c r="A52856" s="56"/>
    </row>
    <row r="52857" spans="1:1">
      <c r="A52857" s="56"/>
    </row>
    <row r="52858" spans="1:1">
      <c r="A52858" s="56"/>
    </row>
    <row r="52859" spans="1:1">
      <c r="A52859" s="56"/>
    </row>
    <row r="52860" spans="1:1">
      <c r="A52860" s="56"/>
    </row>
    <row r="52861" spans="1:1">
      <c r="A52861" s="56"/>
    </row>
    <row r="52862" spans="1:1">
      <c r="A52862" s="56"/>
    </row>
    <row r="52863" spans="1:1">
      <c r="A52863" s="56"/>
    </row>
    <row r="52864" spans="1:1">
      <c r="A52864" s="56"/>
    </row>
    <row r="52865" spans="1:1">
      <c r="A52865" s="56"/>
    </row>
    <row r="52866" spans="1:1">
      <c r="A52866" s="56"/>
    </row>
    <row r="52867" spans="1:1">
      <c r="A52867" s="56"/>
    </row>
    <row r="52868" spans="1:1">
      <c r="A52868" s="56"/>
    </row>
    <row r="52869" spans="1:1">
      <c r="A52869" s="56"/>
    </row>
    <row r="52870" spans="1:1">
      <c r="A52870" s="56"/>
    </row>
    <row r="52871" spans="1:1">
      <c r="A52871" s="56"/>
    </row>
    <row r="52872" spans="1:1">
      <c r="A52872" s="56"/>
    </row>
    <row r="52873" spans="1:1">
      <c r="A52873" s="56"/>
    </row>
    <row r="52874" spans="1:1">
      <c r="A52874" s="56"/>
    </row>
    <row r="52875" spans="1:1">
      <c r="A52875" s="56"/>
    </row>
    <row r="52876" spans="1:1">
      <c r="A52876" s="56"/>
    </row>
    <row r="52877" spans="1:1">
      <c r="A52877" s="56"/>
    </row>
    <row r="52878" spans="1:1">
      <c r="A52878" s="56"/>
    </row>
    <row r="52879" spans="1:1">
      <c r="A52879" s="56"/>
    </row>
    <row r="52880" spans="1:1">
      <c r="A52880" s="56"/>
    </row>
    <row r="52881" spans="1:1">
      <c r="A52881" s="56"/>
    </row>
    <row r="52882" spans="1:1">
      <c r="A52882" s="56"/>
    </row>
    <row r="52883" spans="1:1">
      <c r="A52883" s="56"/>
    </row>
    <row r="52884" spans="1:1">
      <c r="A52884" s="56"/>
    </row>
    <row r="52885" spans="1:1">
      <c r="A52885" s="56"/>
    </row>
    <row r="52886" spans="1:1">
      <c r="A52886" s="56"/>
    </row>
    <row r="52887" spans="1:1">
      <c r="A52887" s="56"/>
    </row>
    <row r="52888" spans="1:1">
      <c r="A52888" s="56"/>
    </row>
    <row r="52889" spans="1:1">
      <c r="A52889" s="56"/>
    </row>
    <row r="52890" spans="1:1">
      <c r="A52890" s="56"/>
    </row>
    <row r="52891" spans="1:1">
      <c r="A52891" s="56"/>
    </row>
    <row r="52892" spans="1:1">
      <c r="A52892" s="56"/>
    </row>
    <row r="52893" spans="1:1">
      <c r="A52893" s="56"/>
    </row>
    <row r="52894" spans="1:1">
      <c r="A52894" s="56"/>
    </row>
    <row r="52895" spans="1:1">
      <c r="A52895" s="56"/>
    </row>
    <row r="52896" spans="1:1">
      <c r="A52896" s="56"/>
    </row>
    <row r="52897" spans="1:1">
      <c r="A52897" s="56"/>
    </row>
    <row r="52898" spans="1:1">
      <c r="A52898" s="56"/>
    </row>
    <row r="52899" spans="1:1">
      <c r="A52899" s="56"/>
    </row>
    <row r="52900" spans="1:1">
      <c r="A52900" s="56"/>
    </row>
    <row r="52901" spans="1:1">
      <c r="A52901" s="56"/>
    </row>
    <row r="52902" spans="1:1">
      <c r="A52902" s="56"/>
    </row>
    <row r="52903" spans="1:1">
      <c r="A52903" s="56"/>
    </row>
    <row r="52904" spans="1:1">
      <c r="A52904" s="56"/>
    </row>
    <row r="52905" spans="1:1">
      <c r="A52905" s="56"/>
    </row>
    <row r="52906" spans="1:1">
      <c r="A52906" s="56"/>
    </row>
    <row r="52907" spans="1:1">
      <c r="A52907" s="56"/>
    </row>
    <row r="52908" spans="1:1">
      <c r="A52908" s="56"/>
    </row>
    <row r="52909" spans="1:1">
      <c r="A52909" s="56"/>
    </row>
    <row r="52910" spans="1:1">
      <c r="A52910" s="56"/>
    </row>
    <row r="52911" spans="1:1">
      <c r="A52911" s="56"/>
    </row>
    <row r="52912" spans="1:1">
      <c r="A52912" s="56"/>
    </row>
    <row r="52913" spans="1:1">
      <c r="A52913" s="56"/>
    </row>
    <row r="52914" spans="1:1">
      <c r="A52914" s="56"/>
    </row>
    <row r="52915" spans="1:1">
      <c r="A52915" s="56"/>
    </row>
    <row r="52916" spans="1:1">
      <c r="A52916" s="56"/>
    </row>
    <row r="52917" spans="1:1">
      <c r="A52917" s="56"/>
    </row>
    <row r="52918" spans="1:1">
      <c r="A52918" s="56"/>
    </row>
    <row r="52919" spans="1:1">
      <c r="A52919" s="56"/>
    </row>
    <row r="52920" spans="1:1">
      <c r="A52920" s="56"/>
    </row>
    <row r="52921" spans="1:1">
      <c r="A52921" s="56"/>
    </row>
    <row r="52922" spans="1:1">
      <c r="A52922" s="56"/>
    </row>
    <row r="52923" spans="1:1">
      <c r="A52923" s="56"/>
    </row>
    <row r="52924" spans="1:1">
      <c r="A52924" s="56"/>
    </row>
    <row r="52925" spans="1:1">
      <c r="A52925" s="56"/>
    </row>
    <row r="52926" spans="1:1">
      <c r="A52926" s="56"/>
    </row>
    <row r="52927" spans="1:1">
      <c r="A52927" s="56"/>
    </row>
    <row r="52928" spans="1:1">
      <c r="A52928" s="56"/>
    </row>
    <row r="52929" spans="1:1">
      <c r="A52929" s="56"/>
    </row>
    <row r="52930" spans="1:1">
      <c r="A52930" s="56"/>
    </row>
    <row r="52931" spans="1:1">
      <c r="A52931" s="56"/>
    </row>
    <row r="52932" spans="1:1">
      <c r="A52932" s="56"/>
    </row>
    <row r="52933" spans="1:1">
      <c r="A52933" s="56"/>
    </row>
    <row r="52934" spans="1:1">
      <c r="A52934" s="56"/>
    </row>
    <row r="52935" spans="1:1">
      <c r="A52935" s="56"/>
    </row>
    <row r="52936" spans="1:1">
      <c r="A52936" s="56"/>
    </row>
    <row r="52937" spans="1:1">
      <c r="A52937" s="56"/>
    </row>
    <row r="52938" spans="1:1">
      <c r="A52938" s="56"/>
    </row>
    <row r="52939" spans="1:1">
      <c r="A52939" s="56"/>
    </row>
    <row r="52940" spans="1:1">
      <c r="A52940" s="56"/>
    </row>
    <row r="52941" spans="1:1">
      <c r="A52941" s="56"/>
    </row>
    <row r="52942" spans="1:1">
      <c r="A52942" s="56"/>
    </row>
    <row r="52943" spans="1:1">
      <c r="A52943" s="56"/>
    </row>
    <row r="52944" spans="1:1">
      <c r="A52944" s="56"/>
    </row>
    <row r="52945" spans="1:1">
      <c r="A52945" s="56"/>
    </row>
    <row r="52946" spans="1:1">
      <c r="A52946" s="56"/>
    </row>
    <row r="52947" spans="1:1">
      <c r="A52947" s="56"/>
    </row>
    <row r="52948" spans="1:1">
      <c r="A52948" s="56"/>
    </row>
    <row r="52949" spans="1:1">
      <c r="A52949" s="56"/>
    </row>
    <row r="52950" spans="1:1">
      <c r="A52950" s="56"/>
    </row>
    <row r="52951" spans="1:1">
      <c r="A52951" s="56"/>
    </row>
    <row r="52952" spans="1:1">
      <c r="A52952" s="56"/>
    </row>
    <row r="52953" spans="1:1">
      <c r="A52953" s="56"/>
    </row>
    <row r="52954" spans="1:1">
      <c r="A52954" s="56"/>
    </row>
    <row r="52955" spans="1:1">
      <c r="A52955" s="56"/>
    </row>
    <row r="52956" spans="1:1">
      <c r="A52956" s="56"/>
    </row>
    <row r="52957" spans="1:1">
      <c r="A52957" s="56"/>
    </row>
    <row r="52958" spans="1:1">
      <c r="A52958" s="56"/>
    </row>
    <row r="52959" spans="1:1">
      <c r="A52959" s="56"/>
    </row>
    <row r="52960" spans="1:1">
      <c r="A52960" s="56"/>
    </row>
    <row r="52961" spans="1:1">
      <c r="A52961" s="56"/>
    </row>
    <row r="52962" spans="1:1">
      <c r="A52962" s="56"/>
    </row>
    <row r="52963" spans="1:1">
      <c r="A52963" s="56"/>
    </row>
    <row r="52964" spans="1:1">
      <c r="A52964" s="56"/>
    </row>
    <row r="52965" spans="1:1">
      <c r="A52965" s="56"/>
    </row>
    <row r="52966" spans="1:1">
      <c r="A52966" s="56"/>
    </row>
    <row r="52967" spans="1:1">
      <c r="A52967" s="56"/>
    </row>
    <row r="52968" spans="1:1">
      <c r="A52968" s="56"/>
    </row>
    <row r="52969" spans="1:1">
      <c r="A52969" s="56"/>
    </row>
    <row r="52970" spans="1:1">
      <c r="A52970" s="56"/>
    </row>
    <row r="52971" spans="1:1">
      <c r="A52971" s="56"/>
    </row>
    <row r="52972" spans="1:1">
      <c r="A52972" s="56"/>
    </row>
    <row r="52973" spans="1:1">
      <c r="A52973" s="56"/>
    </row>
    <row r="52974" spans="1:1">
      <c r="A52974" s="56"/>
    </row>
    <row r="52975" spans="1:1">
      <c r="A52975" s="56"/>
    </row>
    <row r="52976" spans="1:1">
      <c r="A52976" s="56"/>
    </row>
    <row r="52977" spans="1:1">
      <c r="A52977" s="56"/>
    </row>
    <row r="52978" spans="1:1">
      <c r="A52978" s="56"/>
    </row>
    <row r="52979" spans="1:1">
      <c r="A52979" s="56"/>
    </row>
    <row r="52980" spans="1:1">
      <c r="A52980" s="56"/>
    </row>
    <row r="52981" spans="1:1">
      <c r="A52981" s="56"/>
    </row>
    <row r="52982" spans="1:1">
      <c r="A52982" s="56"/>
    </row>
    <row r="52983" spans="1:1">
      <c r="A52983" s="56"/>
    </row>
    <row r="52984" spans="1:1">
      <c r="A52984" s="56"/>
    </row>
    <row r="52985" spans="1:1">
      <c r="A52985" s="56"/>
    </row>
    <row r="52986" spans="1:1">
      <c r="A52986" s="56"/>
    </row>
    <row r="52987" spans="1:1">
      <c r="A52987" s="56"/>
    </row>
    <row r="52988" spans="1:1">
      <c r="A52988" s="56"/>
    </row>
    <row r="52989" spans="1:1">
      <c r="A52989" s="56"/>
    </row>
    <row r="52990" spans="1:1">
      <c r="A52990" s="56"/>
    </row>
    <row r="52991" spans="1:1">
      <c r="A52991" s="56"/>
    </row>
    <row r="52992" spans="1:1">
      <c r="A52992" s="56"/>
    </row>
    <row r="52993" spans="1:1">
      <c r="A52993" s="56"/>
    </row>
    <row r="52994" spans="1:1">
      <c r="A52994" s="56"/>
    </row>
    <row r="52995" spans="1:1">
      <c r="A52995" s="56"/>
    </row>
    <row r="52996" spans="1:1">
      <c r="A52996" s="56"/>
    </row>
    <row r="52997" spans="1:1">
      <c r="A52997" s="56"/>
    </row>
    <row r="52998" spans="1:1">
      <c r="A52998" s="56"/>
    </row>
    <row r="52999" spans="1:1">
      <c r="A52999" s="56"/>
    </row>
    <row r="53000" spans="1:1">
      <c r="A53000" s="56"/>
    </row>
    <row r="53001" spans="1:1">
      <c r="A53001" s="56"/>
    </row>
    <row r="53002" spans="1:1">
      <c r="A53002" s="56"/>
    </row>
    <row r="53003" spans="1:1">
      <c r="A53003" s="56"/>
    </row>
    <row r="53004" spans="1:1">
      <c r="A53004" s="56"/>
    </row>
    <row r="53005" spans="1:1">
      <c r="A53005" s="56"/>
    </row>
    <row r="53006" spans="1:1">
      <c r="A53006" s="56"/>
    </row>
    <row r="53007" spans="1:1">
      <c r="A53007" s="56"/>
    </row>
    <row r="53008" spans="1:1">
      <c r="A53008" s="56"/>
    </row>
    <row r="53009" spans="1:1">
      <c r="A53009" s="56"/>
    </row>
    <row r="53010" spans="1:1">
      <c r="A53010" s="56"/>
    </row>
    <row r="53011" spans="1:1">
      <c r="A53011" s="56"/>
    </row>
    <row r="53012" spans="1:1">
      <c r="A53012" s="56"/>
    </row>
    <row r="53013" spans="1:1">
      <c r="A53013" s="56"/>
    </row>
    <row r="53014" spans="1:1">
      <c r="A53014" s="56"/>
    </row>
    <row r="53015" spans="1:1">
      <c r="A53015" s="56"/>
    </row>
    <row r="53016" spans="1:1">
      <c r="A53016" s="56"/>
    </row>
    <row r="53017" spans="1:1">
      <c r="A53017" s="56"/>
    </row>
    <row r="53018" spans="1:1">
      <c r="A53018" s="56"/>
    </row>
    <row r="53019" spans="1:1">
      <c r="A53019" s="56"/>
    </row>
    <row r="53020" spans="1:1">
      <c r="A53020" s="56"/>
    </row>
    <row r="53021" spans="1:1">
      <c r="A53021" s="56"/>
    </row>
    <row r="53022" spans="1:1">
      <c r="A53022" s="56"/>
    </row>
    <row r="53023" spans="1:1">
      <c r="A53023" s="56"/>
    </row>
    <row r="53024" spans="1:1">
      <c r="A53024" s="56"/>
    </row>
    <row r="53025" spans="1:1">
      <c r="A53025" s="56"/>
    </row>
    <row r="53026" spans="1:1">
      <c r="A53026" s="56"/>
    </row>
    <row r="53027" spans="1:1">
      <c r="A53027" s="56"/>
    </row>
    <row r="53028" spans="1:1">
      <c r="A53028" s="56"/>
    </row>
    <row r="53029" spans="1:1">
      <c r="A53029" s="56"/>
    </row>
    <row r="53030" spans="1:1">
      <c r="A53030" s="56"/>
    </row>
    <row r="53031" spans="1:1">
      <c r="A53031" s="56"/>
    </row>
    <row r="53032" spans="1:1">
      <c r="A53032" s="56"/>
    </row>
    <row r="53033" spans="1:1">
      <c r="A53033" s="56"/>
    </row>
    <row r="53034" spans="1:1">
      <c r="A53034" s="56"/>
    </row>
    <row r="53035" spans="1:1">
      <c r="A53035" s="56"/>
    </row>
    <row r="53036" spans="1:1">
      <c r="A53036" s="56"/>
    </row>
    <row r="53037" spans="1:1">
      <c r="A53037" s="56"/>
    </row>
    <row r="53038" spans="1:1">
      <c r="A53038" s="56"/>
    </row>
    <row r="53039" spans="1:1">
      <c r="A53039" s="56"/>
    </row>
    <row r="53040" spans="1:1">
      <c r="A53040" s="56"/>
    </row>
    <row r="53041" spans="1:1">
      <c r="A53041" s="56"/>
    </row>
    <row r="53042" spans="1:1">
      <c r="A53042" s="56"/>
    </row>
    <row r="53043" spans="1:1">
      <c r="A53043" s="56"/>
    </row>
    <row r="53044" spans="1:1">
      <c r="A53044" s="56"/>
    </row>
    <row r="53045" spans="1:1">
      <c r="A53045" s="56"/>
    </row>
    <row r="53046" spans="1:1">
      <c r="A53046" s="56"/>
    </row>
    <row r="53047" spans="1:1">
      <c r="A53047" s="56"/>
    </row>
    <row r="53048" spans="1:1">
      <c r="A53048" s="56"/>
    </row>
    <row r="53049" spans="1:1">
      <c r="A53049" s="56"/>
    </row>
    <row r="53050" spans="1:1">
      <c r="A53050" s="56"/>
    </row>
    <row r="53051" spans="1:1">
      <c r="A53051" s="56"/>
    </row>
    <row r="53052" spans="1:1">
      <c r="A53052" s="56"/>
    </row>
    <row r="53053" spans="1:1">
      <c r="A53053" s="56"/>
    </row>
    <row r="53054" spans="1:1">
      <c r="A53054" s="56"/>
    </row>
    <row r="53055" spans="1:1">
      <c r="A53055" s="56"/>
    </row>
    <row r="53056" spans="1:1">
      <c r="A53056" s="56"/>
    </row>
    <row r="53057" spans="1:1">
      <c r="A53057" s="56"/>
    </row>
    <row r="53058" spans="1:1">
      <c r="A53058" s="56"/>
    </row>
    <row r="53059" spans="1:1">
      <c r="A53059" s="56"/>
    </row>
    <row r="53060" spans="1:1">
      <c r="A53060" s="56"/>
    </row>
    <row r="53061" spans="1:1">
      <c r="A53061" s="56"/>
    </row>
    <row r="53062" spans="1:1">
      <c r="A53062" s="56"/>
    </row>
    <row r="53063" spans="1:1">
      <c r="A53063" s="56"/>
    </row>
    <row r="53064" spans="1:1">
      <c r="A53064" s="56"/>
    </row>
    <row r="53065" spans="1:1">
      <c r="A53065" s="56"/>
    </row>
    <row r="53066" spans="1:1">
      <c r="A53066" s="56"/>
    </row>
    <row r="53067" spans="1:1">
      <c r="A53067" s="56"/>
    </row>
    <row r="53068" spans="1:1">
      <c r="A53068" s="56"/>
    </row>
    <row r="53069" spans="1:1">
      <c r="A53069" s="56"/>
    </row>
    <row r="53070" spans="1:1">
      <c r="A53070" s="56"/>
    </row>
    <row r="53071" spans="1:1">
      <c r="A53071" s="56"/>
    </row>
    <row r="53072" spans="1:1">
      <c r="A53072" s="56"/>
    </row>
    <row r="53073" spans="1:1">
      <c r="A53073" s="56"/>
    </row>
    <row r="53074" spans="1:1">
      <c r="A53074" s="56"/>
    </row>
    <row r="53075" spans="1:1">
      <c r="A53075" s="56"/>
    </row>
    <row r="53076" spans="1:1">
      <c r="A53076" s="56"/>
    </row>
    <row r="53077" spans="1:1">
      <c r="A53077" s="56"/>
    </row>
    <row r="53078" spans="1:1">
      <c r="A53078" s="56"/>
    </row>
    <row r="53079" spans="1:1">
      <c r="A53079" s="56"/>
    </row>
    <row r="53080" spans="1:1">
      <c r="A53080" s="56"/>
    </row>
    <row r="53081" spans="1:1">
      <c r="A53081" s="56"/>
    </row>
    <row r="53082" spans="1:1">
      <c r="A53082" s="56"/>
    </row>
    <row r="53083" spans="1:1">
      <c r="A53083" s="56"/>
    </row>
    <row r="53084" spans="1:1">
      <c r="A53084" s="56"/>
    </row>
    <row r="53085" spans="1:1">
      <c r="A53085" s="56"/>
    </row>
    <row r="53086" spans="1:1">
      <c r="A53086" s="56"/>
    </row>
    <row r="53087" spans="1:1">
      <c r="A53087" s="56"/>
    </row>
    <row r="53088" spans="1:1">
      <c r="A53088" s="56"/>
    </row>
    <row r="53089" spans="1:1">
      <c r="A53089" s="56"/>
    </row>
    <row r="53090" spans="1:1">
      <c r="A53090" s="56"/>
    </row>
    <row r="53091" spans="1:1">
      <c r="A53091" s="56"/>
    </row>
    <row r="53092" spans="1:1">
      <c r="A53092" s="56"/>
    </row>
    <row r="53093" spans="1:1">
      <c r="A53093" s="56"/>
    </row>
    <row r="53094" spans="1:1">
      <c r="A53094" s="56"/>
    </row>
    <row r="53095" spans="1:1">
      <c r="A53095" s="56"/>
    </row>
    <row r="53096" spans="1:1">
      <c r="A53096" s="56"/>
    </row>
    <row r="53097" spans="1:1">
      <c r="A53097" s="56"/>
    </row>
    <row r="53098" spans="1:1">
      <c r="A53098" s="56"/>
    </row>
    <row r="53099" spans="1:1">
      <c r="A53099" s="56"/>
    </row>
    <row r="53100" spans="1:1">
      <c r="A53100" s="56"/>
    </row>
    <row r="53101" spans="1:1">
      <c r="A53101" s="56"/>
    </row>
    <row r="53102" spans="1:1">
      <c r="A53102" s="56"/>
    </row>
    <row r="53103" spans="1:1">
      <c r="A53103" s="56"/>
    </row>
    <row r="53104" spans="1:1">
      <c r="A53104" s="56"/>
    </row>
    <row r="53105" spans="1:1">
      <c r="A53105" s="56"/>
    </row>
    <row r="53106" spans="1:1">
      <c r="A53106" s="56"/>
    </row>
    <row r="53107" spans="1:1">
      <c r="A53107" s="56"/>
    </row>
    <row r="53108" spans="1:1">
      <c r="A53108" s="56"/>
    </row>
    <row r="53109" spans="1:1">
      <c r="A53109" s="56"/>
    </row>
    <row r="53110" spans="1:1">
      <c r="A53110" s="56"/>
    </row>
    <row r="53111" spans="1:1">
      <c r="A53111" s="56"/>
    </row>
    <row r="53112" spans="1:1">
      <c r="A53112" s="56"/>
    </row>
    <row r="53113" spans="1:1">
      <c r="A53113" s="56"/>
    </row>
    <row r="53114" spans="1:1">
      <c r="A53114" s="56"/>
    </row>
    <row r="53115" spans="1:1">
      <c r="A53115" s="56"/>
    </row>
    <row r="53116" spans="1:1">
      <c r="A53116" s="56"/>
    </row>
    <row r="53117" spans="1:1">
      <c r="A53117" s="56"/>
    </row>
    <row r="53118" spans="1:1">
      <c r="A53118" s="56"/>
    </row>
    <row r="53119" spans="1:1">
      <c r="A53119" s="56"/>
    </row>
    <row r="53120" spans="1:1">
      <c r="A53120" s="56"/>
    </row>
    <row r="53121" spans="1:1">
      <c r="A53121" s="56"/>
    </row>
    <row r="53122" spans="1:1">
      <c r="A53122" s="56"/>
    </row>
    <row r="53123" spans="1:1">
      <c r="A53123" s="56"/>
    </row>
    <row r="53124" spans="1:1">
      <c r="A53124" s="56"/>
    </row>
    <row r="53125" spans="1:1">
      <c r="A53125" s="56"/>
    </row>
    <row r="53126" spans="1:1">
      <c r="A53126" s="56"/>
    </row>
    <row r="53127" spans="1:1">
      <c r="A53127" s="56"/>
    </row>
    <row r="53128" spans="1:1">
      <c r="A53128" s="56"/>
    </row>
    <row r="53129" spans="1:1">
      <c r="A53129" s="56"/>
    </row>
    <row r="53130" spans="1:1">
      <c r="A53130" s="56"/>
    </row>
    <row r="53131" spans="1:1">
      <c r="A53131" s="56"/>
    </row>
    <row r="53132" spans="1:1">
      <c r="A53132" s="56"/>
    </row>
    <row r="53133" spans="1:1">
      <c r="A53133" s="56"/>
    </row>
    <row r="53134" spans="1:1">
      <c r="A53134" s="56"/>
    </row>
    <row r="53135" spans="1:1">
      <c r="A53135" s="56"/>
    </row>
    <row r="53136" spans="1:1">
      <c r="A53136" s="56"/>
    </row>
    <row r="53137" spans="1:1">
      <c r="A53137" s="56"/>
    </row>
    <row r="53138" spans="1:1">
      <c r="A53138" s="56"/>
    </row>
    <row r="53139" spans="1:1">
      <c r="A53139" s="56"/>
    </row>
    <row r="53140" spans="1:1">
      <c r="A53140" s="56"/>
    </row>
    <row r="53141" spans="1:1">
      <c r="A53141" s="56"/>
    </row>
    <row r="53142" spans="1:1">
      <c r="A53142" s="56"/>
    </row>
    <row r="53143" spans="1:1">
      <c r="A53143" s="56"/>
    </row>
    <row r="53144" spans="1:1">
      <c r="A53144" s="56"/>
    </row>
    <row r="53145" spans="1:1">
      <c r="A53145" s="56"/>
    </row>
    <row r="53146" spans="1:1">
      <c r="A53146" s="56"/>
    </row>
    <row r="53147" spans="1:1">
      <c r="A53147" s="56"/>
    </row>
    <row r="53148" spans="1:1">
      <c r="A53148" s="56"/>
    </row>
    <row r="53149" spans="1:1">
      <c r="A53149" s="56"/>
    </row>
    <row r="53150" spans="1:1">
      <c r="A53150" s="56"/>
    </row>
    <row r="53151" spans="1:1">
      <c r="A53151" s="56"/>
    </row>
    <row r="53152" spans="1:1">
      <c r="A53152" s="56"/>
    </row>
    <row r="53153" spans="1:1">
      <c r="A53153" s="56"/>
    </row>
    <row r="53154" spans="1:1">
      <c r="A53154" s="56"/>
    </row>
    <row r="53155" spans="1:1">
      <c r="A53155" s="56"/>
    </row>
    <row r="53156" spans="1:1">
      <c r="A53156" s="56"/>
    </row>
    <row r="53157" spans="1:1">
      <c r="A53157" s="56"/>
    </row>
    <row r="53158" spans="1:1">
      <c r="A53158" s="56"/>
    </row>
    <row r="53159" spans="1:1">
      <c r="A53159" s="56"/>
    </row>
    <row r="53160" spans="1:1">
      <c r="A53160" s="56"/>
    </row>
    <row r="53161" spans="1:1">
      <c r="A53161" s="56"/>
    </row>
    <row r="53162" spans="1:1">
      <c r="A53162" s="56"/>
    </row>
    <row r="53163" spans="1:1">
      <c r="A53163" s="56"/>
    </row>
    <row r="53164" spans="1:1">
      <c r="A53164" s="56"/>
    </row>
    <row r="53165" spans="1:1">
      <c r="A53165" s="56"/>
    </row>
    <row r="53166" spans="1:1">
      <c r="A53166" s="56"/>
    </row>
    <row r="53167" spans="1:1">
      <c r="A53167" s="56"/>
    </row>
    <row r="53168" spans="1:1">
      <c r="A53168" s="56"/>
    </row>
    <row r="53169" spans="1:1">
      <c r="A53169" s="56"/>
    </row>
    <row r="53170" spans="1:1">
      <c r="A53170" s="56"/>
    </row>
    <row r="53171" spans="1:1">
      <c r="A53171" s="56"/>
    </row>
    <row r="53172" spans="1:1">
      <c r="A53172" s="56"/>
    </row>
    <row r="53173" spans="1:1">
      <c r="A53173" s="56"/>
    </row>
    <row r="53174" spans="1:1">
      <c r="A53174" s="56"/>
    </row>
    <row r="53175" spans="1:1">
      <c r="A53175" s="56"/>
    </row>
    <row r="53176" spans="1:1">
      <c r="A53176" s="56"/>
    </row>
    <row r="53177" spans="1:1">
      <c r="A53177" s="56"/>
    </row>
    <row r="53178" spans="1:1">
      <c r="A53178" s="56"/>
    </row>
    <row r="53179" spans="1:1">
      <c r="A53179" s="56"/>
    </row>
    <row r="53180" spans="1:1">
      <c r="A53180" s="56"/>
    </row>
    <row r="53181" spans="1:1">
      <c r="A53181" s="56"/>
    </row>
    <row r="53182" spans="1:1">
      <c r="A53182" s="56"/>
    </row>
    <row r="53183" spans="1:1">
      <c r="A53183" s="56"/>
    </row>
    <row r="53184" spans="1:1">
      <c r="A53184" s="56"/>
    </row>
    <row r="53185" spans="1:1">
      <c r="A53185" s="56"/>
    </row>
    <row r="53186" spans="1:1">
      <c r="A53186" s="56"/>
    </row>
    <row r="53187" spans="1:1">
      <c r="A53187" s="56"/>
    </row>
    <row r="53188" spans="1:1">
      <c r="A53188" s="56"/>
    </row>
    <row r="53189" spans="1:1">
      <c r="A53189" s="56"/>
    </row>
    <row r="53190" spans="1:1">
      <c r="A53190" s="56"/>
    </row>
    <row r="53191" spans="1:1">
      <c r="A53191" s="56"/>
    </row>
    <row r="53192" spans="1:1">
      <c r="A53192" s="56"/>
    </row>
    <row r="53193" spans="1:1">
      <c r="A53193" s="56"/>
    </row>
    <row r="53194" spans="1:1">
      <c r="A53194" s="56"/>
    </row>
    <row r="53195" spans="1:1">
      <c r="A53195" s="56"/>
    </row>
    <row r="53196" spans="1:1">
      <c r="A53196" s="56"/>
    </row>
    <row r="53197" spans="1:1">
      <c r="A53197" s="56"/>
    </row>
    <row r="53198" spans="1:1">
      <c r="A53198" s="56"/>
    </row>
    <row r="53199" spans="1:1">
      <c r="A53199" s="56"/>
    </row>
    <row r="53200" spans="1:1">
      <c r="A53200" s="56"/>
    </row>
    <row r="53201" spans="1:1">
      <c r="A53201" s="56"/>
    </row>
    <row r="53202" spans="1:1">
      <c r="A53202" s="56"/>
    </row>
    <row r="53203" spans="1:1">
      <c r="A53203" s="56"/>
    </row>
    <row r="53204" spans="1:1">
      <c r="A53204" s="56"/>
    </row>
    <row r="53205" spans="1:1">
      <c r="A53205" s="56"/>
    </row>
    <row r="53206" spans="1:1">
      <c r="A53206" s="56"/>
    </row>
    <row r="53207" spans="1:1">
      <c r="A53207" s="56"/>
    </row>
    <row r="53208" spans="1:1">
      <c r="A53208" s="56"/>
    </row>
    <row r="53209" spans="1:1">
      <c r="A53209" s="56"/>
    </row>
    <row r="53210" spans="1:1">
      <c r="A53210" s="56"/>
    </row>
    <row r="53211" spans="1:1">
      <c r="A53211" s="56"/>
    </row>
    <row r="53212" spans="1:1">
      <c r="A53212" s="56"/>
    </row>
    <row r="53213" spans="1:1">
      <c r="A53213" s="56"/>
    </row>
    <row r="53214" spans="1:1">
      <c r="A53214" s="56"/>
    </row>
    <row r="53215" spans="1:1">
      <c r="A53215" s="56"/>
    </row>
    <row r="53216" spans="1:1">
      <c r="A53216" s="56"/>
    </row>
    <row r="53217" spans="1:1">
      <c r="A53217" s="56"/>
    </row>
    <row r="53218" spans="1:1">
      <c r="A53218" s="56"/>
    </row>
    <row r="53219" spans="1:1">
      <c r="A53219" s="56"/>
    </row>
    <row r="53220" spans="1:1">
      <c r="A53220" s="56"/>
    </row>
    <row r="53221" spans="1:1">
      <c r="A53221" s="56"/>
    </row>
    <row r="53222" spans="1:1">
      <c r="A53222" s="56"/>
    </row>
    <row r="53223" spans="1:1">
      <c r="A53223" s="56"/>
    </row>
    <row r="53224" spans="1:1">
      <c r="A53224" s="56"/>
    </row>
    <row r="53225" spans="1:1">
      <c r="A53225" s="56"/>
    </row>
    <row r="53226" spans="1:1">
      <c r="A53226" s="56"/>
    </row>
    <row r="53227" spans="1:1">
      <c r="A53227" s="56"/>
    </row>
    <row r="53228" spans="1:1">
      <c r="A53228" s="56"/>
    </row>
    <row r="53229" spans="1:1">
      <c r="A53229" s="56"/>
    </row>
    <row r="53230" spans="1:1">
      <c r="A53230" s="56"/>
    </row>
    <row r="53231" spans="1:1">
      <c r="A53231" s="56"/>
    </row>
    <row r="53232" spans="1:1">
      <c r="A53232" s="56"/>
    </row>
    <row r="53233" spans="1:1">
      <c r="A53233" s="56"/>
    </row>
    <row r="53234" spans="1:1">
      <c r="A53234" s="56"/>
    </row>
    <row r="53235" spans="1:1">
      <c r="A53235" s="56"/>
    </row>
    <row r="53236" spans="1:1">
      <c r="A53236" s="56"/>
    </row>
    <row r="53237" spans="1:1">
      <c r="A53237" s="56"/>
    </row>
    <row r="53238" spans="1:1">
      <c r="A53238" s="56"/>
    </row>
    <row r="53239" spans="1:1">
      <c r="A53239" s="56"/>
    </row>
    <row r="53240" spans="1:1">
      <c r="A53240" s="56"/>
    </row>
    <row r="53241" spans="1:1">
      <c r="A53241" s="56"/>
    </row>
    <row r="53242" spans="1:1">
      <c r="A53242" s="56"/>
    </row>
    <row r="53243" spans="1:1">
      <c r="A53243" s="56"/>
    </row>
    <row r="53244" spans="1:1">
      <c r="A53244" s="56"/>
    </row>
    <row r="53245" spans="1:1">
      <c r="A53245" s="56"/>
    </row>
    <row r="53246" spans="1:1">
      <c r="A53246" s="56"/>
    </row>
    <row r="53247" spans="1:1">
      <c r="A53247" s="56"/>
    </row>
    <row r="53248" spans="1:1">
      <c r="A53248" s="56"/>
    </row>
    <row r="53249" spans="1:1">
      <c r="A53249" s="56"/>
    </row>
    <row r="53250" spans="1:1">
      <c r="A53250" s="56"/>
    </row>
    <row r="53251" spans="1:1">
      <c r="A53251" s="56"/>
    </row>
    <row r="53252" spans="1:1">
      <c r="A53252" s="56"/>
    </row>
    <row r="53253" spans="1:1">
      <c r="A53253" s="56"/>
    </row>
    <row r="53254" spans="1:1">
      <c r="A53254" s="56"/>
    </row>
    <row r="53255" spans="1:1">
      <c r="A53255" s="56"/>
    </row>
    <row r="53256" spans="1:1">
      <c r="A53256" s="56"/>
    </row>
    <row r="53257" spans="1:1">
      <c r="A53257" s="56"/>
    </row>
    <row r="53258" spans="1:1">
      <c r="A53258" s="56"/>
    </row>
    <row r="53259" spans="1:1">
      <c r="A53259" s="56"/>
    </row>
    <row r="53260" spans="1:1">
      <c r="A53260" s="56"/>
    </row>
    <row r="53261" spans="1:1">
      <c r="A53261" s="56"/>
    </row>
    <row r="53262" spans="1:1">
      <c r="A53262" s="56"/>
    </row>
    <row r="53263" spans="1:1">
      <c r="A53263" s="56"/>
    </row>
    <row r="53264" spans="1:1">
      <c r="A53264" s="56"/>
    </row>
    <row r="53265" spans="1:1">
      <c r="A53265" s="56"/>
    </row>
    <row r="53266" spans="1:1">
      <c r="A53266" s="56"/>
    </row>
    <row r="53267" spans="1:1">
      <c r="A53267" s="56"/>
    </row>
    <row r="53268" spans="1:1">
      <c r="A53268" s="56"/>
    </row>
    <row r="53269" spans="1:1">
      <c r="A53269" s="56"/>
    </row>
    <row r="53270" spans="1:1">
      <c r="A53270" s="56"/>
    </row>
    <row r="53271" spans="1:1">
      <c r="A53271" s="56"/>
    </row>
    <row r="53272" spans="1:1">
      <c r="A53272" s="56"/>
    </row>
    <row r="53273" spans="1:1">
      <c r="A53273" s="56"/>
    </row>
    <row r="53274" spans="1:1">
      <c r="A53274" s="56"/>
    </row>
    <row r="53275" spans="1:1">
      <c r="A53275" s="56"/>
    </row>
    <row r="53276" spans="1:1">
      <c r="A53276" s="56"/>
    </row>
    <row r="53277" spans="1:1">
      <c r="A53277" s="56"/>
    </row>
    <row r="53278" spans="1:1">
      <c r="A53278" s="56"/>
    </row>
    <row r="53279" spans="1:1">
      <c r="A53279" s="56"/>
    </row>
    <row r="53280" spans="1:1">
      <c r="A53280" s="56"/>
    </row>
    <row r="53281" spans="1:1">
      <c r="A53281" s="56"/>
    </row>
    <row r="53282" spans="1:1">
      <c r="A53282" s="56"/>
    </row>
    <row r="53283" spans="1:1">
      <c r="A53283" s="56"/>
    </row>
    <row r="53284" spans="1:1">
      <c r="A53284" s="56"/>
    </row>
    <row r="53285" spans="1:1">
      <c r="A53285" s="56"/>
    </row>
    <row r="53286" spans="1:1">
      <c r="A53286" s="56"/>
    </row>
    <row r="53287" spans="1:1">
      <c r="A53287" s="56"/>
    </row>
    <row r="53288" spans="1:1">
      <c r="A53288" s="56"/>
    </row>
    <row r="53289" spans="1:1">
      <c r="A53289" s="56"/>
    </row>
    <row r="53290" spans="1:1">
      <c r="A53290" s="56"/>
    </row>
    <row r="53291" spans="1:1">
      <c r="A53291" s="56"/>
    </row>
    <row r="53292" spans="1:1">
      <c r="A53292" s="56"/>
    </row>
    <row r="53293" spans="1:1">
      <c r="A53293" s="56"/>
    </row>
    <row r="53294" spans="1:1">
      <c r="A53294" s="56"/>
    </row>
    <row r="53295" spans="1:1">
      <c r="A53295" s="56"/>
    </row>
    <row r="53296" spans="1:1">
      <c r="A53296" s="56"/>
    </row>
    <row r="53297" spans="1:1">
      <c r="A53297" s="56"/>
    </row>
    <row r="53298" spans="1:1">
      <c r="A53298" s="56"/>
    </row>
    <row r="53299" spans="1:1">
      <c r="A53299" s="56"/>
    </row>
    <row r="53300" spans="1:1">
      <c r="A53300" s="56"/>
    </row>
    <row r="53301" spans="1:1">
      <c r="A53301" s="56"/>
    </row>
    <row r="53302" spans="1:1">
      <c r="A53302" s="56"/>
    </row>
    <row r="53303" spans="1:1">
      <c r="A53303" s="56"/>
    </row>
    <row r="53304" spans="1:1">
      <c r="A53304" s="56"/>
    </row>
    <row r="53305" spans="1:1">
      <c r="A53305" s="56"/>
    </row>
    <row r="53306" spans="1:1">
      <c r="A53306" s="56"/>
    </row>
    <row r="53307" spans="1:1">
      <c r="A53307" s="56"/>
    </row>
    <row r="53308" spans="1:1">
      <c r="A53308" s="56"/>
    </row>
    <row r="53309" spans="1:1">
      <c r="A53309" s="56"/>
    </row>
    <row r="53310" spans="1:1">
      <c r="A53310" s="56"/>
    </row>
    <row r="53311" spans="1:1">
      <c r="A53311" s="56"/>
    </row>
    <row r="53312" spans="1:1">
      <c r="A53312" s="56"/>
    </row>
    <row r="53313" spans="1:1">
      <c r="A53313" s="56"/>
    </row>
    <row r="53314" spans="1:1">
      <c r="A53314" s="56"/>
    </row>
    <row r="53315" spans="1:1">
      <c r="A53315" s="56"/>
    </row>
    <row r="53316" spans="1:1">
      <c r="A53316" s="56"/>
    </row>
    <row r="53317" spans="1:1">
      <c r="A53317" s="56"/>
    </row>
    <row r="53318" spans="1:1">
      <c r="A53318" s="56"/>
    </row>
    <row r="53319" spans="1:1">
      <c r="A53319" s="56"/>
    </row>
    <row r="53320" spans="1:1">
      <c r="A53320" s="56"/>
    </row>
    <row r="53321" spans="1:1">
      <c r="A53321" s="56"/>
    </row>
    <row r="53322" spans="1:1">
      <c r="A53322" s="56"/>
    </row>
    <row r="53323" spans="1:1">
      <c r="A53323" s="56"/>
    </row>
    <row r="53324" spans="1:1">
      <c r="A53324" s="56"/>
    </row>
    <row r="53325" spans="1:1">
      <c r="A53325" s="56"/>
    </row>
    <row r="53326" spans="1:1">
      <c r="A53326" s="56"/>
    </row>
    <row r="53327" spans="1:1">
      <c r="A53327" s="56"/>
    </row>
    <row r="53328" spans="1:1">
      <c r="A53328" s="56"/>
    </row>
    <row r="53329" spans="1:1">
      <c r="A53329" s="56"/>
    </row>
    <row r="53330" spans="1:1">
      <c r="A53330" s="56"/>
    </row>
    <row r="53331" spans="1:1">
      <c r="A53331" s="56"/>
    </row>
    <row r="53332" spans="1:1">
      <c r="A53332" s="56"/>
    </row>
    <row r="53333" spans="1:1">
      <c r="A53333" s="56"/>
    </row>
    <row r="53334" spans="1:1">
      <c r="A53334" s="56"/>
    </row>
    <row r="53335" spans="1:1">
      <c r="A53335" s="56"/>
    </row>
    <row r="53336" spans="1:1">
      <c r="A53336" s="56"/>
    </row>
    <row r="53337" spans="1:1">
      <c r="A53337" s="56"/>
    </row>
    <row r="53338" spans="1:1">
      <c r="A53338" s="56"/>
    </row>
    <row r="53339" spans="1:1">
      <c r="A53339" s="56"/>
    </row>
    <row r="53340" spans="1:1">
      <c r="A53340" s="56"/>
    </row>
    <row r="53341" spans="1:1">
      <c r="A53341" s="56"/>
    </row>
    <row r="53342" spans="1:1">
      <c r="A53342" s="56"/>
    </row>
    <row r="53343" spans="1:1">
      <c r="A53343" s="56"/>
    </row>
    <row r="53344" spans="1:1">
      <c r="A53344" s="56"/>
    </row>
    <row r="53345" spans="1:1">
      <c r="A53345" s="56"/>
    </row>
    <row r="53346" spans="1:1">
      <c r="A53346" s="56"/>
    </row>
    <row r="53347" spans="1:1">
      <c r="A53347" s="56"/>
    </row>
    <row r="53348" spans="1:1">
      <c r="A53348" s="56"/>
    </row>
    <row r="53349" spans="1:1">
      <c r="A53349" s="56"/>
    </row>
    <row r="53350" spans="1:1">
      <c r="A53350" s="56"/>
    </row>
    <row r="53351" spans="1:1">
      <c r="A53351" s="56"/>
    </row>
    <row r="53352" spans="1:1">
      <c r="A53352" s="56"/>
    </row>
    <row r="53353" spans="1:1">
      <c r="A53353" s="56"/>
    </row>
    <row r="53354" spans="1:1">
      <c r="A53354" s="56"/>
    </row>
    <row r="53355" spans="1:1">
      <c r="A53355" s="56"/>
    </row>
    <row r="53356" spans="1:1">
      <c r="A53356" s="56"/>
    </row>
    <row r="53357" spans="1:1">
      <c r="A53357" s="56"/>
    </row>
    <row r="53358" spans="1:1">
      <c r="A53358" s="56"/>
    </row>
    <row r="53359" spans="1:1">
      <c r="A53359" s="56"/>
    </row>
    <row r="53360" spans="1:1">
      <c r="A53360" s="56"/>
    </row>
    <row r="53361" spans="1:1">
      <c r="A53361" s="56"/>
    </row>
    <row r="53362" spans="1:1">
      <c r="A53362" s="56"/>
    </row>
    <row r="53363" spans="1:1">
      <c r="A53363" s="56"/>
    </row>
    <row r="53364" spans="1:1">
      <c r="A53364" s="56"/>
    </row>
    <row r="53365" spans="1:1">
      <c r="A53365" s="56"/>
    </row>
    <row r="53366" spans="1:1">
      <c r="A53366" s="56"/>
    </row>
    <row r="53367" spans="1:1">
      <c r="A53367" s="56"/>
    </row>
    <row r="53368" spans="1:1">
      <c r="A53368" s="56"/>
    </row>
    <row r="53369" spans="1:1">
      <c r="A53369" s="56"/>
    </row>
    <row r="53370" spans="1:1">
      <c r="A53370" s="56"/>
    </row>
    <row r="53371" spans="1:1">
      <c r="A53371" s="56"/>
    </row>
    <row r="53372" spans="1:1">
      <c r="A53372" s="56"/>
    </row>
    <row r="53373" spans="1:1">
      <c r="A53373" s="56"/>
    </row>
    <row r="53374" spans="1:1">
      <c r="A53374" s="56"/>
    </row>
    <row r="53375" spans="1:1">
      <c r="A53375" s="56"/>
    </row>
    <row r="53376" spans="1:1">
      <c r="A53376" s="56"/>
    </row>
    <row r="53377" spans="1:1">
      <c r="A53377" s="56"/>
    </row>
    <row r="53378" spans="1:1">
      <c r="A53378" s="56"/>
    </row>
    <row r="53379" spans="1:1">
      <c r="A53379" s="56"/>
    </row>
    <row r="53380" spans="1:1">
      <c r="A53380" s="56"/>
    </row>
    <row r="53381" spans="1:1">
      <c r="A53381" s="56"/>
    </row>
    <row r="53382" spans="1:1">
      <c r="A53382" s="56"/>
    </row>
    <row r="53383" spans="1:1">
      <c r="A53383" s="56"/>
    </row>
    <row r="53384" spans="1:1">
      <c r="A53384" s="56"/>
    </row>
    <row r="53385" spans="1:1">
      <c r="A53385" s="56"/>
    </row>
    <row r="53386" spans="1:1">
      <c r="A53386" s="56"/>
    </row>
    <row r="53387" spans="1:1">
      <c r="A53387" s="56"/>
    </row>
    <row r="53388" spans="1:1">
      <c r="A53388" s="56"/>
    </row>
    <row r="53389" spans="1:1">
      <c r="A53389" s="56"/>
    </row>
    <row r="53390" spans="1:1">
      <c r="A53390" s="56"/>
    </row>
    <row r="53391" spans="1:1">
      <c r="A53391" s="56"/>
    </row>
    <row r="53392" spans="1:1">
      <c r="A53392" s="56"/>
    </row>
    <row r="53393" spans="1:1">
      <c r="A53393" s="56"/>
    </row>
    <row r="53394" spans="1:1">
      <c r="A53394" s="56"/>
    </row>
    <row r="53395" spans="1:1">
      <c r="A53395" s="56"/>
    </row>
    <row r="53396" spans="1:1">
      <c r="A53396" s="56"/>
    </row>
    <row r="53397" spans="1:1">
      <c r="A53397" s="56"/>
    </row>
    <row r="53398" spans="1:1">
      <c r="A53398" s="56"/>
    </row>
    <row r="53399" spans="1:1">
      <c r="A53399" s="56"/>
    </row>
    <row r="53400" spans="1:1">
      <c r="A53400" s="56"/>
    </row>
    <row r="53401" spans="1:1">
      <c r="A53401" s="56"/>
    </row>
    <row r="53402" spans="1:1">
      <c r="A53402" s="56"/>
    </row>
    <row r="53403" spans="1:1">
      <c r="A53403" s="56"/>
    </row>
    <row r="53404" spans="1:1">
      <c r="A53404" s="56"/>
    </row>
    <row r="53405" spans="1:1">
      <c r="A53405" s="56"/>
    </row>
    <row r="53406" spans="1:1">
      <c r="A53406" s="56"/>
    </row>
    <row r="53407" spans="1:1">
      <c r="A53407" s="56"/>
    </row>
    <row r="53408" spans="1:1">
      <c r="A53408" s="56"/>
    </row>
    <row r="53409" spans="1:1">
      <c r="A53409" s="56"/>
    </row>
    <row r="53410" spans="1:1">
      <c r="A53410" s="56"/>
    </row>
    <row r="53411" spans="1:1">
      <c r="A53411" s="56"/>
    </row>
    <row r="53412" spans="1:1">
      <c r="A53412" s="56"/>
    </row>
    <row r="53413" spans="1:1">
      <c r="A53413" s="56"/>
    </row>
    <row r="53414" spans="1:1">
      <c r="A53414" s="56"/>
    </row>
    <row r="53415" spans="1:1">
      <c r="A53415" s="56"/>
    </row>
    <row r="53416" spans="1:1">
      <c r="A53416" s="56"/>
    </row>
    <row r="53417" spans="1:1">
      <c r="A53417" s="56"/>
    </row>
    <row r="53418" spans="1:1">
      <c r="A53418" s="56"/>
    </row>
    <row r="53419" spans="1:1">
      <c r="A53419" s="56"/>
    </row>
    <row r="53420" spans="1:1">
      <c r="A53420" s="56"/>
    </row>
    <row r="53421" spans="1:1">
      <c r="A53421" s="56"/>
    </row>
    <row r="53422" spans="1:1">
      <c r="A53422" s="56"/>
    </row>
    <row r="53423" spans="1:1">
      <c r="A53423" s="56"/>
    </row>
    <row r="53424" spans="1:1">
      <c r="A53424" s="56"/>
    </row>
    <row r="53425" spans="1:1">
      <c r="A53425" s="56"/>
    </row>
    <row r="53426" spans="1:1">
      <c r="A53426" s="56"/>
    </row>
    <row r="53427" spans="1:1">
      <c r="A53427" s="56"/>
    </row>
    <row r="53428" spans="1:1">
      <c r="A53428" s="56"/>
    </row>
    <row r="53429" spans="1:1">
      <c r="A53429" s="56"/>
    </row>
    <row r="53430" spans="1:1">
      <c r="A53430" s="56"/>
    </row>
    <row r="53431" spans="1:1">
      <c r="A53431" s="56"/>
    </row>
    <row r="53432" spans="1:1">
      <c r="A53432" s="56"/>
    </row>
    <row r="53433" spans="1:1">
      <c r="A53433" s="56"/>
    </row>
    <row r="53434" spans="1:1">
      <c r="A53434" s="56"/>
    </row>
    <row r="53435" spans="1:1">
      <c r="A53435" s="56"/>
    </row>
    <row r="53436" spans="1:1">
      <c r="A53436" s="56"/>
    </row>
    <row r="53437" spans="1:1">
      <c r="A53437" s="56"/>
    </row>
    <row r="53438" spans="1:1">
      <c r="A53438" s="56"/>
    </row>
    <row r="53439" spans="1:1">
      <c r="A53439" s="56"/>
    </row>
    <row r="53440" spans="1:1">
      <c r="A53440" s="56"/>
    </row>
    <row r="53441" spans="1:1">
      <c r="A53441" s="56"/>
    </row>
    <row r="53442" spans="1:1">
      <c r="A53442" s="56"/>
    </row>
    <row r="53443" spans="1:1">
      <c r="A53443" s="56"/>
    </row>
    <row r="53444" spans="1:1">
      <c r="A53444" s="56"/>
    </row>
    <row r="53445" spans="1:1">
      <c r="A53445" s="56"/>
    </row>
    <row r="53446" spans="1:1">
      <c r="A53446" s="56"/>
    </row>
    <row r="53447" spans="1:1">
      <c r="A53447" s="56"/>
    </row>
    <row r="53448" spans="1:1">
      <c r="A53448" s="56"/>
    </row>
    <row r="53449" spans="1:1">
      <c r="A53449" s="56"/>
    </row>
    <row r="53450" spans="1:1">
      <c r="A53450" s="56"/>
    </row>
    <row r="53451" spans="1:1">
      <c r="A53451" s="56"/>
    </row>
    <row r="53452" spans="1:1">
      <c r="A53452" s="56"/>
    </row>
    <row r="53453" spans="1:1">
      <c r="A53453" s="56"/>
    </row>
    <row r="53454" spans="1:1">
      <c r="A53454" s="56"/>
    </row>
    <row r="53455" spans="1:1">
      <c r="A53455" s="56"/>
    </row>
    <row r="53456" spans="1:1">
      <c r="A53456" s="56"/>
    </row>
    <row r="53457" spans="1:1">
      <c r="A53457" s="56"/>
    </row>
    <row r="53458" spans="1:1">
      <c r="A53458" s="56"/>
    </row>
    <row r="53459" spans="1:1">
      <c r="A53459" s="56"/>
    </row>
    <row r="53460" spans="1:1">
      <c r="A53460" s="56"/>
    </row>
    <row r="53461" spans="1:1">
      <c r="A53461" s="56"/>
    </row>
    <row r="53462" spans="1:1">
      <c r="A53462" s="56"/>
    </row>
    <row r="53463" spans="1:1">
      <c r="A53463" s="56"/>
    </row>
    <row r="53464" spans="1:1">
      <c r="A53464" s="56"/>
    </row>
    <row r="53465" spans="1:1">
      <c r="A53465" s="56"/>
    </row>
    <row r="53466" spans="1:1">
      <c r="A53466" s="56"/>
    </row>
    <row r="53467" spans="1:1">
      <c r="A53467" s="56"/>
    </row>
    <row r="53468" spans="1:1">
      <c r="A53468" s="56"/>
    </row>
    <row r="53469" spans="1:1">
      <c r="A53469" s="56"/>
    </row>
    <row r="53470" spans="1:1">
      <c r="A53470" s="56"/>
    </row>
    <row r="53471" spans="1:1">
      <c r="A53471" s="56"/>
    </row>
    <row r="53472" spans="1:1">
      <c r="A53472" s="56"/>
    </row>
    <row r="53473" spans="1:1">
      <c r="A53473" s="56"/>
    </row>
    <row r="53474" spans="1:1">
      <c r="A53474" s="56"/>
    </row>
    <row r="53475" spans="1:1">
      <c r="A53475" s="56"/>
    </row>
    <row r="53476" spans="1:1">
      <c r="A53476" s="56"/>
    </row>
    <row r="53477" spans="1:1">
      <c r="A53477" s="56"/>
    </row>
    <row r="53478" spans="1:1">
      <c r="A53478" s="56"/>
    </row>
    <row r="53479" spans="1:1">
      <c r="A53479" s="56"/>
    </row>
    <row r="53480" spans="1:1">
      <c r="A53480" s="56"/>
    </row>
    <row r="53481" spans="1:1">
      <c r="A53481" s="56"/>
    </row>
    <row r="53482" spans="1:1">
      <c r="A53482" s="56"/>
    </row>
    <row r="53483" spans="1:1">
      <c r="A53483" s="56"/>
    </row>
    <row r="53484" spans="1:1">
      <c r="A53484" s="56"/>
    </row>
    <row r="53485" spans="1:1">
      <c r="A53485" s="56"/>
    </row>
    <row r="53486" spans="1:1">
      <c r="A53486" s="56"/>
    </row>
    <row r="53487" spans="1:1">
      <c r="A53487" s="56"/>
    </row>
    <row r="53488" spans="1:1">
      <c r="A53488" s="56"/>
    </row>
    <row r="53489" spans="1:1">
      <c r="A53489" s="56"/>
    </row>
    <row r="53490" spans="1:1">
      <c r="A53490" s="56"/>
    </row>
    <row r="53491" spans="1:1">
      <c r="A53491" s="56"/>
    </row>
    <row r="53492" spans="1:1">
      <c r="A53492" s="56"/>
    </row>
    <row r="53493" spans="1:1">
      <c r="A53493" s="56"/>
    </row>
    <row r="53494" spans="1:1">
      <c r="A53494" s="56"/>
    </row>
    <row r="53495" spans="1:1">
      <c r="A53495" s="56"/>
    </row>
    <row r="53496" spans="1:1">
      <c r="A53496" s="56"/>
    </row>
    <row r="53497" spans="1:1">
      <c r="A53497" s="56"/>
    </row>
    <row r="53498" spans="1:1">
      <c r="A53498" s="56"/>
    </row>
    <row r="53499" spans="1:1">
      <c r="A53499" s="56"/>
    </row>
    <row r="53500" spans="1:1">
      <c r="A53500" s="56"/>
    </row>
    <row r="53501" spans="1:1">
      <c r="A53501" s="56"/>
    </row>
    <row r="53502" spans="1:1">
      <c r="A53502" s="56"/>
    </row>
    <row r="53503" spans="1:1">
      <c r="A53503" s="56"/>
    </row>
    <row r="53504" spans="1:1">
      <c r="A53504" s="56"/>
    </row>
    <row r="53505" spans="1:1">
      <c r="A53505" s="56"/>
    </row>
    <row r="53506" spans="1:1">
      <c r="A53506" s="56"/>
    </row>
    <row r="53507" spans="1:1">
      <c r="A53507" s="56"/>
    </row>
    <row r="53508" spans="1:1">
      <c r="A53508" s="56"/>
    </row>
    <row r="53509" spans="1:1">
      <c r="A53509" s="56"/>
    </row>
    <row r="53510" spans="1:1">
      <c r="A53510" s="56"/>
    </row>
    <row r="53511" spans="1:1">
      <c r="A53511" s="56"/>
    </row>
    <row r="53512" spans="1:1">
      <c r="A53512" s="56"/>
    </row>
    <row r="53513" spans="1:1">
      <c r="A53513" s="56"/>
    </row>
    <row r="53514" spans="1:1">
      <c r="A53514" s="56"/>
    </row>
    <row r="53515" spans="1:1">
      <c r="A53515" s="56"/>
    </row>
    <row r="53516" spans="1:1">
      <c r="A53516" s="56"/>
    </row>
    <row r="53517" spans="1:1">
      <c r="A53517" s="56"/>
    </row>
    <row r="53518" spans="1:1">
      <c r="A53518" s="56"/>
    </row>
    <row r="53519" spans="1:1">
      <c r="A53519" s="56"/>
    </row>
    <row r="53520" spans="1:1">
      <c r="A53520" s="56"/>
    </row>
    <row r="53521" spans="1:1">
      <c r="A53521" s="56"/>
    </row>
    <row r="53522" spans="1:1">
      <c r="A53522" s="56"/>
    </row>
    <row r="53523" spans="1:1">
      <c r="A53523" s="56"/>
    </row>
    <row r="53524" spans="1:1">
      <c r="A53524" s="56"/>
    </row>
    <row r="53525" spans="1:1">
      <c r="A53525" s="56"/>
    </row>
    <row r="53526" spans="1:1">
      <c r="A53526" s="56"/>
    </row>
    <row r="53527" spans="1:1">
      <c r="A53527" s="56"/>
    </row>
    <row r="53528" spans="1:1">
      <c r="A53528" s="56"/>
    </row>
    <row r="53529" spans="1:1">
      <c r="A53529" s="56"/>
    </row>
    <row r="53530" spans="1:1">
      <c r="A53530" s="56"/>
    </row>
    <row r="53531" spans="1:1">
      <c r="A53531" s="56"/>
    </row>
    <row r="53532" spans="1:1">
      <c r="A53532" s="56"/>
    </row>
    <row r="53533" spans="1:1">
      <c r="A53533" s="56"/>
    </row>
    <row r="53534" spans="1:1">
      <c r="A53534" s="56"/>
    </row>
    <row r="53535" spans="1:1">
      <c r="A53535" s="56"/>
    </row>
    <row r="53536" spans="1:1">
      <c r="A53536" s="56"/>
    </row>
    <row r="53537" spans="1:1">
      <c r="A53537" s="56"/>
    </row>
    <row r="53538" spans="1:1">
      <c r="A53538" s="56"/>
    </row>
    <row r="53539" spans="1:1">
      <c r="A53539" s="56"/>
    </row>
    <row r="53540" spans="1:1">
      <c r="A53540" s="56"/>
    </row>
    <row r="53541" spans="1:1">
      <c r="A53541" s="56"/>
    </row>
    <row r="53542" spans="1:1">
      <c r="A53542" s="56"/>
    </row>
    <row r="53543" spans="1:1">
      <c r="A53543" s="56"/>
    </row>
    <row r="53544" spans="1:1">
      <c r="A53544" s="56"/>
    </row>
    <row r="53545" spans="1:1">
      <c r="A53545" s="56"/>
    </row>
    <row r="53546" spans="1:1">
      <c r="A53546" s="56"/>
    </row>
    <row r="53547" spans="1:1">
      <c r="A53547" s="56"/>
    </row>
    <row r="53548" spans="1:1">
      <c r="A53548" s="56"/>
    </row>
    <row r="53549" spans="1:1">
      <c r="A53549" s="56"/>
    </row>
    <row r="53550" spans="1:1">
      <c r="A53550" s="56"/>
    </row>
    <row r="53551" spans="1:1">
      <c r="A53551" s="56"/>
    </row>
    <row r="53552" spans="1:1">
      <c r="A53552" s="56"/>
    </row>
    <row r="53553" spans="1:1">
      <c r="A53553" s="56"/>
    </row>
    <row r="53554" spans="1:1">
      <c r="A53554" s="56"/>
    </row>
    <row r="53555" spans="1:1">
      <c r="A53555" s="56"/>
    </row>
    <row r="53556" spans="1:1">
      <c r="A53556" s="56"/>
    </row>
    <row r="53557" spans="1:1">
      <c r="A53557" s="56"/>
    </row>
    <row r="53558" spans="1:1">
      <c r="A53558" s="56"/>
    </row>
    <row r="53559" spans="1:1">
      <c r="A53559" s="56"/>
    </row>
    <row r="53560" spans="1:1">
      <c r="A53560" s="56"/>
    </row>
    <row r="53561" spans="1:1">
      <c r="A53561" s="56"/>
    </row>
    <row r="53562" spans="1:1">
      <c r="A53562" s="56"/>
    </row>
    <row r="53563" spans="1:1">
      <c r="A53563" s="56"/>
    </row>
    <row r="53564" spans="1:1">
      <c r="A53564" s="56"/>
    </row>
    <row r="53565" spans="1:1">
      <c r="A53565" s="56"/>
    </row>
    <row r="53566" spans="1:1">
      <c r="A53566" s="56"/>
    </row>
    <row r="53567" spans="1:1">
      <c r="A53567" s="56"/>
    </row>
    <row r="53568" spans="1:1">
      <c r="A53568" s="56"/>
    </row>
    <row r="53569" spans="1:1">
      <c r="A53569" s="56"/>
    </row>
    <row r="53570" spans="1:1">
      <c r="A53570" s="56"/>
    </row>
    <row r="53571" spans="1:1">
      <c r="A53571" s="56"/>
    </row>
    <row r="53572" spans="1:1">
      <c r="A53572" s="56"/>
    </row>
    <row r="53573" spans="1:1">
      <c r="A53573" s="56"/>
    </row>
    <row r="53574" spans="1:1">
      <c r="A53574" s="56"/>
    </row>
    <row r="53575" spans="1:1">
      <c r="A53575" s="56"/>
    </row>
    <row r="53576" spans="1:1">
      <c r="A53576" s="56"/>
    </row>
    <row r="53577" spans="1:1">
      <c r="A53577" s="56"/>
    </row>
    <row r="53578" spans="1:1">
      <c r="A53578" s="56"/>
    </row>
    <row r="53579" spans="1:1">
      <c r="A53579" s="56"/>
    </row>
    <row r="53580" spans="1:1">
      <c r="A53580" s="56"/>
    </row>
    <row r="53581" spans="1:1">
      <c r="A53581" s="56"/>
    </row>
    <row r="53582" spans="1:1">
      <c r="A53582" s="56"/>
    </row>
    <row r="53583" spans="1:1">
      <c r="A53583" s="56"/>
    </row>
    <row r="53584" spans="1:1">
      <c r="A53584" s="56"/>
    </row>
    <row r="53585" spans="1:1">
      <c r="A53585" s="56"/>
    </row>
    <row r="53586" spans="1:1">
      <c r="A53586" s="56"/>
    </row>
    <row r="53587" spans="1:1">
      <c r="A53587" s="56"/>
    </row>
    <row r="53588" spans="1:1">
      <c r="A53588" s="56"/>
    </row>
    <row r="53589" spans="1:1">
      <c r="A53589" s="56"/>
    </row>
    <row r="53590" spans="1:1">
      <c r="A53590" s="56"/>
    </row>
    <row r="53591" spans="1:1">
      <c r="A53591" s="56"/>
    </row>
    <row r="53592" spans="1:1">
      <c r="A53592" s="56"/>
    </row>
    <row r="53593" spans="1:1">
      <c r="A53593" s="56"/>
    </row>
    <row r="53594" spans="1:1">
      <c r="A53594" s="56"/>
    </row>
    <row r="53595" spans="1:1">
      <c r="A53595" s="56"/>
    </row>
    <row r="53596" spans="1:1">
      <c r="A53596" s="56"/>
    </row>
    <row r="53597" spans="1:1">
      <c r="A53597" s="56"/>
    </row>
    <row r="53598" spans="1:1">
      <c r="A53598" s="56"/>
    </row>
    <row r="53599" spans="1:1">
      <c r="A53599" s="56"/>
    </row>
    <row r="53600" spans="1:1">
      <c r="A53600" s="56"/>
    </row>
    <row r="53601" spans="1:1">
      <c r="A53601" s="56"/>
    </row>
    <row r="53602" spans="1:1">
      <c r="A53602" s="56"/>
    </row>
    <row r="53603" spans="1:1">
      <c r="A53603" s="56"/>
    </row>
    <row r="53604" spans="1:1">
      <c r="A53604" s="56"/>
    </row>
    <row r="53605" spans="1:1">
      <c r="A53605" s="56"/>
    </row>
    <row r="53606" spans="1:1">
      <c r="A53606" s="56"/>
    </row>
    <row r="53607" spans="1:1">
      <c r="A53607" s="56"/>
    </row>
    <row r="53608" spans="1:1">
      <c r="A53608" s="56"/>
    </row>
    <row r="53609" spans="1:1">
      <c r="A53609" s="56"/>
    </row>
    <row r="53610" spans="1:1">
      <c r="A53610" s="56"/>
    </row>
    <row r="53611" spans="1:1">
      <c r="A53611" s="56"/>
    </row>
    <row r="53612" spans="1:1">
      <c r="A53612" s="56"/>
    </row>
    <row r="53613" spans="1:1">
      <c r="A53613" s="56"/>
    </row>
    <row r="53614" spans="1:1">
      <c r="A53614" s="56"/>
    </row>
    <row r="53615" spans="1:1">
      <c r="A53615" s="56"/>
    </row>
    <row r="53616" spans="1:1">
      <c r="A53616" s="56"/>
    </row>
    <row r="53617" spans="1:1">
      <c r="A53617" s="56"/>
    </row>
    <row r="53618" spans="1:1">
      <c r="A53618" s="56"/>
    </row>
    <row r="53619" spans="1:1">
      <c r="A53619" s="56"/>
    </row>
    <row r="53620" spans="1:1">
      <c r="A53620" s="56"/>
    </row>
    <row r="53621" spans="1:1">
      <c r="A53621" s="56"/>
    </row>
    <row r="53622" spans="1:1">
      <c r="A53622" s="56"/>
    </row>
    <row r="53623" spans="1:1">
      <c r="A53623" s="56"/>
    </row>
    <row r="53624" spans="1:1">
      <c r="A53624" s="56"/>
    </row>
    <row r="53625" spans="1:1">
      <c r="A53625" s="56"/>
    </row>
    <row r="53626" spans="1:1">
      <c r="A53626" s="56"/>
    </row>
    <row r="53627" spans="1:1">
      <c r="A53627" s="56"/>
    </row>
    <row r="53628" spans="1:1">
      <c r="A53628" s="56"/>
    </row>
    <row r="53629" spans="1:1">
      <c r="A53629" s="56"/>
    </row>
    <row r="53630" spans="1:1">
      <c r="A53630" s="56"/>
    </row>
    <row r="53631" spans="1:1">
      <c r="A53631" s="56"/>
    </row>
    <row r="53632" spans="1:1">
      <c r="A53632" s="56"/>
    </row>
    <row r="53633" spans="1:1">
      <c r="A53633" s="56"/>
    </row>
    <row r="53634" spans="1:1">
      <c r="A53634" s="56"/>
    </row>
    <row r="53635" spans="1:1">
      <c r="A53635" s="56"/>
    </row>
    <row r="53636" spans="1:1">
      <c r="A53636" s="56"/>
    </row>
    <row r="53637" spans="1:1">
      <c r="A53637" s="56"/>
    </row>
    <row r="53638" spans="1:1">
      <c r="A53638" s="56"/>
    </row>
    <row r="53639" spans="1:1">
      <c r="A53639" s="56"/>
    </row>
    <row r="53640" spans="1:1">
      <c r="A53640" s="56"/>
    </row>
    <row r="53641" spans="1:1">
      <c r="A53641" s="56"/>
    </row>
    <row r="53642" spans="1:1">
      <c r="A53642" s="56"/>
    </row>
    <row r="53643" spans="1:1">
      <c r="A53643" s="56"/>
    </row>
    <row r="53644" spans="1:1">
      <c r="A53644" s="56"/>
    </row>
    <row r="53645" spans="1:1">
      <c r="A53645" s="56"/>
    </row>
    <row r="53646" spans="1:1">
      <c r="A53646" s="56"/>
    </row>
    <row r="53647" spans="1:1">
      <c r="A53647" s="56"/>
    </row>
    <row r="53648" spans="1:1">
      <c r="A53648" s="56"/>
    </row>
    <row r="53649" spans="1:1">
      <c r="A53649" s="56"/>
    </row>
    <row r="53650" spans="1:1">
      <c r="A53650" s="56"/>
    </row>
    <row r="53651" spans="1:1">
      <c r="A53651" s="56"/>
    </row>
    <row r="53652" spans="1:1">
      <c r="A53652" s="56"/>
    </row>
    <row r="53653" spans="1:1">
      <c r="A53653" s="56"/>
    </row>
    <row r="53654" spans="1:1">
      <c r="A53654" s="56"/>
    </row>
    <row r="53655" spans="1:1">
      <c r="A53655" s="56"/>
    </row>
    <row r="53656" spans="1:1">
      <c r="A53656" s="56"/>
    </row>
    <row r="53657" spans="1:1">
      <c r="A53657" s="56"/>
    </row>
    <row r="53658" spans="1:1">
      <c r="A53658" s="56"/>
    </row>
    <row r="53659" spans="1:1">
      <c r="A53659" s="56"/>
    </row>
    <row r="53660" spans="1:1">
      <c r="A53660" s="56"/>
    </row>
    <row r="53661" spans="1:1">
      <c r="A53661" s="56"/>
    </row>
    <row r="53662" spans="1:1">
      <c r="A53662" s="56"/>
    </row>
    <row r="53663" spans="1:1">
      <c r="A53663" s="56"/>
    </row>
    <row r="53664" spans="1:1">
      <c r="A53664" s="56"/>
    </row>
    <row r="53665" spans="1:1">
      <c r="A53665" s="56"/>
    </row>
    <row r="53666" spans="1:1">
      <c r="A53666" s="56"/>
    </row>
    <row r="53667" spans="1:1">
      <c r="A53667" s="56"/>
    </row>
    <row r="53668" spans="1:1">
      <c r="A53668" s="56"/>
    </row>
    <row r="53669" spans="1:1">
      <c r="A53669" s="56"/>
    </row>
    <row r="53670" spans="1:1">
      <c r="A53670" s="56"/>
    </row>
    <row r="53671" spans="1:1">
      <c r="A53671" s="56"/>
    </row>
    <row r="53672" spans="1:1">
      <c r="A53672" s="56"/>
    </row>
    <row r="53673" spans="1:1">
      <c r="A53673" s="56"/>
    </row>
    <row r="53674" spans="1:1">
      <c r="A53674" s="56"/>
    </row>
    <row r="53675" spans="1:1">
      <c r="A53675" s="56"/>
    </row>
    <row r="53676" spans="1:1">
      <c r="A53676" s="56"/>
    </row>
    <row r="53677" spans="1:1">
      <c r="A53677" s="56"/>
    </row>
    <row r="53678" spans="1:1">
      <c r="A53678" s="56"/>
    </row>
    <row r="53679" spans="1:1">
      <c r="A53679" s="56"/>
    </row>
    <row r="53680" spans="1:1">
      <c r="A53680" s="56"/>
    </row>
    <row r="53681" spans="1:1">
      <c r="A53681" s="56"/>
    </row>
    <row r="53682" spans="1:1">
      <c r="A53682" s="56"/>
    </row>
    <row r="53683" spans="1:1">
      <c r="A53683" s="56"/>
    </row>
    <row r="53684" spans="1:1">
      <c r="A53684" s="56"/>
    </row>
    <row r="53685" spans="1:1">
      <c r="A53685" s="56"/>
    </row>
    <row r="53686" spans="1:1">
      <c r="A53686" s="56"/>
    </row>
    <row r="53687" spans="1:1">
      <c r="A53687" s="56"/>
    </row>
    <row r="53688" spans="1:1">
      <c r="A53688" s="56"/>
    </row>
    <row r="53689" spans="1:1">
      <c r="A53689" s="56"/>
    </row>
    <row r="53690" spans="1:1">
      <c r="A53690" s="56"/>
    </row>
    <row r="53691" spans="1:1">
      <c r="A53691" s="56"/>
    </row>
    <row r="53692" spans="1:1">
      <c r="A53692" s="56"/>
    </row>
    <row r="53693" spans="1:1">
      <c r="A53693" s="56"/>
    </row>
    <row r="53694" spans="1:1">
      <c r="A53694" s="56"/>
    </row>
    <row r="53695" spans="1:1">
      <c r="A53695" s="56"/>
    </row>
    <row r="53696" spans="1:1">
      <c r="A53696" s="56"/>
    </row>
    <row r="53697" spans="1:1">
      <c r="A53697" s="56"/>
    </row>
    <row r="53698" spans="1:1">
      <c r="A53698" s="56"/>
    </row>
    <row r="53699" spans="1:1">
      <c r="A53699" s="56"/>
    </row>
    <row r="53700" spans="1:1">
      <c r="A53700" s="56"/>
    </row>
    <row r="53701" spans="1:1">
      <c r="A53701" s="56"/>
    </row>
    <row r="53702" spans="1:1">
      <c r="A53702" s="56"/>
    </row>
    <row r="53703" spans="1:1">
      <c r="A53703" s="56"/>
    </row>
    <row r="53704" spans="1:1">
      <c r="A53704" s="56"/>
    </row>
    <row r="53705" spans="1:1">
      <c r="A53705" s="56"/>
    </row>
    <row r="53706" spans="1:1">
      <c r="A53706" s="56"/>
    </row>
    <row r="53707" spans="1:1">
      <c r="A53707" s="56"/>
    </row>
    <row r="53708" spans="1:1">
      <c r="A53708" s="56"/>
    </row>
    <row r="53709" spans="1:1">
      <c r="A53709" s="56"/>
    </row>
    <row r="53710" spans="1:1">
      <c r="A53710" s="56"/>
    </row>
    <row r="53711" spans="1:1">
      <c r="A53711" s="56"/>
    </row>
    <row r="53712" spans="1:1">
      <c r="A53712" s="56"/>
    </row>
    <row r="53713" spans="1:1">
      <c r="A53713" s="56"/>
    </row>
    <row r="53714" spans="1:1">
      <c r="A53714" s="56"/>
    </row>
    <row r="53715" spans="1:1">
      <c r="A53715" s="56"/>
    </row>
    <row r="53716" spans="1:1">
      <c r="A53716" s="56"/>
    </row>
    <row r="53717" spans="1:1">
      <c r="A53717" s="56"/>
    </row>
    <row r="53718" spans="1:1">
      <c r="A53718" s="56"/>
    </row>
    <row r="53719" spans="1:1">
      <c r="A53719" s="56"/>
    </row>
    <row r="53720" spans="1:1">
      <c r="A53720" s="56"/>
    </row>
    <row r="53721" spans="1:1">
      <c r="A53721" s="56"/>
    </row>
    <row r="53722" spans="1:1">
      <c r="A53722" s="56"/>
    </row>
    <row r="53723" spans="1:1">
      <c r="A53723" s="56"/>
    </row>
    <row r="53724" spans="1:1">
      <c r="A53724" s="56"/>
    </row>
    <row r="53725" spans="1:1">
      <c r="A53725" s="56"/>
    </row>
    <row r="53726" spans="1:1">
      <c r="A53726" s="56"/>
    </row>
    <row r="53727" spans="1:1">
      <c r="A53727" s="56"/>
    </row>
    <row r="53728" spans="1:1">
      <c r="A53728" s="56"/>
    </row>
    <row r="53729" spans="1:1">
      <c r="A53729" s="56"/>
    </row>
    <row r="53730" spans="1:1">
      <c r="A53730" s="56"/>
    </row>
    <row r="53731" spans="1:1">
      <c r="A53731" s="56"/>
    </row>
    <row r="53732" spans="1:1">
      <c r="A53732" s="56"/>
    </row>
    <row r="53733" spans="1:1">
      <c r="A53733" s="56"/>
    </row>
    <row r="53734" spans="1:1">
      <c r="A53734" s="56"/>
    </row>
    <row r="53735" spans="1:1">
      <c r="A53735" s="56"/>
    </row>
    <row r="53736" spans="1:1">
      <c r="A53736" s="56"/>
    </row>
    <row r="53737" spans="1:1">
      <c r="A53737" s="56"/>
    </row>
    <row r="53738" spans="1:1">
      <c r="A53738" s="56"/>
    </row>
    <row r="53739" spans="1:1">
      <c r="A53739" s="56"/>
    </row>
    <row r="53740" spans="1:1">
      <c r="A53740" s="56"/>
    </row>
    <row r="53741" spans="1:1">
      <c r="A53741" s="56"/>
    </row>
    <row r="53742" spans="1:1">
      <c r="A53742" s="56"/>
    </row>
    <row r="53743" spans="1:1">
      <c r="A53743" s="56"/>
    </row>
    <row r="53744" spans="1:1">
      <c r="A53744" s="56"/>
    </row>
    <row r="53745" spans="1:1">
      <c r="A53745" s="56"/>
    </row>
    <row r="53746" spans="1:1">
      <c r="A53746" s="56"/>
    </row>
    <row r="53747" spans="1:1">
      <c r="A53747" s="56"/>
    </row>
    <row r="53748" spans="1:1">
      <c r="A53748" s="56"/>
    </row>
    <row r="53749" spans="1:1">
      <c r="A53749" s="56"/>
    </row>
    <row r="53750" spans="1:1">
      <c r="A53750" s="56"/>
    </row>
    <row r="53751" spans="1:1">
      <c r="A53751" s="56"/>
    </row>
    <row r="53752" spans="1:1">
      <c r="A53752" s="56"/>
    </row>
    <row r="53753" spans="1:1">
      <c r="A53753" s="56"/>
    </row>
    <row r="53754" spans="1:1">
      <c r="A53754" s="56"/>
    </row>
    <row r="53755" spans="1:1">
      <c r="A53755" s="56"/>
    </row>
    <row r="53756" spans="1:1">
      <c r="A53756" s="56"/>
    </row>
    <row r="53757" spans="1:1">
      <c r="A53757" s="56"/>
    </row>
    <row r="53758" spans="1:1">
      <c r="A53758" s="56"/>
    </row>
    <row r="53759" spans="1:1">
      <c r="A53759" s="56"/>
    </row>
    <row r="53760" spans="1:1">
      <c r="A53760" s="56"/>
    </row>
    <row r="53761" spans="1:1">
      <c r="A53761" s="56"/>
    </row>
    <row r="53762" spans="1:1">
      <c r="A53762" s="56"/>
    </row>
    <row r="53763" spans="1:1">
      <c r="A53763" s="56"/>
    </row>
    <row r="53764" spans="1:1">
      <c r="A53764" s="56"/>
    </row>
    <row r="53765" spans="1:1">
      <c r="A53765" s="56"/>
    </row>
    <row r="53766" spans="1:1">
      <c r="A53766" s="56"/>
    </row>
    <row r="53767" spans="1:1">
      <c r="A53767" s="56"/>
    </row>
    <row r="53768" spans="1:1">
      <c r="A53768" s="56"/>
    </row>
    <row r="53769" spans="1:1">
      <c r="A53769" s="56"/>
    </row>
    <row r="53770" spans="1:1">
      <c r="A53770" s="56"/>
    </row>
    <row r="53771" spans="1:1">
      <c r="A53771" s="56"/>
    </row>
    <row r="53772" spans="1:1">
      <c r="A53772" s="56"/>
    </row>
    <row r="53773" spans="1:1">
      <c r="A53773" s="56"/>
    </row>
    <row r="53774" spans="1:1">
      <c r="A53774" s="56"/>
    </row>
    <row r="53775" spans="1:1">
      <c r="A53775" s="56"/>
    </row>
    <row r="53776" spans="1:1">
      <c r="A53776" s="56"/>
    </row>
    <row r="53777" spans="1:1">
      <c r="A53777" s="56"/>
    </row>
    <row r="53778" spans="1:1">
      <c r="A53778" s="56"/>
    </row>
    <row r="53779" spans="1:1">
      <c r="A53779" s="56"/>
    </row>
    <row r="53780" spans="1:1">
      <c r="A53780" s="56"/>
    </row>
    <row r="53781" spans="1:1">
      <c r="A53781" s="56"/>
    </row>
    <row r="53782" spans="1:1">
      <c r="A53782" s="56"/>
    </row>
    <row r="53783" spans="1:1">
      <c r="A53783" s="56"/>
    </row>
    <row r="53784" spans="1:1">
      <c r="A53784" s="56"/>
    </row>
    <row r="53785" spans="1:1">
      <c r="A53785" s="56"/>
    </row>
    <row r="53786" spans="1:1">
      <c r="A53786" s="56"/>
    </row>
    <row r="53787" spans="1:1">
      <c r="A53787" s="56"/>
    </row>
    <row r="53788" spans="1:1">
      <c r="A53788" s="56"/>
    </row>
    <row r="53789" spans="1:1">
      <c r="A53789" s="56"/>
    </row>
    <row r="53790" spans="1:1">
      <c r="A53790" s="56"/>
    </row>
    <row r="53791" spans="1:1">
      <c r="A53791" s="56"/>
    </row>
    <row r="53792" spans="1:1">
      <c r="A53792" s="56"/>
    </row>
    <row r="53793" spans="1:1">
      <c r="A53793" s="56"/>
    </row>
    <row r="53794" spans="1:1">
      <c r="A53794" s="56"/>
    </row>
    <row r="53795" spans="1:1">
      <c r="A53795" s="56"/>
    </row>
    <row r="53796" spans="1:1">
      <c r="A53796" s="56"/>
    </row>
    <row r="53797" spans="1:1">
      <c r="A53797" s="56"/>
    </row>
    <row r="53798" spans="1:1">
      <c r="A53798" s="56"/>
    </row>
    <row r="53799" spans="1:1">
      <c r="A53799" s="56"/>
    </row>
    <row r="53800" spans="1:1">
      <c r="A53800" s="56"/>
    </row>
    <row r="53801" spans="1:1">
      <c r="A53801" s="56"/>
    </row>
    <row r="53802" spans="1:1">
      <c r="A53802" s="56"/>
    </row>
    <row r="53803" spans="1:1">
      <c r="A53803" s="56"/>
    </row>
    <row r="53804" spans="1:1">
      <c r="A53804" s="56"/>
    </row>
    <row r="53805" spans="1:1">
      <c r="A53805" s="56"/>
    </row>
    <row r="53806" spans="1:1">
      <c r="A53806" s="56"/>
    </row>
    <row r="53807" spans="1:1">
      <c r="A53807" s="56"/>
    </row>
    <row r="53808" spans="1:1">
      <c r="A53808" s="56"/>
    </row>
    <row r="53809" spans="1:1">
      <c r="A53809" s="56"/>
    </row>
    <row r="53810" spans="1:1">
      <c r="A53810" s="56"/>
    </row>
    <row r="53811" spans="1:1">
      <c r="A53811" s="56"/>
    </row>
    <row r="53812" spans="1:1">
      <c r="A53812" s="56"/>
    </row>
    <row r="53813" spans="1:1">
      <c r="A53813" s="56"/>
    </row>
    <row r="53814" spans="1:1">
      <c r="A53814" s="56"/>
    </row>
    <row r="53815" spans="1:1">
      <c r="A53815" s="56"/>
    </row>
    <row r="53816" spans="1:1">
      <c r="A53816" s="56"/>
    </row>
    <row r="53817" spans="1:1">
      <c r="A53817" s="56"/>
    </row>
    <row r="53818" spans="1:1">
      <c r="A53818" s="56"/>
    </row>
    <row r="53819" spans="1:1">
      <c r="A53819" s="56"/>
    </row>
    <row r="53820" spans="1:1">
      <c r="A53820" s="56"/>
    </row>
    <row r="53821" spans="1:1">
      <c r="A53821" s="56"/>
    </row>
    <row r="53822" spans="1:1">
      <c r="A53822" s="56"/>
    </row>
    <row r="53823" spans="1:1">
      <c r="A53823" s="56"/>
    </row>
    <row r="53824" spans="1:1">
      <c r="A53824" s="56"/>
    </row>
    <row r="53825" spans="1:1">
      <c r="A53825" s="56"/>
    </row>
    <row r="53826" spans="1:1">
      <c r="A53826" s="56"/>
    </row>
    <row r="53827" spans="1:1">
      <c r="A53827" s="56"/>
    </row>
    <row r="53828" spans="1:1">
      <c r="A53828" s="56"/>
    </row>
    <row r="53829" spans="1:1">
      <c r="A53829" s="56"/>
    </row>
    <row r="53830" spans="1:1">
      <c r="A53830" s="56"/>
    </row>
    <row r="53831" spans="1:1">
      <c r="A53831" s="56"/>
    </row>
    <row r="53832" spans="1:1">
      <c r="A53832" s="56"/>
    </row>
    <row r="53833" spans="1:1">
      <c r="A53833" s="56"/>
    </row>
    <row r="53834" spans="1:1">
      <c r="A53834" s="56"/>
    </row>
    <row r="53835" spans="1:1">
      <c r="A53835" s="56"/>
    </row>
    <row r="53836" spans="1:1">
      <c r="A53836" s="56"/>
    </row>
    <row r="53837" spans="1:1">
      <c r="A53837" s="56"/>
    </row>
    <row r="53838" spans="1:1">
      <c r="A53838" s="56"/>
    </row>
    <row r="53839" spans="1:1">
      <c r="A53839" s="56"/>
    </row>
    <row r="53840" spans="1:1">
      <c r="A53840" s="56"/>
    </row>
    <row r="53841" spans="1:1">
      <c r="A53841" s="56"/>
    </row>
    <row r="53842" spans="1:1">
      <c r="A53842" s="56"/>
    </row>
    <row r="53843" spans="1:1">
      <c r="A53843" s="56"/>
    </row>
    <row r="53844" spans="1:1">
      <c r="A53844" s="56"/>
    </row>
    <row r="53845" spans="1:1">
      <c r="A53845" s="56"/>
    </row>
    <row r="53846" spans="1:1">
      <c r="A53846" s="56"/>
    </row>
    <row r="53847" spans="1:1">
      <c r="A53847" s="56"/>
    </row>
    <row r="53848" spans="1:1">
      <c r="A53848" s="56"/>
    </row>
    <row r="53849" spans="1:1">
      <c r="A53849" s="56"/>
    </row>
    <row r="53850" spans="1:1">
      <c r="A53850" s="56"/>
    </row>
    <row r="53851" spans="1:1">
      <c r="A53851" s="56"/>
    </row>
    <row r="53852" spans="1:1">
      <c r="A53852" s="56"/>
    </row>
    <row r="53853" spans="1:1">
      <c r="A53853" s="56"/>
    </row>
    <row r="53854" spans="1:1">
      <c r="A53854" s="56"/>
    </row>
    <row r="53855" spans="1:1">
      <c r="A53855" s="56"/>
    </row>
    <row r="53856" spans="1:1">
      <c r="A53856" s="56"/>
    </row>
    <row r="53857" spans="1:1">
      <c r="A53857" s="56"/>
    </row>
    <row r="53858" spans="1:1">
      <c r="A53858" s="56"/>
    </row>
    <row r="53859" spans="1:1">
      <c r="A53859" s="56"/>
    </row>
    <row r="53860" spans="1:1">
      <c r="A53860" s="56"/>
    </row>
    <row r="53861" spans="1:1">
      <c r="A53861" s="56"/>
    </row>
    <row r="53862" spans="1:1">
      <c r="A53862" s="56"/>
    </row>
    <row r="53863" spans="1:1">
      <c r="A53863" s="56"/>
    </row>
    <row r="53864" spans="1:1">
      <c r="A53864" s="56"/>
    </row>
    <row r="53865" spans="1:1">
      <c r="A53865" s="56"/>
    </row>
    <row r="53866" spans="1:1">
      <c r="A53866" s="56"/>
    </row>
    <row r="53867" spans="1:1">
      <c r="A53867" s="56"/>
    </row>
    <row r="53868" spans="1:1">
      <c r="A53868" s="56"/>
    </row>
    <row r="53869" spans="1:1">
      <c r="A53869" s="56"/>
    </row>
    <row r="53870" spans="1:1">
      <c r="A53870" s="56"/>
    </row>
    <row r="53871" spans="1:1">
      <c r="A53871" s="56"/>
    </row>
    <row r="53872" spans="1:1">
      <c r="A53872" s="56"/>
    </row>
    <row r="53873" spans="1:1">
      <c r="A53873" s="56"/>
    </row>
    <row r="53874" spans="1:1">
      <c r="A53874" s="56"/>
    </row>
    <row r="53875" spans="1:1">
      <c r="A53875" s="56"/>
    </row>
    <row r="53876" spans="1:1">
      <c r="A53876" s="56"/>
    </row>
    <row r="53877" spans="1:1">
      <c r="A53877" s="56"/>
    </row>
    <row r="53878" spans="1:1">
      <c r="A53878" s="56"/>
    </row>
    <row r="53879" spans="1:1">
      <c r="A53879" s="56"/>
    </row>
    <row r="53880" spans="1:1">
      <c r="A53880" s="56"/>
    </row>
    <row r="53881" spans="1:1">
      <c r="A53881" s="56"/>
    </row>
    <row r="53882" spans="1:1">
      <c r="A53882" s="56"/>
    </row>
    <row r="53883" spans="1:1">
      <c r="A53883" s="56"/>
    </row>
    <row r="53884" spans="1:1">
      <c r="A53884" s="56"/>
    </row>
    <row r="53885" spans="1:1">
      <c r="A53885" s="56"/>
    </row>
    <row r="53886" spans="1:1">
      <c r="A53886" s="56"/>
    </row>
    <row r="53887" spans="1:1">
      <c r="A53887" s="56"/>
    </row>
    <row r="53888" spans="1:1">
      <c r="A53888" s="56"/>
    </row>
    <row r="53889" spans="1:1">
      <c r="A53889" s="56"/>
    </row>
    <row r="53890" spans="1:1">
      <c r="A53890" s="56"/>
    </row>
    <row r="53891" spans="1:1">
      <c r="A53891" s="56"/>
    </row>
    <row r="53892" spans="1:1">
      <c r="A53892" s="56"/>
    </row>
    <row r="53893" spans="1:1">
      <c r="A53893" s="56"/>
    </row>
    <row r="53894" spans="1:1">
      <c r="A53894" s="56"/>
    </row>
    <row r="53895" spans="1:1">
      <c r="A53895" s="56"/>
    </row>
    <row r="53896" spans="1:1">
      <c r="A53896" s="56"/>
    </row>
    <row r="53897" spans="1:1">
      <c r="A53897" s="56"/>
    </row>
    <row r="53898" spans="1:1">
      <c r="A53898" s="56"/>
    </row>
    <row r="53899" spans="1:1">
      <c r="A53899" s="56"/>
    </row>
    <row r="53900" spans="1:1">
      <c r="A53900" s="56"/>
    </row>
    <row r="53901" spans="1:1">
      <c r="A53901" s="56"/>
    </row>
    <row r="53902" spans="1:1">
      <c r="A53902" s="56"/>
    </row>
    <row r="53903" spans="1:1">
      <c r="A53903" s="56"/>
    </row>
    <row r="53904" spans="1:1">
      <c r="A53904" s="56"/>
    </row>
    <row r="53905" spans="1:1">
      <c r="A53905" s="56"/>
    </row>
    <row r="53906" spans="1:1">
      <c r="A53906" s="56"/>
    </row>
    <row r="53907" spans="1:1">
      <c r="A53907" s="56"/>
    </row>
    <row r="53908" spans="1:1">
      <c r="A53908" s="56"/>
    </row>
    <row r="53909" spans="1:1">
      <c r="A53909" s="56"/>
    </row>
    <row r="53910" spans="1:1">
      <c r="A53910" s="56"/>
    </row>
    <row r="53911" spans="1:1">
      <c r="A53911" s="56"/>
    </row>
    <row r="53912" spans="1:1">
      <c r="A53912" s="56"/>
    </row>
    <row r="53913" spans="1:1">
      <c r="A53913" s="56"/>
    </row>
    <row r="53914" spans="1:1">
      <c r="A53914" s="56"/>
    </row>
    <row r="53915" spans="1:1">
      <c r="A53915" s="56"/>
    </row>
    <row r="53916" spans="1:1">
      <c r="A53916" s="56"/>
    </row>
    <row r="53917" spans="1:1">
      <c r="A53917" s="56"/>
    </row>
    <row r="53918" spans="1:1">
      <c r="A53918" s="56"/>
    </row>
    <row r="53919" spans="1:1">
      <c r="A53919" s="56"/>
    </row>
    <row r="53920" spans="1:1">
      <c r="A53920" s="56"/>
    </row>
    <row r="53921" spans="1:1">
      <c r="A53921" s="56"/>
    </row>
    <row r="53922" spans="1:1">
      <c r="A53922" s="56"/>
    </row>
    <row r="53923" spans="1:1">
      <c r="A53923" s="56"/>
    </row>
    <row r="53924" spans="1:1">
      <c r="A53924" s="56"/>
    </row>
    <row r="53925" spans="1:1">
      <c r="A53925" s="56"/>
    </row>
    <row r="53926" spans="1:1">
      <c r="A53926" s="56"/>
    </row>
    <row r="53927" spans="1:1">
      <c r="A53927" s="56"/>
    </row>
    <row r="53928" spans="1:1">
      <c r="A53928" s="56"/>
    </row>
    <row r="53929" spans="1:1">
      <c r="A53929" s="56"/>
    </row>
    <row r="53930" spans="1:1">
      <c r="A53930" s="56"/>
    </row>
    <row r="53931" spans="1:1">
      <c r="A53931" s="56"/>
    </row>
    <row r="53932" spans="1:1">
      <c r="A53932" s="56"/>
    </row>
    <row r="53933" spans="1:1">
      <c r="A53933" s="56"/>
    </row>
    <row r="53934" spans="1:1">
      <c r="A53934" s="56"/>
    </row>
    <row r="53935" spans="1:1">
      <c r="A53935" s="56"/>
    </row>
    <row r="53936" spans="1:1">
      <c r="A53936" s="56"/>
    </row>
    <row r="53937" spans="1:1">
      <c r="A53937" s="56"/>
    </row>
    <row r="53938" spans="1:1">
      <c r="A53938" s="56"/>
    </row>
    <row r="53939" spans="1:1">
      <c r="A53939" s="56"/>
    </row>
    <row r="53940" spans="1:1">
      <c r="A53940" s="56"/>
    </row>
    <row r="53941" spans="1:1">
      <c r="A53941" s="56"/>
    </row>
    <row r="53942" spans="1:1">
      <c r="A53942" s="56"/>
    </row>
    <row r="53943" spans="1:1">
      <c r="A53943" s="56"/>
    </row>
    <row r="53944" spans="1:1">
      <c r="A53944" s="56"/>
    </row>
    <row r="53945" spans="1:1">
      <c r="A53945" s="56"/>
    </row>
    <row r="53946" spans="1:1">
      <c r="A53946" s="56"/>
    </row>
    <row r="53947" spans="1:1">
      <c r="A53947" s="56"/>
    </row>
    <row r="53948" spans="1:1">
      <c r="A53948" s="56"/>
    </row>
    <row r="53949" spans="1:1">
      <c r="A53949" s="56"/>
    </row>
    <row r="53950" spans="1:1">
      <c r="A53950" s="56"/>
    </row>
    <row r="53951" spans="1:1">
      <c r="A53951" s="56"/>
    </row>
    <row r="53952" spans="1:1">
      <c r="A53952" s="56"/>
    </row>
    <row r="53953" spans="1:1">
      <c r="A53953" s="56"/>
    </row>
    <row r="53954" spans="1:1">
      <c r="A53954" s="56"/>
    </row>
    <row r="53955" spans="1:1">
      <c r="A53955" s="56"/>
    </row>
    <row r="53956" spans="1:1">
      <c r="A53956" s="56"/>
    </row>
    <row r="53957" spans="1:1">
      <c r="A53957" s="56"/>
    </row>
    <row r="53958" spans="1:1">
      <c r="A53958" s="56"/>
    </row>
    <row r="53959" spans="1:1">
      <c r="A53959" s="56"/>
    </row>
    <row r="53960" spans="1:1">
      <c r="A53960" s="56"/>
    </row>
    <row r="53961" spans="1:1">
      <c r="A53961" s="56"/>
    </row>
    <row r="53962" spans="1:1">
      <c r="A53962" s="56"/>
    </row>
    <row r="53963" spans="1:1">
      <c r="A53963" s="56"/>
    </row>
    <row r="53964" spans="1:1">
      <c r="A53964" s="56"/>
    </row>
    <row r="53965" spans="1:1">
      <c r="A53965" s="56"/>
    </row>
    <row r="53966" spans="1:1">
      <c r="A53966" s="56"/>
    </row>
    <row r="53967" spans="1:1">
      <c r="A53967" s="56"/>
    </row>
    <row r="53968" spans="1:1">
      <c r="A53968" s="56"/>
    </row>
    <row r="53969" spans="1:1">
      <c r="A53969" s="56"/>
    </row>
    <row r="53970" spans="1:1">
      <c r="A53970" s="56"/>
    </row>
    <row r="53971" spans="1:1">
      <c r="A53971" s="56"/>
    </row>
    <row r="53972" spans="1:1">
      <c r="A53972" s="56"/>
    </row>
    <row r="53973" spans="1:1">
      <c r="A53973" s="56"/>
    </row>
    <row r="53974" spans="1:1">
      <c r="A53974" s="56"/>
    </row>
    <row r="53975" spans="1:1">
      <c r="A53975" s="56"/>
    </row>
    <row r="53976" spans="1:1">
      <c r="A53976" s="56"/>
    </row>
    <row r="53977" spans="1:1">
      <c r="A53977" s="56"/>
    </row>
    <row r="53978" spans="1:1">
      <c r="A53978" s="56"/>
    </row>
    <row r="53979" spans="1:1">
      <c r="A53979" s="56"/>
    </row>
    <row r="53980" spans="1:1">
      <c r="A53980" s="56"/>
    </row>
    <row r="53981" spans="1:1">
      <c r="A53981" s="56"/>
    </row>
    <row r="53982" spans="1:1">
      <c r="A53982" s="56"/>
    </row>
    <row r="53983" spans="1:1">
      <c r="A53983" s="56"/>
    </row>
    <row r="53984" spans="1:1">
      <c r="A53984" s="56"/>
    </row>
    <row r="53985" spans="1:1">
      <c r="A53985" s="56"/>
    </row>
    <row r="53986" spans="1:1">
      <c r="A53986" s="56"/>
    </row>
    <row r="53987" spans="1:1">
      <c r="A53987" s="56"/>
    </row>
    <row r="53988" spans="1:1">
      <c r="A53988" s="56"/>
    </row>
    <row r="53989" spans="1:1">
      <c r="A53989" s="56"/>
    </row>
    <row r="53990" spans="1:1">
      <c r="A53990" s="56"/>
    </row>
    <row r="53991" spans="1:1">
      <c r="A53991" s="56"/>
    </row>
    <row r="53992" spans="1:1">
      <c r="A53992" s="56"/>
    </row>
    <row r="53993" spans="1:1">
      <c r="A53993" s="56"/>
    </row>
    <row r="53994" spans="1:1">
      <c r="A53994" s="56"/>
    </row>
    <row r="53995" spans="1:1">
      <c r="A53995" s="56"/>
    </row>
    <row r="53996" spans="1:1">
      <c r="A53996" s="56"/>
    </row>
    <row r="53997" spans="1:1">
      <c r="A53997" s="56"/>
    </row>
    <row r="53998" spans="1:1">
      <c r="A53998" s="56"/>
    </row>
    <row r="53999" spans="1:1">
      <c r="A53999" s="56"/>
    </row>
    <row r="54000" spans="1:1">
      <c r="A54000" s="56"/>
    </row>
    <row r="54001" spans="1:1">
      <c r="A54001" s="56"/>
    </row>
    <row r="54002" spans="1:1">
      <c r="A54002" s="56"/>
    </row>
    <row r="54003" spans="1:1">
      <c r="A54003" s="56"/>
    </row>
    <row r="54004" spans="1:1">
      <c r="A54004" s="56"/>
    </row>
    <row r="54005" spans="1:1">
      <c r="A54005" s="56"/>
    </row>
    <row r="54006" spans="1:1">
      <c r="A54006" s="56"/>
    </row>
    <row r="54007" spans="1:1">
      <c r="A54007" s="56"/>
    </row>
    <row r="54008" spans="1:1">
      <c r="A54008" s="56"/>
    </row>
    <row r="54009" spans="1:1">
      <c r="A54009" s="56"/>
    </row>
    <row r="54010" spans="1:1">
      <c r="A54010" s="56"/>
    </row>
    <row r="54011" spans="1:1">
      <c r="A54011" s="56"/>
    </row>
    <row r="54012" spans="1:1">
      <c r="A54012" s="56"/>
    </row>
    <row r="54013" spans="1:1">
      <c r="A54013" s="56"/>
    </row>
    <row r="54014" spans="1:1">
      <c r="A54014" s="56"/>
    </row>
    <row r="54015" spans="1:1">
      <c r="A54015" s="56"/>
    </row>
    <row r="54016" spans="1:1">
      <c r="A54016" s="56"/>
    </row>
    <row r="54017" spans="1:1">
      <c r="A54017" s="56"/>
    </row>
    <row r="54018" spans="1:1">
      <c r="A54018" s="56"/>
    </row>
    <row r="54019" spans="1:1">
      <c r="A54019" s="56"/>
    </row>
    <row r="54020" spans="1:1">
      <c r="A54020" s="56"/>
    </row>
    <row r="54021" spans="1:1">
      <c r="A54021" s="56"/>
    </row>
    <row r="54022" spans="1:1">
      <c r="A54022" s="56"/>
    </row>
    <row r="54023" spans="1:1">
      <c r="A54023" s="56"/>
    </row>
    <row r="54024" spans="1:1">
      <c r="A54024" s="56"/>
    </row>
    <row r="54025" spans="1:1">
      <c r="A54025" s="56"/>
    </row>
    <row r="54026" spans="1:1">
      <c r="A54026" s="56"/>
    </row>
    <row r="54027" spans="1:1">
      <c r="A54027" s="56"/>
    </row>
    <row r="54028" spans="1:1">
      <c r="A54028" s="56"/>
    </row>
    <row r="54029" spans="1:1">
      <c r="A54029" s="56"/>
    </row>
    <row r="54030" spans="1:1">
      <c r="A54030" s="56"/>
    </row>
    <row r="54031" spans="1:1">
      <c r="A54031" s="56"/>
    </row>
    <row r="54032" spans="1:1">
      <c r="A54032" s="56"/>
    </row>
    <row r="54033" spans="1:1">
      <c r="A54033" s="56"/>
    </row>
    <row r="54034" spans="1:1">
      <c r="A54034" s="56"/>
    </row>
    <row r="54035" spans="1:1">
      <c r="A54035" s="56"/>
    </row>
    <row r="54036" spans="1:1">
      <c r="A54036" s="56"/>
    </row>
    <row r="54037" spans="1:1">
      <c r="A54037" s="56"/>
    </row>
    <row r="54038" spans="1:1">
      <c r="A54038" s="56"/>
    </row>
    <row r="54039" spans="1:1">
      <c r="A54039" s="56"/>
    </row>
    <row r="54040" spans="1:1">
      <c r="A54040" s="56"/>
    </row>
    <row r="54041" spans="1:1">
      <c r="A54041" s="56"/>
    </row>
    <row r="54042" spans="1:1">
      <c r="A54042" s="56"/>
    </row>
    <row r="54043" spans="1:1">
      <c r="A54043" s="56"/>
    </row>
    <row r="54044" spans="1:1">
      <c r="A54044" s="56"/>
    </row>
    <row r="54045" spans="1:1">
      <c r="A54045" s="56"/>
    </row>
    <row r="54046" spans="1:1">
      <c r="A54046" s="56"/>
    </row>
    <row r="54047" spans="1:1">
      <c r="A54047" s="56"/>
    </row>
    <row r="54048" spans="1:1">
      <c r="A54048" s="56"/>
    </row>
    <row r="54049" spans="1:1">
      <c r="A54049" s="56"/>
    </row>
    <row r="54050" spans="1:1">
      <c r="A54050" s="56"/>
    </row>
    <row r="54051" spans="1:1">
      <c r="A54051" s="56"/>
    </row>
    <row r="54052" spans="1:1">
      <c r="A54052" s="56"/>
    </row>
    <row r="54053" spans="1:1">
      <c r="A54053" s="56"/>
    </row>
    <row r="54054" spans="1:1">
      <c r="A54054" s="56"/>
    </row>
    <row r="54055" spans="1:1">
      <c r="A54055" s="56"/>
    </row>
    <row r="54056" spans="1:1">
      <c r="A54056" s="56"/>
    </row>
    <row r="54057" spans="1:1">
      <c r="A54057" s="56"/>
    </row>
    <row r="54058" spans="1:1">
      <c r="A54058" s="56"/>
    </row>
    <row r="54059" spans="1:1">
      <c r="A54059" s="56"/>
    </row>
    <row r="54060" spans="1:1">
      <c r="A54060" s="56"/>
    </row>
    <row r="54061" spans="1:1">
      <c r="A54061" s="56"/>
    </row>
    <row r="54062" spans="1:1">
      <c r="A54062" s="56"/>
    </row>
    <row r="54063" spans="1:1">
      <c r="A54063" s="56"/>
    </row>
    <row r="54064" spans="1:1">
      <c r="A54064" s="56"/>
    </row>
    <row r="54065" spans="1:1">
      <c r="A54065" s="56"/>
    </row>
    <row r="54066" spans="1:1">
      <c r="A54066" s="56"/>
    </row>
    <row r="54067" spans="1:1">
      <c r="A54067" s="56"/>
    </row>
    <row r="54068" spans="1:1">
      <c r="A54068" s="56"/>
    </row>
    <row r="54069" spans="1:1">
      <c r="A54069" s="56"/>
    </row>
    <row r="54070" spans="1:1">
      <c r="A54070" s="56"/>
    </row>
    <row r="54071" spans="1:1">
      <c r="A54071" s="56"/>
    </row>
    <row r="54072" spans="1:1">
      <c r="A54072" s="56"/>
    </row>
    <row r="54073" spans="1:1">
      <c r="A54073" s="56"/>
    </row>
    <row r="54074" spans="1:1">
      <c r="A54074" s="56"/>
    </row>
    <row r="54075" spans="1:1">
      <c r="A54075" s="56"/>
    </row>
    <row r="54076" spans="1:1">
      <c r="A54076" s="56"/>
    </row>
    <row r="54077" spans="1:1">
      <c r="A54077" s="56"/>
    </row>
    <row r="54078" spans="1:1">
      <c r="A54078" s="56"/>
    </row>
    <row r="54079" spans="1:1">
      <c r="A54079" s="56"/>
    </row>
    <row r="54080" spans="1:1">
      <c r="A54080" s="56"/>
    </row>
    <row r="54081" spans="1:1">
      <c r="A54081" s="56"/>
    </row>
    <row r="54082" spans="1:1">
      <c r="A54082" s="56"/>
    </row>
    <row r="54083" spans="1:1">
      <c r="A54083" s="56"/>
    </row>
    <row r="54084" spans="1:1">
      <c r="A54084" s="56"/>
    </row>
    <row r="54085" spans="1:1">
      <c r="A54085" s="56"/>
    </row>
    <row r="54086" spans="1:1">
      <c r="A54086" s="56"/>
    </row>
    <row r="54087" spans="1:1">
      <c r="A54087" s="56"/>
    </row>
    <row r="54088" spans="1:1">
      <c r="A54088" s="56"/>
    </row>
    <row r="54089" spans="1:1">
      <c r="A54089" s="56"/>
    </row>
    <row r="54090" spans="1:1">
      <c r="A54090" s="56"/>
    </row>
    <row r="54091" spans="1:1">
      <c r="A54091" s="56"/>
    </row>
    <row r="54092" spans="1:1">
      <c r="A54092" s="56"/>
    </row>
    <row r="54093" spans="1:1">
      <c r="A54093" s="56"/>
    </row>
    <row r="54094" spans="1:1">
      <c r="A54094" s="56"/>
    </row>
    <row r="54095" spans="1:1">
      <c r="A54095" s="56"/>
    </row>
    <row r="54096" spans="1:1">
      <c r="A54096" s="56"/>
    </row>
    <row r="54097" spans="1:1">
      <c r="A54097" s="56"/>
    </row>
    <row r="54098" spans="1:1">
      <c r="A54098" s="56"/>
    </row>
    <row r="54099" spans="1:1">
      <c r="A54099" s="56"/>
    </row>
    <row r="54100" spans="1:1">
      <c r="A54100" s="56"/>
    </row>
    <row r="54101" spans="1:1">
      <c r="A54101" s="56"/>
    </row>
    <row r="54102" spans="1:1">
      <c r="A54102" s="56"/>
    </row>
    <row r="54103" spans="1:1">
      <c r="A54103" s="56"/>
    </row>
    <row r="54104" spans="1:1">
      <c r="A54104" s="56"/>
    </row>
    <row r="54105" spans="1:1">
      <c r="A54105" s="56"/>
    </row>
    <row r="54106" spans="1:1">
      <c r="A54106" s="56"/>
    </row>
    <row r="54107" spans="1:1">
      <c r="A54107" s="56"/>
    </row>
    <row r="54108" spans="1:1">
      <c r="A54108" s="56"/>
    </row>
    <row r="54109" spans="1:1">
      <c r="A54109" s="56"/>
    </row>
    <row r="54110" spans="1:1">
      <c r="A54110" s="56"/>
    </row>
    <row r="54111" spans="1:1">
      <c r="A54111" s="56"/>
    </row>
    <row r="54112" spans="1:1">
      <c r="A54112" s="56"/>
    </row>
    <row r="54113" spans="1:1">
      <c r="A54113" s="56"/>
    </row>
    <row r="54114" spans="1:1">
      <c r="A54114" s="56"/>
    </row>
    <row r="54115" spans="1:1">
      <c r="A54115" s="56"/>
    </row>
    <row r="54116" spans="1:1">
      <c r="A54116" s="56"/>
    </row>
    <row r="54117" spans="1:1">
      <c r="A54117" s="56"/>
    </row>
    <row r="54118" spans="1:1">
      <c r="A54118" s="56"/>
    </row>
    <row r="54119" spans="1:1">
      <c r="A54119" s="56"/>
    </row>
    <row r="54120" spans="1:1">
      <c r="A54120" s="56"/>
    </row>
    <row r="54121" spans="1:1">
      <c r="A54121" s="56"/>
    </row>
    <row r="54122" spans="1:1">
      <c r="A54122" s="56"/>
    </row>
    <row r="54123" spans="1:1">
      <c r="A54123" s="56"/>
    </row>
    <row r="54124" spans="1:1">
      <c r="A54124" s="56"/>
    </row>
    <row r="54125" spans="1:1">
      <c r="A54125" s="56"/>
    </row>
    <row r="54126" spans="1:1">
      <c r="A54126" s="56"/>
    </row>
    <row r="54127" spans="1:1">
      <c r="A54127" s="56"/>
    </row>
    <row r="54128" spans="1:1">
      <c r="A54128" s="56"/>
    </row>
    <row r="54129" spans="1:1">
      <c r="A54129" s="56"/>
    </row>
    <row r="54130" spans="1:1">
      <c r="A54130" s="56"/>
    </row>
    <row r="54131" spans="1:1">
      <c r="A54131" s="56"/>
    </row>
    <row r="54132" spans="1:1">
      <c r="A54132" s="56"/>
    </row>
    <row r="54133" spans="1:1">
      <c r="A54133" s="56"/>
    </row>
    <row r="54134" spans="1:1">
      <c r="A54134" s="56"/>
    </row>
    <row r="54135" spans="1:1">
      <c r="A54135" s="56"/>
    </row>
    <row r="54136" spans="1:1">
      <c r="A54136" s="56"/>
    </row>
    <row r="54137" spans="1:1">
      <c r="A54137" s="56"/>
    </row>
    <row r="54138" spans="1:1">
      <c r="A54138" s="56"/>
    </row>
    <row r="54139" spans="1:1">
      <c r="A54139" s="56"/>
    </row>
    <row r="54140" spans="1:1">
      <c r="A54140" s="56"/>
    </row>
    <row r="54141" spans="1:1">
      <c r="A54141" s="56"/>
    </row>
    <row r="54142" spans="1:1">
      <c r="A54142" s="56"/>
    </row>
    <row r="54143" spans="1:1">
      <c r="A54143" s="56"/>
    </row>
    <row r="54144" spans="1:1">
      <c r="A54144" s="56"/>
    </row>
    <row r="54145" spans="1:1">
      <c r="A54145" s="56"/>
    </row>
    <row r="54146" spans="1:1">
      <c r="A54146" s="56"/>
    </row>
    <row r="54147" spans="1:1">
      <c r="A54147" s="56"/>
    </row>
    <row r="54148" spans="1:1">
      <c r="A54148" s="56"/>
    </row>
    <row r="54149" spans="1:1">
      <c r="A54149" s="56"/>
    </row>
    <row r="54150" spans="1:1">
      <c r="A54150" s="56"/>
    </row>
    <row r="54151" spans="1:1">
      <c r="A54151" s="56"/>
    </row>
    <row r="54152" spans="1:1">
      <c r="A54152" s="56"/>
    </row>
    <row r="54153" spans="1:1">
      <c r="A54153" s="56"/>
    </row>
    <row r="54154" spans="1:1">
      <c r="A54154" s="56"/>
    </row>
    <row r="54155" spans="1:1">
      <c r="A54155" s="56"/>
    </row>
    <row r="54156" spans="1:1">
      <c r="A54156" s="56"/>
    </row>
    <row r="54157" spans="1:1">
      <c r="A54157" s="56"/>
    </row>
    <row r="54158" spans="1:1">
      <c r="A54158" s="56"/>
    </row>
    <row r="54159" spans="1:1">
      <c r="A54159" s="56"/>
    </row>
    <row r="54160" spans="1:1">
      <c r="A54160" s="56"/>
    </row>
    <row r="54161" spans="1:1">
      <c r="A54161" s="56"/>
    </row>
    <row r="54162" spans="1:1">
      <c r="A54162" s="56"/>
    </row>
    <row r="54163" spans="1:1">
      <c r="A54163" s="56"/>
    </row>
    <row r="54164" spans="1:1">
      <c r="A54164" s="56"/>
    </row>
    <row r="54165" spans="1:1">
      <c r="A54165" s="56"/>
    </row>
    <row r="54166" spans="1:1">
      <c r="A54166" s="56"/>
    </row>
    <row r="54167" spans="1:1">
      <c r="A54167" s="56"/>
    </row>
    <row r="54168" spans="1:1">
      <c r="A54168" s="56"/>
    </row>
    <row r="54169" spans="1:1">
      <c r="A54169" s="56"/>
    </row>
    <row r="54170" spans="1:1">
      <c r="A54170" s="56"/>
    </row>
    <row r="54171" spans="1:1">
      <c r="A54171" s="56"/>
    </row>
    <row r="54172" spans="1:1">
      <c r="A54172" s="56"/>
    </row>
    <row r="54173" spans="1:1">
      <c r="A54173" s="56"/>
    </row>
    <row r="54174" spans="1:1">
      <c r="A54174" s="56"/>
    </row>
    <row r="54175" spans="1:1">
      <c r="A54175" s="56"/>
    </row>
    <row r="54176" spans="1:1">
      <c r="A54176" s="56"/>
    </row>
    <row r="54177" spans="1:1">
      <c r="A54177" s="56"/>
    </row>
    <row r="54178" spans="1:1">
      <c r="A54178" s="56"/>
    </row>
    <row r="54179" spans="1:1">
      <c r="A54179" s="56"/>
    </row>
    <row r="54180" spans="1:1">
      <c r="A54180" s="56"/>
    </row>
    <row r="54181" spans="1:1">
      <c r="A54181" s="56"/>
    </row>
    <row r="54182" spans="1:1">
      <c r="A54182" s="56"/>
    </row>
    <row r="54183" spans="1:1">
      <c r="A54183" s="56"/>
    </row>
    <row r="54184" spans="1:1">
      <c r="A54184" s="56"/>
    </row>
    <row r="54185" spans="1:1">
      <c r="A54185" s="56"/>
    </row>
    <row r="54186" spans="1:1">
      <c r="A54186" s="56"/>
    </row>
    <row r="54187" spans="1:1">
      <c r="A54187" s="56"/>
    </row>
    <row r="54188" spans="1:1">
      <c r="A54188" s="56"/>
    </row>
    <row r="54189" spans="1:1">
      <c r="A54189" s="56"/>
    </row>
    <row r="54190" spans="1:1">
      <c r="A54190" s="56"/>
    </row>
    <row r="54191" spans="1:1">
      <c r="A54191" s="56"/>
    </row>
    <row r="54192" spans="1:1">
      <c r="A54192" s="56"/>
    </row>
    <row r="54193" spans="1:1">
      <c r="A54193" s="56"/>
    </row>
    <row r="54194" spans="1:1">
      <c r="A54194" s="56"/>
    </row>
    <row r="54195" spans="1:1">
      <c r="A54195" s="56"/>
    </row>
    <row r="54196" spans="1:1">
      <c r="A54196" s="56"/>
    </row>
    <row r="54197" spans="1:1">
      <c r="A54197" s="56"/>
    </row>
    <row r="54198" spans="1:1">
      <c r="A54198" s="56"/>
    </row>
    <row r="54199" spans="1:1">
      <c r="A54199" s="56"/>
    </row>
    <row r="54200" spans="1:1">
      <c r="A54200" s="56"/>
    </row>
    <row r="54201" spans="1:1">
      <c r="A54201" s="56"/>
    </row>
    <row r="54202" spans="1:1">
      <c r="A54202" s="56"/>
    </row>
    <row r="54203" spans="1:1">
      <c r="A54203" s="56"/>
    </row>
    <row r="54204" spans="1:1">
      <c r="A54204" s="56"/>
    </row>
    <row r="54205" spans="1:1">
      <c r="A54205" s="56"/>
    </row>
    <row r="54206" spans="1:1">
      <c r="A54206" s="56"/>
    </row>
    <row r="54207" spans="1:1">
      <c r="A54207" s="56"/>
    </row>
    <row r="54208" spans="1:1">
      <c r="A54208" s="56"/>
    </row>
    <row r="54209" spans="1:1">
      <c r="A54209" s="56"/>
    </row>
    <row r="54210" spans="1:1">
      <c r="A54210" s="56"/>
    </row>
    <row r="54211" spans="1:1">
      <c r="A54211" s="56"/>
    </row>
    <row r="54212" spans="1:1">
      <c r="A54212" s="56"/>
    </row>
    <row r="54213" spans="1:1">
      <c r="A54213" s="56"/>
    </row>
    <row r="54214" spans="1:1">
      <c r="A54214" s="56"/>
    </row>
    <row r="54215" spans="1:1">
      <c r="A54215" s="56"/>
    </row>
    <row r="54216" spans="1:1">
      <c r="A54216" s="56"/>
    </row>
    <row r="54217" spans="1:1">
      <c r="A54217" s="56"/>
    </row>
    <row r="54218" spans="1:1">
      <c r="A54218" s="56"/>
    </row>
    <row r="54219" spans="1:1">
      <c r="A54219" s="56"/>
    </row>
    <row r="54220" spans="1:1">
      <c r="A54220" s="56"/>
    </row>
    <row r="54221" spans="1:1">
      <c r="A54221" s="56"/>
    </row>
    <row r="54222" spans="1:1">
      <c r="A54222" s="56"/>
    </row>
    <row r="54223" spans="1:1">
      <c r="A54223" s="56"/>
    </row>
    <row r="54224" spans="1:1">
      <c r="A54224" s="56"/>
    </row>
    <row r="54225" spans="1:1">
      <c r="A54225" s="56"/>
    </row>
    <row r="54226" spans="1:1">
      <c r="A54226" s="56"/>
    </row>
    <row r="54227" spans="1:1">
      <c r="A54227" s="56"/>
    </row>
    <row r="54228" spans="1:1">
      <c r="A54228" s="56"/>
    </row>
    <row r="54229" spans="1:1">
      <c r="A54229" s="56"/>
    </row>
    <row r="54230" spans="1:1">
      <c r="A54230" s="56"/>
    </row>
    <row r="54231" spans="1:1">
      <c r="A54231" s="56"/>
    </row>
    <row r="54232" spans="1:1">
      <c r="A54232" s="56"/>
    </row>
    <row r="54233" spans="1:1">
      <c r="A54233" s="56"/>
    </row>
    <row r="54234" spans="1:1">
      <c r="A54234" s="56"/>
    </row>
    <row r="54235" spans="1:1">
      <c r="A54235" s="56"/>
    </row>
    <row r="54236" spans="1:1">
      <c r="A54236" s="56"/>
    </row>
    <row r="54237" spans="1:1">
      <c r="A54237" s="56"/>
    </row>
    <row r="54238" spans="1:1">
      <c r="A54238" s="56"/>
    </row>
    <row r="54239" spans="1:1">
      <c r="A54239" s="56"/>
    </row>
    <row r="54240" spans="1:1">
      <c r="A54240" s="56"/>
    </row>
    <row r="54241" spans="1:1">
      <c r="A54241" s="56"/>
    </row>
    <row r="54242" spans="1:1">
      <c r="A54242" s="56"/>
    </row>
    <row r="54243" spans="1:1">
      <c r="A54243" s="56"/>
    </row>
    <row r="54244" spans="1:1">
      <c r="A54244" s="56"/>
    </row>
    <row r="54245" spans="1:1">
      <c r="A54245" s="56"/>
    </row>
    <row r="54246" spans="1:1">
      <c r="A54246" s="56"/>
    </row>
    <row r="54247" spans="1:1">
      <c r="A54247" s="56"/>
    </row>
    <row r="54248" spans="1:1">
      <c r="A54248" s="56"/>
    </row>
    <row r="54249" spans="1:1">
      <c r="A54249" s="56"/>
    </row>
    <row r="54250" spans="1:1">
      <c r="A54250" s="56"/>
    </row>
    <row r="54251" spans="1:1">
      <c r="A54251" s="56"/>
    </row>
    <row r="54252" spans="1:1">
      <c r="A54252" s="56"/>
    </row>
    <row r="54253" spans="1:1">
      <c r="A54253" s="56"/>
    </row>
    <row r="54254" spans="1:1">
      <c r="A54254" s="56"/>
    </row>
    <row r="54255" spans="1:1">
      <c r="A54255" s="56"/>
    </row>
    <row r="54256" spans="1:1">
      <c r="A54256" s="56"/>
    </row>
    <row r="54257" spans="1:1">
      <c r="A54257" s="56"/>
    </row>
    <row r="54258" spans="1:1">
      <c r="A54258" s="56"/>
    </row>
    <row r="54259" spans="1:1">
      <c r="A54259" s="56"/>
    </row>
    <row r="54260" spans="1:1">
      <c r="A54260" s="56"/>
    </row>
    <row r="54261" spans="1:1">
      <c r="A54261" s="56"/>
    </row>
    <row r="54262" spans="1:1">
      <c r="A54262" s="56"/>
    </row>
    <row r="54263" spans="1:1">
      <c r="A54263" s="56"/>
    </row>
    <row r="54264" spans="1:1">
      <c r="A54264" s="56"/>
    </row>
    <row r="54265" spans="1:1">
      <c r="A54265" s="56"/>
    </row>
    <row r="54266" spans="1:1">
      <c r="A54266" s="56"/>
    </row>
    <row r="54267" spans="1:1">
      <c r="A54267" s="56"/>
    </row>
    <row r="54268" spans="1:1">
      <c r="A54268" s="56"/>
    </row>
    <row r="54269" spans="1:1">
      <c r="A54269" s="56"/>
    </row>
    <row r="54270" spans="1:1">
      <c r="A54270" s="56"/>
    </row>
    <row r="54271" spans="1:1">
      <c r="A54271" s="56"/>
    </row>
    <row r="54272" spans="1:1">
      <c r="A54272" s="56"/>
    </row>
    <row r="54273" spans="1:1">
      <c r="A54273" s="56"/>
    </row>
    <row r="54274" spans="1:1">
      <c r="A54274" s="56"/>
    </row>
    <row r="54275" spans="1:1">
      <c r="A54275" s="56"/>
    </row>
    <row r="54276" spans="1:1">
      <c r="A54276" s="56"/>
    </row>
    <row r="54277" spans="1:1">
      <c r="A54277" s="56"/>
    </row>
    <row r="54278" spans="1:1">
      <c r="A54278" s="56"/>
    </row>
    <row r="54279" spans="1:1">
      <c r="A54279" s="56"/>
    </row>
    <row r="54280" spans="1:1">
      <c r="A54280" s="56"/>
    </row>
    <row r="54281" spans="1:1">
      <c r="A54281" s="56"/>
    </row>
    <row r="54282" spans="1:1">
      <c r="A54282" s="56"/>
    </row>
    <row r="54283" spans="1:1">
      <c r="A54283" s="56"/>
    </row>
    <row r="54284" spans="1:1">
      <c r="A54284" s="56"/>
    </row>
    <row r="54285" spans="1:1">
      <c r="A54285" s="56"/>
    </row>
    <row r="54286" spans="1:1">
      <c r="A54286" s="56"/>
    </row>
    <row r="54287" spans="1:1">
      <c r="A54287" s="56"/>
    </row>
    <row r="54288" spans="1:1">
      <c r="A54288" s="56"/>
    </row>
    <row r="54289" spans="1:1">
      <c r="A54289" s="56"/>
    </row>
    <row r="54290" spans="1:1">
      <c r="A54290" s="56"/>
    </row>
    <row r="54291" spans="1:1">
      <c r="A54291" s="56"/>
    </row>
    <row r="54292" spans="1:1">
      <c r="A54292" s="56"/>
    </row>
    <row r="54293" spans="1:1">
      <c r="A54293" s="56"/>
    </row>
    <row r="54294" spans="1:1">
      <c r="A54294" s="56"/>
    </row>
    <row r="54295" spans="1:1">
      <c r="A54295" s="56"/>
    </row>
    <row r="54296" spans="1:1">
      <c r="A54296" s="56"/>
    </row>
    <row r="54297" spans="1:1">
      <c r="A54297" s="56"/>
    </row>
    <row r="54298" spans="1:1">
      <c r="A54298" s="56"/>
    </row>
    <row r="54299" spans="1:1">
      <c r="A54299" s="56"/>
    </row>
    <row r="54300" spans="1:1">
      <c r="A54300" s="56"/>
    </row>
    <row r="54301" spans="1:1">
      <c r="A54301" s="56"/>
    </row>
    <row r="54302" spans="1:1">
      <c r="A54302" s="56"/>
    </row>
    <row r="54303" spans="1:1">
      <c r="A54303" s="56"/>
    </row>
    <row r="54304" spans="1:1">
      <c r="A54304" s="56"/>
    </row>
    <row r="54305" spans="1:1">
      <c r="A54305" s="56"/>
    </row>
    <row r="54306" spans="1:1">
      <c r="A54306" s="56"/>
    </row>
    <row r="54307" spans="1:1">
      <c r="A54307" s="56"/>
    </row>
    <row r="54308" spans="1:1">
      <c r="A54308" s="56"/>
    </row>
    <row r="54309" spans="1:1">
      <c r="A54309" s="56"/>
    </row>
    <row r="54310" spans="1:1">
      <c r="A54310" s="56"/>
    </row>
    <row r="54311" spans="1:1">
      <c r="A54311" s="56"/>
    </row>
    <row r="54312" spans="1:1">
      <c r="A54312" s="56"/>
    </row>
    <row r="54313" spans="1:1">
      <c r="A54313" s="56"/>
    </row>
    <row r="54314" spans="1:1">
      <c r="A54314" s="56"/>
    </row>
    <row r="54315" spans="1:1">
      <c r="A54315" s="56"/>
    </row>
    <row r="54316" spans="1:1">
      <c r="A54316" s="56"/>
    </row>
    <row r="54317" spans="1:1">
      <c r="A54317" s="56"/>
    </row>
    <row r="54318" spans="1:1">
      <c r="A54318" s="56"/>
    </row>
    <row r="54319" spans="1:1">
      <c r="A54319" s="56"/>
    </row>
    <row r="54320" spans="1:1">
      <c r="A54320" s="56"/>
    </row>
    <row r="54321" spans="1:1">
      <c r="A54321" s="56"/>
    </row>
    <row r="54322" spans="1:1">
      <c r="A54322" s="56"/>
    </row>
    <row r="54323" spans="1:1">
      <c r="A54323" s="56"/>
    </row>
    <row r="54324" spans="1:1">
      <c r="A54324" s="56"/>
    </row>
    <row r="54325" spans="1:1">
      <c r="A54325" s="56"/>
    </row>
    <row r="54326" spans="1:1">
      <c r="A54326" s="56"/>
    </row>
    <row r="54327" spans="1:1">
      <c r="A54327" s="56"/>
    </row>
    <row r="54328" spans="1:1">
      <c r="A54328" s="56"/>
    </row>
    <row r="54329" spans="1:1">
      <c r="A54329" s="56"/>
    </row>
    <row r="54330" spans="1:1">
      <c r="A54330" s="56"/>
    </row>
    <row r="54331" spans="1:1">
      <c r="A54331" s="56"/>
    </row>
    <row r="54332" spans="1:1">
      <c r="A54332" s="56"/>
    </row>
    <row r="54333" spans="1:1">
      <c r="A54333" s="56"/>
    </row>
    <row r="54334" spans="1:1">
      <c r="A54334" s="56"/>
    </row>
    <row r="54335" spans="1:1">
      <c r="A54335" s="56"/>
    </row>
    <row r="54336" spans="1:1">
      <c r="A54336" s="56"/>
    </row>
    <row r="54337" spans="1:1">
      <c r="A54337" s="56"/>
    </row>
    <row r="54338" spans="1:1">
      <c r="A54338" s="56"/>
    </row>
    <row r="54339" spans="1:1">
      <c r="A54339" s="56"/>
    </row>
    <row r="54340" spans="1:1">
      <c r="A54340" s="56"/>
    </row>
    <row r="54341" spans="1:1">
      <c r="A54341" s="56"/>
    </row>
    <row r="54342" spans="1:1">
      <c r="A54342" s="56"/>
    </row>
    <row r="54343" spans="1:1">
      <c r="A54343" s="56"/>
    </row>
    <row r="54344" spans="1:1">
      <c r="A54344" s="56"/>
    </row>
    <row r="54345" spans="1:1">
      <c r="A54345" s="56"/>
    </row>
    <row r="54346" spans="1:1">
      <c r="A54346" s="56"/>
    </row>
    <row r="54347" spans="1:1">
      <c r="A54347" s="56"/>
    </row>
    <row r="54348" spans="1:1">
      <c r="A54348" s="56"/>
    </row>
    <row r="54349" spans="1:1">
      <c r="A54349" s="56"/>
    </row>
    <row r="54350" spans="1:1">
      <c r="A54350" s="56"/>
    </row>
    <row r="54351" spans="1:1">
      <c r="A54351" s="56"/>
    </row>
    <row r="54352" spans="1:1">
      <c r="A54352" s="56"/>
    </row>
    <row r="54353" spans="1:1">
      <c r="A54353" s="56"/>
    </row>
    <row r="54354" spans="1:1">
      <c r="A54354" s="56"/>
    </row>
    <row r="54355" spans="1:1">
      <c r="A54355" s="56"/>
    </row>
    <row r="54356" spans="1:1">
      <c r="A54356" s="56"/>
    </row>
    <row r="54357" spans="1:1">
      <c r="A54357" s="56"/>
    </row>
    <row r="54358" spans="1:1">
      <c r="A54358" s="56"/>
    </row>
    <row r="54359" spans="1:1">
      <c r="A54359" s="56"/>
    </row>
    <row r="54360" spans="1:1">
      <c r="A54360" s="56"/>
    </row>
    <row r="54361" spans="1:1">
      <c r="A54361" s="56"/>
    </row>
    <row r="54362" spans="1:1">
      <c r="A54362" s="56"/>
    </row>
    <row r="54363" spans="1:1">
      <c r="A54363" s="56"/>
    </row>
    <row r="54364" spans="1:1">
      <c r="A54364" s="56"/>
    </row>
    <row r="54365" spans="1:1">
      <c r="A54365" s="56"/>
    </row>
    <row r="54366" spans="1:1">
      <c r="A54366" s="56"/>
    </row>
    <row r="54367" spans="1:1">
      <c r="A54367" s="56"/>
    </row>
    <row r="54368" spans="1:1">
      <c r="A54368" s="56"/>
    </row>
    <row r="54369" spans="1:1">
      <c r="A54369" s="56"/>
    </row>
    <row r="54370" spans="1:1">
      <c r="A54370" s="56"/>
    </row>
    <row r="54371" spans="1:1">
      <c r="A54371" s="56"/>
    </row>
    <row r="54372" spans="1:1">
      <c r="A54372" s="56"/>
    </row>
    <row r="54373" spans="1:1">
      <c r="A54373" s="56"/>
    </row>
    <row r="54374" spans="1:1">
      <c r="A54374" s="56"/>
    </row>
    <row r="54375" spans="1:1">
      <c r="A54375" s="56"/>
    </row>
    <row r="54376" spans="1:1">
      <c r="A54376" s="56"/>
    </row>
    <row r="54377" spans="1:1">
      <c r="A54377" s="56"/>
    </row>
    <row r="54378" spans="1:1">
      <c r="A54378" s="56"/>
    </row>
    <row r="54379" spans="1:1">
      <c r="A54379" s="56"/>
    </row>
    <row r="54380" spans="1:1">
      <c r="A54380" s="56"/>
    </row>
    <row r="54381" spans="1:1">
      <c r="A54381" s="56"/>
    </row>
    <row r="54382" spans="1:1">
      <c r="A54382" s="56"/>
    </row>
    <row r="54383" spans="1:1">
      <c r="A54383" s="56"/>
    </row>
    <row r="54384" spans="1:1">
      <c r="A54384" s="56"/>
    </row>
    <row r="54385" spans="1:1">
      <c r="A54385" s="56"/>
    </row>
    <row r="54386" spans="1:1">
      <c r="A54386" s="56"/>
    </row>
    <row r="54387" spans="1:1">
      <c r="A54387" s="56"/>
    </row>
    <row r="54388" spans="1:1">
      <c r="A54388" s="56"/>
    </row>
    <row r="54389" spans="1:1">
      <c r="A54389" s="56"/>
    </row>
    <row r="54390" spans="1:1">
      <c r="A54390" s="56"/>
    </row>
    <row r="54391" spans="1:1">
      <c r="A54391" s="56"/>
    </row>
    <row r="54392" spans="1:1">
      <c r="A54392" s="56"/>
    </row>
    <row r="54393" spans="1:1">
      <c r="A54393" s="56"/>
    </row>
    <row r="54394" spans="1:1">
      <c r="A54394" s="56"/>
    </row>
    <row r="54395" spans="1:1">
      <c r="A54395" s="56"/>
    </row>
    <row r="54396" spans="1:1">
      <c r="A54396" s="56"/>
    </row>
    <row r="54397" spans="1:1">
      <c r="A54397" s="56"/>
    </row>
    <row r="54398" spans="1:1">
      <c r="A54398" s="56"/>
    </row>
    <row r="54399" spans="1:1">
      <c r="A54399" s="56"/>
    </row>
    <row r="54400" spans="1:1">
      <c r="A54400" s="56"/>
    </row>
    <row r="54401" spans="1:1">
      <c r="A54401" s="56"/>
    </row>
    <row r="54402" spans="1:1">
      <c r="A54402" s="56"/>
    </row>
    <row r="54403" spans="1:1">
      <c r="A54403" s="56"/>
    </row>
    <row r="54404" spans="1:1">
      <c r="A54404" s="56"/>
    </row>
    <row r="54405" spans="1:1">
      <c r="A54405" s="56"/>
    </row>
    <row r="54406" spans="1:1">
      <c r="A54406" s="56"/>
    </row>
    <row r="54407" spans="1:1">
      <c r="A54407" s="56"/>
    </row>
    <row r="54408" spans="1:1">
      <c r="A54408" s="56"/>
    </row>
    <row r="54409" spans="1:1">
      <c r="A54409" s="56"/>
    </row>
    <row r="54410" spans="1:1">
      <c r="A54410" s="56"/>
    </row>
    <row r="54411" spans="1:1">
      <c r="A54411" s="56"/>
    </row>
    <row r="54412" spans="1:1">
      <c r="A54412" s="56"/>
    </row>
    <row r="54413" spans="1:1">
      <c r="A54413" s="56"/>
    </row>
    <row r="54414" spans="1:1">
      <c r="A54414" s="56"/>
    </row>
    <row r="54415" spans="1:1">
      <c r="A54415" s="56"/>
    </row>
    <row r="54416" spans="1:1">
      <c r="A54416" s="56"/>
    </row>
    <row r="54417" spans="1:1">
      <c r="A54417" s="56"/>
    </row>
    <row r="54418" spans="1:1">
      <c r="A54418" s="56"/>
    </row>
    <row r="54419" spans="1:1">
      <c r="A54419" s="56"/>
    </row>
    <row r="54420" spans="1:1">
      <c r="A54420" s="56"/>
    </row>
    <row r="54421" spans="1:1">
      <c r="A54421" s="56"/>
    </row>
    <row r="54422" spans="1:1">
      <c r="A54422" s="56"/>
    </row>
    <row r="54423" spans="1:1">
      <c r="A54423" s="56"/>
    </row>
    <row r="54424" spans="1:1">
      <c r="A54424" s="56"/>
    </row>
    <row r="54425" spans="1:1">
      <c r="A54425" s="56"/>
    </row>
    <row r="54426" spans="1:1">
      <c r="A54426" s="56"/>
    </row>
    <row r="54427" spans="1:1">
      <c r="A54427" s="56"/>
    </row>
    <row r="54428" spans="1:1">
      <c r="A54428" s="56"/>
    </row>
    <row r="54429" spans="1:1">
      <c r="A54429" s="56"/>
    </row>
    <row r="54430" spans="1:1">
      <c r="A54430" s="56"/>
    </row>
    <row r="54431" spans="1:1">
      <c r="A54431" s="56"/>
    </row>
    <row r="54432" spans="1:1">
      <c r="A54432" s="56"/>
    </row>
    <row r="54433" spans="1:1">
      <c r="A54433" s="56"/>
    </row>
    <row r="54434" spans="1:1">
      <c r="A54434" s="56"/>
    </row>
    <row r="54435" spans="1:1">
      <c r="A54435" s="56"/>
    </row>
    <row r="54436" spans="1:1">
      <c r="A54436" s="56"/>
    </row>
    <row r="54437" spans="1:1">
      <c r="A54437" s="56"/>
    </row>
    <row r="54438" spans="1:1">
      <c r="A54438" s="56"/>
    </row>
    <row r="54439" spans="1:1">
      <c r="A54439" s="56"/>
    </row>
    <row r="54440" spans="1:1">
      <c r="A54440" s="56"/>
    </row>
    <row r="54441" spans="1:1">
      <c r="A54441" s="56"/>
    </row>
    <row r="54442" spans="1:1">
      <c r="A54442" s="56"/>
    </row>
    <row r="54443" spans="1:1">
      <c r="A54443" s="56"/>
    </row>
    <row r="54444" spans="1:1">
      <c r="A54444" s="56"/>
    </row>
    <row r="54445" spans="1:1">
      <c r="A54445" s="56"/>
    </row>
    <row r="54446" spans="1:1">
      <c r="A54446" s="56"/>
    </row>
    <row r="54447" spans="1:1">
      <c r="A54447" s="56"/>
    </row>
    <row r="54448" spans="1:1">
      <c r="A54448" s="56"/>
    </row>
    <row r="54449" spans="1:1">
      <c r="A54449" s="56"/>
    </row>
    <row r="54450" spans="1:1">
      <c r="A54450" s="56"/>
    </row>
    <row r="54451" spans="1:1">
      <c r="A54451" s="56"/>
    </row>
    <row r="54452" spans="1:1">
      <c r="A54452" s="56"/>
    </row>
    <row r="54453" spans="1:1">
      <c r="A54453" s="56"/>
    </row>
    <row r="54454" spans="1:1">
      <c r="A54454" s="56"/>
    </row>
    <row r="54455" spans="1:1">
      <c r="A54455" s="56"/>
    </row>
    <row r="54456" spans="1:1">
      <c r="A54456" s="56"/>
    </row>
    <row r="54457" spans="1:1">
      <c r="A54457" s="56"/>
    </row>
    <row r="54458" spans="1:1">
      <c r="A54458" s="56"/>
    </row>
    <row r="54459" spans="1:1">
      <c r="A54459" s="56"/>
    </row>
    <row r="54460" spans="1:1">
      <c r="A54460" s="56"/>
    </row>
    <row r="54461" spans="1:1">
      <c r="A54461" s="56"/>
    </row>
    <row r="54462" spans="1:1">
      <c r="A54462" s="56"/>
    </row>
    <row r="54463" spans="1:1">
      <c r="A54463" s="56"/>
    </row>
    <row r="54464" spans="1:1">
      <c r="A54464" s="56"/>
    </row>
    <row r="54465" spans="1:1">
      <c r="A54465" s="56"/>
    </row>
    <row r="54466" spans="1:1">
      <c r="A54466" s="56"/>
    </row>
    <row r="54467" spans="1:1">
      <c r="A54467" s="56"/>
    </row>
    <row r="54468" spans="1:1">
      <c r="A54468" s="56"/>
    </row>
    <row r="54469" spans="1:1">
      <c r="A54469" s="56"/>
    </row>
    <row r="54470" spans="1:1">
      <c r="A54470" s="56"/>
    </row>
    <row r="54471" spans="1:1">
      <c r="A54471" s="56"/>
    </row>
    <row r="54472" spans="1:1">
      <c r="A54472" s="56"/>
    </row>
    <row r="54473" spans="1:1">
      <c r="A54473" s="56"/>
    </row>
    <row r="54474" spans="1:1">
      <c r="A54474" s="56"/>
    </row>
    <row r="54475" spans="1:1">
      <c r="A54475" s="56"/>
    </row>
    <row r="54476" spans="1:1">
      <c r="A54476" s="56"/>
    </row>
    <row r="54477" spans="1:1">
      <c r="A54477" s="56"/>
    </row>
    <row r="54478" spans="1:1">
      <c r="A54478" s="56"/>
    </row>
    <row r="54479" spans="1:1">
      <c r="A54479" s="56"/>
    </row>
    <row r="54480" spans="1:1">
      <c r="A54480" s="56"/>
    </row>
    <row r="54481" spans="1:1">
      <c r="A54481" s="56"/>
    </row>
    <row r="54482" spans="1:1">
      <c r="A54482" s="56"/>
    </row>
    <row r="54483" spans="1:1">
      <c r="A54483" s="56"/>
    </row>
    <row r="54484" spans="1:1">
      <c r="A54484" s="56"/>
    </row>
    <row r="54485" spans="1:1">
      <c r="A54485" s="56"/>
    </row>
    <row r="54486" spans="1:1">
      <c r="A54486" s="56"/>
    </row>
    <row r="54487" spans="1:1">
      <c r="A54487" s="56"/>
    </row>
    <row r="54488" spans="1:1">
      <c r="A54488" s="56"/>
    </row>
    <row r="54489" spans="1:1">
      <c r="A54489" s="56"/>
    </row>
    <row r="54490" spans="1:1">
      <c r="A54490" s="56"/>
    </row>
    <row r="54491" spans="1:1">
      <c r="A54491" s="56"/>
    </row>
    <row r="54492" spans="1:1">
      <c r="A54492" s="56"/>
    </row>
    <row r="54493" spans="1:1">
      <c r="A54493" s="56"/>
    </row>
    <row r="54494" spans="1:1">
      <c r="A54494" s="56"/>
    </row>
    <row r="54495" spans="1:1">
      <c r="A54495" s="56"/>
    </row>
    <row r="54496" spans="1:1">
      <c r="A54496" s="56"/>
    </row>
    <row r="54497" spans="1:1">
      <c r="A54497" s="56"/>
    </row>
    <row r="54498" spans="1:1">
      <c r="A54498" s="56"/>
    </row>
    <row r="54499" spans="1:1">
      <c r="A54499" s="56"/>
    </row>
    <row r="54500" spans="1:1">
      <c r="A54500" s="56"/>
    </row>
    <row r="54501" spans="1:1">
      <c r="A54501" s="56"/>
    </row>
    <row r="54502" spans="1:1">
      <c r="A54502" s="56"/>
    </row>
    <row r="54503" spans="1:1">
      <c r="A54503" s="56"/>
    </row>
    <row r="54504" spans="1:1">
      <c r="A54504" s="56"/>
    </row>
    <row r="54505" spans="1:1">
      <c r="A54505" s="56"/>
    </row>
    <row r="54506" spans="1:1">
      <c r="A54506" s="56"/>
    </row>
    <row r="54507" spans="1:1">
      <c r="A54507" s="56"/>
    </row>
    <row r="54508" spans="1:1">
      <c r="A54508" s="56"/>
    </row>
    <row r="54509" spans="1:1">
      <c r="A54509" s="56"/>
    </row>
    <row r="54510" spans="1:1">
      <c r="A54510" s="56"/>
    </row>
    <row r="54511" spans="1:1">
      <c r="A54511" s="56"/>
    </row>
    <row r="54512" spans="1:1">
      <c r="A54512" s="56"/>
    </row>
    <row r="54513" spans="1:1">
      <c r="A54513" s="56"/>
    </row>
    <row r="54514" spans="1:1">
      <c r="A54514" s="56"/>
    </row>
    <row r="54515" spans="1:1">
      <c r="A54515" s="56"/>
    </row>
    <row r="54516" spans="1:1">
      <c r="A54516" s="56"/>
    </row>
    <row r="54517" spans="1:1">
      <c r="A54517" s="56"/>
    </row>
    <row r="54518" spans="1:1">
      <c r="A54518" s="56"/>
    </row>
    <row r="54519" spans="1:1">
      <c r="A54519" s="56"/>
    </row>
    <row r="54520" spans="1:1">
      <c r="A54520" s="56"/>
    </row>
    <row r="54521" spans="1:1">
      <c r="A54521" s="56"/>
    </row>
    <row r="54522" spans="1:1">
      <c r="A54522" s="56"/>
    </row>
    <row r="54523" spans="1:1">
      <c r="A54523" s="56"/>
    </row>
    <row r="54524" spans="1:1">
      <c r="A54524" s="56"/>
    </row>
    <row r="54525" spans="1:1">
      <c r="A54525" s="56"/>
    </row>
    <row r="54526" spans="1:1">
      <c r="A54526" s="56"/>
    </row>
    <row r="54527" spans="1:1">
      <c r="A54527" s="56"/>
    </row>
    <row r="54528" spans="1:1">
      <c r="A54528" s="56"/>
    </row>
    <row r="54529" spans="1:1">
      <c r="A54529" s="56"/>
    </row>
    <row r="54530" spans="1:1">
      <c r="A54530" s="56"/>
    </row>
    <row r="54531" spans="1:1">
      <c r="A54531" s="56"/>
    </row>
    <row r="54532" spans="1:1">
      <c r="A54532" s="56"/>
    </row>
    <row r="54533" spans="1:1">
      <c r="A54533" s="56"/>
    </row>
    <row r="54534" spans="1:1">
      <c r="A54534" s="56"/>
    </row>
    <row r="54535" spans="1:1">
      <c r="A54535" s="56"/>
    </row>
    <row r="54536" spans="1:1">
      <c r="A54536" s="56"/>
    </row>
    <row r="54537" spans="1:1">
      <c r="A54537" s="56"/>
    </row>
    <row r="54538" spans="1:1">
      <c r="A54538" s="56"/>
    </row>
    <row r="54539" spans="1:1">
      <c r="A54539" s="56"/>
    </row>
    <row r="54540" spans="1:1">
      <c r="A54540" s="56"/>
    </row>
    <row r="54541" spans="1:1">
      <c r="A54541" s="56"/>
    </row>
    <row r="54542" spans="1:1">
      <c r="A54542" s="56"/>
    </row>
    <row r="54543" spans="1:1">
      <c r="A54543" s="56"/>
    </row>
    <row r="54544" spans="1:1">
      <c r="A54544" s="56"/>
    </row>
    <row r="54545" spans="1:1">
      <c r="A54545" s="56"/>
    </row>
    <row r="54546" spans="1:1">
      <c r="A54546" s="56"/>
    </row>
    <row r="54547" spans="1:1">
      <c r="A54547" s="56"/>
    </row>
    <row r="54548" spans="1:1">
      <c r="A54548" s="56"/>
    </row>
    <row r="54549" spans="1:1">
      <c r="A54549" s="56"/>
    </row>
    <row r="54550" spans="1:1">
      <c r="A54550" s="56"/>
    </row>
    <row r="54551" spans="1:1">
      <c r="A54551" s="56"/>
    </row>
    <row r="54552" spans="1:1">
      <c r="A54552" s="56"/>
    </row>
    <row r="54553" spans="1:1">
      <c r="A54553" s="56"/>
    </row>
    <row r="54554" spans="1:1">
      <c r="A54554" s="56"/>
    </row>
    <row r="54555" spans="1:1">
      <c r="A54555" s="56"/>
    </row>
    <row r="54556" spans="1:1">
      <c r="A54556" s="56"/>
    </row>
    <row r="54557" spans="1:1">
      <c r="A54557" s="56"/>
    </row>
    <row r="54558" spans="1:1">
      <c r="A54558" s="56"/>
    </row>
    <row r="54559" spans="1:1">
      <c r="A54559" s="56"/>
    </row>
    <row r="54560" spans="1:1">
      <c r="A54560" s="56"/>
    </row>
    <row r="54561" spans="1:1">
      <c r="A54561" s="56"/>
    </row>
    <row r="54562" spans="1:1">
      <c r="A54562" s="56"/>
    </row>
    <row r="54563" spans="1:1">
      <c r="A54563" s="56"/>
    </row>
    <row r="54564" spans="1:1">
      <c r="A54564" s="56"/>
    </row>
    <row r="54565" spans="1:1">
      <c r="A54565" s="56"/>
    </row>
    <row r="54566" spans="1:1">
      <c r="A54566" s="56"/>
    </row>
    <row r="54567" spans="1:1">
      <c r="A54567" s="56"/>
    </row>
    <row r="54568" spans="1:1">
      <c r="A54568" s="56"/>
    </row>
    <row r="54569" spans="1:1">
      <c r="A54569" s="56"/>
    </row>
    <row r="54570" spans="1:1">
      <c r="A54570" s="56"/>
    </row>
    <row r="54571" spans="1:1">
      <c r="A54571" s="56"/>
    </row>
    <row r="54572" spans="1:1">
      <c r="A54572" s="56"/>
    </row>
    <row r="54573" spans="1:1">
      <c r="A54573" s="56"/>
    </row>
    <row r="54574" spans="1:1">
      <c r="A54574" s="56"/>
    </row>
    <row r="54575" spans="1:1">
      <c r="A54575" s="56"/>
    </row>
    <row r="54576" spans="1:1">
      <c r="A54576" s="56"/>
    </row>
    <row r="54577" spans="1:1">
      <c r="A54577" s="56"/>
    </row>
    <row r="54578" spans="1:1">
      <c r="A54578" s="56"/>
    </row>
    <row r="54579" spans="1:1">
      <c r="A54579" s="56"/>
    </row>
    <row r="54580" spans="1:1">
      <c r="A54580" s="56"/>
    </row>
    <row r="54581" spans="1:1">
      <c r="A54581" s="56"/>
    </row>
    <row r="54582" spans="1:1">
      <c r="A54582" s="56"/>
    </row>
    <row r="54583" spans="1:1">
      <c r="A54583" s="56"/>
    </row>
    <row r="54584" spans="1:1">
      <c r="A54584" s="56"/>
    </row>
    <row r="54585" spans="1:1">
      <c r="A54585" s="56"/>
    </row>
    <row r="54586" spans="1:1">
      <c r="A54586" s="56"/>
    </row>
    <row r="54587" spans="1:1">
      <c r="A54587" s="56"/>
    </row>
    <row r="54588" spans="1:1">
      <c r="A54588" s="56"/>
    </row>
    <row r="54589" spans="1:1">
      <c r="A54589" s="56"/>
    </row>
    <row r="54590" spans="1:1">
      <c r="A54590" s="56"/>
    </row>
    <row r="54591" spans="1:1">
      <c r="A54591" s="56"/>
    </row>
    <row r="54592" spans="1:1">
      <c r="A54592" s="56"/>
    </row>
    <row r="54593" spans="1:1">
      <c r="A54593" s="56"/>
    </row>
    <row r="54594" spans="1:1">
      <c r="A54594" s="56"/>
    </row>
    <row r="54595" spans="1:1">
      <c r="A54595" s="56"/>
    </row>
    <row r="54596" spans="1:1">
      <c r="A54596" s="56"/>
    </row>
    <row r="54597" spans="1:1">
      <c r="A54597" s="56"/>
    </row>
    <row r="54598" spans="1:1">
      <c r="A54598" s="56"/>
    </row>
    <row r="54599" spans="1:1">
      <c r="A54599" s="56"/>
    </row>
    <row r="54600" spans="1:1">
      <c r="A54600" s="56"/>
    </row>
    <row r="54601" spans="1:1">
      <c r="A54601" s="56"/>
    </row>
    <row r="54602" spans="1:1">
      <c r="A54602" s="56"/>
    </row>
    <row r="54603" spans="1:1">
      <c r="A54603" s="56"/>
    </row>
    <row r="54604" spans="1:1">
      <c r="A54604" s="56"/>
    </row>
    <row r="54605" spans="1:1">
      <c r="A54605" s="56"/>
    </row>
    <row r="54606" spans="1:1">
      <c r="A54606" s="56"/>
    </row>
    <row r="54607" spans="1:1">
      <c r="A54607" s="56"/>
    </row>
    <row r="54608" spans="1:1">
      <c r="A54608" s="56"/>
    </row>
    <row r="54609" spans="1:1">
      <c r="A54609" s="56"/>
    </row>
    <row r="54610" spans="1:1">
      <c r="A54610" s="56"/>
    </row>
    <row r="54611" spans="1:1">
      <c r="A54611" s="56"/>
    </row>
    <row r="54612" spans="1:1">
      <c r="A54612" s="56"/>
    </row>
    <row r="54613" spans="1:1">
      <c r="A54613" s="56"/>
    </row>
    <row r="54614" spans="1:1">
      <c r="A54614" s="56"/>
    </row>
    <row r="54615" spans="1:1">
      <c r="A54615" s="56"/>
    </row>
    <row r="54616" spans="1:1">
      <c r="A54616" s="56"/>
    </row>
    <row r="54617" spans="1:1">
      <c r="A54617" s="56"/>
    </row>
    <row r="54618" spans="1:1">
      <c r="A54618" s="56"/>
    </row>
    <row r="54619" spans="1:1">
      <c r="A54619" s="56"/>
    </row>
    <row r="54620" spans="1:1">
      <c r="A54620" s="56"/>
    </row>
    <row r="54621" spans="1:1">
      <c r="A54621" s="56"/>
    </row>
    <row r="54622" spans="1:1">
      <c r="A54622" s="56"/>
    </row>
    <row r="54623" spans="1:1">
      <c r="A54623" s="56"/>
    </row>
    <row r="54624" spans="1:1">
      <c r="A54624" s="56"/>
    </row>
    <row r="54625" spans="1:1">
      <c r="A54625" s="56"/>
    </row>
    <row r="54626" spans="1:1">
      <c r="A54626" s="56"/>
    </row>
    <row r="54627" spans="1:1">
      <c r="A54627" s="56"/>
    </row>
    <row r="54628" spans="1:1">
      <c r="A54628" s="56"/>
    </row>
    <row r="54629" spans="1:1">
      <c r="A54629" s="56"/>
    </row>
    <row r="54630" spans="1:1">
      <c r="A54630" s="56"/>
    </row>
    <row r="54631" spans="1:1">
      <c r="A54631" s="56"/>
    </row>
    <row r="54632" spans="1:1">
      <c r="A54632" s="56"/>
    </row>
    <row r="54633" spans="1:1">
      <c r="A54633" s="56"/>
    </row>
    <row r="54634" spans="1:1">
      <c r="A54634" s="56"/>
    </row>
    <row r="54635" spans="1:1">
      <c r="A54635" s="56"/>
    </row>
    <row r="54636" spans="1:1">
      <c r="A54636" s="56"/>
    </row>
    <row r="54637" spans="1:1">
      <c r="A54637" s="56"/>
    </row>
    <row r="54638" spans="1:1">
      <c r="A54638" s="56"/>
    </row>
    <row r="54639" spans="1:1">
      <c r="A54639" s="56"/>
    </row>
    <row r="54640" spans="1:1">
      <c r="A54640" s="56"/>
    </row>
    <row r="54641" spans="1:1">
      <c r="A54641" s="56"/>
    </row>
    <row r="54642" spans="1:1">
      <c r="A54642" s="56"/>
    </row>
    <row r="54643" spans="1:1">
      <c r="A54643" s="56"/>
    </row>
    <row r="54644" spans="1:1">
      <c r="A54644" s="56"/>
    </row>
    <row r="54645" spans="1:1">
      <c r="A54645" s="56"/>
    </row>
    <row r="54646" spans="1:1">
      <c r="A54646" s="56"/>
    </row>
    <row r="54647" spans="1:1">
      <c r="A54647" s="56"/>
    </row>
    <row r="54648" spans="1:1">
      <c r="A54648" s="56"/>
    </row>
    <row r="54649" spans="1:1">
      <c r="A54649" s="56"/>
    </row>
    <row r="54650" spans="1:1">
      <c r="A54650" s="56"/>
    </row>
    <row r="54651" spans="1:1">
      <c r="A54651" s="56"/>
    </row>
    <row r="54652" spans="1:1">
      <c r="A54652" s="56"/>
    </row>
    <row r="54653" spans="1:1">
      <c r="A54653" s="56"/>
    </row>
    <row r="54654" spans="1:1">
      <c r="A54654" s="56"/>
    </row>
    <row r="54655" spans="1:1">
      <c r="A54655" s="56"/>
    </row>
    <row r="54656" spans="1:1">
      <c r="A54656" s="56"/>
    </row>
    <row r="54657" spans="1:1">
      <c r="A54657" s="56"/>
    </row>
    <row r="54658" spans="1:1">
      <c r="A54658" s="56"/>
    </row>
    <row r="54659" spans="1:1">
      <c r="A54659" s="56"/>
    </row>
    <row r="54660" spans="1:1">
      <c r="A54660" s="56"/>
    </row>
    <row r="54661" spans="1:1">
      <c r="A54661" s="56"/>
    </row>
    <row r="54662" spans="1:1">
      <c r="A54662" s="56"/>
    </row>
    <row r="54663" spans="1:1">
      <c r="A54663" s="56"/>
    </row>
    <row r="54664" spans="1:1">
      <c r="A54664" s="56"/>
    </row>
    <row r="54665" spans="1:1">
      <c r="A54665" s="56"/>
    </row>
    <row r="54666" spans="1:1">
      <c r="A54666" s="56"/>
    </row>
    <row r="54667" spans="1:1">
      <c r="A54667" s="56"/>
    </row>
    <row r="54668" spans="1:1">
      <c r="A54668" s="56"/>
    </row>
    <row r="54669" spans="1:1">
      <c r="A54669" s="56"/>
    </row>
    <row r="54670" spans="1:1">
      <c r="A54670" s="56"/>
    </row>
    <row r="54671" spans="1:1">
      <c r="A54671" s="56"/>
    </row>
    <row r="54672" spans="1:1">
      <c r="A54672" s="56"/>
    </row>
    <row r="54673" spans="1:1">
      <c r="A54673" s="56"/>
    </row>
    <row r="54674" spans="1:1">
      <c r="A54674" s="56"/>
    </row>
    <row r="54675" spans="1:1">
      <c r="A54675" s="56"/>
    </row>
    <row r="54676" spans="1:1">
      <c r="A54676" s="56"/>
    </row>
    <row r="54677" spans="1:1">
      <c r="A54677" s="56"/>
    </row>
    <row r="54678" spans="1:1">
      <c r="A54678" s="56"/>
    </row>
    <row r="54679" spans="1:1">
      <c r="A54679" s="56"/>
    </row>
    <row r="54680" spans="1:1">
      <c r="A54680" s="56"/>
    </row>
    <row r="54681" spans="1:1">
      <c r="A54681" s="56"/>
    </row>
    <row r="54682" spans="1:1">
      <c r="A54682" s="56"/>
    </row>
    <row r="54683" spans="1:1">
      <c r="A54683" s="56"/>
    </row>
    <row r="54684" spans="1:1">
      <c r="A54684" s="56"/>
    </row>
    <row r="54685" spans="1:1">
      <c r="A54685" s="56"/>
    </row>
    <row r="54686" spans="1:1">
      <c r="A54686" s="56"/>
    </row>
    <row r="54687" spans="1:1">
      <c r="A54687" s="56"/>
    </row>
    <row r="54688" spans="1:1">
      <c r="A54688" s="56"/>
    </row>
    <row r="54689" spans="1:1">
      <c r="A54689" s="56"/>
    </row>
    <row r="54690" spans="1:1">
      <c r="A54690" s="56"/>
    </row>
    <row r="54691" spans="1:1">
      <c r="A54691" s="56"/>
    </row>
    <row r="54692" spans="1:1">
      <c r="A54692" s="56"/>
    </row>
    <row r="54693" spans="1:1">
      <c r="A54693" s="56"/>
    </row>
    <row r="54694" spans="1:1">
      <c r="A54694" s="56"/>
    </row>
    <row r="54695" spans="1:1">
      <c r="A54695" s="56"/>
    </row>
    <row r="54696" spans="1:1">
      <c r="A54696" s="56"/>
    </row>
    <row r="54697" spans="1:1">
      <c r="A54697" s="56"/>
    </row>
    <row r="54698" spans="1:1">
      <c r="A54698" s="56"/>
    </row>
    <row r="54699" spans="1:1">
      <c r="A54699" s="56"/>
    </row>
    <row r="54700" spans="1:1">
      <c r="A54700" s="56"/>
    </row>
    <row r="54701" spans="1:1">
      <c r="A54701" s="56"/>
    </row>
    <row r="54702" spans="1:1">
      <c r="A54702" s="56"/>
    </row>
    <row r="54703" spans="1:1">
      <c r="A54703" s="56"/>
    </row>
    <row r="54704" spans="1:1">
      <c r="A54704" s="56"/>
    </row>
    <row r="54705" spans="1:1">
      <c r="A54705" s="56"/>
    </row>
    <row r="54706" spans="1:1">
      <c r="A54706" s="56"/>
    </row>
    <row r="54707" spans="1:1">
      <c r="A54707" s="56"/>
    </row>
    <row r="54708" spans="1:1">
      <c r="A54708" s="56"/>
    </row>
    <row r="54709" spans="1:1">
      <c r="A54709" s="56"/>
    </row>
    <row r="54710" spans="1:1">
      <c r="A54710" s="56"/>
    </row>
    <row r="54711" spans="1:1">
      <c r="A54711" s="56"/>
    </row>
    <row r="54712" spans="1:1">
      <c r="A54712" s="56"/>
    </row>
    <row r="54713" spans="1:1">
      <c r="A54713" s="56"/>
    </row>
    <row r="54714" spans="1:1">
      <c r="A54714" s="56"/>
    </row>
    <row r="54715" spans="1:1">
      <c r="A54715" s="56"/>
    </row>
    <row r="54716" spans="1:1">
      <c r="A54716" s="56"/>
    </row>
    <row r="54717" spans="1:1">
      <c r="A54717" s="56"/>
    </row>
    <row r="54718" spans="1:1">
      <c r="A54718" s="56"/>
    </row>
    <row r="54719" spans="1:1">
      <c r="A54719" s="56"/>
    </row>
    <row r="54720" spans="1:1">
      <c r="A54720" s="56"/>
    </row>
    <row r="54721" spans="1:1">
      <c r="A54721" s="56"/>
    </row>
    <row r="54722" spans="1:1">
      <c r="A54722" s="56"/>
    </row>
    <row r="54723" spans="1:1">
      <c r="A54723" s="56"/>
    </row>
    <row r="54724" spans="1:1">
      <c r="A54724" s="56"/>
    </row>
    <row r="54725" spans="1:1">
      <c r="A54725" s="56"/>
    </row>
    <row r="54726" spans="1:1">
      <c r="A54726" s="56"/>
    </row>
    <row r="54727" spans="1:1">
      <c r="A54727" s="56"/>
    </row>
    <row r="54728" spans="1:1">
      <c r="A54728" s="56"/>
    </row>
    <row r="54729" spans="1:1">
      <c r="A54729" s="56"/>
    </row>
    <row r="54730" spans="1:1">
      <c r="A54730" s="56"/>
    </row>
    <row r="54731" spans="1:1">
      <c r="A54731" s="56"/>
    </row>
    <row r="54732" spans="1:1">
      <c r="A54732" s="56"/>
    </row>
    <row r="54733" spans="1:1">
      <c r="A54733" s="56"/>
    </row>
    <row r="54734" spans="1:1">
      <c r="A54734" s="56"/>
    </row>
    <row r="54735" spans="1:1">
      <c r="A54735" s="56"/>
    </row>
    <row r="54736" spans="1:1">
      <c r="A54736" s="56"/>
    </row>
    <row r="54737" spans="1:1">
      <c r="A54737" s="56"/>
    </row>
    <row r="54738" spans="1:1">
      <c r="A54738" s="56"/>
    </row>
    <row r="54739" spans="1:1">
      <c r="A54739" s="56"/>
    </row>
    <row r="54740" spans="1:1">
      <c r="A54740" s="56"/>
    </row>
    <row r="54741" spans="1:1">
      <c r="A54741" s="56"/>
    </row>
    <row r="54742" spans="1:1">
      <c r="A54742" s="56"/>
    </row>
    <row r="54743" spans="1:1">
      <c r="A54743" s="56"/>
    </row>
    <row r="54744" spans="1:1">
      <c r="A54744" s="56"/>
    </row>
    <row r="54745" spans="1:1">
      <c r="A54745" s="56"/>
    </row>
    <row r="54746" spans="1:1">
      <c r="A54746" s="56"/>
    </row>
    <row r="54747" spans="1:1">
      <c r="A54747" s="56"/>
    </row>
    <row r="54748" spans="1:1">
      <c r="A54748" s="56"/>
    </row>
    <row r="54749" spans="1:1">
      <c r="A54749" s="56"/>
    </row>
    <row r="54750" spans="1:1">
      <c r="A54750" s="56"/>
    </row>
    <row r="54751" spans="1:1">
      <c r="A54751" s="56"/>
    </row>
    <row r="54752" spans="1:1">
      <c r="A54752" s="56"/>
    </row>
    <row r="54753" spans="1:1">
      <c r="A54753" s="56"/>
    </row>
    <row r="54754" spans="1:1">
      <c r="A54754" s="56"/>
    </row>
    <row r="54755" spans="1:1">
      <c r="A54755" s="56"/>
    </row>
    <row r="54756" spans="1:1">
      <c r="A54756" s="56"/>
    </row>
    <row r="54757" spans="1:1">
      <c r="A54757" s="56"/>
    </row>
    <row r="54758" spans="1:1">
      <c r="A54758" s="56"/>
    </row>
    <row r="54759" spans="1:1">
      <c r="A54759" s="56"/>
    </row>
    <row r="54760" spans="1:1">
      <c r="A54760" s="56"/>
    </row>
    <row r="54761" spans="1:1">
      <c r="A54761" s="56"/>
    </row>
    <row r="54762" spans="1:1">
      <c r="A54762" s="56"/>
    </row>
    <row r="54763" spans="1:1">
      <c r="A54763" s="56"/>
    </row>
    <row r="54764" spans="1:1">
      <c r="A54764" s="56"/>
    </row>
    <row r="54765" spans="1:1">
      <c r="A54765" s="56"/>
    </row>
    <row r="54766" spans="1:1">
      <c r="A54766" s="56"/>
    </row>
    <row r="54767" spans="1:1">
      <c r="A54767" s="56"/>
    </row>
    <row r="54768" spans="1:1">
      <c r="A54768" s="56"/>
    </row>
    <row r="54769" spans="1:1">
      <c r="A54769" s="56"/>
    </row>
    <row r="54770" spans="1:1">
      <c r="A54770" s="56"/>
    </row>
    <row r="54771" spans="1:1">
      <c r="A54771" s="56"/>
    </row>
    <row r="54772" spans="1:1">
      <c r="A54772" s="56"/>
    </row>
    <row r="54773" spans="1:1">
      <c r="A54773" s="56"/>
    </row>
    <row r="54774" spans="1:1">
      <c r="A54774" s="56"/>
    </row>
    <row r="54775" spans="1:1">
      <c r="A54775" s="56"/>
    </row>
    <row r="54776" spans="1:1">
      <c r="A54776" s="56"/>
    </row>
    <row r="54777" spans="1:1">
      <c r="A54777" s="56"/>
    </row>
    <row r="54778" spans="1:1">
      <c r="A54778" s="56"/>
    </row>
    <row r="54779" spans="1:1">
      <c r="A54779" s="56"/>
    </row>
    <row r="54780" spans="1:1">
      <c r="A54780" s="56"/>
    </row>
    <row r="54781" spans="1:1">
      <c r="A54781" s="56"/>
    </row>
    <row r="54782" spans="1:1">
      <c r="A54782" s="56"/>
    </row>
    <row r="54783" spans="1:1">
      <c r="A54783" s="56"/>
    </row>
    <row r="54784" spans="1:1">
      <c r="A54784" s="56"/>
    </row>
    <row r="54785" spans="1:1">
      <c r="A54785" s="56"/>
    </row>
    <row r="54786" spans="1:1">
      <c r="A54786" s="56"/>
    </row>
    <row r="54787" spans="1:1">
      <c r="A54787" s="56"/>
    </row>
    <row r="54788" spans="1:1">
      <c r="A54788" s="56"/>
    </row>
    <row r="54789" spans="1:1">
      <c r="A54789" s="56"/>
    </row>
    <row r="54790" spans="1:1">
      <c r="A54790" s="56"/>
    </row>
    <row r="54791" spans="1:1">
      <c r="A54791" s="56"/>
    </row>
    <row r="54792" spans="1:1">
      <c r="A54792" s="56"/>
    </row>
    <row r="54793" spans="1:1">
      <c r="A54793" s="56"/>
    </row>
    <row r="54794" spans="1:1">
      <c r="A54794" s="56"/>
    </row>
    <row r="54795" spans="1:1">
      <c r="A54795" s="56"/>
    </row>
    <row r="54796" spans="1:1">
      <c r="A54796" s="56"/>
    </row>
    <row r="54797" spans="1:1">
      <c r="A54797" s="56"/>
    </row>
    <row r="54798" spans="1:1">
      <c r="A54798" s="56"/>
    </row>
    <row r="54799" spans="1:1">
      <c r="A54799" s="56"/>
    </row>
    <row r="54800" spans="1:1">
      <c r="A54800" s="56"/>
    </row>
    <row r="54801" spans="1:1">
      <c r="A54801" s="56"/>
    </row>
    <row r="54802" spans="1:1">
      <c r="A54802" s="56"/>
    </row>
    <row r="54803" spans="1:1">
      <c r="A54803" s="56"/>
    </row>
    <row r="54804" spans="1:1">
      <c r="A54804" s="56"/>
    </row>
    <row r="54805" spans="1:1">
      <c r="A54805" s="56"/>
    </row>
    <row r="54806" spans="1:1">
      <c r="A54806" s="56"/>
    </row>
    <row r="54807" spans="1:1">
      <c r="A54807" s="56"/>
    </row>
    <row r="54808" spans="1:1">
      <c r="A54808" s="56"/>
    </row>
    <row r="54809" spans="1:1">
      <c r="A54809" s="56"/>
    </row>
    <row r="54810" spans="1:1">
      <c r="A54810" s="56"/>
    </row>
    <row r="54811" spans="1:1">
      <c r="A54811" s="56"/>
    </row>
    <row r="54812" spans="1:1">
      <c r="A54812" s="56"/>
    </row>
    <row r="54813" spans="1:1">
      <c r="A54813" s="56"/>
    </row>
    <row r="54814" spans="1:1">
      <c r="A54814" s="56"/>
    </row>
    <row r="54815" spans="1:1">
      <c r="A54815" s="56"/>
    </row>
    <row r="54816" spans="1:1">
      <c r="A54816" s="56"/>
    </row>
    <row r="54817" spans="1:1">
      <c r="A54817" s="56"/>
    </row>
    <row r="54818" spans="1:1">
      <c r="A54818" s="56"/>
    </row>
    <row r="54819" spans="1:1">
      <c r="A54819" s="56"/>
    </row>
    <row r="54820" spans="1:1">
      <c r="A54820" s="56"/>
    </row>
    <row r="54821" spans="1:1">
      <c r="A54821" s="56"/>
    </row>
    <row r="54822" spans="1:1">
      <c r="A54822" s="56"/>
    </row>
    <row r="54823" spans="1:1">
      <c r="A54823" s="56"/>
    </row>
    <row r="54824" spans="1:1">
      <c r="A54824" s="56"/>
    </row>
    <row r="54825" spans="1:1">
      <c r="A54825" s="56"/>
    </row>
    <row r="54826" spans="1:1">
      <c r="A54826" s="56"/>
    </row>
    <row r="54827" spans="1:1">
      <c r="A54827" s="56"/>
    </row>
    <row r="54828" spans="1:1">
      <c r="A54828" s="56"/>
    </row>
    <row r="54829" spans="1:1">
      <c r="A54829" s="56"/>
    </row>
    <row r="54830" spans="1:1">
      <c r="A54830" s="56"/>
    </row>
    <row r="54831" spans="1:1">
      <c r="A54831" s="56"/>
    </row>
    <row r="54832" spans="1:1">
      <c r="A54832" s="56"/>
    </row>
    <row r="54833" spans="1:1">
      <c r="A54833" s="56"/>
    </row>
    <row r="54834" spans="1:1">
      <c r="A54834" s="56"/>
    </row>
    <row r="54835" spans="1:1">
      <c r="A54835" s="56"/>
    </row>
    <row r="54836" spans="1:1">
      <c r="A54836" s="56"/>
    </row>
    <row r="54837" spans="1:1">
      <c r="A54837" s="56"/>
    </row>
    <row r="54838" spans="1:1">
      <c r="A54838" s="56"/>
    </row>
    <row r="54839" spans="1:1">
      <c r="A54839" s="56"/>
    </row>
    <row r="54840" spans="1:1">
      <c r="A54840" s="56"/>
    </row>
    <row r="54841" spans="1:1">
      <c r="A54841" s="56"/>
    </row>
    <row r="54842" spans="1:1">
      <c r="A54842" s="56"/>
    </row>
    <row r="54843" spans="1:1">
      <c r="A54843" s="56"/>
    </row>
    <row r="54844" spans="1:1">
      <c r="A54844" s="56"/>
    </row>
    <row r="54845" spans="1:1">
      <c r="A54845" s="56"/>
    </row>
    <row r="54846" spans="1:1">
      <c r="A54846" s="56"/>
    </row>
    <row r="54847" spans="1:1">
      <c r="A54847" s="56"/>
    </row>
    <row r="54848" spans="1:1">
      <c r="A54848" s="56"/>
    </row>
    <row r="54849" spans="1:1">
      <c r="A54849" s="56"/>
    </row>
    <row r="54850" spans="1:1">
      <c r="A54850" s="56"/>
    </row>
    <row r="54851" spans="1:1">
      <c r="A54851" s="56"/>
    </row>
    <row r="54852" spans="1:1">
      <c r="A54852" s="56"/>
    </row>
    <row r="54853" spans="1:1">
      <c r="A54853" s="56"/>
    </row>
    <row r="54854" spans="1:1">
      <c r="A54854" s="56"/>
    </row>
    <row r="54855" spans="1:1">
      <c r="A54855" s="56"/>
    </row>
    <row r="54856" spans="1:1">
      <c r="A54856" s="56"/>
    </row>
    <row r="54857" spans="1:1">
      <c r="A54857" s="56"/>
    </row>
    <row r="54858" spans="1:1">
      <c r="A54858" s="56"/>
    </row>
    <row r="54859" spans="1:1">
      <c r="A54859" s="56"/>
    </row>
    <row r="54860" spans="1:1">
      <c r="A54860" s="56"/>
    </row>
    <row r="54861" spans="1:1">
      <c r="A54861" s="56"/>
    </row>
    <row r="54862" spans="1:1">
      <c r="A54862" s="56"/>
    </row>
    <row r="54863" spans="1:1">
      <c r="A54863" s="56"/>
    </row>
    <row r="54864" spans="1:1">
      <c r="A54864" s="56"/>
    </row>
    <row r="54865" spans="1:1">
      <c r="A54865" s="56"/>
    </row>
    <row r="54866" spans="1:1">
      <c r="A54866" s="56"/>
    </row>
    <row r="54867" spans="1:1">
      <c r="A54867" s="56"/>
    </row>
    <row r="54868" spans="1:1">
      <c r="A54868" s="56"/>
    </row>
    <row r="54869" spans="1:1">
      <c r="A54869" s="56"/>
    </row>
    <row r="54870" spans="1:1">
      <c r="A54870" s="56"/>
    </row>
    <row r="54871" spans="1:1">
      <c r="A54871" s="56"/>
    </row>
    <row r="54872" spans="1:1">
      <c r="A54872" s="56"/>
    </row>
    <row r="54873" spans="1:1">
      <c r="A54873" s="56"/>
    </row>
    <row r="54874" spans="1:1">
      <c r="A54874" s="56"/>
    </row>
    <row r="54875" spans="1:1">
      <c r="A54875" s="56"/>
    </row>
    <row r="54876" spans="1:1">
      <c r="A54876" s="56"/>
    </row>
    <row r="54877" spans="1:1">
      <c r="A54877" s="56"/>
    </row>
    <row r="54878" spans="1:1">
      <c r="A54878" s="56"/>
    </row>
    <row r="54879" spans="1:1">
      <c r="A54879" s="56"/>
    </row>
    <row r="54880" spans="1:1">
      <c r="A54880" s="56"/>
    </row>
    <row r="54881" spans="1:1">
      <c r="A54881" s="56"/>
    </row>
    <row r="54882" spans="1:1">
      <c r="A54882" s="56"/>
    </row>
    <row r="54883" spans="1:1">
      <c r="A54883" s="56"/>
    </row>
    <row r="54884" spans="1:1">
      <c r="A54884" s="56"/>
    </row>
    <row r="54885" spans="1:1">
      <c r="A54885" s="56"/>
    </row>
    <row r="54886" spans="1:1">
      <c r="A54886" s="56"/>
    </row>
    <row r="54887" spans="1:1">
      <c r="A54887" s="56"/>
    </row>
    <row r="54888" spans="1:1">
      <c r="A54888" s="56"/>
    </row>
    <row r="54889" spans="1:1">
      <c r="A54889" s="56"/>
    </row>
    <row r="54890" spans="1:1">
      <c r="A54890" s="56"/>
    </row>
    <row r="54891" spans="1:1">
      <c r="A54891" s="56"/>
    </row>
    <row r="54892" spans="1:1">
      <c r="A54892" s="56"/>
    </row>
    <row r="54893" spans="1:1">
      <c r="A54893" s="56"/>
    </row>
    <row r="54894" spans="1:1">
      <c r="A54894" s="56"/>
    </row>
    <row r="54895" spans="1:1">
      <c r="A54895" s="56"/>
    </row>
    <row r="54896" spans="1:1">
      <c r="A54896" s="56"/>
    </row>
    <row r="54897" spans="1:1">
      <c r="A54897" s="56"/>
    </row>
    <row r="54898" spans="1:1">
      <c r="A54898" s="56"/>
    </row>
    <row r="54899" spans="1:1">
      <c r="A54899" s="56"/>
    </row>
    <row r="54900" spans="1:1">
      <c r="A54900" s="56"/>
    </row>
    <row r="54901" spans="1:1">
      <c r="A54901" s="56"/>
    </row>
    <row r="54902" spans="1:1">
      <c r="A54902" s="56"/>
    </row>
    <row r="54903" spans="1:1">
      <c r="A54903" s="56"/>
    </row>
    <row r="54904" spans="1:1">
      <c r="A54904" s="56"/>
    </row>
    <row r="54905" spans="1:1">
      <c r="A54905" s="56"/>
    </row>
    <row r="54906" spans="1:1">
      <c r="A54906" s="56"/>
    </row>
    <row r="54907" spans="1:1">
      <c r="A54907" s="56"/>
    </row>
    <row r="54908" spans="1:1">
      <c r="A54908" s="56"/>
    </row>
    <row r="54909" spans="1:1">
      <c r="A54909" s="56"/>
    </row>
    <row r="54910" spans="1:1">
      <c r="A54910" s="56"/>
    </row>
    <row r="54911" spans="1:1">
      <c r="A54911" s="56"/>
    </row>
    <row r="54912" spans="1:1">
      <c r="A54912" s="56"/>
    </row>
    <row r="54913" spans="1:1">
      <c r="A54913" s="56"/>
    </row>
    <row r="54914" spans="1:1">
      <c r="A54914" s="56"/>
    </row>
    <row r="54915" spans="1:1">
      <c r="A54915" s="56"/>
    </row>
    <row r="54916" spans="1:1">
      <c r="A54916" s="56"/>
    </row>
    <row r="54917" spans="1:1">
      <c r="A54917" s="56"/>
    </row>
    <row r="54918" spans="1:1">
      <c r="A54918" s="56"/>
    </row>
    <row r="54919" spans="1:1">
      <c r="A54919" s="56"/>
    </row>
    <row r="54920" spans="1:1">
      <c r="A54920" s="56"/>
    </row>
    <row r="54921" spans="1:1">
      <c r="A54921" s="56"/>
    </row>
    <row r="54922" spans="1:1">
      <c r="A54922" s="56"/>
    </row>
    <row r="54923" spans="1:1">
      <c r="A54923" s="56"/>
    </row>
    <row r="54924" spans="1:1">
      <c r="A54924" s="56"/>
    </row>
    <row r="54925" spans="1:1">
      <c r="A54925" s="56"/>
    </row>
    <row r="54926" spans="1:1">
      <c r="A54926" s="56"/>
    </row>
    <row r="54927" spans="1:1">
      <c r="A54927" s="56"/>
    </row>
    <row r="54928" spans="1:1">
      <c r="A54928" s="56"/>
    </row>
    <row r="54929" spans="1:1">
      <c r="A54929" s="56"/>
    </row>
    <row r="54930" spans="1:1">
      <c r="A54930" s="56"/>
    </row>
    <row r="54931" spans="1:1">
      <c r="A54931" s="56"/>
    </row>
    <row r="54932" spans="1:1">
      <c r="A54932" s="56"/>
    </row>
    <row r="54933" spans="1:1">
      <c r="A54933" s="56"/>
    </row>
    <row r="54934" spans="1:1">
      <c r="A54934" s="56"/>
    </row>
    <row r="54935" spans="1:1">
      <c r="A54935" s="56"/>
    </row>
    <row r="54936" spans="1:1">
      <c r="A54936" s="56"/>
    </row>
    <row r="54937" spans="1:1">
      <c r="A54937" s="56"/>
    </row>
    <row r="54938" spans="1:1">
      <c r="A54938" s="56"/>
    </row>
    <row r="54939" spans="1:1">
      <c r="A54939" s="56"/>
    </row>
    <row r="54940" spans="1:1">
      <c r="A54940" s="56"/>
    </row>
    <row r="54941" spans="1:1">
      <c r="A54941" s="56"/>
    </row>
    <row r="54942" spans="1:1">
      <c r="A54942" s="56"/>
    </row>
    <row r="54943" spans="1:1">
      <c r="A54943" s="56"/>
    </row>
    <row r="54944" spans="1:1">
      <c r="A54944" s="56"/>
    </row>
    <row r="54945" spans="1:1">
      <c r="A54945" s="56"/>
    </row>
    <row r="54946" spans="1:1">
      <c r="A54946" s="56"/>
    </row>
    <row r="54947" spans="1:1">
      <c r="A54947" s="56"/>
    </row>
    <row r="54948" spans="1:1">
      <c r="A54948" s="56"/>
    </row>
    <row r="54949" spans="1:1">
      <c r="A54949" s="56"/>
    </row>
    <row r="54950" spans="1:1">
      <c r="A54950" s="56"/>
    </row>
    <row r="54951" spans="1:1">
      <c r="A54951" s="56"/>
    </row>
    <row r="54952" spans="1:1">
      <c r="A54952" s="56"/>
    </row>
    <row r="54953" spans="1:1">
      <c r="A54953" s="56"/>
    </row>
    <row r="54954" spans="1:1">
      <c r="A54954" s="56"/>
    </row>
    <row r="54955" spans="1:1">
      <c r="A54955" s="56"/>
    </row>
    <row r="54956" spans="1:1">
      <c r="A54956" s="56"/>
    </row>
    <row r="54957" spans="1:1">
      <c r="A54957" s="56"/>
    </row>
    <row r="54958" spans="1:1">
      <c r="A54958" s="56"/>
    </row>
    <row r="54959" spans="1:1">
      <c r="A54959" s="56"/>
    </row>
    <row r="54960" spans="1:1">
      <c r="A54960" s="56"/>
    </row>
    <row r="54961" spans="1:1">
      <c r="A54961" s="56"/>
    </row>
    <row r="54962" spans="1:1">
      <c r="A54962" s="56"/>
    </row>
    <row r="54963" spans="1:1">
      <c r="A54963" s="56"/>
    </row>
    <row r="54964" spans="1:1">
      <c r="A54964" s="56"/>
    </row>
    <row r="54965" spans="1:1">
      <c r="A54965" s="56"/>
    </row>
    <row r="54966" spans="1:1">
      <c r="A54966" s="56"/>
    </row>
    <row r="54967" spans="1:1">
      <c r="A54967" s="56"/>
    </row>
    <row r="54968" spans="1:1">
      <c r="A54968" s="56"/>
    </row>
    <row r="54969" spans="1:1">
      <c r="A54969" s="56"/>
    </row>
    <row r="54970" spans="1:1">
      <c r="A54970" s="56"/>
    </row>
    <row r="54971" spans="1:1">
      <c r="A54971" s="56"/>
    </row>
    <row r="54972" spans="1:1">
      <c r="A54972" s="56"/>
    </row>
    <row r="54973" spans="1:1">
      <c r="A54973" s="56"/>
    </row>
    <row r="54974" spans="1:1">
      <c r="A54974" s="56"/>
    </row>
    <row r="54975" spans="1:1">
      <c r="A54975" s="56"/>
    </row>
    <row r="54976" spans="1:1">
      <c r="A54976" s="56"/>
    </row>
    <row r="54977" spans="1:1">
      <c r="A54977" s="56"/>
    </row>
    <row r="54978" spans="1:1">
      <c r="A54978" s="56"/>
    </row>
    <row r="54979" spans="1:1">
      <c r="A54979" s="56"/>
    </row>
    <row r="54980" spans="1:1">
      <c r="A54980" s="56"/>
    </row>
    <row r="54981" spans="1:1">
      <c r="A54981" s="56"/>
    </row>
    <row r="54982" spans="1:1">
      <c r="A54982" s="56"/>
    </row>
    <row r="54983" spans="1:1">
      <c r="A54983" s="56"/>
    </row>
    <row r="54984" spans="1:1">
      <c r="A54984" s="56"/>
    </row>
    <row r="54985" spans="1:1">
      <c r="A54985" s="56"/>
    </row>
    <row r="54986" spans="1:1">
      <c r="A54986" s="56"/>
    </row>
    <row r="54987" spans="1:1">
      <c r="A54987" s="56"/>
    </row>
    <row r="54988" spans="1:1">
      <c r="A54988" s="56"/>
    </row>
    <row r="54989" spans="1:1">
      <c r="A54989" s="56"/>
    </row>
    <row r="54990" spans="1:1">
      <c r="A54990" s="56"/>
    </row>
    <row r="54991" spans="1:1">
      <c r="A54991" s="56"/>
    </row>
    <row r="54992" spans="1:1">
      <c r="A54992" s="56"/>
    </row>
    <row r="54993" spans="1:1">
      <c r="A54993" s="56"/>
    </row>
    <row r="54994" spans="1:1">
      <c r="A54994" s="56"/>
    </row>
    <row r="54995" spans="1:1">
      <c r="A54995" s="56"/>
    </row>
    <row r="54996" spans="1:1">
      <c r="A54996" s="56"/>
    </row>
    <row r="54997" spans="1:1">
      <c r="A54997" s="56"/>
    </row>
    <row r="54998" spans="1:1">
      <c r="A54998" s="56"/>
    </row>
    <row r="54999" spans="1:1">
      <c r="A54999" s="56"/>
    </row>
    <row r="55000" spans="1:1">
      <c r="A55000" s="56"/>
    </row>
    <row r="55001" spans="1:1">
      <c r="A55001" s="56"/>
    </row>
    <row r="55002" spans="1:1">
      <c r="A55002" s="56"/>
    </row>
    <row r="55003" spans="1:1">
      <c r="A55003" s="56"/>
    </row>
    <row r="55004" spans="1:1">
      <c r="A55004" s="56"/>
    </row>
    <row r="55005" spans="1:1">
      <c r="A55005" s="56"/>
    </row>
    <row r="55006" spans="1:1">
      <c r="A55006" s="56"/>
    </row>
    <row r="55007" spans="1:1">
      <c r="A55007" s="56"/>
    </row>
    <row r="55008" spans="1:1">
      <c r="A55008" s="56"/>
    </row>
    <row r="55009" spans="1:1">
      <c r="A55009" s="56"/>
    </row>
    <row r="55010" spans="1:1">
      <c r="A55010" s="56"/>
    </row>
    <row r="55011" spans="1:1">
      <c r="A55011" s="56"/>
    </row>
    <row r="55012" spans="1:1">
      <c r="A55012" s="56"/>
    </row>
    <row r="55013" spans="1:1">
      <c r="A55013" s="56"/>
    </row>
    <row r="55014" spans="1:1">
      <c r="A55014" s="56"/>
    </row>
    <row r="55015" spans="1:1">
      <c r="A55015" s="56"/>
    </row>
    <row r="55016" spans="1:1">
      <c r="A55016" s="56"/>
    </row>
    <row r="55017" spans="1:1">
      <c r="A55017" s="56"/>
    </row>
    <row r="55018" spans="1:1">
      <c r="A55018" s="56"/>
    </row>
    <row r="55019" spans="1:1">
      <c r="A55019" s="56"/>
    </row>
    <row r="55020" spans="1:1">
      <c r="A55020" s="56"/>
    </row>
    <row r="55021" spans="1:1">
      <c r="A55021" s="56"/>
    </row>
    <row r="55022" spans="1:1">
      <c r="A55022" s="56"/>
    </row>
    <row r="55023" spans="1:1">
      <c r="A55023" s="56"/>
    </row>
    <row r="55024" spans="1:1">
      <c r="A55024" s="56"/>
    </row>
    <row r="55025" spans="1:1">
      <c r="A55025" s="56"/>
    </row>
    <row r="55026" spans="1:1">
      <c r="A55026" s="56"/>
    </row>
    <row r="55027" spans="1:1">
      <c r="A55027" s="56"/>
    </row>
    <row r="55028" spans="1:1">
      <c r="A55028" s="56"/>
    </row>
    <row r="55029" spans="1:1">
      <c r="A55029" s="56"/>
    </row>
    <row r="55030" spans="1:1">
      <c r="A55030" s="56"/>
    </row>
    <row r="55031" spans="1:1">
      <c r="A55031" s="56"/>
    </row>
    <row r="55032" spans="1:1">
      <c r="A55032" s="56"/>
    </row>
    <row r="55033" spans="1:1">
      <c r="A55033" s="56"/>
    </row>
    <row r="55034" spans="1:1">
      <c r="A55034" s="56"/>
    </row>
    <row r="55035" spans="1:1">
      <c r="A55035" s="56"/>
    </row>
    <row r="55036" spans="1:1">
      <c r="A55036" s="56"/>
    </row>
    <row r="55037" spans="1:1">
      <c r="A55037" s="56"/>
    </row>
    <row r="55038" spans="1:1">
      <c r="A55038" s="56"/>
    </row>
    <row r="55039" spans="1:1">
      <c r="A55039" s="56"/>
    </row>
    <row r="55040" spans="1:1">
      <c r="A55040" s="56"/>
    </row>
    <row r="55041" spans="1:1">
      <c r="A55041" s="56"/>
    </row>
    <row r="55042" spans="1:1">
      <c r="A55042" s="56"/>
    </row>
    <row r="55043" spans="1:1">
      <c r="A55043" s="56"/>
    </row>
    <row r="55044" spans="1:1">
      <c r="A55044" s="56"/>
    </row>
    <row r="55045" spans="1:1">
      <c r="A55045" s="56"/>
    </row>
    <row r="55046" spans="1:1">
      <c r="A55046" s="56"/>
    </row>
    <row r="55047" spans="1:1">
      <c r="A55047" s="56"/>
    </row>
    <row r="55048" spans="1:1">
      <c r="A55048" s="56"/>
    </row>
    <row r="55049" spans="1:1">
      <c r="A55049" s="56"/>
    </row>
    <row r="55050" spans="1:1">
      <c r="A55050" s="56"/>
    </row>
    <row r="55051" spans="1:1">
      <c r="A55051" s="56"/>
    </row>
    <row r="55052" spans="1:1">
      <c r="A55052" s="56"/>
    </row>
    <row r="55053" spans="1:1">
      <c r="A55053" s="56"/>
    </row>
    <row r="55054" spans="1:1">
      <c r="A55054" s="56"/>
    </row>
    <row r="55055" spans="1:1">
      <c r="A55055" s="56"/>
    </row>
    <row r="55056" spans="1:1">
      <c r="A55056" s="56"/>
    </row>
    <row r="55057" spans="1:1">
      <c r="A55057" s="56"/>
    </row>
    <row r="55058" spans="1:1">
      <c r="A55058" s="56"/>
    </row>
    <row r="55059" spans="1:1">
      <c r="A55059" s="56"/>
    </row>
    <row r="55060" spans="1:1">
      <c r="A55060" s="56"/>
    </row>
    <row r="55061" spans="1:1">
      <c r="A55061" s="56"/>
    </row>
    <row r="55062" spans="1:1">
      <c r="A55062" s="56"/>
    </row>
    <row r="55063" spans="1:1">
      <c r="A55063" s="56"/>
    </row>
    <row r="55064" spans="1:1">
      <c r="A55064" s="56"/>
    </row>
    <row r="55065" spans="1:1">
      <c r="A55065" s="56"/>
    </row>
    <row r="55066" spans="1:1">
      <c r="A55066" s="56"/>
    </row>
    <row r="55067" spans="1:1">
      <c r="A55067" s="56"/>
    </row>
    <row r="55068" spans="1:1">
      <c r="A55068" s="56"/>
    </row>
    <row r="55069" spans="1:1">
      <c r="A55069" s="56"/>
    </row>
    <row r="55070" spans="1:1">
      <c r="A55070" s="56"/>
    </row>
    <row r="55071" spans="1:1">
      <c r="A55071" s="56"/>
    </row>
    <row r="55072" spans="1:1">
      <c r="A55072" s="56"/>
    </row>
    <row r="55073" spans="1:1">
      <c r="A55073" s="56"/>
    </row>
    <row r="55074" spans="1:1">
      <c r="A55074" s="56"/>
    </row>
    <row r="55075" spans="1:1">
      <c r="A55075" s="56"/>
    </row>
    <row r="55076" spans="1:1">
      <c r="A55076" s="56"/>
    </row>
    <row r="55077" spans="1:1">
      <c r="A55077" s="56"/>
    </row>
    <row r="55078" spans="1:1">
      <c r="A55078" s="56"/>
    </row>
    <row r="55079" spans="1:1">
      <c r="A55079" s="56"/>
    </row>
    <row r="55080" spans="1:1">
      <c r="A55080" s="56"/>
    </row>
    <row r="55081" spans="1:1">
      <c r="A55081" s="56"/>
    </row>
    <row r="55082" spans="1:1">
      <c r="A55082" s="56"/>
    </row>
    <row r="55083" spans="1:1">
      <c r="A55083" s="56"/>
    </row>
    <row r="55084" spans="1:1">
      <c r="A55084" s="56"/>
    </row>
    <row r="55085" spans="1:1">
      <c r="A55085" s="56"/>
    </row>
    <row r="55086" spans="1:1">
      <c r="A55086" s="56"/>
    </row>
    <row r="55087" spans="1:1">
      <c r="A55087" s="56"/>
    </row>
    <row r="55088" spans="1:1">
      <c r="A55088" s="56"/>
    </row>
    <row r="55089" spans="1:1">
      <c r="A55089" s="56"/>
    </row>
    <row r="55090" spans="1:1">
      <c r="A55090" s="56"/>
    </row>
    <row r="55091" spans="1:1">
      <c r="A55091" s="56"/>
    </row>
    <row r="55092" spans="1:1">
      <c r="A55092" s="56"/>
    </row>
    <row r="55093" spans="1:1">
      <c r="A55093" s="56"/>
    </row>
    <row r="55094" spans="1:1">
      <c r="A55094" s="56"/>
    </row>
    <row r="55095" spans="1:1">
      <c r="A55095" s="56"/>
    </row>
    <row r="55096" spans="1:1">
      <c r="A55096" s="56"/>
    </row>
    <row r="55097" spans="1:1">
      <c r="A55097" s="56"/>
    </row>
    <row r="55098" spans="1:1">
      <c r="A55098" s="56"/>
    </row>
    <row r="55099" spans="1:1">
      <c r="A55099" s="56"/>
    </row>
    <row r="55100" spans="1:1">
      <c r="A55100" s="56"/>
    </row>
    <row r="55101" spans="1:1">
      <c r="A55101" s="56"/>
    </row>
    <row r="55102" spans="1:1">
      <c r="A55102" s="56"/>
    </row>
    <row r="55103" spans="1:1">
      <c r="A55103" s="56"/>
    </row>
    <row r="55104" spans="1:1">
      <c r="A55104" s="56"/>
    </row>
    <row r="55105" spans="1:1">
      <c r="A55105" s="56"/>
    </row>
    <row r="55106" spans="1:1">
      <c r="A55106" s="56"/>
    </row>
    <row r="55107" spans="1:1">
      <c r="A55107" s="56"/>
    </row>
    <row r="55108" spans="1:1">
      <c r="A55108" s="56"/>
    </row>
    <row r="55109" spans="1:1">
      <c r="A55109" s="56"/>
    </row>
    <row r="55110" spans="1:1">
      <c r="A55110" s="56"/>
    </row>
    <row r="55111" spans="1:1">
      <c r="A55111" s="56"/>
    </row>
    <row r="55112" spans="1:1">
      <c r="A55112" s="56"/>
    </row>
    <row r="55113" spans="1:1">
      <c r="A55113" s="56"/>
    </row>
    <row r="55114" spans="1:1">
      <c r="A55114" s="56"/>
    </row>
    <row r="55115" spans="1:1">
      <c r="A55115" s="56"/>
    </row>
    <row r="55116" spans="1:1">
      <c r="A55116" s="56"/>
    </row>
    <row r="55117" spans="1:1">
      <c r="A55117" s="56"/>
    </row>
    <row r="55118" spans="1:1">
      <c r="A55118" s="56"/>
    </row>
    <row r="55119" spans="1:1">
      <c r="A55119" s="56"/>
    </row>
    <row r="55120" spans="1:1">
      <c r="A55120" s="56"/>
    </row>
    <row r="55121" spans="1:1">
      <c r="A55121" s="56"/>
    </row>
    <row r="55122" spans="1:1">
      <c r="A55122" s="56"/>
    </row>
    <row r="55123" spans="1:1">
      <c r="A55123" s="56"/>
    </row>
    <row r="55124" spans="1:1">
      <c r="A55124" s="56"/>
    </row>
    <row r="55125" spans="1:1">
      <c r="A55125" s="56"/>
    </row>
    <row r="55126" spans="1:1">
      <c r="A55126" s="56"/>
    </row>
    <row r="55127" spans="1:1">
      <c r="A55127" s="56"/>
    </row>
    <row r="55128" spans="1:1">
      <c r="A55128" s="56"/>
    </row>
    <row r="55129" spans="1:1">
      <c r="A55129" s="56"/>
    </row>
    <row r="55130" spans="1:1">
      <c r="A55130" s="56"/>
    </row>
    <row r="55131" spans="1:1">
      <c r="A55131" s="56"/>
    </row>
    <row r="55132" spans="1:1">
      <c r="A55132" s="56"/>
    </row>
    <row r="55133" spans="1:1">
      <c r="A55133" s="56"/>
    </row>
    <row r="55134" spans="1:1">
      <c r="A55134" s="56"/>
    </row>
    <row r="55135" spans="1:1">
      <c r="A55135" s="56"/>
    </row>
    <row r="55136" spans="1:1">
      <c r="A55136" s="56"/>
    </row>
    <row r="55137" spans="1:1">
      <c r="A55137" s="56"/>
    </row>
    <row r="55138" spans="1:1">
      <c r="A55138" s="56"/>
    </row>
    <row r="55139" spans="1:1">
      <c r="A55139" s="56"/>
    </row>
    <row r="55140" spans="1:1">
      <c r="A55140" s="56"/>
    </row>
    <row r="55141" spans="1:1">
      <c r="A55141" s="56"/>
    </row>
    <row r="55142" spans="1:1">
      <c r="A55142" s="56"/>
    </row>
    <row r="55143" spans="1:1">
      <c r="A55143" s="56"/>
    </row>
    <row r="55144" spans="1:1">
      <c r="A55144" s="56"/>
    </row>
    <row r="55145" spans="1:1">
      <c r="A55145" s="56"/>
    </row>
    <row r="55146" spans="1:1">
      <c r="A55146" s="56"/>
    </row>
    <row r="55147" spans="1:1">
      <c r="A55147" s="56"/>
    </row>
    <row r="55148" spans="1:1">
      <c r="A55148" s="56"/>
    </row>
    <row r="55149" spans="1:1">
      <c r="A55149" s="56"/>
    </row>
    <row r="55150" spans="1:1">
      <c r="A55150" s="56"/>
    </row>
    <row r="55151" spans="1:1">
      <c r="A55151" s="56"/>
    </row>
    <row r="55152" spans="1:1">
      <c r="A55152" s="56"/>
    </row>
    <row r="55153" spans="1:1">
      <c r="A55153" s="56"/>
    </row>
    <row r="55154" spans="1:1">
      <c r="A55154" s="56"/>
    </row>
    <row r="55155" spans="1:1">
      <c r="A55155" s="56"/>
    </row>
    <row r="55156" spans="1:1">
      <c r="A55156" s="56"/>
    </row>
    <row r="55157" spans="1:1">
      <c r="A55157" s="56"/>
    </row>
    <row r="55158" spans="1:1">
      <c r="A55158" s="56"/>
    </row>
    <row r="55159" spans="1:1">
      <c r="A55159" s="56"/>
    </row>
    <row r="55160" spans="1:1">
      <c r="A55160" s="56"/>
    </row>
    <row r="55161" spans="1:1">
      <c r="A55161" s="56"/>
    </row>
    <row r="55162" spans="1:1">
      <c r="A55162" s="56"/>
    </row>
    <row r="55163" spans="1:1">
      <c r="A55163" s="56"/>
    </row>
    <row r="55164" spans="1:1">
      <c r="A55164" s="56"/>
    </row>
    <row r="55165" spans="1:1">
      <c r="A55165" s="56"/>
    </row>
    <row r="55166" spans="1:1">
      <c r="A55166" s="56"/>
    </row>
    <row r="55167" spans="1:1">
      <c r="A55167" s="56"/>
    </row>
    <row r="55168" spans="1:1">
      <c r="A55168" s="56"/>
    </row>
    <row r="55169" spans="1:1">
      <c r="A55169" s="56"/>
    </row>
    <row r="55170" spans="1:1">
      <c r="A55170" s="56"/>
    </row>
    <row r="55171" spans="1:1">
      <c r="A55171" s="56"/>
    </row>
    <row r="55172" spans="1:1">
      <c r="A55172" s="56"/>
    </row>
    <row r="55173" spans="1:1">
      <c r="A55173" s="56"/>
    </row>
    <row r="55174" spans="1:1">
      <c r="A55174" s="56"/>
    </row>
    <row r="55175" spans="1:1">
      <c r="A55175" s="56"/>
    </row>
    <row r="55176" spans="1:1">
      <c r="A55176" s="56"/>
    </row>
    <row r="55177" spans="1:1">
      <c r="A55177" s="56"/>
    </row>
    <row r="55178" spans="1:1">
      <c r="A55178" s="56"/>
    </row>
    <row r="55179" spans="1:1">
      <c r="A55179" s="56"/>
    </row>
    <row r="55180" spans="1:1">
      <c r="A55180" s="56"/>
    </row>
    <row r="55181" spans="1:1">
      <c r="A55181" s="56"/>
    </row>
    <row r="55182" spans="1:1">
      <c r="A55182" s="56"/>
    </row>
    <row r="55183" spans="1:1">
      <c r="A55183" s="56"/>
    </row>
    <row r="55184" spans="1:1">
      <c r="A55184" s="56"/>
    </row>
    <row r="55185" spans="1:1">
      <c r="A55185" s="56"/>
    </row>
    <row r="55186" spans="1:1">
      <c r="A55186" s="56"/>
    </row>
    <row r="55187" spans="1:1">
      <c r="A55187" s="56"/>
    </row>
    <row r="55188" spans="1:1">
      <c r="A55188" s="56"/>
    </row>
    <row r="55189" spans="1:1">
      <c r="A55189" s="56"/>
    </row>
    <row r="55190" spans="1:1">
      <c r="A55190" s="56"/>
    </row>
    <row r="55191" spans="1:1">
      <c r="A55191" s="56"/>
    </row>
    <row r="55192" spans="1:1">
      <c r="A55192" s="56"/>
    </row>
    <row r="55193" spans="1:1">
      <c r="A55193" s="56"/>
    </row>
    <row r="55194" spans="1:1">
      <c r="A55194" s="56"/>
    </row>
    <row r="55195" spans="1:1">
      <c r="A55195" s="56"/>
    </row>
    <row r="55196" spans="1:1">
      <c r="A55196" s="56"/>
    </row>
    <row r="55197" spans="1:1">
      <c r="A55197" s="56"/>
    </row>
    <row r="55198" spans="1:1">
      <c r="A55198" s="56"/>
    </row>
    <row r="55199" spans="1:1">
      <c r="A55199" s="56"/>
    </row>
    <row r="55200" spans="1:1">
      <c r="A55200" s="56"/>
    </row>
    <row r="55201" spans="1:1">
      <c r="A55201" s="56"/>
    </row>
    <row r="55202" spans="1:1">
      <c r="A55202" s="56"/>
    </row>
    <row r="55203" spans="1:1">
      <c r="A55203" s="56"/>
    </row>
    <row r="55204" spans="1:1">
      <c r="A55204" s="56"/>
    </row>
    <row r="55205" spans="1:1">
      <c r="A55205" s="56"/>
    </row>
    <row r="55206" spans="1:1">
      <c r="A55206" s="56"/>
    </row>
    <row r="55207" spans="1:1">
      <c r="A55207" s="56"/>
    </row>
    <row r="55208" spans="1:1">
      <c r="A55208" s="56"/>
    </row>
    <row r="55209" spans="1:1">
      <c r="A55209" s="56"/>
    </row>
    <row r="55210" spans="1:1">
      <c r="A55210" s="56"/>
    </row>
    <row r="55211" spans="1:1">
      <c r="A55211" s="56"/>
    </row>
    <row r="55212" spans="1:1">
      <c r="A55212" s="56"/>
    </row>
    <row r="55213" spans="1:1">
      <c r="A55213" s="56"/>
    </row>
    <row r="55214" spans="1:1">
      <c r="A55214" s="56"/>
    </row>
    <row r="55215" spans="1:1">
      <c r="A55215" s="56"/>
    </row>
    <row r="55216" spans="1:1">
      <c r="A55216" s="56"/>
    </row>
    <row r="55217" spans="1:1">
      <c r="A55217" s="56"/>
    </row>
    <row r="55218" spans="1:1">
      <c r="A55218" s="56"/>
    </row>
    <row r="55219" spans="1:1">
      <c r="A55219" s="56"/>
    </row>
    <row r="55220" spans="1:1">
      <c r="A55220" s="56"/>
    </row>
    <row r="55221" spans="1:1">
      <c r="A55221" s="56"/>
    </row>
    <row r="55222" spans="1:1">
      <c r="A55222" s="56"/>
    </row>
    <row r="55223" spans="1:1">
      <c r="A55223" s="56"/>
    </row>
    <row r="55224" spans="1:1">
      <c r="A55224" s="56"/>
    </row>
    <row r="55225" spans="1:1">
      <c r="A55225" s="56"/>
    </row>
    <row r="55226" spans="1:1">
      <c r="A55226" s="56"/>
    </row>
    <row r="55227" spans="1:1">
      <c r="A55227" s="56"/>
    </row>
    <row r="55228" spans="1:1">
      <c r="A55228" s="56"/>
    </row>
    <row r="55229" spans="1:1">
      <c r="A55229" s="56"/>
    </row>
    <row r="55230" spans="1:1">
      <c r="A55230" s="56"/>
    </row>
    <row r="55231" spans="1:1">
      <c r="A55231" s="56"/>
    </row>
    <row r="55232" spans="1:1">
      <c r="A55232" s="56"/>
    </row>
    <row r="55233" spans="1:1">
      <c r="A55233" s="56"/>
    </row>
    <row r="55234" spans="1:1">
      <c r="A55234" s="56"/>
    </row>
    <row r="55235" spans="1:1">
      <c r="A55235" s="56"/>
    </row>
    <row r="55236" spans="1:1">
      <c r="A55236" s="56"/>
    </row>
    <row r="55237" spans="1:1">
      <c r="A55237" s="56"/>
    </row>
    <row r="55238" spans="1:1">
      <c r="A55238" s="56"/>
    </row>
    <row r="55239" spans="1:1">
      <c r="A55239" s="56"/>
    </row>
    <row r="55240" spans="1:1">
      <c r="A55240" s="56"/>
    </row>
    <row r="55241" spans="1:1">
      <c r="A55241" s="56"/>
    </row>
    <row r="55242" spans="1:1">
      <c r="A55242" s="56"/>
    </row>
    <row r="55243" spans="1:1">
      <c r="A55243" s="56"/>
    </row>
    <row r="55244" spans="1:1">
      <c r="A55244" s="56"/>
    </row>
    <row r="55245" spans="1:1">
      <c r="A55245" s="56"/>
    </row>
    <row r="55246" spans="1:1">
      <c r="A55246" s="56"/>
    </row>
    <row r="55247" spans="1:1">
      <c r="A55247" s="56"/>
    </row>
    <row r="55248" spans="1:1">
      <c r="A55248" s="56"/>
    </row>
    <row r="55249" spans="1:1">
      <c r="A55249" s="56"/>
    </row>
    <row r="55250" spans="1:1">
      <c r="A55250" s="56"/>
    </row>
    <row r="55251" spans="1:1">
      <c r="A55251" s="56"/>
    </row>
    <row r="55252" spans="1:1">
      <c r="A55252" s="56"/>
    </row>
    <row r="55253" spans="1:1">
      <c r="A55253" s="56"/>
    </row>
    <row r="55254" spans="1:1">
      <c r="A55254" s="56"/>
    </row>
    <row r="55255" spans="1:1">
      <c r="A55255" s="56"/>
    </row>
    <row r="55256" spans="1:1">
      <c r="A55256" s="56"/>
    </row>
    <row r="55257" spans="1:1">
      <c r="A55257" s="56"/>
    </row>
    <row r="55258" spans="1:1">
      <c r="A55258" s="56"/>
    </row>
    <row r="55259" spans="1:1">
      <c r="A55259" s="56"/>
    </row>
    <row r="55260" spans="1:1">
      <c r="A55260" s="56"/>
    </row>
    <row r="55261" spans="1:1">
      <c r="A55261" s="56"/>
    </row>
    <row r="55262" spans="1:1">
      <c r="A55262" s="56"/>
    </row>
    <row r="55263" spans="1:1">
      <c r="A55263" s="56"/>
    </row>
    <row r="55264" spans="1:1">
      <c r="A55264" s="56"/>
    </row>
    <row r="55265" spans="1:1">
      <c r="A55265" s="56"/>
    </row>
    <row r="55266" spans="1:1">
      <c r="A55266" s="56"/>
    </row>
    <row r="55267" spans="1:1">
      <c r="A55267" s="56"/>
    </row>
    <row r="55268" spans="1:1">
      <c r="A55268" s="56"/>
    </row>
    <row r="55269" spans="1:1">
      <c r="A55269" s="56"/>
    </row>
    <row r="55270" spans="1:1">
      <c r="A55270" s="56"/>
    </row>
    <row r="55271" spans="1:1">
      <c r="A55271" s="56"/>
    </row>
    <row r="55272" spans="1:1">
      <c r="A55272" s="56"/>
    </row>
    <row r="55273" spans="1:1">
      <c r="A55273" s="56"/>
    </row>
    <row r="55274" spans="1:1">
      <c r="A55274" s="56"/>
    </row>
    <row r="55275" spans="1:1">
      <c r="A55275" s="56"/>
    </row>
    <row r="55276" spans="1:1">
      <c r="A55276" s="56"/>
    </row>
    <row r="55277" spans="1:1">
      <c r="A55277" s="56"/>
    </row>
    <row r="55278" spans="1:1">
      <c r="A55278" s="56"/>
    </row>
    <row r="55279" spans="1:1">
      <c r="A55279" s="56"/>
    </row>
    <row r="55280" spans="1:1">
      <c r="A55280" s="56"/>
    </row>
    <row r="55281" spans="1:1">
      <c r="A55281" s="56"/>
    </row>
    <row r="55282" spans="1:1">
      <c r="A55282" s="56"/>
    </row>
    <row r="55283" spans="1:1">
      <c r="A55283" s="56"/>
    </row>
    <row r="55284" spans="1:1">
      <c r="A55284" s="56"/>
    </row>
    <row r="55285" spans="1:1">
      <c r="A55285" s="56"/>
    </row>
    <row r="55286" spans="1:1">
      <c r="A55286" s="56"/>
    </row>
    <row r="55287" spans="1:1">
      <c r="A55287" s="56"/>
    </row>
    <row r="55288" spans="1:1">
      <c r="A55288" s="56"/>
    </row>
    <row r="55289" spans="1:1">
      <c r="A55289" s="56"/>
    </row>
    <row r="55290" spans="1:1">
      <c r="A55290" s="56"/>
    </row>
    <row r="55291" spans="1:1">
      <c r="A55291" s="56"/>
    </row>
    <row r="55292" spans="1:1">
      <c r="A55292" s="56"/>
    </row>
    <row r="55293" spans="1:1">
      <c r="A55293" s="56"/>
    </row>
    <row r="55294" spans="1:1">
      <c r="A55294" s="56"/>
    </row>
    <row r="55295" spans="1:1">
      <c r="A55295" s="56"/>
    </row>
    <row r="55296" spans="1:1">
      <c r="A55296" s="56"/>
    </row>
    <row r="55297" spans="1:1">
      <c r="A55297" s="56"/>
    </row>
    <row r="55298" spans="1:1">
      <c r="A55298" s="56"/>
    </row>
    <row r="55299" spans="1:1">
      <c r="A55299" s="56"/>
    </row>
    <row r="55300" spans="1:1">
      <c r="A55300" s="56"/>
    </row>
    <row r="55301" spans="1:1">
      <c r="A55301" s="56"/>
    </row>
    <row r="55302" spans="1:1">
      <c r="A55302" s="56"/>
    </row>
    <row r="55303" spans="1:1">
      <c r="A55303" s="56"/>
    </row>
    <row r="55304" spans="1:1">
      <c r="A55304" s="56"/>
    </row>
    <row r="55305" spans="1:1">
      <c r="A55305" s="56"/>
    </row>
    <row r="55306" spans="1:1">
      <c r="A55306" s="56"/>
    </row>
    <row r="55307" spans="1:1">
      <c r="A55307" s="56"/>
    </row>
    <row r="55308" spans="1:1">
      <c r="A55308" s="56"/>
    </row>
    <row r="55309" spans="1:1">
      <c r="A55309" s="56"/>
    </row>
    <row r="55310" spans="1:1">
      <c r="A55310" s="56"/>
    </row>
    <row r="55311" spans="1:1">
      <c r="A55311" s="56"/>
    </row>
    <row r="55312" spans="1:1">
      <c r="A55312" s="56"/>
    </row>
    <row r="55313" spans="1:1">
      <c r="A55313" s="56"/>
    </row>
    <row r="55314" spans="1:1">
      <c r="A55314" s="56"/>
    </row>
    <row r="55315" spans="1:1">
      <c r="A55315" s="56"/>
    </row>
    <row r="55316" spans="1:1">
      <c r="A55316" s="56"/>
    </row>
    <row r="55317" spans="1:1">
      <c r="A55317" s="56"/>
    </row>
    <row r="55318" spans="1:1">
      <c r="A55318" s="56"/>
    </row>
    <row r="55319" spans="1:1">
      <c r="A55319" s="56"/>
    </row>
    <row r="55320" spans="1:1">
      <c r="A55320" s="56"/>
    </row>
    <row r="55321" spans="1:1">
      <c r="A55321" s="56"/>
    </row>
    <row r="55322" spans="1:1">
      <c r="A55322" s="56"/>
    </row>
    <row r="55323" spans="1:1">
      <c r="A55323" s="56"/>
    </row>
    <row r="55324" spans="1:1">
      <c r="A55324" s="56"/>
    </row>
    <row r="55325" spans="1:1">
      <c r="A55325" s="56"/>
    </row>
    <row r="55326" spans="1:1">
      <c r="A55326" s="56"/>
    </row>
    <row r="55327" spans="1:1">
      <c r="A55327" s="56"/>
    </row>
    <row r="55328" spans="1:1">
      <c r="A55328" s="56"/>
    </row>
    <row r="55329" spans="1:1">
      <c r="A55329" s="56"/>
    </row>
    <row r="55330" spans="1:1">
      <c r="A55330" s="56"/>
    </row>
    <row r="55331" spans="1:1">
      <c r="A55331" s="56"/>
    </row>
    <row r="55332" spans="1:1">
      <c r="A55332" s="56"/>
    </row>
    <row r="55333" spans="1:1">
      <c r="A55333" s="56"/>
    </row>
    <row r="55334" spans="1:1">
      <c r="A55334" s="56"/>
    </row>
    <row r="55335" spans="1:1">
      <c r="A55335" s="56"/>
    </row>
    <row r="55336" spans="1:1">
      <c r="A55336" s="56"/>
    </row>
    <row r="55337" spans="1:1">
      <c r="A55337" s="56"/>
    </row>
    <row r="55338" spans="1:1">
      <c r="A55338" s="56"/>
    </row>
    <row r="55339" spans="1:1">
      <c r="A55339" s="56"/>
    </row>
    <row r="55340" spans="1:1">
      <c r="A55340" s="56"/>
    </row>
    <row r="55341" spans="1:1">
      <c r="A55341" s="56"/>
    </row>
    <row r="55342" spans="1:1">
      <c r="A55342" s="56"/>
    </row>
    <row r="55343" spans="1:1">
      <c r="A55343" s="56"/>
    </row>
    <row r="55344" spans="1:1">
      <c r="A55344" s="56"/>
    </row>
    <row r="55345" spans="1:1">
      <c r="A55345" s="56"/>
    </row>
    <row r="55346" spans="1:1">
      <c r="A55346" s="56"/>
    </row>
    <row r="55347" spans="1:1">
      <c r="A55347" s="56"/>
    </row>
    <row r="55348" spans="1:1">
      <c r="A55348" s="56"/>
    </row>
    <row r="55349" spans="1:1">
      <c r="A55349" s="56"/>
    </row>
    <row r="55350" spans="1:1">
      <c r="A55350" s="56"/>
    </row>
    <row r="55351" spans="1:1">
      <c r="A55351" s="56"/>
    </row>
    <row r="55352" spans="1:1">
      <c r="A55352" s="56"/>
    </row>
    <row r="55353" spans="1:1">
      <c r="A55353" s="56"/>
    </row>
    <row r="55354" spans="1:1">
      <c r="A55354" s="56"/>
    </row>
    <row r="55355" spans="1:1">
      <c r="A55355" s="56"/>
    </row>
    <row r="55356" spans="1:1">
      <c r="A55356" s="56"/>
    </row>
    <row r="55357" spans="1:1">
      <c r="A55357" s="56"/>
    </row>
    <row r="55358" spans="1:1">
      <c r="A55358" s="56"/>
    </row>
    <row r="55359" spans="1:1">
      <c r="A55359" s="56"/>
    </row>
    <row r="55360" spans="1:1">
      <c r="A55360" s="56"/>
    </row>
    <row r="55361" spans="1:1">
      <c r="A55361" s="56"/>
    </row>
    <row r="55362" spans="1:1">
      <c r="A55362" s="56"/>
    </row>
    <row r="55363" spans="1:1">
      <c r="A55363" s="56"/>
    </row>
    <row r="55364" spans="1:1">
      <c r="A55364" s="56"/>
    </row>
    <row r="55365" spans="1:1">
      <c r="A55365" s="56"/>
    </row>
    <row r="55366" spans="1:1">
      <c r="A55366" s="56"/>
    </row>
    <row r="55367" spans="1:1">
      <c r="A55367" s="56"/>
    </row>
    <row r="55368" spans="1:1">
      <c r="A55368" s="56"/>
    </row>
    <row r="55369" spans="1:1">
      <c r="A55369" s="56"/>
    </row>
    <row r="55370" spans="1:1">
      <c r="A55370" s="56"/>
    </row>
    <row r="55371" spans="1:1">
      <c r="A55371" s="56"/>
    </row>
    <row r="55372" spans="1:1">
      <c r="A55372" s="56"/>
    </row>
    <row r="55373" spans="1:1">
      <c r="A55373" s="56"/>
    </row>
    <row r="55374" spans="1:1">
      <c r="A55374" s="56"/>
    </row>
    <row r="55375" spans="1:1">
      <c r="A55375" s="56"/>
    </row>
    <row r="55376" spans="1:1">
      <c r="A55376" s="56"/>
    </row>
    <row r="55377" spans="1:1">
      <c r="A55377" s="56"/>
    </row>
    <row r="55378" spans="1:1">
      <c r="A55378" s="56"/>
    </row>
    <row r="55379" spans="1:1">
      <c r="A55379" s="56"/>
    </row>
    <row r="55380" spans="1:1">
      <c r="A55380" s="56"/>
    </row>
    <row r="55381" spans="1:1">
      <c r="A55381" s="56"/>
    </row>
    <row r="55382" spans="1:1">
      <c r="A55382" s="56"/>
    </row>
    <row r="55383" spans="1:1">
      <c r="A55383" s="56"/>
    </row>
    <row r="55384" spans="1:1">
      <c r="A55384" s="56"/>
    </row>
    <row r="55385" spans="1:1">
      <c r="A55385" s="56"/>
    </row>
    <row r="55386" spans="1:1">
      <c r="A55386" s="56"/>
    </row>
    <row r="55387" spans="1:1">
      <c r="A55387" s="56"/>
    </row>
    <row r="55388" spans="1:1">
      <c r="A55388" s="56"/>
    </row>
    <row r="55389" spans="1:1">
      <c r="A55389" s="56"/>
    </row>
    <row r="55390" spans="1:1">
      <c r="A55390" s="56"/>
    </row>
    <row r="55391" spans="1:1">
      <c r="A55391" s="56"/>
    </row>
    <row r="55392" spans="1:1">
      <c r="A55392" s="56"/>
    </row>
    <row r="55393" spans="1:1">
      <c r="A55393" s="56"/>
    </row>
    <row r="55394" spans="1:1">
      <c r="A55394" s="56"/>
    </row>
    <row r="55395" spans="1:1">
      <c r="A55395" s="56"/>
    </row>
    <row r="55396" spans="1:1">
      <c r="A55396" s="56"/>
    </row>
    <row r="55397" spans="1:1">
      <c r="A55397" s="56"/>
    </row>
    <row r="55398" spans="1:1">
      <c r="A55398" s="56"/>
    </row>
    <row r="55399" spans="1:1">
      <c r="A55399" s="56"/>
    </row>
    <row r="55400" spans="1:1">
      <c r="A55400" s="56"/>
    </row>
    <row r="55401" spans="1:1">
      <c r="A55401" s="56"/>
    </row>
    <row r="55402" spans="1:1">
      <c r="A55402" s="56"/>
    </row>
    <row r="55403" spans="1:1">
      <c r="A55403" s="56"/>
    </row>
    <row r="55404" spans="1:1">
      <c r="A55404" s="56"/>
    </row>
    <row r="55405" spans="1:1">
      <c r="A55405" s="56"/>
    </row>
    <row r="55406" spans="1:1">
      <c r="A55406" s="56"/>
    </row>
    <row r="55407" spans="1:1">
      <c r="A55407" s="56"/>
    </row>
    <row r="55408" spans="1:1">
      <c r="A55408" s="56"/>
    </row>
    <row r="55409" spans="1:1">
      <c r="A55409" s="56"/>
    </row>
    <row r="55410" spans="1:1">
      <c r="A55410" s="56"/>
    </row>
    <row r="55411" spans="1:1">
      <c r="A55411" s="56"/>
    </row>
    <row r="55412" spans="1:1">
      <c r="A55412" s="56"/>
    </row>
    <row r="55413" spans="1:1">
      <c r="A55413" s="56"/>
    </row>
    <row r="55414" spans="1:1">
      <c r="A55414" s="56"/>
    </row>
    <row r="55415" spans="1:1">
      <c r="A55415" s="56"/>
    </row>
    <row r="55416" spans="1:1">
      <c r="A55416" s="56"/>
    </row>
    <row r="55417" spans="1:1">
      <c r="A55417" s="56"/>
    </row>
    <row r="55418" spans="1:1">
      <c r="A55418" s="56"/>
    </row>
    <row r="55419" spans="1:1">
      <c r="A55419" s="56"/>
    </row>
    <row r="55420" spans="1:1">
      <c r="A55420" s="56"/>
    </row>
    <row r="55421" spans="1:1">
      <c r="A55421" s="56"/>
    </row>
    <row r="55422" spans="1:1">
      <c r="A55422" s="56"/>
    </row>
    <row r="55423" spans="1:1">
      <c r="A55423" s="56"/>
    </row>
    <row r="55424" spans="1:1">
      <c r="A55424" s="56"/>
    </row>
    <row r="55425" spans="1:1">
      <c r="A55425" s="56"/>
    </row>
    <row r="55426" spans="1:1">
      <c r="A55426" s="56"/>
    </row>
    <row r="55427" spans="1:1">
      <c r="A55427" s="56"/>
    </row>
    <row r="55428" spans="1:1">
      <c r="A55428" s="56"/>
    </row>
    <row r="55429" spans="1:1">
      <c r="A55429" s="56"/>
    </row>
    <row r="55430" spans="1:1">
      <c r="A55430" s="56"/>
    </row>
    <row r="55431" spans="1:1">
      <c r="A55431" s="56"/>
    </row>
    <row r="55432" spans="1:1">
      <c r="A55432" s="56"/>
    </row>
    <row r="55433" spans="1:1">
      <c r="A55433" s="56"/>
    </row>
    <row r="55434" spans="1:1">
      <c r="A55434" s="56"/>
    </row>
    <row r="55435" spans="1:1">
      <c r="A55435" s="56"/>
    </row>
    <row r="55436" spans="1:1">
      <c r="A55436" s="56"/>
    </row>
    <row r="55437" spans="1:1">
      <c r="A55437" s="56"/>
    </row>
    <row r="55438" spans="1:1">
      <c r="A55438" s="56"/>
    </row>
    <row r="55439" spans="1:1">
      <c r="A55439" s="56"/>
    </row>
    <row r="55440" spans="1:1">
      <c r="A55440" s="56"/>
    </row>
    <row r="55441" spans="1:1">
      <c r="A55441" s="56"/>
    </row>
    <row r="55442" spans="1:1">
      <c r="A55442" s="56"/>
    </row>
    <row r="55443" spans="1:1">
      <c r="A55443" s="56"/>
    </row>
    <row r="55444" spans="1:1">
      <c r="A55444" s="56"/>
    </row>
    <row r="55445" spans="1:1">
      <c r="A55445" s="56"/>
    </row>
    <row r="55446" spans="1:1">
      <c r="A55446" s="56"/>
    </row>
    <row r="55447" spans="1:1">
      <c r="A55447" s="56"/>
    </row>
    <row r="55448" spans="1:1">
      <c r="A55448" s="56"/>
    </row>
    <row r="55449" spans="1:1">
      <c r="A55449" s="56"/>
    </row>
    <row r="55450" spans="1:1">
      <c r="A55450" s="56"/>
    </row>
    <row r="55451" spans="1:1">
      <c r="A55451" s="56"/>
    </row>
    <row r="55452" spans="1:1">
      <c r="A55452" s="56"/>
    </row>
    <row r="55453" spans="1:1">
      <c r="A55453" s="56"/>
    </row>
    <row r="55454" spans="1:1">
      <c r="A55454" s="56"/>
    </row>
    <row r="55455" spans="1:1">
      <c r="A55455" s="56"/>
    </row>
    <row r="55456" spans="1:1">
      <c r="A55456" s="56"/>
    </row>
    <row r="55457" spans="1:1">
      <c r="A55457" s="56"/>
    </row>
    <row r="55458" spans="1:1">
      <c r="A55458" s="56"/>
    </row>
    <row r="55459" spans="1:1">
      <c r="A55459" s="56"/>
    </row>
    <row r="55460" spans="1:1">
      <c r="A55460" s="56"/>
    </row>
    <row r="55461" spans="1:1">
      <c r="A55461" s="56"/>
    </row>
    <row r="55462" spans="1:1">
      <c r="A55462" s="56"/>
    </row>
    <row r="55463" spans="1:1">
      <c r="A55463" s="56"/>
    </row>
    <row r="55464" spans="1:1">
      <c r="A55464" s="56"/>
    </row>
    <row r="55465" spans="1:1">
      <c r="A55465" s="56"/>
    </row>
    <row r="55466" spans="1:1">
      <c r="A55466" s="56"/>
    </row>
    <row r="55467" spans="1:1">
      <c r="A55467" s="56"/>
    </row>
    <row r="55468" spans="1:1">
      <c r="A55468" s="56"/>
    </row>
    <row r="55469" spans="1:1">
      <c r="A55469" s="56"/>
    </row>
    <row r="55470" spans="1:1">
      <c r="A55470" s="56"/>
    </row>
    <row r="55471" spans="1:1">
      <c r="A55471" s="56"/>
    </row>
    <row r="55472" spans="1:1">
      <c r="A55472" s="56"/>
    </row>
    <row r="55473" spans="1:1">
      <c r="A55473" s="56"/>
    </row>
    <row r="55474" spans="1:1">
      <c r="A55474" s="56"/>
    </row>
    <row r="55475" spans="1:1">
      <c r="A55475" s="56"/>
    </row>
    <row r="55476" spans="1:1">
      <c r="A55476" s="56"/>
    </row>
    <row r="55477" spans="1:1">
      <c r="A55477" s="56"/>
    </row>
    <row r="55478" spans="1:1">
      <c r="A55478" s="56"/>
    </row>
    <row r="55479" spans="1:1">
      <c r="A55479" s="56"/>
    </row>
    <row r="55480" spans="1:1">
      <c r="A55480" s="56"/>
    </row>
    <row r="55481" spans="1:1">
      <c r="A55481" s="56"/>
    </row>
    <row r="55482" spans="1:1">
      <c r="A55482" s="56"/>
    </row>
    <row r="55483" spans="1:1">
      <c r="A55483" s="56"/>
    </row>
    <row r="55484" spans="1:1">
      <c r="A55484" s="56"/>
    </row>
    <row r="55485" spans="1:1">
      <c r="A55485" s="56"/>
    </row>
    <row r="55486" spans="1:1">
      <c r="A55486" s="56"/>
    </row>
    <row r="55487" spans="1:1">
      <c r="A55487" s="56"/>
    </row>
    <row r="55488" spans="1:1">
      <c r="A55488" s="56"/>
    </row>
    <row r="55489" spans="1:1">
      <c r="A55489" s="56"/>
    </row>
    <row r="55490" spans="1:1">
      <c r="A55490" s="56"/>
    </row>
    <row r="55491" spans="1:1">
      <c r="A55491" s="56"/>
    </row>
    <row r="55492" spans="1:1">
      <c r="A55492" s="56"/>
    </row>
    <row r="55493" spans="1:1">
      <c r="A55493" s="56"/>
    </row>
    <row r="55494" spans="1:1">
      <c r="A55494" s="56"/>
    </row>
    <row r="55495" spans="1:1">
      <c r="A55495" s="56"/>
    </row>
    <row r="55496" spans="1:1">
      <c r="A55496" s="56"/>
    </row>
    <row r="55497" spans="1:1">
      <c r="A55497" s="56"/>
    </row>
    <row r="55498" spans="1:1">
      <c r="A55498" s="56"/>
    </row>
    <row r="55499" spans="1:1">
      <c r="A55499" s="56"/>
    </row>
    <row r="55500" spans="1:1">
      <c r="A55500" s="56"/>
    </row>
    <row r="55501" spans="1:1">
      <c r="A55501" s="56"/>
    </row>
    <row r="55502" spans="1:1">
      <c r="A55502" s="56"/>
    </row>
    <row r="55503" spans="1:1">
      <c r="A55503" s="56"/>
    </row>
    <row r="55504" spans="1:1">
      <c r="A55504" s="56"/>
    </row>
    <row r="55505" spans="1:1">
      <c r="A55505" s="56"/>
    </row>
    <row r="55506" spans="1:1">
      <c r="A55506" s="56"/>
    </row>
    <row r="55507" spans="1:1">
      <c r="A55507" s="56"/>
    </row>
    <row r="55508" spans="1:1">
      <c r="A55508" s="56"/>
    </row>
    <row r="55509" spans="1:1">
      <c r="A55509" s="56"/>
    </row>
    <row r="55510" spans="1:1">
      <c r="A55510" s="56"/>
    </row>
    <row r="55511" spans="1:1">
      <c r="A55511" s="56"/>
    </row>
    <row r="55512" spans="1:1">
      <c r="A55512" s="56"/>
    </row>
    <row r="55513" spans="1:1">
      <c r="A55513" s="56"/>
    </row>
    <row r="55514" spans="1:1">
      <c r="A55514" s="56"/>
    </row>
    <row r="55515" spans="1:1">
      <c r="A55515" s="56"/>
    </row>
    <row r="55516" spans="1:1">
      <c r="A55516" s="56"/>
    </row>
    <row r="55517" spans="1:1">
      <c r="A55517" s="56"/>
    </row>
    <row r="55518" spans="1:1">
      <c r="A55518" s="56"/>
    </row>
    <row r="55519" spans="1:1">
      <c r="A55519" s="56"/>
    </row>
    <row r="55520" spans="1:1">
      <c r="A55520" s="56"/>
    </row>
    <row r="55521" spans="1:1">
      <c r="A55521" s="56"/>
    </row>
    <row r="55522" spans="1:1">
      <c r="A55522" s="56"/>
    </row>
    <row r="55523" spans="1:1">
      <c r="A55523" s="56"/>
    </row>
    <row r="55524" spans="1:1">
      <c r="A55524" s="56"/>
    </row>
    <row r="55525" spans="1:1">
      <c r="A55525" s="56"/>
    </row>
    <row r="55526" spans="1:1">
      <c r="A55526" s="56"/>
    </row>
    <row r="55527" spans="1:1">
      <c r="A55527" s="56"/>
    </row>
    <row r="55528" spans="1:1">
      <c r="A55528" s="56"/>
    </row>
    <row r="55529" spans="1:1">
      <c r="A55529" s="56"/>
    </row>
    <row r="55530" spans="1:1">
      <c r="A55530" s="56"/>
    </row>
    <row r="55531" spans="1:1">
      <c r="A55531" s="56"/>
    </row>
    <row r="55532" spans="1:1">
      <c r="A55532" s="56"/>
    </row>
    <row r="55533" spans="1:1">
      <c r="A55533" s="56"/>
    </row>
    <row r="55534" spans="1:1">
      <c r="A55534" s="56"/>
    </row>
    <row r="55535" spans="1:1">
      <c r="A55535" s="56"/>
    </row>
    <row r="55536" spans="1:1">
      <c r="A55536" s="56"/>
    </row>
    <row r="55537" spans="1:1">
      <c r="A55537" s="56"/>
    </row>
    <row r="55538" spans="1:1">
      <c r="A55538" s="56"/>
    </row>
    <row r="55539" spans="1:1">
      <c r="A55539" s="56"/>
    </row>
    <row r="55540" spans="1:1">
      <c r="A55540" s="56"/>
    </row>
    <row r="55541" spans="1:1">
      <c r="A55541" s="56"/>
    </row>
    <row r="55542" spans="1:1">
      <c r="A55542" s="56"/>
    </row>
    <row r="55543" spans="1:1">
      <c r="A55543" s="56"/>
    </row>
    <row r="55544" spans="1:1">
      <c r="A55544" s="56"/>
    </row>
    <row r="55545" spans="1:1">
      <c r="A55545" s="56"/>
    </row>
    <row r="55546" spans="1:1">
      <c r="A55546" s="56"/>
    </row>
    <row r="55547" spans="1:1">
      <c r="A55547" s="56"/>
    </row>
    <row r="55548" spans="1:1">
      <c r="A55548" s="56"/>
    </row>
    <row r="55549" spans="1:1">
      <c r="A55549" s="56"/>
    </row>
    <row r="55550" spans="1:1">
      <c r="A55550" s="56"/>
    </row>
    <row r="55551" spans="1:1">
      <c r="A55551" s="56"/>
    </row>
    <row r="55552" spans="1:1">
      <c r="A55552" s="56"/>
    </row>
    <row r="55553" spans="1:1">
      <c r="A55553" s="56"/>
    </row>
    <row r="55554" spans="1:1">
      <c r="A55554" s="56"/>
    </row>
    <row r="55555" spans="1:1">
      <c r="A55555" s="56"/>
    </row>
    <row r="55556" spans="1:1">
      <c r="A55556" s="56"/>
    </row>
    <row r="55557" spans="1:1">
      <c r="A55557" s="56"/>
    </row>
    <row r="55558" spans="1:1">
      <c r="A55558" s="56"/>
    </row>
    <row r="55559" spans="1:1">
      <c r="A55559" s="56"/>
    </row>
    <row r="55560" spans="1:1">
      <c r="A55560" s="56"/>
    </row>
    <row r="55561" spans="1:1">
      <c r="A55561" s="56"/>
    </row>
    <row r="55562" spans="1:1">
      <c r="A55562" s="56"/>
    </row>
    <row r="55563" spans="1:1">
      <c r="A55563" s="56"/>
    </row>
    <row r="55564" spans="1:1">
      <c r="A55564" s="56"/>
    </row>
    <row r="55565" spans="1:1">
      <c r="A55565" s="56"/>
    </row>
    <row r="55566" spans="1:1">
      <c r="A55566" s="56"/>
    </row>
    <row r="55567" spans="1:1">
      <c r="A55567" s="56"/>
    </row>
    <row r="55568" spans="1:1">
      <c r="A55568" s="56"/>
    </row>
    <row r="55569" spans="1:1">
      <c r="A55569" s="56"/>
    </row>
    <row r="55570" spans="1:1">
      <c r="A55570" s="56"/>
    </row>
    <row r="55571" spans="1:1">
      <c r="A55571" s="56"/>
    </row>
    <row r="55572" spans="1:1">
      <c r="A55572" s="56"/>
    </row>
    <row r="55573" spans="1:1">
      <c r="A55573" s="56"/>
    </row>
    <row r="55574" spans="1:1">
      <c r="A55574" s="56"/>
    </row>
    <row r="55575" spans="1:1">
      <c r="A55575" s="56"/>
    </row>
    <row r="55576" spans="1:1">
      <c r="A55576" s="56"/>
    </row>
    <row r="55577" spans="1:1">
      <c r="A55577" s="56"/>
    </row>
    <row r="55578" spans="1:1">
      <c r="A55578" s="56"/>
    </row>
    <row r="55579" spans="1:1">
      <c r="A55579" s="56"/>
    </row>
    <row r="55580" spans="1:1">
      <c r="A55580" s="56"/>
    </row>
    <row r="55581" spans="1:1">
      <c r="A55581" s="56"/>
    </row>
    <row r="55582" spans="1:1">
      <c r="A55582" s="56"/>
    </row>
    <row r="55583" spans="1:1">
      <c r="A55583" s="56"/>
    </row>
    <row r="55584" spans="1:1">
      <c r="A55584" s="56"/>
    </row>
    <row r="55585" spans="1:1">
      <c r="A55585" s="56"/>
    </row>
    <row r="55586" spans="1:1">
      <c r="A55586" s="56"/>
    </row>
    <row r="55587" spans="1:1">
      <c r="A55587" s="56"/>
    </row>
    <row r="55588" spans="1:1">
      <c r="A55588" s="56"/>
    </row>
    <row r="55589" spans="1:1">
      <c r="A55589" s="56"/>
    </row>
    <row r="55590" spans="1:1">
      <c r="A55590" s="56"/>
    </row>
    <row r="55591" spans="1:1">
      <c r="A55591" s="56"/>
    </row>
    <row r="55592" spans="1:1">
      <c r="A55592" s="56"/>
    </row>
    <row r="55593" spans="1:1">
      <c r="A55593" s="56"/>
    </row>
    <row r="55594" spans="1:1">
      <c r="A55594" s="56"/>
    </row>
    <row r="55595" spans="1:1">
      <c r="A55595" s="56"/>
    </row>
    <row r="55596" spans="1:1">
      <c r="A55596" s="56"/>
    </row>
    <row r="55597" spans="1:1">
      <c r="A55597" s="56"/>
    </row>
    <row r="55598" spans="1:1">
      <c r="A55598" s="56"/>
    </row>
    <row r="55599" spans="1:1">
      <c r="A55599" s="56"/>
    </row>
    <row r="55600" spans="1:1">
      <c r="A55600" s="56"/>
    </row>
    <row r="55601" spans="1:1">
      <c r="A55601" s="56"/>
    </row>
    <row r="55602" spans="1:1">
      <c r="A55602" s="56"/>
    </row>
    <row r="55603" spans="1:1">
      <c r="A55603" s="56"/>
    </row>
    <row r="55604" spans="1:1">
      <c r="A55604" s="56"/>
    </row>
    <row r="55605" spans="1:1">
      <c r="A55605" s="56"/>
    </row>
    <row r="55606" spans="1:1">
      <c r="A55606" s="56"/>
    </row>
    <row r="55607" spans="1:1">
      <c r="A55607" s="56"/>
    </row>
    <row r="55608" spans="1:1">
      <c r="A55608" s="56"/>
    </row>
    <row r="55609" spans="1:1">
      <c r="A55609" s="56"/>
    </row>
    <row r="55610" spans="1:1">
      <c r="A55610" s="56"/>
    </row>
    <row r="55611" spans="1:1">
      <c r="A55611" s="56"/>
    </row>
    <row r="55612" spans="1:1">
      <c r="A55612" s="56"/>
    </row>
    <row r="55613" spans="1:1">
      <c r="A55613" s="56"/>
    </row>
    <row r="55614" spans="1:1">
      <c r="A55614" s="56"/>
    </row>
    <row r="55615" spans="1:1">
      <c r="A55615" s="56"/>
    </row>
    <row r="55616" spans="1:1">
      <c r="A55616" s="56"/>
    </row>
    <row r="55617" spans="1:1">
      <c r="A55617" s="56"/>
    </row>
    <row r="55618" spans="1:1">
      <c r="A55618" s="56"/>
    </row>
    <row r="55619" spans="1:1">
      <c r="A55619" s="56"/>
    </row>
    <row r="55620" spans="1:1">
      <c r="A55620" s="56"/>
    </row>
    <row r="55621" spans="1:1">
      <c r="A55621" s="56"/>
    </row>
    <row r="55622" spans="1:1">
      <c r="A55622" s="56"/>
    </row>
    <row r="55623" spans="1:1">
      <c r="A55623" s="56"/>
    </row>
    <row r="55624" spans="1:1">
      <c r="A55624" s="56"/>
    </row>
    <row r="55625" spans="1:1">
      <c r="A55625" s="56"/>
    </row>
    <row r="55626" spans="1:1">
      <c r="A55626" s="56"/>
    </row>
    <row r="55627" spans="1:1">
      <c r="A55627" s="56"/>
    </row>
    <row r="55628" spans="1:1">
      <c r="A55628" s="56"/>
    </row>
    <row r="55629" spans="1:1">
      <c r="A55629" s="56"/>
    </row>
    <row r="55630" spans="1:1">
      <c r="A55630" s="56"/>
    </row>
    <row r="55631" spans="1:1">
      <c r="A55631" s="56"/>
    </row>
    <row r="55632" spans="1:1">
      <c r="A55632" s="56"/>
    </row>
    <row r="55633" spans="1:1">
      <c r="A55633" s="56"/>
    </row>
    <row r="55634" spans="1:1">
      <c r="A55634" s="56"/>
    </row>
    <row r="55635" spans="1:1">
      <c r="A55635" s="56"/>
    </row>
    <row r="55636" spans="1:1">
      <c r="A55636" s="56"/>
    </row>
    <row r="55637" spans="1:1">
      <c r="A55637" s="56"/>
    </row>
    <row r="55638" spans="1:1">
      <c r="A55638" s="56"/>
    </row>
    <row r="55639" spans="1:1">
      <c r="A55639" s="56"/>
    </row>
    <row r="55640" spans="1:1">
      <c r="A55640" s="56"/>
    </row>
    <row r="55641" spans="1:1">
      <c r="A55641" s="56"/>
    </row>
    <row r="55642" spans="1:1">
      <c r="A55642" s="56"/>
    </row>
    <row r="55643" spans="1:1">
      <c r="A55643" s="56"/>
    </row>
    <row r="55644" spans="1:1">
      <c r="A55644" s="56"/>
    </row>
    <row r="55645" spans="1:1">
      <c r="A55645" s="56"/>
    </row>
    <row r="55646" spans="1:1">
      <c r="A55646" s="56"/>
    </row>
    <row r="55647" spans="1:1">
      <c r="A55647" s="56"/>
    </row>
    <row r="55648" spans="1:1">
      <c r="A55648" s="56"/>
    </row>
    <row r="55649" spans="1:1">
      <c r="A55649" s="56"/>
    </row>
    <row r="55650" spans="1:1">
      <c r="A55650" s="56"/>
    </row>
    <row r="55651" spans="1:1">
      <c r="A55651" s="56"/>
    </row>
    <row r="55652" spans="1:1">
      <c r="A55652" s="56"/>
    </row>
    <row r="55653" spans="1:1">
      <c r="A55653" s="56"/>
    </row>
    <row r="55654" spans="1:1">
      <c r="A55654" s="56"/>
    </row>
    <row r="55655" spans="1:1">
      <c r="A55655" s="56"/>
    </row>
    <row r="55656" spans="1:1">
      <c r="A55656" s="56"/>
    </row>
    <row r="55657" spans="1:1">
      <c r="A55657" s="56"/>
    </row>
    <row r="55658" spans="1:1">
      <c r="A55658" s="56"/>
    </row>
    <row r="55659" spans="1:1">
      <c r="A55659" s="56"/>
    </row>
    <row r="55660" spans="1:1">
      <c r="A55660" s="56"/>
    </row>
    <row r="55661" spans="1:1">
      <c r="A55661" s="56"/>
    </row>
    <row r="55662" spans="1:1">
      <c r="A55662" s="56"/>
    </row>
    <row r="55663" spans="1:1">
      <c r="A55663" s="56"/>
    </row>
    <row r="55664" spans="1:1">
      <c r="A55664" s="56"/>
    </row>
    <row r="55665" spans="1:1">
      <c r="A55665" s="56"/>
    </row>
    <row r="55666" spans="1:1">
      <c r="A55666" s="56"/>
    </row>
    <row r="55667" spans="1:1">
      <c r="A55667" s="56"/>
    </row>
    <row r="55668" spans="1:1">
      <c r="A55668" s="56"/>
    </row>
    <row r="55669" spans="1:1">
      <c r="A55669" s="56"/>
    </row>
    <row r="55670" spans="1:1">
      <c r="A55670" s="56"/>
    </row>
    <row r="55671" spans="1:1">
      <c r="A55671" s="56"/>
    </row>
    <row r="55672" spans="1:1">
      <c r="A55672" s="56"/>
    </row>
    <row r="55673" spans="1:1">
      <c r="A55673" s="56"/>
    </row>
    <row r="55674" spans="1:1">
      <c r="A55674" s="56"/>
    </row>
    <row r="55675" spans="1:1">
      <c r="A55675" s="56"/>
    </row>
    <row r="55676" spans="1:1">
      <c r="A55676" s="56"/>
    </row>
    <row r="55677" spans="1:1">
      <c r="A55677" s="56"/>
    </row>
    <row r="55678" spans="1:1">
      <c r="A55678" s="56"/>
    </row>
    <row r="55679" spans="1:1">
      <c r="A55679" s="56"/>
    </row>
    <row r="55680" spans="1:1">
      <c r="A55680" s="56"/>
    </row>
    <row r="55681" spans="1:1">
      <c r="A55681" s="56"/>
    </row>
    <row r="55682" spans="1:1">
      <c r="A55682" s="56"/>
    </row>
    <row r="55683" spans="1:1">
      <c r="A55683" s="56"/>
    </row>
    <row r="55684" spans="1:1">
      <c r="A55684" s="56"/>
    </row>
    <row r="55685" spans="1:1">
      <c r="A55685" s="56"/>
    </row>
    <row r="55686" spans="1:1">
      <c r="A55686" s="56"/>
    </row>
    <row r="55687" spans="1:1">
      <c r="A55687" s="56"/>
    </row>
    <row r="55688" spans="1:1">
      <c r="A55688" s="56"/>
    </row>
    <row r="55689" spans="1:1">
      <c r="A55689" s="56"/>
    </row>
    <row r="55690" spans="1:1">
      <c r="A55690" s="56"/>
    </row>
    <row r="55691" spans="1:1">
      <c r="A55691" s="56"/>
    </row>
    <row r="55692" spans="1:1">
      <c r="A55692" s="56"/>
    </row>
    <row r="55693" spans="1:1">
      <c r="A55693" s="56"/>
    </row>
    <row r="55694" spans="1:1">
      <c r="A55694" s="56"/>
    </row>
    <row r="55695" spans="1:1">
      <c r="A55695" s="56"/>
    </row>
    <row r="55696" spans="1:1">
      <c r="A55696" s="56"/>
    </row>
    <row r="55697" spans="1:1">
      <c r="A55697" s="56"/>
    </row>
    <row r="55698" spans="1:1">
      <c r="A55698" s="56"/>
    </row>
    <row r="55699" spans="1:1">
      <c r="A55699" s="56"/>
    </row>
    <row r="55700" spans="1:1">
      <c r="A55700" s="56"/>
    </row>
    <row r="55701" spans="1:1">
      <c r="A55701" s="56"/>
    </row>
    <row r="55702" spans="1:1">
      <c r="A55702" s="56"/>
    </row>
    <row r="55703" spans="1:1">
      <c r="A55703" s="56"/>
    </row>
    <row r="55704" spans="1:1">
      <c r="A55704" s="56"/>
    </row>
    <row r="55705" spans="1:1">
      <c r="A55705" s="56"/>
    </row>
    <row r="55706" spans="1:1">
      <c r="A55706" s="56"/>
    </row>
    <row r="55707" spans="1:1">
      <c r="A55707" s="56"/>
    </row>
    <row r="55708" spans="1:1">
      <c r="A55708" s="56"/>
    </row>
    <row r="55709" spans="1:1">
      <c r="A55709" s="56"/>
    </row>
    <row r="55710" spans="1:1">
      <c r="A55710" s="56"/>
    </row>
    <row r="55711" spans="1:1">
      <c r="A55711" s="56"/>
    </row>
    <row r="55712" spans="1:1">
      <c r="A55712" s="56"/>
    </row>
    <row r="55713" spans="1:1">
      <c r="A55713" s="56"/>
    </row>
    <row r="55714" spans="1:1">
      <c r="A55714" s="56"/>
    </row>
    <row r="55715" spans="1:1">
      <c r="A55715" s="56"/>
    </row>
    <row r="55716" spans="1:1">
      <c r="A55716" s="56"/>
    </row>
    <row r="55717" spans="1:1">
      <c r="A55717" s="56"/>
    </row>
    <row r="55718" spans="1:1">
      <c r="A55718" s="56"/>
    </row>
    <row r="55719" spans="1:1">
      <c r="A55719" s="56"/>
    </row>
    <row r="55720" spans="1:1">
      <c r="A55720" s="56"/>
    </row>
    <row r="55721" spans="1:1">
      <c r="A55721" s="56"/>
    </row>
    <row r="55722" spans="1:1">
      <c r="A55722" s="56"/>
    </row>
    <row r="55723" spans="1:1">
      <c r="A55723" s="56"/>
    </row>
    <row r="55724" spans="1:1">
      <c r="A55724" s="56"/>
    </row>
    <row r="55725" spans="1:1">
      <c r="A55725" s="56"/>
    </row>
    <row r="55726" spans="1:1">
      <c r="A55726" s="56"/>
    </row>
    <row r="55727" spans="1:1">
      <c r="A55727" s="56"/>
    </row>
    <row r="55728" spans="1:1">
      <c r="A55728" s="56"/>
    </row>
    <row r="55729" spans="1:1">
      <c r="A55729" s="56"/>
    </row>
    <row r="55730" spans="1:1">
      <c r="A55730" s="56"/>
    </row>
    <row r="55731" spans="1:1">
      <c r="A55731" s="56"/>
    </row>
    <row r="55732" spans="1:1">
      <c r="A55732" s="56"/>
    </row>
    <row r="55733" spans="1:1">
      <c r="A55733" s="56"/>
    </row>
    <row r="55734" spans="1:1">
      <c r="A55734" s="56"/>
    </row>
    <row r="55735" spans="1:1">
      <c r="A55735" s="56"/>
    </row>
    <row r="55736" spans="1:1">
      <c r="A55736" s="56"/>
    </row>
    <row r="55737" spans="1:1">
      <c r="A55737" s="56"/>
    </row>
    <row r="55738" spans="1:1">
      <c r="A55738" s="56"/>
    </row>
    <row r="55739" spans="1:1">
      <c r="A55739" s="56"/>
    </row>
    <row r="55740" spans="1:1">
      <c r="A55740" s="56"/>
    </row>
    <row r="55741" spans="1:1">
      <c r="A55741" s="56"/>
    </row>
    <row r="55742" spans="1:1">
      <c r="A55742" s="56"/>
    </row>
    <row r="55743" spans="1:1">
      <c r="A55743" s="56"/>
    </row>
    <row r="55744" spans="1:1">
      <c r="A55744" s="56"/>
    </row>
    <row r="55745" spans="1:1">
      <c r="A55745" s="56"/>
    </row>
    <row r="55746" spans="1:1">
      <c r="A55746" s="56"/>
    </row>
    <row r="55747" spans="1:1">
      <c r="A55747" s="56"/>
    </row>
    <row r="55748" spans="1:1">
      <c r="A55748" s="56"/>
    </row>
    <row r="55749" spans="1:1">
      <c r="A55749" s="56"/>
    </row>
    <row r="55750" spans="1:1">
      <c r="A55750" s="56"/>
    </row>
    <row r="55751" spans="1:1">
      <c r="A55751" s="56"/>
    </row>
    <row r="55752" spans="1:1">
      <c r="A55752" s="56"/>
    </row>
    <row r="55753" spans="1:1">
      <c r="A55753" s="56"/>
    </row>
    <row r="55754" spans="1:1">
      <c r="A55754" s="56"/>
    </row>
    <row r="55755" spans="1:1">
      <c r="A55755" s="56"/>
    </row>
    <row r="55756" spans="1:1">
      <c r="A55756" s="56"/>
    </row>
    <row r="55757" spans="1:1">
      <c r="A55757" s="56"/>
    </row>
    <row r="55758" spans="1:1">
      <c r="A55758" s="56"/>
    </row>
    <row r="55759" spans="1:1">
      <c r="A55759" s="56"/>
    </row>
    <row r="55760" spans="1:1">
      <c r="A55760" s="56"/>
    </row>
    <row r="55761" spans="1:1">
      <c r="A55761" s="56"/>
    </row>
    <row r="55762" spans="1:1">
      <c r="A55762" s="56"/>
    </row>
    <row r="55763" spans="1:1">
      <c r="A55763" s="56"/>
    </row>
    <row r="55764" spans="1:1">
      <c r="A55764" s="56"/>
    </row>
    <row r="55765" spans="1:1">
      <c r="A55765" s="56"/>
    </row>
    <row r="55766" spans="1:1">
      <c r="A55766" s="56"/>
    </row>
    <row r="55767" spans="1:1">
      <c r="A55767" s="56"/>
    </row>
    <row r="55768" spans="1:1">
      <c r="A55768" s="56"/>
    </row>
    <row r="55769" spans="1:1">
      <c r="A55769" s="56"/>
    </row>
    <row r="55770" spans="1:1">
      <c r="A55770" s="56"/>
    </row>
    <row r="55771" spans="1:1">
      <c r="A55771" s="56"/>
    </row>
    <row r="55772" spans="1:1">
      <c r="A55772" s="56"/>
    </row>
    <row r="55773" spans="1:1">
      <c r="A55773" s="56"/>
    </row>
    <row r="55774" spans="1:1">
      <c r="A55774" s="56"/>
    </row>
    <row r="55775" spans="1:1">
      <c r="A55775" s="56"/>
    </row>
    <row r="55776" spans="1:1">
      <c r="A55776" s="56"/>
    </row>
    <row r="55777" spans="1:1">
      <c r="A55777" s="56"/>
    </row>
    <row r="55778" spans="1:1">
      <c r="A55778" s="56"/>
    </row>
    <row r="55779" spans="1:1">
      <c r="A55779" s="56"/>
    </row>
    <row r="55780" spans="1:1">
      <c r="A55780" s="56"/>
    </row>
    <row r="55781" spans="1:1">
      <c r="A55781" s="56"/>
    </row>
    <row r="55782" spans="1:1">
      <c r="A55782" s="56"/>
    </row>
    <row r="55783" spans="1:1">
      <c r="A55783" s="56"/>
    </row>
    <row r="55784" spans="1:1">
      <c r="A55784" s="56"/>
    </row>
    <row r="55785" spans="1:1">
      <c r="A55785" s="56"/>
    </row>
    <row r="55786" spans="1:1">
      <c r="A55786" s="56"/>
    </row>
    <row r="55787" spans="1:1">
      <c r="A55787" s="56"/>
    </row>
    <row r="55788" spans="1:1">
      <c r="A55788" s="56"/>
    </row>
    <row r="55789" spans="1:1">
      <c r="A55789" s="56"/>
    </row>
    <row r="55790" spans="1:1">
      <c r="A55790" s="56"/>
    </row>
    <row r="55791" spans="1:1">
      <c r="A55791" s="56"/>
    </row>
    <row r="55792" spans="1:1">
      <c r="A55792" s="56"/>
    </row>
    <row r="55793" spans="1:1">
      <c r="A55793" s="56"/>
    </row>
    <row r="55794" spans="1:1">
      <c r="A55794" s="56"/>
    </row>
    <row r="55795" spans="1:1">
      <c r="A55795" s="56"/>
    </row>
    <row r="55796" spans="1:1">
      <c r="A55796" s="56"/>
    </row>
    <row r="55797" spans="1:1">
      <c r="A55797" s="56"/>
    </row>
    <row r="55798" spans="1:1">
      <c r="A55798" s="56"/>
    </row>
    <row r="55799" spans="1:1">
      <c r="A55799" s="56"/>
    </row>
    <row r="55800" spans="1:1">
      <c r="A55800" s="56"/>
    </row>
    <row r="55801" spans="1:1">
      <c r="A55801" s="56"/>
    </row>
    <row r="55802" spans="1:1">
      <c r="A55802" s="56"/>
    </row>
    <row r="55803" spans="1:1">
      <c r="A55803" s="56"/>
    </row>
    <row r="55804" spans="1:1">
      <c r="A55804" s="56"/>
    </row>
    <row r="55805" spans="1:1">
      <c r="A55805" s="56"/>
    </row>
    <row r="55806" spans="1:1">
      <c r="A55806" s="56"/>
    </row>
    <row r="55807" spans="1:1">
      <c r="A55807" s="56"/>
    </row>
    <row r="55808" spans="1:1">
      <c r="A55808" s="56"/>
    </row>
    <row r="55809" spans="1:1">
      <c r="A55809" s="56"/>
    </row>
    <row r="55810" spans="1:1">
      <c r="A55810" s="56"/>
    </row>
    <row r="55811" spans="1:1">
      <c r="A55811" s="56"/>
    </row>
    <row r="55812" spans="1:1">
      <c r="A55812" s="56"/>
    </row>
    <row r="55813" spans="1:1">
      <c r="A55813" s="56"/>
    </row>
    <row r="55814" spans="1:1">
      <c r="A55814" s="56"/>
    </row>
    <row r="55815" spans="1:1">
      <c r="A55815" s="56"/>
    </row>
    <row r="55816" spans="1:1">
      <c r="A55816" s="56"/>
    </row>
    <row r="55817" spans="1:1">
      <c r="A55817" s="56"/>
    </row>
    <row r="55818" spans="1:1">
      <c r="A55818" s="56"/>
    </row>
    <row r="55819" spans="1:1">
      <c r="A55819" s="56"/>
    </row>
    <row r="55820" spans="1:1">
      <c r="A55820" s="56"/>
    </row>
    <row r="55821" spans="1:1">
      <c r="A55821" s="56"/>
    </row>
    <row r="55822" spans="1:1">
      <c r="A55822" s="56"/>
    </row>
    <row r="55823" spans="1:1">
      <c r="A55823" s="56"/>
    </row>
    <row r="55824" spans="1:1">
      <c r="A55824" s="56"/>
    </row>
    <row r="55825" spans="1:1">
      <c r="A55825" s="56"/>
    </row>
    <row r="55826" spans="1:1">
      <c r="A55826" s="56"/>
    </row>
    <row r="55827" spans="1:1">
      <c r="A55827" s="56"/>
    </row>
    <row r="55828" spans="1:1">
      <c r="A55828" s="56"/>
    </row>
    <row r="55829" spans="1:1">
      <c r="A55829" s="56"/>
    </row>
    <row r="55830" spans="1:1">
      <c r="A55830" s="56"/>
    </row>
    <row r="55831" spans="1:1">
      <c r="A55831" s="56"/>
    </row>
    <row r="55832" spans="1:1">
      <c r="A55832" s="56"/>
    </row>
    <row r="55833" spans="1:1">
      <c r="A55833" s="56"/>
    </row>
    <row r="55834" spans="1:1">
      <c r="A55834" s="56"/>
    </row>
    <row r="55835" spans="1:1">
      <c r="A55835" s="56"/>
    </row>
    <row r="55836" spans="1:1">
      <c r="A55836" s="56"/>
    </row>
    <row r="55837" spans="1:1">
      <c r="A55837" s="56"/>
    </row>
    <row r="55838" spans="1:1">
      <c r="A55838" s="56"/>
    </row>
    <row r="55839" spans="1:1">
      <c r="A55839" s="56"/>
    </row>
    <row r="55840" spans="1:1">
      <c r="A55840" s="56"/>
    </row>
    <row r="55841" spans="1:1">
      <c r="A55841" s="56"/>
    </row>
    <row r="55842" spans="1:1">
      <c r="A55842" s="56"/>
    </row>
    <row r="55843" spans="1:1">
      <c r="A55843" s="56"/>
    </row>
    <row r="55844" spans="1:1">
      <c r="A55844" s="56"/>
    </row>
    <row r="55845" spans="1:1">
      <c r="A55845" s="56"/>
    </row>
    <row r="55846" spans="1:1">
      <c r="A55846" s="56"/>
    </row>
    <row r="55847" spans="1:1">
      <c r="A55847" s="56"/>
    </row>
    <row r="55848" spans="1:1">
      <c r="A55848" s="56"/>
    </row>
    <row r="55849" spans="1:1">
      <c r="A55849" s="56"/>
    </row>
    <row r="55850" spans="1:1">
      <c r="A55850" s="56"/>
    </row>
    <row r="55851" spans="1:1">
      <c r="A55851" s="56"/>
    </row>
    <row r="55852" spans="1:1">
      <c r="A55852" s="56"/>
    </row>
    <row r="55853" spans="1:1">
      <c r="A55853" s="56"/>
    </row>
    <row r="55854" spans="1:1">
      <c r="A55854" s="56"/>
    </row>
    <row r="55855" spans="1:1">
      <c r="A55855" s="56"/>
    </row>
    <row r="55856" spans="1:1">
      <c r="A55856" s="56"/>
    </row>
    <row r="55857" spans="1:1">
      <c r="A55857" s="56"/>
    </row>
    <row r="55858" spans="1:1">
      <c r="A55858" s="56"/>
    </row>
    <row r="55859" spans="1:1">
      <c r="A55859" s="56"/>
    </row>
    <row r="55860" spans="1:1">
      <c r="A55860" s="56"/>
    </row>
    <row r="55861" spans="1:1">
      <c r="A55861" s="56"/>
    </row>
    <row r="55862" spans="1:1">
      <c r="A55862" s="56"/>
    </row>
    <row r="55863" spans="1:1">
      <c r="A55863" s="56"/>
    </row>
    <row r="55864" spans="1:1">
      <c r="A55864" s="56"/>
    </row>
    <row r="55865" spans="1:1">
      <c r="A55865" s="56"/>
    </row>
    <row r="55866" spans="1:1">
      <c r="A55866" s="56"/>
    </row>
    <row r="55867" spans="1:1">
      <c r="A55867" s="56"/>
    </row>
    <row r="55868" spans="1:1">
      <c r="A55868" s="56"/>
    </row>
    <row r="55869" spans="1:1">
      <c r="A55869" s="56"/>
    </row>
    <row r="55870" spans="1:1">
      <c r="A55870" s="56"/>
    </row>
    <row r="55871" spans="1:1">
      <c r="A55871" s="56"/>
    </row>
    <row r="55872" spans="1:1">
      <c r="A55872" s="56"/>
    </row>
    <row r="55873" spans="1:1">
      <c r="A55873" s="56"/>
    </row>
    <row r="55874" spans="1:1">
      <c r="A55874" s="56"/>
    </row>
    <row r="55875" spans="1:1">
      <c r="A55875" s="56"/>
    </row>
    <row r="55876" spans="1:1">
      <c r="A55876" s="56"/>
    </row>
    <row r="55877" spans="1:1">
      <c r="A55877" s="56"/>
    </row>
    <row r="55878" spans="1:1">
      <c r="A55878" s="56"/>
    </row>
    <row r="55879" spans="1:1">
      <c r="A55879" s="56"/>
    </row>
    <row r="55880" spans="1:1">
      <c r="A55880" s="56"/>
    </row>
    <row r="55881" spans="1:1">
      <c r="A55881" s="56"/>
    </row>
    <row r="55882" spans="1:1">
      <c r="A55882" s="56"/>
    </row>
    <row r="55883" spans="1:1">
      <c r="A55883" s="56"/>
    </row>
    <row r="55884" spans="1:1">
      <c r="A55884" s="56"/>
    </row>
    <row r="55885" spans="1:1">
      <c r="A55885" s="56"/>
    </row>
    <row r="55886" spans="1:1">
      <c r="A55886" s="56"/>
    </row>
    <row r="55887" spans="1:1">
      <c r="A55887" s="56"/>
    </row>
    <row r="55888" spans="1:1">
      <c r="A55888" s="56"/>
    </row>
    <row r="55889" spans="1:1">
      <c r="A55889" s="56"/>
    </row>
    <row r="55890" spans="1:1">
      <c r="A55890" s="56"/>
    </row>
    <row r="55891" spans="1:1">
      <c r="A55891" s="56"/>
    </row>
    <row r="55892" spans="1:1">
      <c r="A55892" s="56"/>
    </row>
    <row r="55893" spans="1:1">
      <c r="A55893" s="56"/>
    </row>
    <row r="55894" spans="1:1">
      <c r="A55894" s="56"/>
    </row>
    <row r="55895" spans="1:1">
      <c r="A55895" s="56"/>
    </row>
    <row r="55896" spans="1:1">
      <c r="A55896" s="56"/>
    </row>
    <row r="55897" spans="1:1">
      <c r="A55897" s="56"/>
    </row>
    <row r="55898" spans="1:1">
      <c r="A55898" s="56"/>
    </row>
    <row r="55899" spans="1:1">
      <c r="A55899" s="56"/>
    </row>
    <row r="55900" spans="1:1">
      <c r="A55900" s="56"/>
    </row>
    <row r="55901" spans="1:1">
      <c r="A55901" s="56"/>
    </row>
    <row r="55902" spans="1:1">
      <c r="A55902" s="56"/>
    </row>
    <row r="55903" spans="1:1">
      <c r="A55903" s="56"/>
    </row>
    <row r="55904" spans="1:1">
      <c r="A55904" s="56"/>
    </row>
    <row r="55905" spans="1:1">
      <c r="A55905" s="56"/>
    </row>
    <row r="55906" spans="1:1">
      <c r="A55906" s="56"/>
    </row>
    <row r="55907" spans="1:1">
      <c r="A55907" s="56"/>
    </row>
    <row r="55908" spans="1:1">
      <c r="A55908" s="56"/>
    </row>
    <row r="55909" spans="1:1">
      <c r="A55909" s="56"/>
    </row>
    <row r="55910" spans="1:1">
      <c r="A55910" s="56"/>
    </row>
    <row r="55911" spans="1:1">
      <c r="A55911" s="56"/>
    </row>
    <row r="55912" spans="1:1">
      <c r="A55912" s="56"/>
    </row>
    <row r="55913" spans="1:1">
      <c r="A55913" s="56"/>
    </row>
    <row r="55914" spans="1:1">
      <c r="A55914" s="56"/>
    </row>
    <row r="55915" spans="1:1">
      <c r="A55915" s="56"/>
    </row>
    <row r="55916" spans="1:1">
      <c r="A55916" s="56"/>
    </row>
    <row r="55917" spans="1:1">
      <c r="A55917" s="56"/>
    </row>
    <row r="55918" spans="1:1">
      <c r="A55918" s="56"/>
    </row>
    <row r="55919" spans="1:1">
      <c r="A55919" s="56"/>
    </row>
    <row r="55920" spans="1:1">
      <c r="A55920" s="56"/>
    </row>
    <row r="55921" spans="1:1">
      <c r="A55921" s="56"/>
    </row>
    <row r="55922" spans="1:1">
      <c r="A55922" s="56"/>
    </row>
    <row r="55923" spans="1:1">
      <c r="A55923" s="56"/>
    </row>
    <row r="55924" spans="1:1">
      <c r="A55924" s="56"/>
    </row>
    <row r="55925" spans="1:1">
      <c r="A55925" s="56"/>
    </row>
    <row r="55926" spans="1:1">
      <c r="A55926" s="56"/>
    </row>
    <row r="55927" spans="1:1">
      <c r="A55927" s="56"/>
    </row>
    <row r="55928" spans="1:1">
      <c r="A55928" s="56"/>
    </row>
    <row r="55929" spans="1:1">
      <c r="A55929" s="56"/>
    </row>
    <row r="55930" spans="1:1">
      <c r="A55930" s="56"/>
    </row>
    <row r="55931" spans="1:1">
      <c r="A55931" s="56"/>
    </row>
    <row r="55932" spans="1:1">
      <c r="A55932" s="56"/>
    </row>
    <row r="55933" spans="1:1">
      <c r="A55933" s="56"/>
    </row>
    <row r="55934" spans="1:1">
      <c r="A55934" s="56"/>
    </row>
    <row r="55935" spans="1:1">
      <c r="A55935" s="56"/>
    </row>
    <row r="55936" spans="1:1">
      <c r="A55936" s="56"/>
    </row>
    <row r="55937" spans="1:1">
      <c r="A55937" s="56"/>
    </row>
    <row r="55938" spans="1:1">
      <c r="A55938" s="56"/>
    </row>
    <row r="55939" spans="1:1">
      <c r="A55939" s="56"/>
    </row>
    <row r="55940" spans="1:1">
      <c r="A55940" s="56"/>
    </row>
    <row r="55941" spans="1:1">
      <c r="A55941" s="56"/>
    </row>
    <row r="55942" spans="1:1">
      <c r="A55942" s="56"/>
    </row>
    <row r="55943" spans="1:1">
      <c r="A55943" s="56"/>
    </row>
    <row r="55944" spans="1:1">
      <c r="A55944" s="56"/>
    </row>
    <row r="55945" spans="1:1">
      <c r="A55945" s="56"/>
    </row>
    <row r="55946" spans="1:1">
      <c r="A55946" s="56"/>
    </row>
    <row r="55947" spans="1:1">
      <c r="A55947" s="56"/>
    </row>
    <row r="55948" spans="1:1">
      <c r="A55948" s="56"/>
    </row>
    <row r="55949" spans="1:1">
      <c r="A55949" s="56"/>
    </row>
    <row r="55950" spans="1:1">
      <c r="A55950" s="56"/>
    </row>
    <row r="55951" spans="1:1">
      <c r="A55951" s="56"/>
    </row>
    <row r="55952" spans="1:1">
      <c r="A55952" s="56"/>
    </row>
    <row r="55953" spans="1:1">
      <c r="A55953" s="56"/>
    </row>
    <row r="55954" spans="1:1">
      <c r="A55954" s="56"/>
    </row>
    <row r="55955" spans="1:1">
      <c r="A55955" s="56"/>
    </row>
    <row r="55956" spans="1:1">
      <c r="A55956" s="56"/>
    </row>
    <row r="55957" spans="1:1">
      <c r="A55957" s="56"/>
    </row>
    <row r="55958" spans="1:1">
      <c r="A55958" s="56"/>
    </row>
    <row r="55959" spans="1:1">
      <c r="A55959" s="56"/>
    </row>
    <row r="55960" spans="1:1">
      <c r="A55960" s="56"/>
    </row>
    <row r="55961" spans="1:1">
      <c r="A55961" s="56"/>
    </row>
    <row r="55962" spans="1:1">
      <c r="A55962" s="56"/>
    </row>
    <row r="55963" spans="1:1">
      <c r="A55963" s="56"/>
    </row>
    <row r="55964" spans="1:1">
      <c r="A55964" s="56"/>
    </row>
    <row r="55965" spans="1:1">
      <c r="A55965" s="56"/>
    </row>
    <row r="55966" spans="1:1">
      <c r="A55966" s="56"/>
    </row>
    <row r="55967" spans="1:1">
      <c r="A55967" s="56"/>
    </row>
    <row r="55968" spans="1:1">
      <c r="A55968" s="56"/>
    </row>
    <row r="55969" spans="1:1">
      <c r="A55969" s="56"/>
    </row>
    <row r="55970" spans="1:1">
      <c r="A55970" s="56"/>
    </row>
    <row r="55971" spans="1:1">
      <c r="A55971" s="56"/>
    </row>
    <row r="55972" spans="1:1">
      <c r="A55972" s="56"/>
    </row>
    <row r="55973" spans="1:1">
      <c r="A55973" s="56"/>
    </row>
    <row r="55974" spans="1:1">
      <c r="A55974" s="56"/>
    </row>
    <row r="55975" spans="1:1">
      <c r="A55975" s="56"/>
    </row>
    <row r="55976" spans="1:1">
      <c r="A55976" s="56"/>
    </row>
    <row r="55977" spans="1:1">
      <c r="A55977" s="56"/>
    </row>
    <row r="55978" spans="1:1">
      <c r="A55978" s="56"/>
    </row>
    <row r="55979" spans="1:1">
      <c r="A55979" s="56"/>
    </row>
    <row r="55980" spans="1:1">
      <c r="A55980" s="56"/>
    </row>
    <row r="55981" spans="1:1">
      <c r="A55981" s="56"/>
    </row>
    <row r="55982" spans="1:1">
      <c r="A55982" s="56"/>
    </row>
    <row r="55983" spans="1:1">
      <c r="A55983" s="56"/>
    </row>
    <row r="55984" spans="1:1">
      <c r="A55984" s="56"/>
    </row>
    <row r="55985" spans="1:1">
      <c r="A55985" s="56"/>
    </row>
    <row r="55986" spans="1:1">
      <c r="A55986" s="56"/>
    </row>
    <row r="55987" spans="1:1">
      <c r="A55987" s="56"/>
    </row>
    <row r="55988" spans="1:1">
      <c r="A55988" s="56"/>
    </row>
    <row r="55989" spans="1:1">
      <c r="A55989" s="56"/>
    </row>
    <row r="55990" spans="1:1">
      <c r="A55990" s="56"/>
    </row>
    <row r="55991" spans="1:1">
      <c r="A55991" s="56"/>
    </row>
    <row r="55992" spans="1:1">
      <c r="A55992" s="56"/>
    </row>
    <row r="55993" spans="1:1">
      <c r="A55993" s="56"/>
    </row>
    <row r="55994" spans="1:1">
      <c r="A55994" s="56"/>
    </row>
    <row r="55995" spans="1:1">
      <c r="A55995" s="56"/>
    </row>
    <row r="55996" spans="1:1">
      <c r="A55996" s="56"/>
    </row>
    <row r="55997" spans="1:1">
      <c r="A55997" s="56"/>
    </row>
    <row r="55998" spans="1:1">
      <c r="A55998" s="56"/>
    </row>
    <row r="55999" spans="1:1">
      <c r="A55999" s="56"/>
    </row>
    <row r="56000" spans="1:1">
      <c r="A56000" s="56"/>
    </row>
    <row r="56001" spans="1:1">
      <c r="A56001" s="56"/>
    </row>
    <row r="56002" spans="1:1">
      <c r="A56002" s="56"/>
    </row>
    <row r="56003" spans="1:1">
      <c r="A56003" s="56"/>
    </row>
    <row r="56004" spans="1:1">
      <c r="A56004" s="56"/>
    </row>
    <row r="56005" spans="1:1">
      <c r="A56005" s="56"/>
    </row>
    <row r="56006" spans="1:1">
      <c r="A56006" s="56"/>
    </row>
    <row r="56007" spans="1:1">
      <c r="A56007" s="56"/>
    </row>
    <row r="56008" spans="1:1">
      <c r="A56008" s="56"/>
    </row>
    <row r="56009" spans="1:1">
      <c r="A56009" s="56"/>
    </row>
    <row r="56010" spans="1:1">
      <c r="A56010" s="56"/>
    </row>
    <row r="56011" spans="1:1">
      <c r="A56011" s="56"/>
    </row>
    <row r="56012" spans="1:1">
      <c r="A56012" s="56"/>
    </row>
    <row r="56013" spans="1:1">
      <c r="A56013" s="56"/>
    </row>
    <row r="56014" spans="1:1">
      <c r="A56014" s="56"/>
    </row>
    <row r="56015" spans="1:1">
      <c r="A56015" s="56"/>
    </row>
    <row r="56016" spans="1:1">
      <c r="A56016" s="56"/>
    </row>
    <row r="56017" spans="1:1">
      <c r="A56017" s="56"/>
    </row>
    <row r="56018" spans="1:1">
      <c r="A56018" s="56"/>
    </row>
    <row r="56019" spans="1:1">
      <c r="A56019" s="56"/>
    </row>
    <row r="56020" spans="1:1">
      <c r="A56020" s="56"/>
    </row>
    <row r="56021" spans="1:1">
      <c r="A56021" s="56"/>
    </row>
    <row r="56022" spans="1:1">
      <c r="A56022" s="56"/>
    </row>
    <row r="56023" spans="1:1">
      <c r="A56023" s="56"/>
    </row>
    <row r="56024" spans="1:1">
      <c r="A56024" s="56"/>
    </row>
    <row r="56025" spans="1:1">
      <c r="A56025" s="56"/>
    </row>
    <row r="56026" spans="1:1">
      <c r="A56026" s="56"/>
    </row>
    <row r="56027" spans="1:1">
      <c r="A56027" s="56"/>
    </row>
    <row r="56028" spans="1:1">
      <c r="A56028" s="56"/>
    </row>
    <row r="56029" spans="1:1">
      <c r="A56029" s="56"/>
    </row>
    <row r="56030" spans="1:1">
      <c r="A56030" s="56"/>
    </row>
    <row r="56031" spans="1:1">
      <c r="A56031" s="56"/>
    </row>
    <row r="56032" spans="1:1">
      <c r="A56032" s="56"/>
    </row>
    <row r="56033" spans="1:1">
      <c r="A56033" s="56"/>
    </row>
    <row r="56034" spans="1:1">
      <c r="A56034" s="56"/>
    </row>
    <row r="56035" spans="1:1">
      <c r="A56035" s="56"/>
    </row>
    <row r="56036" spans="1:1">
      <c r="A56036" s="56"/>
    </row>
    <row r="56037" spans="1:1">
      <c r="A56037" s="56"/>
    </row>
    <row r="56038" spans="1:1">
      <c r="A56038" s="56"/>
    </row>
    <row r="56039" spans="1:1">
      <c r="A56039" s="56"/>
    </row>
    <row r="56040" spans="1:1">
      <c r="A56040" s="56"/>
    </row>
    <row r="56041" spans="1:1">
      <c r="A56041" s="56"/>
    </row>
    <row r="56042" spans="1:1">
      <c r="A56042" s="56"/>
    </row>
    <row r="56043" spans="1:1">
      <c r="A56043" s="56"/>
    </row>
    <row r="56044" spans="1:1">
      <c r="A56044" s="56"/>
    </row>
    <row r="56045" spans="1:1">
      <c r="A56045" s="56"/>
    </row>
    <row r="56046" spans="1:1">
      <c r="A56046" s="56"/>
    </row>
    <row r="56047" spans="1:1">
      <c r="A56047" s="56"/>
    </row>
    <row r="56048" spans="1:1">
      <c r="A56048" s="56"/>
    </row>
    <row r="56049" spans="1:1">
      <c r="A56049" s="56"/>
    </row>
    <row r="56050" spans="1:1">
      <c r="A56050" s="56"/>
    </row>
    <row r="56051" spans="1:1">
      <c r="A56051" s="56"/>
    </row>
    <row r="56052" spans="1:1">
      <c r="A56052" s="56"/>
    </row>
    <row r="56053" spans="1:1">
      <c r="A56053" s="56"/>
    </row>
    <row r="56054" spans="1:1">
      <c r="A56054" s="56"/>
    </row>
    <row r="56055" spans="1:1">
      <c r="A56055" s="56"/>
    </row>
    <row r="56056" spans="1:1">
      <c r="A56056" s="56"/>
    </row>
    <row r="56057" spans="1:1">
      <c r="A56057" s="56"/>
    </row>
    <row r="56058" spans="1:1">
      <c r="A56058" s="56"/>
    </row>
    <row r="56059" spans="1:1">
      <c r="A56059" s="56"/>
    </row>
    <row r="56060" spans="1:1">
      <c r="A56060" s="56"/>
    </row>
    <row r="56061" spans="1:1">
      <c r="A56061" s="56"/>
    </row>
    <row r="56062" spans="1:1">
      <c r="A56062" s="56"/>
    </row>
    <row r="56063" spans="1:1">
      <c r="A56063" s="56"/>
    </row>
    <row r="56064" spans="1:1">
      <c r="A56064" s="56"/>
    </row>
    <row r="56065" spans="1:1">
      <c r="A56065" s="56"/>
    </row>
    <row r="56066" spans="1:1">
      <c r="A56066" s="56"/>
    </row>
    <row r="56067" spans="1:1">
      <c r="A56067" s="56"/>
    </row>
    <row r="56068" spans="1:1">
      <c r="A56068" s="56"/>
    </row>
    <row r="56069" spans="1:1">
      <c r="A56069" s="56"/>
    </row>
    <row r="56070" spans="1:1">
      <c r="A56070" s="56"/>
    </row>
    <row r="56071" spans="1:1">
      <c r="A56071" s="56"/>
    </row>
    <row r="56072" spans="1:1">
      <c r="A56072" s="56"/>
    </row>
    <row r="56073" spans="1:1">
      <c r="A56073" s="56"/>
    </row>
    <row r="56074" spans="1:1">
      <c r="A56074" s="56"/>
    </row>
    <row r="56075" spans="1:1">
      <c r="A56075" s="56"/>
    </row>
    <row r="56076" spans="1:1">
      <c r="A56076" s="56"/>
    </row>
    <row r="56077" spans="1:1">
      <c r="A56077" s="56"/>
    </row>
    <row r="56078" spans="1:1">
      <c r="A56078" s="56"/>
    </row>
    <row r="56079" spans="1:1">
      <c r="A56079" s="56"/>
    </row>
    <row r="56080" spans="1:1">
      <c r="A56080" s="56"/>
    </row>
    <row r="56081" spans="1:1">
      <c r="A56081" s="56"/>
    </row>
    <row r="56082" spans="1:1">
      <c r="A56082" s="56"/>
    </row>
    <row r="56083" spans="1:1">
      <c r="A56083" s="56"/>
    </row>
    <row r="56084" spans="1:1">
      <c r="A56084" s="56"/>
    </row>
    <row r="56085" spans="1:1">
      <c r="A56085" s="56"/>
    </row>
    <row r="56086" spans="1:1">
      <c r="A56086" s="56"/>
    </row>
    <row r="56087" spans="1:1">
      <c r="A56087" s="56"/>
    </row>
    <row r="56088" spans="1:1">
      <c r="A56088" s="56"/>
    </row>
    <row r="56089" spans="1:1">
      <c r="A56089" s="56"/>
    </row>
    <row r="56090" spans="1:1">
      <c r="A56090" s="56"/>
    </row>
    <row r="56091" spans="1:1">
      <c r="A56091" s="56"/>
    </row>
    <row r="56092" spans="1:1">
      <c r="A56092" s="56"/>
    </row>
    <row r="56093" spans="1:1">
      <c r="A56093" s="56"/>
    </row>
    <row r="56094" spans="1:1">
      <c r="A56094" s="56"/>
    </row>
    <row r="56095" spans="1:1">
      <c r="A56095" s="56"/>
    </row>
    <row r="56096" spans="1:1">
      <c r="A56096" s="56"/>
    </row>
    <row r="56097" spans="1:1">
      <c r="A56097" s="56"/>
    </row>
    <row r="56098" spans="1:1">
      <c r="A56098" s="56"/>
    </row>
    <row r="56099" spans="1:1">
      <c r="A56099" s="56"/>
    </row>
    <row r="56100" spans="1:1">
      <c r="A56100" s="56"/>
    </row>
    <row r="56101" spans="1:1">
      <c r="A56101" s="56"/>
    </row>
    <row r="56102" spans="1:1">
      <c r="A56102" s="56"/>
    </row>
    <row r="56103" spans="1:1">
      <c r="A56103" s="56"/>
    </row>
    <row r="56104" spans="1:1">
      <c r="A56104" s="56"/>
    </row>
    <row r="56105" spans="1:1">
      <c r="A56105" s="56"/>
    </row>
    <row r="56106" spans="1:1">
      <c r="A56106" s="56"/>
    </row>
    <row r="56107" spans="1:1">
      <c r="A56107" s="56"/>
    </row>
    <row r="56108" spans="1:1">
      <c r="A56108" s="56"/>
    </row>
    <row r="56109" spans="1:1">
      <c r="A56109" s="56"/>
    </row>
    <row r="56110" spans="1:1">
      <c r="A56110" s="56"/>
    </row>
    <row r="56111" spans="1:1">
      <c r="A56111" s="56"/>
    </row>
    <row r="56112" spans="1:1">
      <c r="A56112" s="56"/>
    </row>
    <row r="56113" spans="1:1">
      <c r="A56113" s="56"/>
    </row>
    <row r="56114" spans="1:1">
      <c r="A56114" s="56"/>
    </row>
    <row r="56115" spans="1:1">
      <c r="A56115" s="56"/>
    </row>
    <row r="56116" spans="1:1">
      <c r="A56116" s="56"/>
    </row>
    <row r="56117" spans="1:1">
      <c r="A56117" s="56"/>
    </row>
    <row r="56118" spans="1:1">
      <c r="A56118" s="56"/>
    </row>
    <row r="56119" spans="1:1">
      <c r="A56119" s="56"/>
    </row>
    <row r="56120" spans="1:1">
      <c r="A56120" s="56"/>
    </row>
    <row r="56121" spans="1:1">
      <c r="A56121" s="56"/>
    </row>
    <row r="56122" spans="1:1">
      <c r="A56122" s="56"/>
    </row>
    <row r="56123" spans="1:1">
      <c r="A56123" s="56"/>
    </row>
    <row r="56124" spans="1:1">
      <c r="A56124" s="56"/>
    </row>
    <row r="56125" spans="1:1">
      <c r="A56125" s="56"/>
    </row>
    <row r="56126" spans="1:1">
      <c r="A56126" s="56"/>
    </row>
    <row r="56127" spans="1:1">
      <c r="A56127" s="56"/>
    </row>
    <row r="56128" spans="1:1">
      <c r="A56128" s="56"/>
    </row>
    <row r="56129" spans="1:1">
      <c r="A56129" s="56"/>
    </row>
    <row r="56130" spans="1:1">
      <c r="A56130" s="56"/>
    </row>
    <row r="56131" spans="1:1">
      <c r="A56131" s="56"/>
    </row>
    <row r="56132" spans="1:1">
      <c r="A56132" s="56"/>
    </row>
    <row r="56133" spans="1:1">
      <c r="A56133" s="56"/>
    </row>
    <row r="56134" spans="1:1">
      <c r="A56134" s="56"/>
    </row>
    <row r="56135" spans="1:1">
      <c r="A56135" s="56"/>
    </row>
    <row r="56136" spans="1:1">
      <c r="A56136" s="56"/>
    </row>
    <row r="56137" spans="1:1">
      <c r="A56137" s="56"/>
    </row>
    <row r="56138" spans="1:1">
      <c r="A56138" s="56"/>
    </row>
    <row r="56139" spans="1:1">
      <c r="A56139" s="56"/>
    </row>
    <row r="56140" spans="1:1">
      <c r="A56140" s="56"/>
    </row>
    <row r="56141" spans="1:1">
      <c r="A56141" s="56"/>
    </row>
    <row r="56142" spans="1:1">
      <c r="A56142" s="56"/>
    </row>
    <row r="56143" spans="1:1">
      <c r="A56143" s="56"/>
    </row>
    <row r="56144" spans="1:1">
      <c r="A56144" s="56"/>
    </row>
    <row r="56145" spans="1:1">
      <c r="A56145" s="56"/>
    </row>
    <row r="56146" spans="1:1">
      <c r="A56146" s="56"/>
    </row>
    <row r="56147" spans="1:1">
      <c r="A56147" s="56"/>
    </row>
    <row r="56148" spans="1:1">
      <c r="A56148" s="56"/>
    </row>
    <row r="56149" spans="1:1">
      <c r="A56149" s="56"/>
    </row>
    <row r="56150" spans="1:1">
      <c r="A56150" s="56"/>
    </row>
    <row r="56151" spans="1:1">
      <c r="A56151" s="56"/>
    </row>
    <row r="56152" spans="1:1">
      <c r="A56152" s="56"/>
    </row>
    <row r="56153" spans="1:1">
      <c r="A56153" s="56"/>
    </row>
    <row r="56154" spans="1:1">
      <c r="A56154" s="56"/>
    </row>
    <row r="56155" spans="1:1">
      <c r="A56155" s="56"/>
    </row>
    <row r="56156" spans="1:1">
      <c r="A56156" s="56"/>
    </row>
    <row r="56157" spans="1:1">
      <c r="A56157" s="56"/>
    </row>
    <row r="56158" spans="1:1">
      <c r="A56158" s="56"/>
    </row>
    <row r="56159" spans="1:1">
      <c r="A56159" s="56"/>
    </row>
    <row r="56160" spans="1:1">
      <c r="A56160" s="56"/>
    </row>
    <row r="56161" spans="1:1">
      <c r="A56161" s="56"/>
    </row>
    <row r="56162" spans="1:1">
      <c r="A56162" s="56"/>
    </row>
    <row r="56163" spans="1:1">
      <c r="A56163" s="56"/>
    </row>
    <row r="56164" spans="1:1">
      <c r="A56164" s="56"/>
    </row>
    <row r="56165" spans="1:1">
      <c r="A56165" s="56"/>
    </row>
    <row r="56166" spans="1:1">
      <c r="A56166" s="56"/>
    </row>
    <row r="56167" spans="1:1">
      <c r="A56167" s="56"/>
    </row>
    <row r="56168" spans="1:1">
      <c r="A56168" s="56"/>
    </row>
    <row r="56169" spans="1:1">
      <c r="A56169" s="56"/>
    </row>
    <row r="56170" spans="1:1">
      <c r="A56170" s="56"/>
    </row>
    <row r="56171" spans="1:1">
      <c r="A56171" s="56"/>
    </row>
    <row r="56172" spans="1:1">
      <c r="A56172" s="56"/>
    </row>
    <row r="56173" spans="1:1">
      <c r="A56173" s="56"/>
    </row>
    <row r="56174" spans="1:1">
      <c r="A56174" s="56"/>
    </row>
    <row r="56175" spans="1:1">
      <c r="A56175" s="56"/>
    </row>
    <row r="56176" spans="1:1">
      <c r="A56176" s="56"/>
    </row>
    <row r="56177" spans="1:1">
      <c r="A56177" s="56"/>
    </row>
    <row r="56178" spans="1:1">
      <c r="A56178" s="56"/>
    </row>
    <row r="56179" spans="1:1">
      <c r="A56179" s="56"/>
    </row>
    <row r="56180" spans="1:1">
      <c r="A56180" s="56"/>
    </row>
    <row r="56181" spans="1:1">
      <c r="A56181" s="56"/>
    </row>
    <row r="56182" spans="1:1">
      <c r="A56182" s="56"/>
    </row>
    <row r="56183" spans="1:1">
      <c r="A56183" s="56"/>
    </row>
    <row r="56184" spans="1:1">
      <c r="A56184" s="56"/>
    </row>
    <row r="56185" spans="1:1">
      <c r="A56185" s="56"/>
    </row>
    <row r="56186" spans="1:1">
      <c r="A56186" s="56"/>
    </row>
    <row r="56187" spans="1:1">
      <c r="A56187" s="56"/>
    </row>
    <row r="56188" spans="1:1">
      <c r="A56188" s="56"/>
    </row>
    <row r="56189" spans="1:1">
      <c r="A56189" s="56"/>
    </row>
    <row r="56190" spans="1:1">
      <c r="A56190" s="56"/>
    </row>
    <row r="56191" spans="1:1">
      <c r="A56191" s="56"/>
    </row>
    <row r="56192" spans="1:1">
      <c r="A56192" s="56"/>
    </row>
    <row r="56193" spans="1:1">
      <c r="A56193" s="56"/>
    </row>
    <row r="56194" spans="1:1">
      <c r="A56194" s="56"/>
    </row>
    <row r="56195" spans="1:1">
      <c r="A56195" s="56"/>
    </row>
    <row r="56196" spans="1:1">
      <c r="A56196" s="56"/>
    </row>
    <row r="56197" spans="1:1">
      <c r="A56197" s="56"/>
    </row>
    <row r="56198" spans="1:1">
      <c r="A56198" s="56"/>
    </row>
    <row r="56199" spans="1:1">
      <c r="A56199" s="56"/>
    </row>
    <row r="56200" spans="1:1">
      <c r="A56200" s="56"/>
    </row>
    <row r="56201" spans="1:1">
      <c r="A56201" s="56"/>
    </row>
    <row r="56202" spans="1:1">
      <c r="A56202" s="56"/>
    </row>
    <row r="56203" spans="1:1">
      <c r="A56203" s="56"/>
    </row>
    <row r="56204" spans="1:1">
      <c r="A56204" s="56"/>
    </row>
    <row r="56205" spans="1:1">
      <c r="A56205" s="56"/>
    </row>
    <row r="56206" spans="1:1">
      <c r="A56206" s="56"/>
    </row>
    <row r="56207" spans="1:1">
      <c r="A56207" s="56"/>
    </row>
    <row r="56208" spans="1:1">
      <c r="A56208" s="56"/>
    </row>
    <row r="56209" spans="1:1">
      <c r="A56209" s="56"/>
    </row>
    <row r="56210" spans="1:1">
      <c r="A56210" s="56"/>
    </row>
    <row r="56211" spans="1:1">
      <c r="A56211" s="56"/>
    </row>
    <row r="56212" spans="1:1">
      <c r="A56212" s="56"/>
    </row>
    <row r="56213" spans="1:1">
      <c r="A56213" s="56"/>
    </row>
    <row r="56214" spans="1:1">
      <c r="A56214" s="56"/>
    </row>
    <row r="56215" spans="1:1">
      <c r="A56215" s="56"/>
    </row>
    <row r="56216" spans="1:1">
      <c r="A56216" s="56"/>
    </row>
    <row r="56217" spans="1:1">
      <c r="A56217" s="56"/>
    </row>
    <row r="56218" spans="1:1">
      <c r="A56218" s="56"/>
    </row>
    <row r="56219" spans="1:1">
      <c r="A56219" s="56"/>
    </row>
    <row r="56220" spans="1:1">
      <c r="A56220" s="56"/>
    </row>
    <row r="56221" spans="1:1">
      <c r="A56221" s="56"/>
    </row>
    <row r="56222" spans="1:1">
      <c r="A56222" s="56"/>
    </row>
    <row r="56223" spans="1:1">
      <c r="A56223" s="56"/>
    </row>
    <row r="56224" spans="1:1">
      <c r="A56224" s="56"/>
    </row>
    <row r="56225" spans="1:1">
      <c r="A56225" s="56"/>
    </row>
    <row r="56226" spans="1:1">
      <c r="A56226" s="56"/>
    </row>
    <row r="56227" spans="1:1">
      <c r="A56227" s="56"/>
    </row>
    <row r="56228" spans="1:1">
      <c r="A56228" s="56"/>
    </row>
    <row r="56229" spans="1:1">
      <c r="A56229" s="56"/>
    </row>
    <row r="56230" spans="1:1">
      <c r="A56230" s="56"/>
    </row>
    <row r="56231" spans="1:1">
      <c r="A56231" s="56"/>
    </row>
    <row r="56232" spans="1:1">
      <c r="A56232" s="56"/>
    </row>
    <row r="56233" spans="1:1">
      <c r="A56233" s="56"/>
    </row>
    <row r="56234" spans="1:1">
      <c r="A56234" s="56"/>
    </row>
    <row r="56235" spans="1:1">
      <c r="A56235" s="56"/>
    </row>
    <row r="56236" spans="1:1">
      <c r="A56236" s="56"/>
    </row>
    <row r="56237" spans="1:1">
      <c r="A56237" s="56"/>
    </row>
    <row r="56238" spans="1:1">
      <c r="A56238" s="56"/>
    </row>
    <row r="56239" spans="1:1">
      <c r="A56239" s="56"/>
    </row>
    <row r="56240" spans="1:1">
      <c r="A56240" s="56"/>
    </row>
    <row r="56241" spans="1:1">
      <c r="A56241" s="56"/>
    </row>
    <row r="56242" spans="1:1">
      <c r="A56242" s="56"/>
    </row>
    <row r="56243" spans="1:1">
      <c r="A56243" s="56"/>
    </row>
    <row r="56244" spans="1:1">
      <c r="A56244" s="56"/>
    </row>
    <row r="56245" spans="1:1">
      <c r="A56245" s="56"/>
    </row>
    <row r="56246" spans="1:1">
      <c r="A56246" s="56"/>
    </row>
    <row r="56247" spans="1:1">
      <c r="A56247" s="56"/>
    </row>
    <row r="56248" spans="1:1">
      <c r="A56248" s="56"/>
    </row>
    <row r="56249" spans="1:1">
      <c r="A56249" s="56"/>
    </row>
    <row r="56250" spans="1:1">
      <c r="A56250" s="56"/>
    </row>
    <row r="56251" spans="1:1">
      <c r="A56251" s="56"/>
    </row>
    <row r="56252" spans="1:1">
      <c r="A56252" s="56"/>
    </row>
    <row r="56253" spans="1:1">
      <c r="A56253" s="56"/>
    </row>
    <row r="56254" spans="1:1">
      <c r="A56254" s="56"/>
    </row>
    <row r="56255" spans="1:1">
      <c r="A56255" s="56"/>
    </row>
    <row r="56256" spans="1:1">
      <c r="A56256" s="56"/>
    </row>
    <row r="56257" spans="1:1">
      <c r="A56257" s="56"/>
    </row>
    <row r="56258" spans="1:1">
      <c r="A56258" s="56"/>
    </row>
    <row r="56259" spans="1:1">
      <c r="A56259" s="56"/>
    </row>
    <row r="56260" spans="1:1">
      <c r="A56260" s="56"/>
    </row>
    <row r="56261" spans="1:1">
      <c r="A56261" s="56"/>
    </row>
    <row r="56262" spans="1:1">
      <c r="A56262" s="56"/>
    </row>
    <row r="56263" spans="1:1">
      <c r="A56263" s="56"/>
    </row>
    <row r="56264" spans="1:1">
      <c r="A56264" s="56"/>
    </row>
    <row r="56265" spans="1:1">
      <c r="A56265" s="56"/>
    </row>
    <row r="56266" spans="1:1">
      <c r="A56266" s="56"/>
    </row>
    <row r="56267" spans="1:1">
      <c r="A56267" s="56"/>
    </row>
    <row r="56268" spans="1:1">
      <c r="A56268" s="56"/>
    </row>
    <row r="56269" spans="1:1">
      <c r="A56269" s="56"/>
    </row>
    <row r="56270" spans="1:1">
      <c r="A56270" s="56"/>
    </row>
    <row r="56271" spans="1:1">
      <c r="A56271" s="56"/>
    </row>
    <row r="56272" spans="1:1">
      <c r="A56272" s="56"/>
    </row>
    <row r="56273" spans="1:1">
      <c r="A56273" s="56"/>
    </row>
    <row r="56274" spans="1:1">
      <c r="A56274" s="56"/>
    </row>
    <row r="56275" spans="1:1">
      <c r="A56275" s="56"/>
    </row>
    <row r="56276" spans="1:1">
      <c r="A56276" s="56"/>
    </row>
    <row r="56277" spans="1:1">
      <c r="A56277" s="56"/>
    </row>
    <row r="56278" spans="1:1">
      <c r="A56278" s="56"/>
    </row>
    <row r="56279" spans="1:1">
      <c r="A56279" s="56"/>
    </row>
    <row r="56280" spans="1:1">
      <c r="A56280" s="56"/>
    </row>
    <row r="56281" spans="1:1">
      <c r="A56281" s="56"/>
    </row>
    <row r="56282" spans="1:1">
      <c r="A56282" s="56"/>
    </row>
    <row r="56283" spans="1:1">
      <c r="A56283" s="56"/>
    </row>
    <row r="56284" spans="1:1">
      <c r="A56284" s="56"/>
    </row>
    <row r="56285" spans="1:1">
      <c r="A56285" s="56"/>
    </row>
    <row r="56286" spans="1:1">
      <c r="A56286" s="56"/>
    </row>
    <row r="56287" spans="1:1">
      <c r="A56287" s="56"/>
    </row>
    <row r="56288" spans="1:1">
      <c r="A56288" s="56"/>
    </row>
    <row r="56289" spans="1:1">
      <c r="A56289" s="56"/>
    </row>
    <row r="56290" spans="1:1">
      <c r="A56290" s="56"/>
    </row>
    <row r="56291" spans="1:1">
      <c r="A56291" s="56"/>
    </row>
    <row r="56292" spans="1:1">
      <c r="A56292" s="56"/>
    </row>
    <row r="56293" spans="1:1">
      <c r="A56293" s="56"/>
    </row>
    <row r="56294" spans="1:1">
      <c r="A56294" s="56"/>
    </row>
    <row r="56295" spans="1:1">
      <c r="A56295" s="56"/>
    </row>
    <row r="56296" spans="1:1">
      <c r="A56296" s="56"/>
    </row>
    <row r="56297" spans="1:1">
      <c r="A56297" s="56"/>
    </row>
    <row r="56298" spans="1:1">
      <c r="A56298" s="56"/>
    </row>
    <row r="56299" spans="1:1">
      <c r="A56299" s="56"/>
    </row>
    <row r="56300" spans="1:1">
      <c r="A56300" s="56"/>
    </row>
    <row r="56301" spans="1:1">
      <c r="A56301" s="56"/>
    </row>
    <row r="56302" spans="1:1">
      <c r="A56302" s="56"/>
    </row>
    <row r="56303" spans="1:1">
      <c r="A56303" s="56"/>
    </row>
    <row r="56304" spans="1:1">
      <c r="A56304" s="56"/>
    </row>
    <row r="56305" spans="1:1">
      <c r="A56305" s="56"/>
    </row>
    <row r="56306" spans="1:1">
      <c r="A56306" s="56"/>
    </row>
    <row r="56307" spans="1:1">
      <c r="A56307" s="56"/>
    </row>
    <row r="56308" spans="1:1">
      <c r="A56308" s="56"/>
    </row>
    <row r="56309" spans="1:1">
      <c r="A56309" s="56"/>
    </row>
    <row r="56310" spans="1:1">
      <c r="A56310" s="56"/>
    </row>
    <row r="56311" spans="1:1">
      <c r="A56311" s="56"/>
    </row>
    <row r="56312" spans="1:1">
      <c r="A56312" s="56"/>
    </row>
    <row r="56313" spans="1:1">
      <c r="A56313" s="56"/>
    </row>
    <row r="56314" spans="1:1">
      <c r="A56314" s="56"/>
    </row>
    <row r="56315" spans="1:1">
      <c r="A56315" s="56"/>
    </row>
    <row r="56316" spans="1:1">
      <c r="A56316" s="56"/>
    </row>
    <row r="56317" spans="1:1">
      <c r="A56317" s="56"/>
    </row>
    <row r="56318" spans="1:1">
      <c r="A56318" s="56"/>
    </row>
    <row r="56319" spans="1:1">
      <c r="A56319" s="56"/>
    </row>
    <row r="56320" spans="1:1">
      <c r="A56320" s="56"/>
    </row>
    <row r="56321" spans="1:1">
      <c r="A56321" s="56"/>
    </row>
    <row r="56322" spans="1:1">
      <c r="A56322" s="56"/>
    </row>
    <row r="56323" spans="1:1">
      <c r="A56323" s="56"/>
    </row>
    <row r="56324" spans="1:1">
      <c r="A56324" s="56"/>
    </row>
    <row r="56325" spans="1:1">
      <c r="A56325" s="56"/>
    </row>
    <row r="56326" spans="1:1">
      <c r="A56326" s="56"/>
    </row>
    <row r="56327" spans="1:1">
      <c r="A56327" s="56"/>
    </row>
    <row r="56328" spans="1:1">
      <c r="A56328" s="56"/>
    </row>
    <row r="56329" spans="1:1">
      <c r="A56329" s="56"/>
    </row>
    <row r="56330" spans="1:1">
      <c r="A56330" s="56"/>
    </row>
    <row r="56331" spans="1:1">
      <c r="A56331" s="56"/>
    </row>
    <row r="56332" spans="1:1">
      <c r="A56332" s="56"/>
    </row>
    <row r="56333" spans="1:1">
      <c r="A56333" s="56"/>
    </row>
    <row r="56334" spans="1:1">
      <c r="A56334" s="56"/>
    </row>
    <row r="56335" spans="1:1">
      <c r="A56335" s="56"/>
    </row>
    <row r="56336" spans="1:1">
      <c r="A56336" s="56"/>
    </row>
    <row r="56337" spans="1:1">
      <c r="A56337" s="56"/>
    </row>
    <row r="56338" spans="1:1">
      <c r="A56338" s="56"/>
    </row>
    <row r="56339" spans="1:1">
      <c r="A56339" s="56"/>
    </row>
    <row r="56340" spans="1:1">
      <c r="A56340" s="56"/>
    </row>
    <row r="56341" spans="1:1">
      <c r="A56341" s="56"/>
    </row>
    <row r="56342" spans="1:1">
      <c r="A56342" s="56"/>
    </row>
    <row r="56343" spans="1:1">
      <c r="A56343" s="56"/>
    </row>
    <row r="56344" spans="1:1">
      <c r="A56344" s="56"/>
    </row>
    <row r="56345" spans="1:1">
      <c r="A56345" s="56"/>
    </row>
    <row r="56346" spans="1:1">
      <c r="A56346" s="56"/>
    </row>
    <row r="56347" spans="1:1">
      <c r="A56347" s="56"/>
    </row>
    <row r="56348" spans="1:1">
      <c r="A56348" s="56"/>
    </row>
    <row r="56349" spans="1:1">
      <c r="A56349" s="56"/>
    </row>
    <row r="56350" spans="1:1">
      <c r="A56350" s="56"/>
    </row>
    <row r="56351" spans="1:1">
      <c r="A56351" s="56"/>
    </row>
    <row r="56352" spans="1:1">
      <c r="A56352" s="56"/>
    </row>
    <row r="56353" spans="1:1">
      <c r="A56353" s="56"/>
    </row>
    <row r="56354" spans="1:1">
      <c r="A56354" s="56"/>
    </row>
    <row r="56355" spans="1:1">
      <c r="A56355" s="56"/>
    </row>
    <row r="56356" spans="1:1">
      <c r="A56356" s="56"/>
    </row>
    <row r="56357" spans="1:1">
      <c r="A56357" s="56"/>
    </row>
    <row r="56358" spans="1:1">
      <c r="A56358" s="56"/>
    </row>
    <row r="56359" spans="1:1">
      <c r="A56359" s="56"/>
    </row>
    <row r="56360" spans="1:1">
      <c r="A56360" s="56"/>
    </row>
    <row r="56361" spans="1:1">
      <c r="A56361" s="56"/>
    </row>
    <row r="56362" spans="1:1">
      <c r="A56362" s="56"/>
    </row>
    <row r="56363" spans="1:1">
      <c r="A56363" s="56"/>
    </row>
    <row r="56364" spans="1:1">
      <c r="A56364" s="56"/>
    </row>
    <row r="56365" spans="1:1">
      <c r="A56365" s="56"/>
    </row>
    <row r="56366" spans="1:1">
      <c r="A56366" s="56"/>
    </row>
    <row r="56367" spans="1:1">
      <c r="A56367" s="56"/>
    </row>
    <row r="56368" spans="1:1">
      <c r="A56368" s="56"/>
    </row>
    <row r="56369" spans="1:1">
      <c r="A56369" s="56"/>
    </row>
    <row r="56370" spans="1:1">
      <c r="A56370" s="56"/>
    </row>
    <row r="56371" spans="1:1">
      <c r="A56371" s="56"/>
    </row>
    <row r="56372" spans="1:1">
      <c r="A56372" s="56"/>
    </row>
    <row r="56373" spans="1:1">
      <c r="A56373" s="56"/>
    </row>
    <row r="56374" spans="1:1">
      <c r="A56374" s="56"/>
    </row>
    <row r="56375" spans="1:1">
      <c r="A56375" s="56"/>
    </row>
    <row r="56376" spans="1:1">
      <c r="A56376" s="56"/>
    </row>
    <row r="56377" spans="1:1">
      <c r="A56377" s="56"/>
    </row>
    <row r="56378" spans="1:1">
      <c r="A56378" s="56"/>
    </row>
    <row r="56379" spans="1:1">
      <c r="A56379" s="56"/>
    </row>
    <row r="56380" spans="1:1">
      <c r="A56380" s="56"/>
    </row>
    <row r="56381" spans="1:1">
      <c r="A56381" s="56"/>
    </row>
    <row r="56382" spans="1:1">
      <c r="A56382" s="56"/>
    </row>
    <row r="56383" spans="1:1">
      <c r="A56383" s="56"/>
    </row>
    <row r="56384" spans="1:1">
      <c r="A56384" s="56"/>
    </row>
    <row r="56385" spans="1:1">
      <c r="A56385" s="56"/>
    </row>
    <row r="56386" spans="1:1">
      <c r="A56386" s="56"/>
    </row>
    <row r="56387" spans="1:1">
      <c r="A56387" s="56"/>
    </row>
    <row r="56388" spans="1:1">
      <c r="A56388" s="56"/>
    </row>
    <row r="56389" spans="1:1">
      <c r="A56389" s="56"/>
    </row>
    <row r="56390" spans="1:1">
      <c r="A56390" s="56"/>
    </row>
    <row r="56391" spans="1:1">
      <c r="A56391" s="56"/>
    </row>
    <row r="56392" spans="1:1">
      <c r="A56392" s="56"/>
    </row>
    <row r="56393" spans="1:1">
      <c r="A56393" s="56"/>
    </row>
    <row r="56394" spans="1:1">
      <c r="A56394" s="56"/>
    </row>
    <row r="56395" spans="1:1">
      <c r="A56395" s="56"/>
    </row>
    <row r="56396" spans="1:1">
      <c r="A56396" s="56"/>
    </row>
    <row r="56397" spans="1:1">
      <c r="A56397" s="56"/>
    </row>
    <row r="56398" spans="1:1">
      <c r="A56398" s="56"/>
    </row>
    <row r="56399" spans="1:1">
      <c r="A56399" s="56"/>
    </row>
    <row r="56400" spans="1:1">
      <c r="A56400" s="56"/>
    </row>
    <row r="56401" spans="1:1">
      <c r="A56401" s="56"/>
    </row>
    <row r="56402" spans="1:1">
      <c r="A56402" s="56"/>
    </row>
    <row r="56403" spans="1:1">
      <c r="A56403" s="56"/>
    </row>
    <row r="56404" spans="1:1">
      <c r="A56404" s="56"/>
    </row>
    <row r="56405" spans="1:1">
      <c r="A56405" s="56"/>
    </row>
    <row r="56406" spans="1:1">
      <c r="A56406" s="56"/>
    </row>
    <row r="56407" spans="1:1">
      <c r="A56407" s="56"/>
    </row>
    <row r="56408" spans="1:1">
      <c r="A56408" s="56"/>
    </row>
    <row r="56409" spans="1:1">
      <c r="A56409" s="56"/>
    </row>
    <row r="56410" spans="1:1">
      <c r="A56410" s="56"/>
    </row>
    <row r="56411" spans="1:1">
      <c r="A56411" s="56"/>
    </row>
    <row r="56412" spans="1:1">
      <c r="A56412" s="56"/>
    </row>
    <row r="56413" spans="1:1">
      <c r="A56413" s="56"/>
    </row>
    <row r="56414" spans="1:1">
      <c r="A56414" s="56"/>
    </row>
    <row r="56415" spans="1:1">
      <c r="A56415" s="56"/>
    </row>
    <row r="56416" spans="1:1">
      <c r="A56416" s="56"/>
    </row>
    <row r="56417" spans="1:1">
      <c r="A56417" s="56"/>
    </row>
    <row r="56418" spans="1:1">
      <c r="A56418" s="56"/>
    </row>
    <row r="56419" spans="1:1">
      <c r="A56419" s="56"/>
    </row>
    <row r="56420" spans="1:1">
      <c r="A56420" s="56"/>
    </row>
    <row r="56421" spans="1:1">
      <c r="A56421" s="56"/>
    </row>
    <row r="56422" spans="1:1">
      <c r="A56422" s="56"/>
    </row>
    <row r="56423" spans="1:1">
      <c r="A56423" s="56"/>
    </row>
    <row r="56424" spans="1:1">
      <c r="A56424" s="56"/>
    </row>
    <row r="56425" spans="1:1">
      <c r="A56425" s="56"/>
    </row>
    <row r="56426" spans="1:1">
      <c r="A56426" s="56"/>
    </row>
    <row r="56427" spans="1:1">
      <c r="A56427" s="56"/>
    </row>
    <row r="56428" spans="1:1">
      <c r="A56428" s="56"/>
    </row>
    <row r="56429" spans="1:1">
      <c r="A56429" s="56"/>
    </row>
    <row r="56430" spans="1:1">
      <c r="A56430" s="56"/>
    </row>
    <row r="56431" spans="1:1">
      <c r="A56431" s="56"/>
    </row>
    <row r="56432" spans="1:1">
      <c r="A56432" s="56"/>
    </row>
    <row r="56433" spans="1:1">
      <c r="A56433" s="56"/>
    </row>
    <row r="56434" spans="1:1">
      <c r="A56434" s="56"/>
    </row>
    <row r="56435" spans="1:1">
      <c r="A56435" s="56"/>
    </row>
    <row r="56436" spans="1:1">
      <c r="A56436" s="56"/>
    </row>
    <row r="56437" spans="1:1">
      <c r="A56437" s="56"/>
    </row>
    <row r="56438" spans="1:1">
      <c r="A56438" s="56"/>
    </row>
    <row r="56439" spans="1:1">
      <c r="A56439" s="56"/>
    </row>
    <row r="56440" spans="1:1">
      <c r="A56440" s="56"/>
    </row>
    <row r="56441" spans="1:1">
      <c r="A56441" s="56"/>
    </row>
    <row r="56442" spans="1:1">
      <c r="A56442" s="56"/>
    </row>
    <row r="56443" spans="1:1">
      <c r="A56443" s="56"/>
    </row>
    <row r="56444" spans="1:1">
      <c r="A56444" s="56"/>
    </row>
    <row r="56445" spans="1:1">
      <c r="A56445" s="56"/>
    </row>
    <row r="56446" spans="1:1">
      <c r="A56446" s="56"/>
    </row>
    <row r="56447" spans="1:1">
      <c r="A56447" s="56"/>
    </row>
    <row r="56448" spans="1:1">
      <c r="A56448" s="56"/>
    </row>
    <row r="56449" spans="1:1">
      <c r="A56449" s="56"/>
    </row>
    <row r="56450" spans="1:1">
      <c r="A56450" s="56"/>
    </row>
    <row r="56451" spans="1:1">
      <c r="A56451" s="56"/>
    </row>
    <row r="56452" spans="1:1">
      <c r="A56452" s="56"/>
    </row>
    <row r="56453" spans="1:1">
      <c r="A56453" s="56"/>
    </row>
    <row r="56454" spans="1:1">
      <c r="A56454" s="56"/>
    </row>
    <row r="56455" spans="1:1">
      <c r="A56455" s="56"/>
    </row>
    <row r="56456" spans="1:1">
      <c r="A56456" s="56"/>
    </row>
    <row r="56457" spans="1:1">
      <c r="A56457" s="56"/>
    </row>
    <row r="56458" spans="1:1">
      <c r="A56458" s="56"/>
    </row>
    <row r="56459" spans="1:1">
      <c r="A56459" s="56"/>
    </row>
    <row r="56460" spans="1:1">
      <c r="A56460" s="56"/>
    </row>
    <row r="56461" spans="1:1">
      <c r="A56461" s="56"/>
    </row>
    <row r="56462" spans="1:1">
      <c r="A56462" s="56"/>
    </row>
    <row r="56463" spans="1:1">
      <c r="A56463" s="56"/>
    </row>
    <row r="56464" spans="1:1">
      <c r="A56464" s="56"/>
    </row>
    <row r="56465" spans="1:1">
      <c r="A56465" s="56"/>
    </row>
    <row r="56466" spans="1:1">
      <c r="A56466" s="56"/>
    </row>
    <row r="56467" spans="1:1">
      <c r="A56467" s="56"/>
    </row>
    <row r="56468" spans="1:1">
      <c r="A56468" s="56"/>
    </row>
    <row r="56469" spans="1:1">
      <c r="A56469" s="56"/>
    </row>
    <row r="56470" spans="1:1">
      <c r="A56470" s="56"/>
    </row>
    <row r="56471" spans="1:1">
      <c r="A56471" s="56"/>
    </row>
    <row r="56472" spans="1:1">
      <c r="A56472" s="56"/>
    </row>
    <row r="56473" spans="1:1">
      <c r="A56473" s="56"/>
    </row>
    <row r="56474" spans="1:1">
      <c r="A56474" s="56"/>
    </row>
    <row r="56475" spans="1:1">
      <c r="A56475" s="56"/>
    </row>
    <row r="56476" spans="1:1">
      <c r="A56476" s="56"/>
    </row>
    <row r="56477" spans="1:1">
      <c r="A56477" s="56"/>
    </row>
    <row r="56478" spans="1:1">
      <c r="A56478" s="56"/>
    </row>
    <row r="56479" spans="1:1">
      <c r="A56479" s="56"/>
    </row>
    <row r="56480" spans="1:1">
      <c r="A56480" s="56"/>
    </row>
    <row r="56481" spans="1:1">
      <c r="A56481" s="56"/>
    </row>
    <row r="56482" spans="1:1">
      <c r="A56482" s="56"/>
    </row>
    <row r="56483" spans="1:1">
      <c r="A56483" s="56"/>
    </row>
    <row r="56484" spans="1:1">
      <c r="A56484" s="56"/>
    </row>
    <row r="56485" spans="1:1">
      <c r="A56485" s="56"/>
    </row>
    <row r="56486" spans="1:1">
      <c r="A56486" s="56"/>
    </row>
    <row r="56487" spans="1:1">
      <c r="A56487" s="56"/>
    </row>
    <row r="56488" spans="1:1">
      <c r="A56488" s="56"/>
    </row>
    <row r="56489" spans="1:1">
      <c r="A56489" s="56"/>
    </row>
    <row r="56490" spans="1:1">
      <c r="A56490" s="56"/>
    </row>
    <row r="56491" spans="1:1">
      <c r="A56491" s="56"/>
    </row>
    <row r="56492" spans="1:1">
      <c r="A56492" s="56"/>
    </row>
    <row r="56493" spans="1:1">
      <c r="A56493" s="56"/>
    </row>
    <row r="56494" spans="1:1">
      <c r="A56494" s="56"/>
    </row>
    <row r="56495" spans="1:1">
      <c r="A56495" s="56"/>
    </row>
    <row r="56496" spans="1:1">
      <c r="A56496" s="56"/>
    </row>
    <row r="56497" spans="1:1">
      <c r="A56497" s="56"/>
    </row>
    <row r="56498" spans="1:1">
      <c r="A56498" s="56"/>
    </row>
    <row r="56499" spans="1:1">
      <c r="A56499" s="56"/>
    </row>
    <row r="56500" spans="1:1">
      <c r="A56500" s="56"/>
    </row>
    <row r="56501" spans="1:1">
      <c r="A56501" s="56"/>
    </row>
    <row r="56502" spans="1:1">
      <c r="A56502" s="56"/>
    </row>
    <row r="56503" spans="1:1">
      <c r="A56503" s="56"/>
    </row>
    <row r="56504" spans="1:1">
      <c r="A56504" s="56"/>
    </row>
    <row r="56505" spans="1:1">
      <c r="A56505" s="56"/>
    </row>
    <row r="56506" spans="1:1">
      <c r="A56506" s="56"/>
    </row>
    <row r="56507" spans="1:1">
      <c r="A56507" s="56"/>
    </row>
    <row r="56508" spans="1:1">
      <c r="A56508" s="56"/>
    </row>
    <row r="56509" spans="1:1">
      <c r="A56509" s="56"/>
    </row>
    <row r="56510" spans="1:1">
      <c r="A56510" s="56"/>
    </row>
    <row r="56511" spans="1:1">
      <c r="A56511" s="56"/>
    </row>
    <row r="56512" spans="1:1">
      <c r="A56512" s="56"/>
    </row>
    <row r="56513" spans="1:1">
      <c r="A56513" s="56"/>
    </row>
    <row r="56514" spans="1:1">
      <c r="A56514" s="56"/>
    </row>
    <row r="56515" spans="1:1">
      <c r="A56515" s="56"/>
    </row>
    <row r="56516" spans="1:1">
      <c r="A56516" s="56"/>
    </row>
    <row r="56517" spans="1:1">
      <c r="A56517" s="56"/>
    </row>
    <row r="56518" spans="1:1">
      <c r="A56518" s="56"/>
    </row>
    <row r="56519" spans="1:1">
      <c r="A56519" s="56"/>
    </row>
    <row r="56520" spans="1:1">
      <c r="A56520" s="56"/>
    </row>
    <row r="56521" spans="1:1">
      <c r="A56521" s="56"/>
    </row>
    <row r="56522" spans="1:1">
      <c r="A56522" s="56"/>
    </row>
    <row r="56523" spans="1:1">
      <c r="A56523" s="56"/>
    </row>
    <row r="56524" spans="1:1">
      <c r="A56524" s="56"/>
    </row>
    <row r="56525" spans="1:1">
      <c r="A56525" s="56"/>
    </row>
    <row r="56526" spans="1:1">
      <c r="A56526" s="56"/>
    </row>
    <row r="56527" spans="1:1">
      <c r="A56527" s="56"/>
    </row>
    <row r="56528" spans="1:1">
      <c r="A56528" s="56"/>
    </row>
    <row r="56529" spans="1:1">
      <c r="A56529" s="56"/>
    </row>
    <row r="56530" spans="1:1">
      <c r="A56530" s="56"/>
    </row>
    <row r="56531" spans="1:1">
      <c r="A56531" s="56"/>
    </row>
    <row r="56532" spans="1:1">
      <c r="A56532" s="56"/>
    </row>
    <row r="56533" spans="1:1">
      <c r="A56533" s="56"/>
    </row>
    <row r="56534" spans="1:1">
      <c r="A56534" s="56"/>
    </row>
    <row r="56535" spans="1:1">
      <c r="A56535" s="56"/>
    </row>
    <row r="56536" spans="1:1">
      <c r="A56536" s="56"/>
    </row>
    <row r="56537" spans="1:1">
      <c r="A56537" s="56"/>
    </row>
    <row r="56538" spans="1:1">
      <c r="A56538" s="56"/>
    </row>
    <row r="56539" spans="1:1">
      <c r="A56539" s="56"/>
    </row>
    <row r="56540" spans="1:1">
      <c r="A56540" s="56"/>
    </row>
    <row r="56541" spans="1:1">
      <c r="A56541" s="56"/>
    </row>
    <row r="56542" spans="1:1">
      <c r="A56542" s="56"/>
    </row>
    <row r="56543" spans="1:1">
      <c r="A56543" s="56"/>
    </row>
    <row r="56544" spans="1:1">
      <c r="A56544" s="56"/>
    </row>
    <row r="56545" spans="1:1">
      <c r="A56545" s="56"/>
    </row>
    <row r="56546" spans="1:1">
      <c r="A56546" s="56"/>
    </row>
    <row r="56547" spans="1:1">
      <c r="A56547" s="56"/>
    </row>
    <row r="56548" spans="1:1">
      <c r="A56548" s="56"/>
    </row>
    <row r="56549" spans="1:1">
      <c r="A56549" s="56"/>
    </row>
    <row r="56550" spans="1:1">
      <c r="A56550" s="56"/>
    </row>
    <row r="56551" spans="1:1">
      <c r="A56551" s="56"/>
    </row>
    <row r="56552" spans="1:1">
      <c r="A56552" s="56"/>
    </row>
    <row r="56553" spans="1:1">
      <c r="A56553" s="56"/>
    </row>
    <row r="56554" spans="1:1">
      <c r="A56554" s="56"/>
    </row>
    <row r="56555" spans="1:1">
      <c r="A56555" s="56"/>
    </row>
    <row r="56556" spans="1:1">
      <c r="A56556" s="56"/>
    </row>
    <row r="56557" spans="1:1">
      <c r="A56557" s="56"/>
    </row>
    <row r="56558" spans="1:1">
      <c r="A56558" s="56"/>
    </row>
    <row r="56559" spans="1:1">
      <c r="A56559" s="56"/>
    </row>
    <row r="56560" spans="1:1">
      <c r="A56560" s="56"/>
    </row>
    <row r="56561" spans="1:1">
      <c r="A56561" s="56"/>
    </row>
    <row r="56562" spans="1:1">
      <c r="A56562" s="56"/>
    </row>
    <row r="56563" spans="1:1">
      <c r="A56563" s="56"/>
    </row>
    <row r="56564" spans="1:1">
      <c r="A56564" s="56"/>
    </row>
    <row r="56565" spans="1:1">
      <c r="A56565" s="56"/>
    </row>
    <row r="56566" spans="1:1">
      <c r="A56566" s="56"/>
    </row>
    <row r="56567" spans="1:1">
      <c r="A56567" s="56"/>
    </row>
    <row r="56568" spans="1:1">
      <c r="A56568" s="56"/>
    </row>
    <row r="56569" spans="1:1">
      <c r="A56569" s="56"/>
    </row>
    <row r="56570" spans="1:1">
      <c r="A56570" s="56"/>
    </row>
    <row r="56571" spans="1:1">
      <c r="A56571" s="56"/>
    </row>
    <row r="56572" spans="1:1">
      <c r="A56572" s="56"/>
    </row>
    <row r="56573" spans="1:1">
      <c r="A56573" s="56"/>
    </row>
    <row r="56574" spans="1:1">
      <c r="A56574" s="56"/>
    </row>
    <row r="56575" spans="1:1">
      <c r="A56575" s="56"/>
    </row>
    <row r="56576" spans="1:1">
      <c r="A56576" s="56"/>
    </row>
    <row r="56577" spans="1:1">
      <c r="A56577" s="56"/>
    </row>
    <row r="56578" spans="1:1">
      <c r="A56578" s="56"/>
    </row>
    <row r="56579" spans="1:1">
      <c r="A56579" s="56"/>
    </row>
    <row r="56580" spans="1:1">
      <c r="A56580" s="56"/>
    </row>
    <row r="56581" spans="1:1">
      <c r="A56581" s="56"/>
    </row>
    <row r="56582" spans="1:1">
      <c r="A56582" s="56"/>
    </row>
    <row r="56583" spans="1:1">
      <c r="A56583" s="56"/>
    </row>
    <row r="56584" spans="1:1">
      <c r="A56584" s="56"/>
    </row>
    <row r="56585" spans="1:1">
      <c r="A56585" s="56"/>
    </row>
    <row r="56586" spans="1:1">
      <c r="A56586" s="56"/>
    </row>
    <row r="56587" spans="1:1">
      <c r="A56587" s="56"/>
    </row>
    <row r="56588" spans="1:1">
      <c r="A56588" s="56"/>
    </row>
    <row r="56589" spans="1:1">
      <c r="A56589" s="56"/>
    </row>
    <row r="56590" spans="1:1">
      <c r="A56590" s="56"/>
    </row>
    <row r="56591" spans="1:1">
      <c r="A56591" s="56"/>
    </row>
    <row r="56592" spans="1:1">
      <c r="A56592" s="56"/>
    </row>
    <row r="56593" spans="1:1">
      <c r="A56593" s="56"/>
    </row>
    <row r="56594" spans="1:1">
      <c r="A56594" s="56"/>
    </row>
    <row r="56595" spans="1:1">
      <c r="A56595" s="56"/>
    </row>
    <row r="56596" spans="1:1">
      <c r="A56596" s="56"/>
    </row>
    <row r="56597" spans="1:1">
      <c r="A56597" s="56"/>
    </row>
    <row r="56598" spans="1:1">
      <c r="A56598" s="56"/>
    </row>
    <row r="56599" spans="1:1">
      <c r="A56599" s="56"/>
    </row>
    <row r="56600" spans="1:1">
      <c r="A56600" s="56"/>
    </row>
    <row r="56601" spans="1:1">
      <c r="A56601" s="56"/>
    </row>
    <row r="56602" spans="1:1">
      <c r="A56602" s="56"/>
    </row>
    <row r="56603" spans="1:1">
      <c r="A56603" s="56"/>
    </row>
    <row r="56604" spans="1:1">
      <c r="A56604" s="56"/>
    </row>
    <row r="56605" spans="1:1">
      <c r="A56605" s="56"/>
    </row>
    <row r="56606" spans="1:1">
      <c r="A56606" s="56"/>
    </row>
    <row r="56607" spans="1:1">
      <c r="A56607" s="56"/>
    </row>
    <row r="56608" spans="1:1">
      <c r="A56608" s="56"/>
    </row>
    <row r="56609" spans="1:1">
      <c r="A56609" s="56"/>
    </row>
    <row r="56610" spans="1:1">
      <c r="A56610" s="56"/>
    </row>
    <row r="56611" spans="1:1">
      <c r="A56611" s="56"/>
    </row>
    <row r="56612" spans="1:1">
      <c r="A56612" s="56"/>
    </row>
    <row r="56613" spans="1:1">
      <c r="A56613" s="56"/>
    </row>
    <row r="56614" spans="1:1">
      <c r="A56614" s="56"/>
    </row>
    <row r="56615" spans="1:1">
      <c r="A56615" s="56"/>
    </row>
    <row r="56616" spans="1:1">
      <c r="A56616" s="56"/>
    </row>
    <row r="56617" spans="1:1">
      <c r="A56617" s="56"/>
    </row>
    <row r="56618" spans="1:1">
      <c r="A56618" s="56"/>
    </row>
    <row r="56619" spans="1:1">
      <c r="A56619" s="56"/>
    </row>
    <row r="56620" spans="1:1">
      <c r="A56620" s="56"/>
    </row>
    <row r="56621" spans="1:1">
      <c r="A56621" s="56"/>
    </row>
    <row r="56622" spans="1:1">
      <c r="A56622" s="56"/>
    </row>
    <row r="56623" spans="1:1">
      <c r="A56623" s="56"/>
    </row>
    <row r="56624" spans="1:1">
      <c r="A56624" s="56"/>
    </row>
    <row r="56625" spans="1:1">
      <c r="A56625" s="56"/>
    </row>
    <row r="56626" spans="1:1">
      <c r="A56626" s="56"/>
    </row>
    <row r="56627" spans="1:1">
      <c r="A56627" s="56"/>
    </row>
    <row r="56628" spans="1:1">
      <c r="A56628" s="56"/>
    </row>
    <row r="56629" spans="1:1">
      <c r="A56629" s="56"/>
    </row>
    <row r="56630" spans="1:1">
      <c r="A56630" s="56"/>
    </row>
    <row r="56631" spans="1:1">
      <c r="A56631" s="56"/>
    </row>
    <row r="56632" spans="1:1">
      <c r="A56632" s="56"/>
    </row>
    <row r="56633" spans="1:1">
      <c r="A56633" s="56"/>
    </row>
    <row r="56634" spans="1:1">
      <c r="A56634" s="56"/>
    </row>
    <row r="56635" spans="1:1">
      <c r="A56635" s="56"/>
    </row>
    <row r="56636" spans="1:1">
      <c r="A56636" s="56"/>
    </row>
    <row r="56637" spans="1:1">
      <c r="A56637" s="56"/>
    </row>
    <row r="56638" spans="1:1">
      <c r="A56638" s="56"/>
    </row>
    <row r="56639" spans="1:1">
      <c r="A56639" s="56"/>
    </row>
    <row r="56640" spans="1:1">
      <c r="A56640" s="56"/>
    </row>
    <row r="56641" spans="1:1">
      <c r="A56641" s="56"/>
    </row>
    <row r="56642" spans="1:1">
      <c r="A56642" s="56"/>
    </row>
    <row r="56643" spans="1:1">
      <c r="A56643" s="56"/>
    </row>
    <row r="56644" spans="1:1">
      <c r="A56644" s="56"/>
    </row>
    <row r="56645" spans="1:1">
      <c r="A56645" s="56"/>
    </row>
    <row r="56646" spans="1:1">
      <c r="A56646" s="56"/>
    </row>
    <row r="56647" spans="1:1">
      <c r="A56647" s="56"/>
    </row>
    <row r="56648" spans="1:1">
      <c r="A56648" s="56"/>
    </row>
    <row r="56649" spans="1:1">
      <c r="A56649" s="56"/>
    </row>
    <row r="56650" spans="1:1">
      <c r="A56650" s="56"/>
    </row>
    <row r="56651" spans="1:1">
      <c r="A56651" s="56"/>
    </row>
    <row r="56652" spans="1:1">
      <c r="A56652" s="56"/>
    </row>
    <row r="56653" spans="1:1">
      <c r="A56653" s="56"/>
    </row>
    <row r="56654" spans="1:1">
      <c r="A56654" s="56"/>
    </row>
    <row r="56655" spans="1:1">
      <c r="A56655" s="56"/>
    </row>
    <row r="56656" spans="1:1">
      <c r="A56656" s="56"/>
    </row>
    <row r="56657" spans="1:1">
      <c r="A56657" s="56"/>
    </row>
    <row r="56658" spans="1:1">
      <c r="A56658" s="56"/>
    </row>
    <row r="56659" spans="1:1">
      <c r="A56659" s="56"/>
    </row>
    <row r="56660" spans="1:1">
      <c r="A56660" s="56"/>
    </row>
    <row r="56661" spans="1:1">
      <c r="A56661" s="56"/>
    </row>
    <row r="56662" spans="1:1">
      <c r="A56662" s="56"/>
    </row>
    <row r="56663" spans="1:1">
      <c r="A56663" s="56"/>
    </row>
    <row r="56664" spans="1:1">
      <c r="A56664" s="56"/>
    </row>
    <row r="56665" spans="1:1">
      <c r="A56665" s="56"/>
    </row>
    <row r="56666" spans="1:1">
      <c r="A56666" s="56"/>
    </row>
    <row r="56667" spans="1:1">
      <c r="A56667" s="56"/>
    </row>
    <row r="56668" spans="1:1">
      <c r="A56668" s="56"/>
    </row>
    <row r="56669" spans="1:1">
      <c r="A56669" s="56"/>
    </row>
    <row r="56670" spans="1:1">
      <c r="A56670" s="56"/>
    </row>
    <row r="56671" spans="1:1">
      <c r="A56671" s="56"/>
    </row>
    <row r="56672" spans="1:1">
      <c r="A56672" s="56"/>
    </row>
    <row r="56673" spans="1:1">
      <c r="A56673" s="56"/>
    </row>
    <row r="56674" spans="1:1">
      <c r="A56674" s="56"/>
    </row>
    <row r="56675" spans="1:1">
      <c r="A56675" s="56"/>
    </row>
    <row r="56676" spans="1:1">
      <c r="A56676" s="56"/>
    </row>
    <row r="56677" spans="1:1">
      <c r="A56677" s="56"/>
    </row>
    <row r="56678" spans="1:1">
      <c r="A56678" s="56"/>
    </row>
    <row r="56679" spans="1:1">
      <c r="A56679" s="56"/>
    </row>
    <row r="56680" spans="1:1">
      <c r="A56680" s="56"/>
    </row>
    <row r="56681" spans="1:1">
      <c r="A56681" s="56"/>
    </row>
    <row r="56682" spans="1:1">
      <c r="A56682" s="56"/>
    </row>
    <row r="56683" spans="1:1">
      <c r="A56683" s="56"/>
    </row>
    <row r="56684" spans="1:1">
      <c r="A56684" s="56"/>
    </row>
    <row r="56685" spans="1:1">
      <c r="A56685" s="56"/>
    </row>
    <row r="56686" spans="1:1">
      <c r="A56686" s="56"/>
    </row>
    <row r="56687" spans="1:1">
      <c r="A56687" s="56"/>
    </row>
    <row r="56688" spans="1:1">
      <c r="A56688" s="56"/>
    </row>
    <row r="56689" spans="1:1">
      <c r="A56689" s="56"/>
    </row>
    <row r="56690" spans="1:1">
      <c r="A56690" s="56"/>
    </row>
    <row r="56691" spans="1:1">
      <c r="A56691" s="56"/>
    </row>
    <row r="56692" spans="1:1">
      <c r="A56692" s="56"/>
    </row>
    <row r="56693" spans="1:1">
      <c r="A56693" s="56"/>
    </row>
    <row r="56694" spans="1:1">
      <c r="A56694" s="56"/>
    </row>
    <row r="56695" spans="1:1">
      <c r="A56695" s="56"/>
    </row>
    <row r="56696" spans="1:1">
      <c r="A56696" s="56"/>
    </row>
    <row r="56697" spans="1:1">
      <c r="A56697" s="56"/>
    </row>
    <row r="56698" spans="1:1">
      <c r="A56698" s="56"/>
    </row>
    <row r="56699" spans="1:1">
      <c r="A56699" s="56"/>
    </row>
    <row r="56700" spans="1:1">
      <c r="A56700" s="56"/>
    </row>
    <row r="56701" spans="1:1">
      <c r="A56701" s="56"/>
    </row>
    <row r="56702" spans="1:1">
      <c r="A56702" s="56"/>
    </row>
    <row r="56703" spans="1:1">
      <c r="A56703" s="56"/>
    </row>
    <row r="56704" spans="1:1">
      <c r="A56704" s="56"/>
    </row>
    <row r="56705" spans="1:1">
      <c r="A56705" s="56"/>
    </row>
    <row r="56706" spans="1:1">
      <c r="A56706" s="56"/>
    </row>
    <row r="56707" spans="1:1">
      <c r="A56707" s="56"/>
    </row>
    <row r="56708" spans="1:1">
      <c r="A56708" s="56"/>
    </row>
    <row r="56709" spans="1:1">
      <c r="A56709" s="56"/>
    </row>
    <row r="56710" spans="1:1">
      <c r="A56710" s="56"/>
    </row>
    <row r="56711" spans="1:1">
      <c r="A56711" s="56"/>
    </row>
    <row r="56712" spans="1:1">
      <c r="A56712" s="56"/>
    </row>
    <row r="56713" spans="1:1">
      <c r="A56713" s="56"/>
    </row>
    <row r="56714" spans="1:1">
      <c r="A56714" s="56"/>
    </row>
    <row r="56715" spans="1:1">
      <c r="A56715" s="56"/>
    </row>
    <row r="56716" spans="1:1">
      <c r="A56716" s="56"/>
    </row>
    <row r="56717" spans="1:1">
      <c r="A56717" s="56"/>
    </row>
    <row r="56718" spans="1:1">
      <c r="A56718" s="56"/>
    </row>
    <row r="56719" spans="1:1">
      <c r="A56719" s="56"/>
    </row>
    <row r="56720" spans="1:1">
      <c r="A56720" s="56"/>
    </row>
    <row r="56721" spans="1:1">
      <c r="A56721" s="56"/>
    </row>
    <row r="56722" spans="1:1">
      <c r="A56722" s="56"/>
    </row>
    <row r="56723" spans="1:1">
      <c r="A56723" s="56"/>
    </row>
    <row r="56724" spans="1:1">
      <c r="A56724" s="56"/>
    </row>
    <row r="56725" spans="1:1">
      <c r="A56725" s="56"/>
    </row>
    <row r="56726" spans="1:1">
      <c r="A56726" s="56"/>
    </row>
    <row r="56727" spans="1:1">
      <c r="A56727" s="56"/>
    </row>
    <row r="56728" spans="1:1">
      <c r="A56728" s="56"/>
    </row>
    <row r="56729" spans="1:1">
      <c r="A56729" s="56"/>
    </row>
    <row r="56730" spans="1:1">
      <c r="A56730" s="56"/>
    </row>
    <row r="56731" spans="1:1">
      <c r="A56731" s="56"/>
    </row>
    <row r="56732" spans="1:1">
      <c r="A56732" s="56"/>
    </row>
    <row r="56733" spans="1:1">
      <c r="A56733" s="56"/>
    </row>
    <row r="56734" spans="1:1">
      <c r="A56734" s="56"/>
    </row>
    <row r="56735" spans="1:1">
      <c r="A56735" s="56"/>
    </row>
    <row r="56736" spans="1:1">
      <c r="A56736" s="56"/>
    </row>
    <row r="56737" spans="1:1">
      <c r="A56737" s="56"/>
    </row>
    <row r="56738" spans="1:1">
      <c r="A56738" s="56"/>
    </row>
    <row r="56739" spans="1:1">
      <c r="A56739" s="56"/>
    </row>
    <row r="56740" spans="1:1">
      <c r="A56740" s="56"/>
    </row>
    <row r="56741" spans="1:1">
      <c r="A56741" s="56"/>
    </row>
    <row r="56742" spans="1:1">
      <c r="A56742" s="56"/>
    </row>
    <row r="56743" spans="1:1">
      <c r="A56743" s="56"/>
    </row>
    <row r="56744" spans="1:1">
      <c r="A56744" s="56"/>
    </row>
    <row r="56745" spans="1:1">
      <c r="A56745" s="56"/>
    </row>
    <row r="56746" spans="1:1">
      <c r="A56746" s="56"/>
    </row>
    <row r="56747" spans="1:1">
      <c r="A56747" s="56"/>
    </row>
    <row r="56748" spans="1:1">
      <c r="A56748" s="56"/>
    </row>
    <row r="56749" spans="1:1">
      <c r="A56749" s="56"/>
    </row>
    <row r="56750" spans="1:1">
      <c r="A56750" s="56"/>
    </row>
    <row r="56751" spans="1:1">
      <c r="A56751" s="56"/>
    </row>
    <row r="56752" spans="1:1">
      <c r="A56752" s="56"/>
    </row>
    <row r="56753" spans="1:1">
      <c r="A56753" s="56"/>
    </row>
    <row r="56754" spans="1:1">
      <c r="A56754" s="56"/>
    </row>
    <row r="56755" spans="1:1">
      <c r="A56755" s="56"/>
    </row>
    <row r="56756" spans="1:1">
      <c r="A56756" s="56"/>
    </row>
    <row r="56757" spans="1:1">
      <c r="A56757" s="56"/>
    </row>
    <row r="56758" spans="1:1">
      <c r="A56758" s="56"/>
    </row>
    <row r="56759" spans="1:1">
      <c r="A56759" s="56"/>
    </row>
    <row r="56760" spans="1:1">
      <c r="A56760" s="56"/>
    </row>
    <row r="56761" spans="1:1">
      <c r="A56761" s="56"/>
    </row>
    <row r="56762" spans="1:1">
      <c r="A56762" s="56"/>
    </row>
    <row r="56763" spans="1:1">
      <c r="A56763" s="56"/>
    </row>
    <row r="56764" spans="1:1">
      <c r="A56764" s="56"/>
    </row>
    <row r="56765" spans="1:1">
      <c r="A56765" s="56"/>
    </row>
    <row r="56766" spans="1:1">
      <c r="A56766" s="56"/>
    </row>
    <row r="56767" spans="1:1">
      <c r="A56767" s="56"/>
    </row>
    <row r="56768" spans="1:1">
      <c r="A56768" s="56"/>
    </row>
    <row r="56769" spans="1:1">
      <c r="A56769" s="56"/>
    </row>
    <row r="56770" spans="1:1">
      <c r="A56770" s="56"/>
    </row>
    <row r="56771" spans="1:1">
      <c r="A56771" s="56"/>
    </row>
    <row r="56772" spans="1:1">
      <c r="A56772" s="56"/>
    </row>
    <row r="56773" spans="1:1">
      <c r="A56773" s="56"/>
    </row>
    <row r="56774" spans="1:1">
      <c r="A56774" s="56"/>
    </row>
    <row r="56775" spans="1:1">
      <c r="A56775" s="56"/>
    </row>
    <row r="56776" spans="1:1">
      <c r="A56776" s="56"/>
    </row>
    <row r="56777" spans="1:1">
      <c r="A56777" s="56"/>
    </row>
    <row r="56778" spans="1:1">
      <c r="A56778" s="56"/>
    </row>
    <row r="56779" spans="1:1">
      <c r="A56779" s="56"/>
    </row>
    <row r="56780" spans="1:1">
      <c r="A56780" s="56"/>
    </row>
    <row r="56781" spans="1:1">
      <c r="A56781" s="56"/>
    </row>
    <row r="56782" spans="1:1">
      <c r="A56782" s="56"/>
    </row>
    <row r="56783" spans="1:1">
      <c r="A56783" s="56"/>
    </row>
    <row r="56784" spans="1:1">
      <c r="A56784" s="56"/>
    </row>
    <row r="56785" spans="1:1">
      <c r="A56785" s="56"/>
    </row>
    <row r="56786" spans="1:1">
      <c r="A56786" s="56"/>
    </row>
    <row r="56787" spans="1:1">
      <c r="A56787" s="56"/>
    </row>
    <row r="56788" spans="1:1">
      <c r="A56788" s="56"/>
    </row>
    <row r="56789" spans="1:1">
      <c r="A56789" s="56"/>
    </row>
    <row r="56790" spans="1:1">
      <c r="A56790" s="56"/>
    </row>
    <row r="56791" spans="1:1">
      <c r="A56791" s="56"/>
    </row>
    <row r="56792" spans="1:1">
      <c r="A56792" s="56"/>
    </row>
    <row r="56793" spans="1:1">
      <c r="A56793" s="56"/>
    </row>
    <row r="56794" spans="1:1">
      <c r="A56794" s="56"/>
    </row>
    <row r="56795" spans="1:1">
      <c r="A56795" s="56"/>
    </row>
    <row r="56796" spans="1:1">
      <c r="A56796" s="56"/>
    </row>
    <row r="56797" spans="1:1">
      <c r="A56797" s="56"/>
    </row>
    <row r="56798" spans="1:1">
      <c r="A56798" s="56"/>
    </row>
    <row r="56799" spans="1:1">
      <c r="A56799" s="56"/>
    </row>
    <row r="56800" spans="1:1">
      <c r="A56800" s="56"/>
    </row>
    <row r="56801" spans="1:1">
      <c r="A56801" s="56"/>
    </row>
    <row r="56802" spans="1:1">
      <c r="A56802" s="56"/>
    </row>
    <row r="56803" spans="1:1">
      <c r="A56803" s="56"/>
    </row>
    <row r="56804" spans="1:1">
      <c r="A56804" s="56"/>
    </row>
    <row r="56805" spans="1:1">
      <c r="A56805" s="56"/>
    </row>
    <row r="56806" spans="1:1">
      <c r="A56806" s="56"/>
    </row>
    <row r="56807" spans="1:1">
      <c r="A56807" s="56"/>
    </row>
    <row r="56808" spans="1:1">
      <c r="A56808" s="56"/>
    </row>
    <row r="56809" spans="1:1">
      <c r="A56809" s="56"/>
    </row>
    <row r="56810" spans="1:1">
      <c r="A56810" s="56"/>
    </row>
    <row r="56811" spans="1:1">
      <c r="A56811" s="56"/>
    </row>
    <row r="56812" spans="1:1">
      <c r="A56812" s="56"/>
    </row>
    <row r="56813" spans="1:1">
      <c r="A56813" s="56"/>
    </row>
    <row r="56814" spans="1:1">
      <c r="A56814" s="56"/>
    </row>
    <row r="56815" spans="1:1">
      <c r="A56815" s="56"/>
    </row>
    <row r="56816" spans="1:1">
      <c r="A56816" s="56"/>
    </row>
    <row r="56817" spans="1:1">
      <c r="A56817" s="56"/>
    </row>
    <row r="56818" spans="1:1">
      <c r="A56818" s="56"/>
    </row>
    <row r="56819" spans="1:1">
      <c r="A56819" s="56"/>
    </row>
    <row r="56820" spans="1:1">
      <c r="A56820" s="56"/>
    </row>
    <row r="56821" spans="1:1">
      <c r="A56821" s="56"/>
    </row>
    <row r="56822" spans="1:1">
      <c r="A56822" s="56"/>
    </row>
    <row r="56823" spans="1:1">
      <c r="A56823" s="56"/>
    </row>
    <row r="56824" spans="1:1">
      <c r="A56824" s="56"/>
    </row>
    <row r="56825" spans="1:1">
      <c r="A56825" s="56"/>
    </row>
    <row r="56826" spans="1:1">
      <c r="A56826" s="56"/>
    </row>
    <row r="56827" spans="1:1">
      <c r="A56827" s="56"/>
    </row>
    <row r="56828" spans="1:1">
      <c r="A56828" s="56"/>
    </row>
    <row r="56829" spans="1:1">
      <c r="A56829" s="56"/>
    </row>
    <row r="56830" spans="1:1">
      <c r="A56830" s="56"/>
    </row>
    <row r="56831" spans="1:1">
      <c r="A56831" s="56"/>
    </row>
    <row r="56832" spans="1:1">
      <c r="A56832" s="56"/>
    </row>
    <row r="56833" spans="1:1">
      <c r="A56833" s="56"/>
    </row>
    <row r="56834" spans="1:1">
      <c r="A56834" s="56"/>
    </row>
    <row r="56835" spans="1:1">
      <c r="A56835" s="56"/>
    </row>
    <row r="56836" spans="1:1">
      <c r="A56836" s="56"/>
    </row>
    <row r="56837" spans="1:1">
      <c r="A56837" s="56"/>
    </row>
    <row r="56838" spans="1:1">
      <c r="A56838" s="56"/>
    </row>
    <row r="56839" spans="1:1">
      <c r="A56839" s="56"/>
    </row>
    <row r="56840" spans="1:1">
      <c r="A56840" s="56"/>
    </row>
    <row r="56841" spans="1:1">
      <c r="A56841" s="56"/>
    </row>
    <row r="56842" spans="1:1">
      <c r="A56842" s="56"/>
    </row>
    <row r="56843" spans="1:1">
      <c r="A56843" s="56"/>
    </row>
    <row r="56844" spans="1:1">
      <c r="A56844" s="56"/>
    </row>
    <row r="56845" spans="1:1">
      <c r="A56845" s="56"/>
    </row>
    <row r="56846" spans="1:1">
      <c r="A56846" s="56"/>
    </row>
    <row r="56847" spans="1:1">
      <c r="A56847" s="56"/>
    </row>
    <row r="56848" spans="1:1">
      <c r="A56848" s="56"/>
    </row>
    <row r="56849" spans="1:1">
      <c r="A56849" s="56"/>
    </row>
    <row r="56850" spans="1:1">
      <c r="A56850" s="56"/>
    </row>
    <row r="56851" spans="1:1">
      <c r="A56851" s="56"/>
    </row>
    <row r="56852" spans="1:1">
      <c r="A56852" s="56"/>
    </row>
    <row r="56853" spans="1:1">
      <c r="A56853" s="56"/>
    </row>
    <row r="56854" spans="1:1">
      <c r="A56854" s="56"/>
    </row>
    <row r="56855" spans="1:1">
      <c r="A56855" s="56"/>
    </row>
    <row r="56856" spans="1:1">
      <c r="A56856" s="56"/>
    </row>
    <row r="56857" spans="1:1">
      <c r="A56857" s="56"/>
    </row>
    <row r="56858" spans="1:1">
      <c r="A56858" s="56"/>
    </row>
    <row r="56859" spans="1:1">
      <c r="A56859" s="56"/>
    </row>
    <row r="56860" spans="1:1">
      <c r="A56860" s="56"/>
    </row>
    <row r="56861" spans="1:1">
      <c r="A56861" s="56"/>
    </row>
    <row r="56862" spans="1:1">
      <c r="A56862" s="56"/>
    </row>
    <row r="56863" spans="1:1">
      <c r="A56863" s="56"/>
    </row>
    <row r="56864" spans="1:1">
      <c r="A56864" s="56"/>
    </row>
    <row r="56865" spans="1:1">
      <c r="A56865" s="56"/>
    </row>
    <row r="56866" spans="1:1">
      <c r="A56866" s="56"/>
    </row>
    <row r="56867" spans="1:1">
      <c r="A56867" s="56"/>
    </row>
    <row r="56868" spans="1:1">
      <c r="A56868" s="56"/>
    </row>
    <row r="56869" spans="1:1">
      <c r="A56869" s="56"/>
    </row>
    <row r="56870" spans="1:1">
      <c r="A56870" s="56"/>
    </row>
    <row r="56871" spans="1:1">
      <c r="A56871" s="56"/>
    </row>
    <row r="56872" spans="1:1">
      <c r="A56872" s="56"/>
    </row>
    <row r="56873" spans="1:1">
      <c r="A56873" s="56"/>
    </row>
    <row r="56874" spans="1:1">
      <c r="A56874" s="56"/>
    </row>
    <row r="56875" spans="1:1">
      <c r="A56875" s="56"/>
    </row>
    <row r="56876" spans="1:1">
      <c r="A56876" s="56"/>
    </row>
    <row r="56877" spans="1:1">
      <c r="A56877" s="56"/>
    </row>
    <row r="56878" spans="1:1">
      <c r="A56878" s="56"/>
    </row>
    <row r="56879" spans="1:1">
      <c r="A56879" s="56"/>
    </row>
    <row r="56880" spans="1:1">
      <c r="A56880" s="56"/>
    </row>
    <row r="56881" spans="1:1">
      <c r="A56881" s="56"/>
    </row>
    <row r="56882" spans="1:1">
      <c r="A56882" s="56"/>
    </row>
    <row r="56883" spans="1:1">
      <c r="A56883" s="56"/>
    </row>
    <row r="56884" spans="1:1">
      <c r="A56884" s="56"/>
    </row>
    <row r="56885" spans="1:1">
      <c r="A56885" s="56"/>
    </row>
    <row r="56886" spans="1:1">
      <c r="A56886" s="56"/>
    </row>
    <row r="56887" spans="1:1">
      <c r="A56887" s="56"/>
    </row>
    <row r="56888" spans="1:1">
      <c r="A56888" s="56"/>
    </row>
    <row r="56889" spans="1:1">
      <c r="A56889" s="56"/>
    </row>
    <row r="56890" spans="1:1">
      <c r="A56890" s="56"/>
    </row>
    <row r="56891" spans="1:1">
      <c r="A56891" s="56"/>
    </row>
    <row r="56892" spans="1:1">
      <c r="A56892" s="56"/>
    </row>
    <row r="56893" spans="1:1">
      <c r="A56893" s="56"/>
    </row>
    <row r="56894" spans="1:1">
      <c r="A56894" s="56"/>
    </row>
    <row r="56895" spans="1:1">
      <c r="A56895" s="56"/>
    </row>
    <row r="56896" spans="1:1">
      <c r="A56896" s="56"/>
    </row>
    <row r="56897" spans="1:1">
      <c r="A56897" s="56"/>
    </row>
    <row r="56898" spans="1:1">
      <c r="A56898" s="56"/>
    </row>
    <row r="56899" spans="1:1">
      <c r="A56899" s="56"/>
    </row>
    <row r="56900" spans="1:1">
      <c r="A56900" s="56"/>
    </row>
    <row r="56901" spans="1:1">
      <c r="A56901" s="56"/>
    </row>
    <row r="56902" spans="1:1">
      <c r="A56902" s="56"/>
    </row>
    <row r="56903" spans="1:1">
      <c r="A56903" s="56"/>
    </row>
    <row r="56904" spans="1:1">
      <c r="A56904" s="56"/>
    </row>
    <row r="56905" spans="1:1">
      <c r="A56905" s="56"/>
    </row>
    <row r="56906" spans="1:1">
      <c r="A56906" s="56"/>
    </row>
    <row r="56907" spans="1:1">
      <c r="A56907" s="56"/>
    </row>
    <row r="56908" spans="1:1">
      <c r="A56908" s="56"/>
    </row>
    <row r="56909" spans="1:1">
      <c r="A56909" s="56"/>
    </row>
    <row r="56910" spans="1:1">
      <c r="A56910" s="56"/>
    </row>
    <row r="56911" spans="1:1">
      <c r="A56911" s="56"/>
    </row>
    <row r="56912" spans="1:1">
      <c r="A56912" s="56"/>
    </row>
    <row r="56913" spans="1:1">
      <c r="A56913" s="56"/>
    </row>
    <row r="56914" spans="1:1">
      <c r="A56914" s="56"/>
    </row>
    <row r="56915" spans="1:1">
      <c r="A56915" s="56"/>
    </row>
    <row r="56916" spans="1:1">
      <c r="A56916" s="56"/>
    </row>
    <row r="56917" spans="1:1">
      <c r="A56917" s="56"/>
    </row>
    <row r="56918" spans="1:1">
      <c r="A56918" s="56"/>
    </row>
    <row r="56919" spans="1:1">
      <c r="A56919" s="56"/>
    </row>
    <row r="56920" spans="1:1">
      <c r="A56920" s="56"/>
    </row>
    <row r="56921" spans="1:1">
      <c r="A56921" s="56"/>
    </row>
    <row r="56922" spans="1:1">
      <c r="A56922" s="56"/>
    </row>
    <row r="56923" spans="1:1">
      <c r="A56923" s="56"/>
    </row>
    <row r="56924" spans="1:1">
      <c r="A56924" s="56"/>
    </row>
    <row r="56925" spans="1:1">
      <c r="A56925" s="56"/>
    </row>
    <row r="56926" spans="1:1">
      <c r="A56926" s="56"/>
    </row>
    <row r="56927" spans="1:1">
      <c r="A56927" s="56"/>
    </row>
    <row r="56928" spans="1:1">
      <c r="A56928" s="56"/>
    </row>
    <row r="56929" spans="1:1">
      <c r="A56929" s="56"/>
    </row>
    <row r="56930" spans="1:1">
      <c r="A56930" s="56"/>
    </row>
    <row r="56931" spans="1:1">
      <c r="A56931" s="56"/>
    </row>
    <row r="56932" spans="1:1">
      <c r="A56932" s="56"/>
    </row>
    <row r="56933" spans="1:1">
      <c r="A56933" s="56"/>
    </row>
    <row r="56934" spans="1:1">
      <c r="A56934" s="56"/>
    </row>
    <row r="56935" spans="1:1">
      <c r="A56935" s="56"/>
    </row>
    <row r="56936" spans="1:1">
      <c r="A56936" s="56"/>
    </row>
    <row r="56937" spans="1:1">
      <c r="A56937" s="56"/>
    </row>
    <row r="56938" spans="1:1">
      <c r="A56938" s="56"/>
    </row>
    <row r="56939" spans="1:1">
      <c r="A56939" s="56"/>
    </row>
    <row r="56940" spans="1:1">
      <c r="A56940" s="56"/>
    </row>
    <row r="56941" spans="1:1">
      <c r="A56941" s="56"/>
    </row>
    <row r="56942" spans="1:1">
      <c r="A56942" s="56"/>
    </row>
    <row r="56943" spans="1:1">
      <c r="A56943" s="56"/>
    </row>
    <row r="56944" spans="1:1">
      <c r="A56944" s="56"/>
    </row>
    <row r="56945" spans="1:1">
      <c r="A56945" s="56"/>
    </row>
    <row r="56946" spans="1:1">
      <c r="A56946" s="56"/>
    </row>
    <row r="56947" spans="1:1">
      <c r="A56947" s="56"/>
    </row>
    <row r="56948" spans="1:1">
      <c r="A56948" s="56"/>
    </row>
    <row r="56949" spans="1:1">
      <c r="A56949" s="56"/>
    </row>
    <row r="56950" spans="1:1">
      <c r="A56950" s="56"/>
    </row>
    <row r="56951" spans="1:1">
      <c r="A56951" s="56"/>
    </row>
    <row r="56952" spans="1:1">
      <c r="A56952" s="56"/>
    </row>
    <row r="56953" spans="1:1">
      <c r="A56953" s="56"/>
    </row>
    <row r="56954" spans="1:1">
      <c r="A56954" s="56"/>
    </row>
    <row r="56955" spans="1:1">
      <c r="A56955" s="56"/>
    </row>
    <row r="56956" spans="1:1">
      <c r="A56956" s="56"/>
    </row>
    <row r="56957" spans="1:1">
      <c r="A56957" s="56"/>
    </row>
    <row r="56958" spans="1:1">
      <c r="A56958" s="56"/>
    </row>
    <row r="56959" spans="1:1">
      <c r="A56959" s="56"/>
    </row>
    <row r="56960" spans="1:1">
      <c r="A56960" s="56"/>
    </row>
    <row r="56961" spans="1:1">
      <c r="A56961" s="56"/>
    </row>
    <row r="56962" spans="1:1">
      <c r="A56962" s="56"/>
    </row>
    <row r="56963" spans="1:1">
      <c r="A56963" s="56"/>
    </row>
    <row r="56964" spans="1:1">
      <c r="A56964" s="56"/>
    </row>
    <row r="56965" spans="1:1">
      <c r="A56965" s="56"/>
    </row>
    <row r="56966" spans="1:1">
      <c r="A56966" s="56"/>
    </row>
    <row r="56967" spans="1:1">
      <c r="A56967" s="56"/>
    </row>
    <row r="56968" spans="1:1">
      <c r="A56968" s="56"/>
    </row>
    <row r="56969" spans="1:1">
      <c r="A56969" s="56"/>
    </row>
    <row r="56970" spans="1:1">
      <c r="A56970" s="56"/>
    </row>
    <row r="56971" spans="1:1">
      <c r="A56971" s="56"/>
    </row>
    <row r="56972" spans="1:1">
      <c r="A56972" s="56"/>
    </row>
    <row r="56973" spans="1:1">
      <c r="A56973" s="56"/>
    </row>
    <row r="56974" spans="1:1">
      <c r="A56974" s="56"/>
    </row>
    <row r="56975" spans="1:1">
      <c r="A56975" s="56"/>
    </row>
    <row r="56976" spans="1:1">
      <c r="A56976" s="56"/>
    </row>
    <row r="56977" spans="1:1">
      <c r="A56977" s="56"/>
    </row>
    <row r="56978" spans="1:1">
      <c r="A56978" s="56"/>
    </row>
    <row r="56979" spans="1:1">
      <c r="A56979" s="56"/>
    </row>
    <row r="56980" spans="1:1">
      <c r="A56980" s="56"/>
    </row>
    <row r="56981" spans="1:1">
      <c r="A56981" s="56"/>
    </row>
    <row r="56982" spans="1:1">
      <c r="A56982" s="56"/>
    </row>
    <row r="56983" spans="1:1">
      <c r="A56983" s="56"/>
    </row>
    <row r="56984" spans="1:1">
      <c r="A56984" s="56"/>
    </row>
    <row r="56985" spans="1:1">
      <c r="A56985" s="56"/>
    </row>
    <row r="56986" spans="1:1">
      <c r="A56986" s="56"/>
    </row>
    <row r="56987" spans="1:1">
      <c r="A56987" s="56"/>
    </row>
    <row r="56988" spans="1:1">
      <c r="A56988" s="56"/>
    </row>
    <row r="56989" spans="1:1">
      <c r="A56989" s="56"/>
    </row>
    <row r="56990" spans="1:1">
      <c r="A56990" s="56"/>
    </row>
    <row r="56991" spans="1:1">
      <c r="A56991" s="56"/>
    </row>
    <row r="56992" spans="1:1">
      <c r="A56992" s="56"/>
    </row>
    <row r="56993" spans="1:1">
      <c r="A56993" s="56"/>
    </row>
    <row r="56994" spans="1:1">
      <c r="A56994" s="56"/>
    </row>
    <row r="56995" spans="1:1">
      <c r="A56995" s="56"/>
    </row>
    <row r="56996" spans="1:1">
      <c r="A56996" s="56"/>
    </row>
    <row r="56997" spans="1:1">
      <c r="A56997" s="56"/>
    </row>
    <row r="56998" spans="1:1">
      <c r="A56998" s="56"/>
    </row>
    <row r="56999" spans="1:1">
      <c r="A56999" s="56"/>
    </row>
    <row r="57000" spans="1:1">
      <c r="A57000" s="56"/>
    </row>
    <row r="57001" spans="1:1">
      <c r="A57001" s="56"/>
    </row>
    <row r="57002" spans="1:1">
      <c r="A57002" s="56"/>
    </row>
    <row r="57003" spans="1:1">
      <c r="A57003" s="56"/>
    </row>
    <row r="57004" spans="1:1">
      <c r="A57004" s="56"/>
    </row>
    <row r="57005" spans="1:1">
      <c r="A57005" s="56"/>
    </row>
    <row r="57006" spans="1:1">
      <c r="A57006" s="56"/>
    </row>
    <row r="57007" spans="1:1">
      <c r="A57007" s="56"/>
    </row>
    <row r="57008" spans="1:1">
      <c r="A57008" s="56"/>
    </row>
    <row r="57009" spans="1:1">
      <c r="A57009" s="56"/>
    </row>
    <row r="57010" spans="1:1">
      <c r="A57010" s="56"/>
    </row>
    <row r="57011" spans="1:1">
      <c r="A57011" s="56"/>
    </row>
    <row r="57012" spans="1:1">
      <c r="A57012" s="56"/>
    </row>
    <row r="57013" spans="1:1">
      <c r="A57013" s="56"/>
    </row>
    <row r="57014" spans="1:1">
      <c r="A57014" s="56"/>
    </row>
    <row r="57015" spans="1:1">
      <c r="A57015" s="56"/>
    </row>
    <row r="57016" spans="1:1">
      <c r="A57016" s="56"/>
    </row>
    <row r="57017" spans="1:1">
      <c r="A57017" s="56"/>
    </row>
    <row r="57018" spans="1:1">
      <c r="A57018" s="56"/>
    </row>
    <row r="57019" spans="1:1">
      <c r="A57019" s="56"/>
    </row>
    <row r="57020" spans="1:1">
      <c r="A57020" s="56"/>
    </row>
    <row r="57021" spans="1:1">
      <c r="A57021" s="56"/>
    </row>
    <row r="57022" spans="1:1">
      <c r="A57022" s="56"/>
    </row>
    <row r="57023" spans="1:1">
      <c r="A57023" s="56"/>
    </row>
    <row r="57024" spans="1:1">
      <c r="A57024" s="56"/>
    </row>
    <row r="57025" spans="1:1">
      <c r="A57025" s="56"/>
    </row>
    <row r="57026" spans="1:1">
      <c r="A57026" s="56"/>
    </row>
    <row r="57027" spans="1:1">
      <c r="A57027" s="56"/>
    </row>
    <row r="57028" spans="1:1">
      <c r="A57028" s="56"/>
    </row>
    <row r="57029" spans="1:1">
      <c r="A57029" s="56"/>
    </row>
    <row r="57030" spans="1:1">
      <c r="A57030" s="56"/>
    </row>
    <row r="57031" spans="1:1">
      <c r="A57031" s="56"/>
    </row>
    <row r="57032" spans="1:1">
      <c r="A57032" s="56"/>
    </row>
    <row r="57033" spans="1:1">
      <c r="A57033" s="56"/>
    </row>
    <row r="57034" spans="1:1">
      <c r="A57034" s="56"/>
    </row>
    <row r="57035" spans="1:1">
      <c r="A57035" s="56"/>
    </row>
    <row r="57036" spans="1:1">
      <c r="A57036" s="56"/>
    </row>
    <row r="57037" spans="1:1">
      <c r="A57037" s="56"/>
    </row>
    <row r="57038" spans="1:1">
      <c r="A57038" s="56"/>
    </row>
    <row r="57039" spans="1:1">
      <c r="A57039" s="56"/>
    </row>
    <row r="57040" spans="1:1">
      <c r="A57040" s="56"/>
    </row>
    <row r="57041" spans="1:1">
      <c r="A57041" s="56"/>
    </row>
    <row r="57042" spans="1:1">
      <c r="A57042" s="56"/>
    </row>
    <row r="57043" spans="1:1">
      <c r="A57043" s="56"/>
    </row>
    <row r="57044" spans="1:1">
      <c r="A57044" s="56"/>
    </row>
    <row r="57045" spans="1:1">
      <c r="A57045" s="56"/>
    </row>
    <row r="57046" spans="1:1">
      <c r="A57046" s="56"/>
    </row>
    <row r="57047" spans="1:1">
      <c r="A57047" s="56"/>
    </row>
    <row r="57048" spans="1:1">
      <c r="A57048" s="56"/>
    </row>
    <row r="57049" spans="1:1">
      <c r="A57049" s="56"/>
    </row>
    <row r="57050" spans="1:1">
      <c r="A57050" s="56"/>
    </row>
    <row r="57051" spans="1:1">
      <c r="A57051" s="56"/>
    </row>
    <row r="57052" spans="1:1">
      <c r="A57052" s="56"/>
    </row>
    <row r="57053" spans="1:1">
      <c r="A57053" s="56"/>
    </row>
    <row r="57054" spans="1:1">
      <c r="A57054" s="56"/>
    </row>
    <row r="57055" spans="1:1">
      <c r="A57055" s="56"/>
    </row>
    <row r="57056" spans="1:1">
      <c r="A57056" s="56"/>
    </row>
    <row r="57057" spans="1:1">
      <c r="A57057" s="56"/>
    </row>
    <row r="57058" spans="1:1">
      <c r="A57058" s="56"/>
    </row>
    <row r="57059" spans="1:1">
      <c r="A57059" s="56"/>
    </row>
    <row r="57060" spans="1:1">
      <c r="A57060" s="56"/>
    </row>
    <row r="57061" spans="1:1">
      <c r="A57061" s="56"/>
    </row>
    <row r="57062" spans="1:1">
      <c r="A57062" s="56"/>
    </row>
    <row r="57063" spans="1:1">
      <c r="A57063" s="56"/>
    </row>
    <row r="57064" spans="1:1">
      <c r="A57064" s="56"/>
    </row>
    <row r="57065" spans="1:1">
      <c r="A57065" s="56"/>
    </row>
    <row r="57066" spans="1:1">
      <c r="A57066" s="56"/>
    </row>
    <row r="57067" spans="1:1">
      <c r="A57067" s="56"/>
    </row>
    <row r="57068" spans="1:1">
      <c r="A57068" s="56"/>
    </row>
    <row r="57069" spans="1:1">
      <c r="A57069" s="56"/>
    </row>
    <row r="57070" spans="1:1">
      <c r="A57070" s="56"/>
    </row>
    <row r="57071" spans="1:1">
      <c r="A57071" s="56"/>
    </row>
    <row r="57072" spans="1:1">
      <c r="A57072" s="56"/>
    </row>
    <row r="57073" spans="1:1">
      <c r="A57073" s="56"/>
    </row>
    <row r="57074" spans="1:1">
      <c r="A57074" s="56"/>
    </row>
    <row r="57075" spans="1:1">
      <c r="A57075" s="56"/>
    </row>
    <row r="57076" spans="1:1">
      <c r="A57076" s="56"/>
    </row>
    <row r="57077" spans="1:1">
      <c r="A57077" s="56"/>
    </row>
    <row r="57078" spans="1:1">
      <c r="A57078" s="56"/>
    </row>
    <row r="57079" spans="1:1">
      <c r="A57079" s="56"/>
    </row>
    <row r="57080" spans="1:1">
      <c r="A57080" s="56"/>
    </row>
    <row r="57081" spans="1:1">
      <c r="A57081" s="56"/>
    </row>
    <row r="57082" spans="1:1">
      <c r="A57082" s="56"/>
    </row>
    <row r="57083" spans="1:1">
      <c r="A57083" s="56"/>
    </row>
    <row r="57084" spans="1:1">
      <c r="A57084" s="56"/>
    </row>
    <row r="57085" spans="1:1">
      <c r="A57085" s="56"/>
    </row>
    <row r="57086" spans="1:1">
      <c r="A57086" s="56"/>
    </row>
    <row r="57087" spans="1:1">
      <c r="A57087" s="56"/>
    </row>
    <row r="57088" spans="1:1">
      <c r="A57088" s="56"/>
    </row>
    <row r="57089" spans="1:1">
      <c r="A57089" s="56"/>
    </row>
    <row r="57090" spans="1:1">
      <c r="A57090" s="56"/>
    </row>
    <row r="57091" spans="1:1">
      <c r="A57091" s="56"/>
    </row>
    <row r="57092" spans="1:1">
      <c r="A57092" s="56"/>
    </row>
    <row r="57093" spans="1:1">
      <c r="A57093" s="56"/>
    </row>
    <row r="57094" spans="1:1">
      <c r="A57094" s="56"/>
    </row>
    <row r="57095" spans="1:1">
      <c r="A57095" s="56"/>
    </row>
    <row r="57096" spans="1:1">
      <c r="A57096" s="56"/>
    </row>
    <row r="57097" spans="1:1">
      <c r="A57097" s="56"/>
    </row>
    <row r="57098" spans="1:1">
      <c r="A57098" s="56"/>
    </row>
    <row r="57099" spans="1:1">
      <c r="A57099" s="56"/>
    </row>
    <row r="57100" spans="1:1">
      <c r="A57100" s="56"/>
    </row>
    <row r="57101" spans="1:1">
      <c r="A57101" s="56"/>
    </row>
    <row r="57102" spans="1:1">
      <c r="A57102" s="56"/>
    </row>
    <row r="57103" spans="1:1">
      <c r="A57103" s="56"/>
    </row>
    <row r="57104" spans="1:1">
      <c r="A57104" s="56"/>
    </row>
    <row r="57105" spans="1:1">
      <c r="A57105" s="56"/>
    </row>
    <row r="57106" spans="1:1">
      <c r="A57106" s="56"/>
    </row>
    <row r="57107" spans="1:1">
      <c r="A57107" s="56"/>
    </row>
    <row r="57108" spans="1:1">
      <c r="A57108" s="56"/>
    </row>
    <row r="57109" spans="1:1">
      <c r="A57109" s="56"/>
    </row>
    <row r="57110" spans="1:1">
      <c r="A57110" s="56"/>
    </row>
    <row r="57111" spans="1:1">
      <c r="A57111" s="56"/>
    </row>
    <row r="57112" spans="1:1">
      <c r="A57112" s="56"/>
    </row>
    <row r="57113" spans="1:1">
      <c r="A57113" s="56"/>
    </row>
    <row r="57114" spans="1:1">
      <c r="A57114" s="56"/>
    </row>
    <row r="57115" spans="1:1">
      <c r="A57115" s="56"/>
    </row>
    <row r="57116" spans="1:1">
      <c r="A57116" s="56"/>
    </row>
    <row r="57117" spans="1:1">
      <c r="A57117" s="56"/>
    </row>
    <row r="57118" spans="1:1">
      <c r="A57118" s="56"/>
    </row>
    <row r="57119" spans="1:1">
      <c r="A57119" s="56"/>
    </row>
    <row r="57120" spans="1:1">
      <c r="A57120" s="56"/>
    </row>
    <row r="57121" spans="1:1">
      <c r="A57121" s="56"/>
    </row>
    <row r="57122" spans="1:1">
      <c r="A57122" s="56"/>
    </row>
    <row r="57123" spans="1:1">
      <c r="A57123" s="56"/>
    </row>
    <row r="57124" spans="1:1">
      <c r="A57124" s="56"/>
    </row>
    <row r="57125" spans="1:1">
      <c r="A57125" s="56"/>
    </row>
    <row r="57126" spans="1:1">
      <c r="A57126" s="56"/>
    </row>
    <row r="57127" spans="1:1">
      <c r="A57127" s="56"/>
    </row>
    <row r="57128" spans="1:1">
      <c r="A57128" s="56"/>
    </row>
    <row r="57129" spans="1:1">
      <c r="A57129" s="56"/>
    </row>
    <row r="57130" spans="1:1">
      <c r="A57130" s="56"/>
    </row>
    <row r="57131" spans="1:1">
      <c r="A57131" s="56"/>
    </row>
    <row r="57132" spans="1:1">
      <c r="A57132" s="56"/>
    </row>
    <row r="57133" spans="1:1">
      <c r="A57133" s="56"/>
    </row>
    <row r="57134" spans="1:1">
      <c r="A57134" s="56"/>
    </row>
    <row r="57135" spans="1:1">
      <c r="A57135" s="56"/>
    </row>
    <row r="57136" spans="1:1">
      <c r="A57136" s="56"/>
    </row>
    <row r="57137" spans="1:1">
      <c r="A57137" s="56"/>
    </row>
    <row r="57138" spans="1:1">
      <c r="A57138" s="56"/>
    </row>
    <row r="57139" spans="1:1">
      <c r="A57139" s="56"/>
    </row>
    <row r="57140" spans="1:1">
      <c r="A57140" s="56"/>
    </row>
    <row r="57141" spans="1:1">
      <c r="A57141" s="56"/>
    </row>
    <row r="57142" spans="1:1">
      <c r="A57142" s="56"/>
    </row>
    <row r="57143" spans="1:1">
      <c r="A57143" s="56"/>
    </row>
    <row r="57144" spans="1:1">
      <c r="A57144" s="56"/>
    </row>
    <row r="57145" spans="1:1">
      <c r="A57145" s="56"/>
    </row>
    <row r="57146" spans="1:1">
      <c r="A57146" s="56"/>
    </row>
    <row r="57147" spans="1:1">
      <c r="A57147" s="56"/>
    </row>
    <row r="57148" spans="1:1">
      <c r="A57148" s="56"/>
    </row>
    <row r="57149" spans="1:1">
      <c r="A57149" s="56"/>
    </row>
    <row r="57150" spans="1:1">
      <c r="A57150" s="56"/>
    </row>
    <row r="57151" spans="1:1">
      <c r="A57151" s="56"/>
    </row>
    <row r="57152" spans="1:1">
      <c r="A57152" s="56"/>
    </row>
    <row r="57153" spans="1:1">
      <c r="A57153" s="56"/>
    </row>
    <row r="57154" spans="1:1">
      <c r="A57154" s="56"/>
    </row>
    <row r="57155" spans="1:1">
      <c r="A57155" s="56"/>
    </row>
    <row r="57156" spans="1:1">
      <c r="A57156" s="56"/>
    </row>
    <row r="57157" spans="1:1">
      <c r="A57157" s="56"/>
    </row>
    <row r="57158" spans="1:1">
      <c r="A57158" s="56"/>
    </row>
    <row r="57159" spans="1:1">
      <c r="A57159" s="56"/>
    </row>
    <row r="57160" spans="1:1">
      <c r="A57160" s="56"/>
    </row>
    <row r="57161" spans="1:1">
      <c r="A57161" s="56"/>
    </row>
    <row r="57162" spans="1:1">
      <c r="A57162" s="56"/>
    </row>
    <row r="57163" spans="1:1">
      <c r="A57163" s="56"/>
    </row>
    <row r="57164" spans="1:1">
      <c r="A57164" s="56"/>
    </row>
    <row r="57165" spans="1:1">
      <c r="A57165" s="56"/>
    </row>
    <row r="57166" spans="1:1">
      <c r="A57166" s="56"/>
    </row>
    <row r="57167" spans="1:1">
      <c r="A57167" s="56"/>
    </row>
    <row r="57168" spans="1:1">
      <c r="A57168" s="56"/>
    </row>
    <row r="57169" spans="1:1">
      <c r="A57169" s="56"/>
    </row>
    <row r="57170" spans="1:1">
      <c r="A57170" s="56"/>
    </row>
    <row r="57171" spans="1:1">
      <c r="A57171" s="56"/>
    </row>
    <row r="57172" spans="1:1">
      <c r="A57172" s="56"/>
    </row>
    <row r="57173" spans="1:1">
      <c r="A57173" s="56"/>
    </row>
    <row r="57174" spans="1:1">
      <c r="A57174" s="56"/>
    </row>
    <row r="57175" spans="1:1">
      <c r="A57175" s="56"/>
    </row>
    <row r="57176" spans="1:1">
      <c r="A57176" s="56"/>
    </row>
    <row r="57177" spans="1:1">
      <c r="A57177" s="56"/>
    </row>
    <row r="57178" spans="1:1">
      <c r="A57178" s="56"/>
    </row>
    <row r="57179" spans="1:1">
      <c r="A57179" s="56"/>
    </row>
    <row r="57180" spans="1:1">
      <c r="A57180" s="56"/>
    </row>
    <row r="57181" spans="1:1">
      <c r="A57181" s="56"/>
    </row>
    <row r="57182" spans="1:1">
      <c r="A57182" s="56"/>
    </row>
    <row r="57183" spans="1:1">
      <c r="A57183" s="56"/>
    </row>
    <row r="57184" spans="1:1">
      <c r="A57184" s="56"/>
    </row>
    <row r="57185" spans="1:1">
      <c r="A57185" s="56"/>
    </row>
    <row r="57186" spans="1:1">
      <c r="A57186" s="56"/>
    </row>
    <row r="57187" spans="1:1">
      <c r="A57187" s="56"/>
    </row>
    <row r="57188" spans="1:1">
      <c r="A57188" s="56"/>
    </row>
    <row r="57189" spans="1:1">
      <c r="A57189" s="56"/>
    </row>
    <row r="57190" spans="1:1">
      <c r="A57190" s="56"/>
    </row>
    <row r="57191" spans="1:1">
      <c r="A57191" s="56"/>
    </row>
    <row r="57192" spans="1:1">
      <c r="A57192" s="56"/>
    </row>
    <row r="57193" spans="1:1">
      <c r="A57193" s="56"/>
    </row>
    <row r="57194" spans="1:1">
      <c r="A57194" s="56"/>
    </row>
    <row r="57195" spans="1:1">
      <c r="A57195" s="56"/>
    </row>
    <row r="57196" spans="1:1">
      <c r="A57196" s="56"/>
    </row>
    <row r="57197" spans="1:1">
      <c r="A57197" s="56"/>
    </row>
    <row r="57198" spans="1:1">
      <c r="A57198" s="56"/>
    </row>
    <row r="57199" spans="1:1">
      <c r="A57199" s="56"/>
    </row>
    <row r="57200" spans="1:1">
      <c r="A57200" s="56"/>
    </row>
    <row r="57201" spans="1:1">
      <c r="A57201" s="56"/>
    </row>
    <row r="57202" spans="1:1">
      <c r="A57202" s="56"/>
    </row>
    <row r="57203" spans="1:1">
      <c r="A57203" s="56"/>
    </row>
    <row r="57204" spans="1:1">
      <c r="A57204" s="56"/>
    </row>
    <row r="57205" spans="1:1">
      <c r="A57205" s="56"/>
    </row>
    <row r="57206" spans="1:1">
      <c r="A57206" s="56"/>
    </row>
    <row r="57207" spans="1:1">
      <c r="A57207" s="56"/>
    </row>
    <row r="57208" spans="1:1">
      <c r="A57208" s="56"/>
    </row>
    <row r="57209" spans="1:1">
      <c r="A57209" s="56"/>
    </row>
    <row r="57210" spans="1:1">
      <c r="A57210" s="56"/>
    </row>
    <row r="57211" spans="1:1">
      <c r="A57211" s="56"/>
    </row>
    <row r="57212" spans="1:1">
      <c r="A57212" s="56"/>
    </row>
    <row r="57213" spans="1:1">
      <c r="A57213" s="56"/>
    </row>
    <row r="57214" spans="1:1">
      <c r="A57214" s="56"/>
    </row>
    <row r="57215" spans="1:1">
      <c r="A57215" s="56"/>
    </row>
    <row r="57216" spans="1:1">
      <c r="A57216" s="56"/>
    </row>
    <row r="57217" spans="1:1">
      <c r="A57217" s="56"/>
    </row>
    <row r="57218" spans="1:1">
      <c r="A57218" s="56"/>
    </row>
    <row r="57219" spans="1:1">
      <c r="A57219" s="56"/>
    </row>
    <row r="57220" spans="1:1">
      <c r="A57220" s="56"/>
    </row>
    <row r="57221" spans="1:1">
      <c r="A57221" s="56"/>
    </row>
    <row r="57222" spans="1:1">
      <c r="A57222" s="56"/>
    </row>
    <row r="57223" spans="1:1">
      <c r="A57223" s="56"/>
    </row>
    <row r="57224" spans="1:1">
      <c r="A57224" s="56"/>
    </row>
    <row r="57225" spans="1:1">
      <c r="A57225" s="56"/>
    </row>
    <row r="57226" spans="1:1">
      <c r="A57226" s="56"/>
    </row>
    <row r="57227" spans="1:1">
      <c r="A57227" s="56"/>
    </row>
    <row r="57228" spans="1:1">
      <c r="A57228" s="56"/>
    </row>
    <row r="57229" spans="1:1">
      <c r="A57229" s="56"/>
    </row>
    <row r="57230" spans="1:1">
      <c r="A57230" s="56"/>
    </row>
    <row r="57231" spans="1:1">
      <c r="A57231" s="56"/>
    </row>
    <row r="57232" spans="1:1">
      <c r="A57232" s="56"/>
    </row>
    <row r="57233" spans="1:1">
      <c r="A57233" s="56"/>
    </row>
    <row r="57234" spans="1:1">
      <c r="A57234" s="56"/>
    </row>
    <row r="57235" spans="1:1">
      <c r="A57235" s="56"/>
    </row>
    <row r="57236" spans="1:1">
      <c r="A57236" s="56"/>
    </row>
    <row r="57237" spans="1:1">
      <c r="A57237" s="56"/>
    </row>
    <row r="57238" spans="1:1">
      <c r="A57238" s="56"/>
    </row>
    <row r="57239" spans="1:1">
      <c r="A57239" s="56"/>
    </row>
    <row r="57240" spans="1:1">
      <c r="A57240" s="56"/>
    </row>
    <row r="57241" spans="1:1">
      <c r="A57241" s="56"/>
    </row>
    <row r="57242" spans="1:1">
      <c r="A57242" s="56"/>
    </row>
    <row r="57243" spans="1:1">
      <c r="A57243" s="56"/>
    </row>
    <row r="57244" spans="1:1">
      <c r="A57244" s="56"/>
    </row>
    <row r="57245" spans="1:1">
      <c r="A57245" s="56"/>
    </row>
    <row r="57246" spans="1:1">
      <c r="A57246" s="56"/>
    </row>
    <row r="57247" spans="1:1">
      <c r="A57247" s="56"/>
    </row>
    <row r="57248" spans="1:1">
      <c r="A57248" s="56"/>
    </row>
    <row r="57249" spans="1:1">
      <c r="A57249" s="56"/>
    </row>
    <row r="57250" spans="1:1">
      <c r="A57250" s="56"/>
    </row>
    <row r="57251" spans="1:1">
      <c r="A57251" s="56"/>
    </row>
    <row r="57252" spans="1:1">
      <c r="A57252" s="56"/>
    </row>
    <row r="57253" spans="1:1">
      <c r="A57253" s="56"/>
    </row>
    <row r="57254" spans="1:1">
      <c r="A57254" s="56"/>
    </row>
    <row r="57255" spans="1:1">
      <c r="A57255" s="56"/>
    </row>
    <row r="57256" spans="1:1">
      <c r="A57256" s="56"/>
    </row>
    <row r="57257" spans="1:1">
      <c r="A57257" s="56"/>
    </row>
    <row r="57258" spans="1:1">
      <c r="A57258" s="56"/>
    </row>
    <row r="57259" spans="1:1">
      <c r="A57259" s="56"/>
    </row>
    <row r="57260" spans="1:1">
      <c r="A57260" s="56"/>
    </row>
    <row r="57261" spans="1:1">
      <c r="A57261" s="56"/>
    </row>
    <row r="57262" spans="1:1">
      <c r="A57262" s="56"/>
    </row>
    <row r="57263" spans="1:1">
      <c r="A57263" s="56"/>
    </row>
    <row r="57264" spans="1:1">
      <c r="A57264" s="56"/>
    </row>
    <row r="57265" spans="1:1">
      <c r="A57265" s="56"/>
    </row>
    <row r="57266" spans="1:1">
      <c r="A57266" s="56"/>
    </row>
    <row r="57267" spans="1:1">
      <c r="A57267" s="56"/>
    </row>
    <row r="57268" spans="1:1">
      <c r="A57268" s="56"/>
    </row>
    <row r="57269" spans="1:1">
      <c r="A57269" s="56"/>
    </row>
    <row r="57270" spans="1:1">
      <c r="A57270" s="56"/>
    </row>
    <row r="57271" spans="1:1">
      <c r="A57271" s="56"/>
    </row>
    <row r="57272" spans="1:1">
      <c r="A57272" s="56"/>
    </row>
    <row r="57273" spans="1:1">
      <c r="A57273" s="56"/>
    </row>
    <row r="57274" spans="1:1">
      <c r="A57274" s="56"/>
    </row>
    <row r="57275" spans="1:1">
      <c r="A57275" s="56"/>
    </row>
    <row r="57276" spans="1:1">
      <c r="A57276" s="56"/>
    </row>
    <row r="57277" spans="1:1">
      <c r="A57277" s="56"/>
    </row>
    <row r="57278" spans="1:1">
      <c r="A57278" s="56"/>
    </row>
    <row r="57279" spans="1:1">
      <c r="A57279" s="56"/>
    </row>
    <row r="57280" spans="1:1">
      <c r="A57280" s="56"/>
    </row>
    <row r="57281" spans="1:1">
      <c r="A57281" s="56"/>
    </row>
    <row r="57282" spans="1:1">
      <c r="A57282" s="56"/>
    </row>
    <row r="57283" spans="1:1">
      <c r="A57283" s="56"/>
    </row>
    <row r="57284" spans="1:1">
      <c r="A57284" s="56"/>
    </row>
    <row r="57285" spans="1:1">
      <c r="A57285" s="56"/>
    </row>
    <row r="57286" spans="1:1">
      <c r="A57286" s="56"/>
    </row>
    <row r="57287" spans="1:1">
      <c r="A57287" s="56"/>
    </row>
    <row r="57288" spans="1:1">
      <c r="A57288" s="56"/>
    </row>
    <row r="57289" spans="1:1">
      <c r="A57289" s="56"/>
    </row>
    <row r="57290" spans="1:1">
      <c r="A57290" s="56"/>
    </row>
    <row r="57291" spans="1:1">
      <c r="A57291" s="56"/>
    </row>
    <row r="57292" spans="1:1">
      <c r="A57292" s="56"/>
    </row>
    <row r="57293" spans="1:1">
      <c r="A57293" s="56"/>
    </row>
    <row r="57294" spans="1:1">
      <c r="A57294" s="56"/>
    </row>
    <row r="57295" spans="1:1">
      <c r="A57295" s="56"/>
    </row>
    <row r="57296" spans="1:1">
      <c r="A57296" s="56"/>
    </row>
    <row r="57297" spans="1:1">
      <c r="A57297" s="56"/>
    </row>
    <row r="57298" spans="1:1">
      <c r="A57298" s="56"/>
    </row>
    <row r="57299" spans="1:1">
      <c r="A57299" s="56"/>
    </row>
    <row r="57300" spans="1:1">
      <c r="A57300" s="56"/>
    </row>
    <row r="57301" spans="1:1">
      <c r="A57301" s="56"/>
    </row>
    <row r="57302" spans="1:1">
      <c r="A57302" s="56"/>
    </row>
    <row r="57303" spans="1:1">
      <c r="A57303" s="56"/>
    </row>
    <row r="57304" spans="1:1">
      <c r="A57304" s="56"/>
    </row>
    <row r="57305" spans="1:1">
      <c r="A57305" s="56"/>
    </row>
    <row r="57306" spans="1:1">
      <c r="A57306" s="56"/>
    </row>
    <row r="57307" spans="1:1">
      <c r="A57307" s="56"/>
    </row>
    <row r="57308" spans="1:1">
      <c r="A57308" s="56"/>
    </row>
    <row r="57309" spans="1:1">
      <c r="A57309" s="56"/>
    </row>
    <row r="57310" spans="1:1">
      <c r="A57310" s="56"/>
    </row>
    <row r="57311" spans="1:1">
      <c r="A57311" s="56"/>
    </row>
    <row r="57312" spans="1:1">
      <c r="A57312" s="56"/>
    </row>
    <row r="57313" spans="1:1">
      <c r="A57313" s="56"/>
    </row>
    <row r="57314" spans="1:1">
      <c r="A57314" s="56"/>
    </row>
    <row r="57315" spans="1:1">
      <c r="A57315" s="56"/>
    </row>
    <row r="57316" spans="1:1">
      <c r="A57316" s="56"/>
    </row>
    <row r="57317" spans="1:1">
      <c r="A57317" s="56"/>
    </row>
    <row r="57318" spans="1:1">
      <c r="A57318" s="56"/>
    </row>
    <row r="57319" spans="1:1">
      <c r="A57319" s="56"/>
    </row>
    <row r="57320" spans="1:1">
      <c r="A57320" s="56"/>
    </row>
    <row r="57321" spans="1:1">
      <c r="A57321" s="56"/>
    </row>
    <row r="57322" spans="1:1">
      <c r="A57322" s="56"/>
    </row>
    <row r="57323" spans="1:1">
      <c r="A57323" s="56"/>
    </row>
    <row r="57324" spans="1:1">
      <c r="A57324" s="56"/>
    </row>
    <row r="57325" spans="1:1">
      <c r="A57325" s="56"/>
    </row>
    <row r="57326" spans="1:1">
      <c r="A57326" s="56"/>
    </row>
    <row r="57327" spans="1:1">
      <c r="A57327" s="56"/>
    </row>
    <row r="57328" spans="1:1">
      <c r="A57328" s="56"/>
    </row>
    <row r="57329" spans="1:1">
      <c r="A57329" s="56"/>
    </row>
    <row r="57330" spans="1:1">
      <c r="A57330" s="56"/>
    </row>
    <row r="57331" spans="1:1">
      <c r="A57331" s="56"/>
    </row>
    <row r="57332" spans="1:1">
      <c r="A57332" s="56"/>
    </row>
    <row r="57333" spans="1:1">
      <c r="A57333" s="56"/>
    </row>
    <row r="57334" spans="1:1">
      <c r="A57334" s="56"/>
    </row>
    <row r="57335" spans="1:1">
      <c r="A57335" s="56"/>
    </row>
    <row r="57336" spans="1:1">
      <c r="A57336" s="56"/>
    </row>
    <row r="57337" spans="1:1">
      <c r="A57337" s="56"/>
    </row>
    <row r="57338" spans="1:1">
      <c r="A57338" s="56"/>
    </row>
    <row r="57339" spans="1:1">
      <c r="A57339" s="56"/>
    </row>
    <row r="57340" spans="1:1">
      <c r="A57340" s="56"/>
    </row>
    <row r="57341" spans="1:1">
      <c r="A57341" s="56"/>
    </row>
    <row r="57342" spans="1:1">
      <c r="A57342" s="56"/>
    </row>
    <row r="57343" spans="1:1">
      <c r="A57343" s="56"/>
    </row>
    <row r="57344" spans="1:1">
      <c r="A57344" s="56"/>
    </row>
    <row r="57345" spans="1:1">
      <c r="A57345" s="56"/>
    </row>
    <row r="57346" spans="1:1">
      <c r="A57346" s="56"/>
    </row>
    <row r="57347" spans="1:1">
      <c r="A57347" s="56"/>
    </row>
    <row r="57348" spans="1:1">
      <c r="A57348" s="56"/>
    </row>
    <row r="57349" spans="1:1">
      <c r="A57349" s="56"/>
    </row>
    <row r="57350" spans="1:1">
      <c r="A57350" s="56"/>
    </row>
    <row r="57351" spans="1:1">
      <c r="A57351" s="56"/>
    </row>
    <row r="57352" spans="1:1">
      <c r="A57352" s="56"/>
    </row>
    <row r="57353" spans="1:1">
      <c r="A57353" s="56"/>
    </row>
    <row r="57354" spans="1:1">
      <c r="A57354" s="56"/>
    </row>
    <row r="57355" spans="1:1">
      <c r="A57355" s="56"/>
    </row>
    <row r="57356" spans="1:1">
      <c r="A57356" s="56"/>
    </row>
    <row r="57357" spans="1:1">
      <c r="A57357" s="56"/>
    </row>
    <row r="57358" spans="1:1">
      <c r="A57358" s="56"/>
    </row>
    <row r="57359" spans="1:1">
      <c r="A57359" s="56"/>
    </row>
    <row r="57360" spans="1:1">
      <c r="A57360" s="56"/>
    </row>
    <row r="57361" spans="1:1">
      <c r="A57361" s="56"/>
    </row>
    <row r="57362" spans="1:1">
      <c r="A57362" s="56"/>
    </row>
    <row r="57363" spans="1:1">
      <c r="A57363" s="56"/>
    </row>
    <row r="57364" spans="1:1">
      <c r="A57364" s="56"/>
    </row>
    <row r="57365" spans="1:1">
      <c r="A57365" s="56"/>
    </row>
    <row r="57366" spans="1:1">
      <c r="A57366" s="56"/>
    </row>
    <row r="57367" spans="1:1">
      <c r="A57367" s="56"/>
    </row>
    <row r="57368" spans="1:1">
      <c r="A57368" s="56"/>
    </row>
    <row r="57369" spans="1:1">
      <c r="A57369" s="56"/>
    </row>
    <row r="57370" spans="1:1">
      <c r="A57370" s="56"/>
    </row>
    <row r="57371" spans="1:1">
      <c r="A57371" s="56"/>
    </row>
    <row r="57372" spans="1:1">
      <c r="A57372" s="56"/>
    </row>
    <row r="57373" spans="1:1">
      <c r="A57373" s="56"/>
    </row>
    <row r="57374" spans="1:1">
      <c r="A57374" s="56"/>
    </row>
    <row r="57375" spans="1:1">
      <c r="A57375" s="56"/>
    </row>
    <row r="57376" spans="1:1">
      <c r="A57376" s="56"/>
    </row>
    <row r="57377" spans="1:1">
      <c r="A57377" s="56"/>
    </row>
    <row r="57378" spans="1:1">
      <c r="A57378" s="56"/>
    </row>
    <row r="57379" spans="1:1">
      <c r="A57379" s="56"/>
    </row>
    <row r="57380" spans="1:1">
      <c r="A57380" s="56"/>
    </row>
    <row r="57381" spans="1:1">
      <c r="A57381" s="56"/>
    </row>
    <row r="57382" spans="1:1">
      <c r="A57382" s="56"/>
    </row>
    <row r="57383" spans="1:1">
      <c r="A57383" s="56"/>
    </row>
    <row r="57384" spans="1:1">
      <c r="A57384" s="56"/>
    </row>
    <row r="57385" spans="1:1">
      <c r="A57385" s="56"/>
    </row>
    <row r="57386" spans="1:1">
      <c r="A57386" s="56"/>
    </row>
    <row r="57387" spans="1:1">
      <c r="A57387" s="56"/>
    </row>
    <row r="57388" spans="1:1">
      <c r="A57388" s="56"/>
    </row>
    <row r="57389" spans="1:1">
      <c r="A57389" s="56"/>
    </row>
    <row r="57390" spans="1:1">
      <c r="A57390" s="56"/>
    </row>
    <row r="57391" spans="1:1">
      <c r="A57391" s="56"/>
    </row>
    <row r="57392" spans="1:1">
      <c r="A57392" s="56"/>
    </row>
    <row r="57393" spans="1:1">
      <c r="A57393" s="56"/>
    </row>
    <row r="57394" spans="1:1">
      <c r="A57394" s="56"/>
    </row>
    <row r="57395" spans="1:1">
      <c r="A57395" s="56"/>
    </row>
    <row r="57396" spans="1:1">
      <c r="A57396" s="56"/>
    </row>
    <row r="57397" spans="1:1">
      <c r="A57397" s="56"/>
    </row>
    <row r="57398" spans="1:1">
      <c r="A57398" s="56"/>
    </row>
    <row r="57399" spans="1:1">
      <c r="A57399" s="56"/>
    </row>
    <row r="57400" spans="1:1">
      <c r="A57400" s="56"/>
    </row>
    <row r="57401" spans="1:1">
      <c r="A57401" s="56"/>
    </row>
    <row r="57402" spans="1:1">
      <c r="A57402" s="56"/>
    </row>
    <row r="57403" spans="1:1">
      <c r="A57403" s="56"/>
    </row>
    <row r="57404" spans="1:1">
      <c r="A57404" s="56"/>
    </row>
    <row r="57405" spans="1:1">
      <c r="A57405" s="56"/>
    </row>
    <row r="57406" spans="1:1">
      <c r="A57406" s="56"/>
    </row>
    <row r="57407" spans="1:1">
      <c r="A57407" s="56"/>
    </row>
    <row r="57408" spans="1:1">
      <c r="A57408" s="56"/>
    </row>
    <row r="57409" spans="1:1">
      <c r="A57409" s="56"/>
    </row>
    <row r="57410" spans="1:1">
      <c r="A57410" s="56"/>
    </row>
    <row r="57411" spans="1:1">
      <c r="A57411" s="56"/>
    </row>
    <row r="57412" spans="1:1">
      <c r="A57412" s="56"/>
    </row>
    <row r="57413" spans="1:1">
      <c r="A57413" s="56"/>
    </row>
    <row r="57414" spans="1:1">
      <c r="A57414" s="56"/>
    </row>
    <row r="57415" spans="1:1">
      <c r="A57415" s="56"/>
    </row>
    <row r="57416" spans="1:1">
      <c r="A57416" s="56"/>
    </row>
    <row r="57417" spans="1:1">
      <c r="A57417" s="56"/>
    </row>
    <row r="57418" spans="1:1">
      <c r="A57418" s="56"/>
    </row>
    <row r="57419" spans="1:1">
      <c r="A57419" s="56"/>
    </row>
    <row r="57420" spans="1:1">
      <c r="A57420" s="56"/>
    </row>
    <row r="57421" spans="1:1">
      <c r="A57421" s="56"/>
    </row>
    <row r="57422" spans="1:1">
      <c r="A57422" s="56"/>
    </row>
    <row r="57423" spans="1:1">
      <c r="A57423" s="56"/>
    </row>
    <row r="57424" spans="1:1">
      <c r="A57424" s="56"/>
    </row>
    <row r="57425" spans="1:1">
      <c r="A57425" s="56"/>
    </row>
    <row r="57426" spans="1:1">
      <c r="A57426" s="56"/>
    </row>
    <row r="57427" spans="1:1">
      <c r="A57427" s="56"/>
    </row>
    <row r="57428" spans="1:1">
      <c r="A57428" s="56"/>
    </row>
    <row r="57429" spans="1:1">
      <c r="A57429" s="56"/>
    </row>
    <row r="57430" spans="1:1">
      <c r="A57430" s="56"/>
    </row>
    <row r="57431" spans="1:1">
      <c r="A57431" s="56"/>
    </row>
    <row r="57432" spans="1:1">
      <c r="A57432" s="56"/>
    </row>
    <row r="57433" spans="1:1">
      <c r="A57433" s="56"/>
    </row>
    <row r="57434" spans="1:1">
      <c r="A57434" s="56"/>
    </row>
    <row r="57435" spans="1:1">
      <c r="A57435" s="56"/>
    </row>
    <row r="57436" spans="1:1">
      <c r="A57436" s="56"/>
    </row>
    <row r="57437" spans="1:1">
      <c r="A57437" s="56"/>
    </row>
    <row r="57438" spans="1:1">
      <c r="A57438" s="56"/>
    </row>
    <row r="57439" spans="1:1">
      <c r="A57439" s="56"/>
    </row>
    <row r="57440" spans="1:1">
      <c r="A57440" s="56"/>
    </row>
    <row r="57441" spans="1:1">
      <c r="A57441" s="56"/>
    </row>
    <row r="57442" spans="1:1">
      <c r="A57442" s="56"/>
    </row>
    <row r="57443" spans="1:1">
      <c r="A57443" s="56"/>
    </row>
    <row r="57444" spans="1:1">
      <c r="A57444" s="56"/>
    </row>
    <row r="57445" spans="1:1">
      <c r="A57445" s="56"/>
    </row>
    <row r="57446" spans="1:1">
      <c r="A57446" s="56"/>
    </row>
    <row r="57447" spans="1:1">
      <c r="A57447" s="56"/>
    </row>
    <row r="57448" spans="1:1">
      <c r="A57448" s="56"/>
    </row>
    <row r="57449" spans="1:1">
      <c r="A57449" s="56"/>
    </row>
    <row r="57450" spans="1:1">
      <c r="A57450" s="56"/>
    </row>
    <row r="57451" spans="1:1">
      <c r="A57451" s="56"/>
    </row>
    <row r="57452" spans="1:1">
      <c r="A57452" s="56"/>
    </row>
    <row r="57453" spans="1:1">
      <c r="A57453" s="56"/>
    </row>
    <row r="57454" spans="1:1">
      <c r="A57454" s="56"/>
    </row>
    <row r="57455" spans="1:1">
      <c r="A57455" s="56"/>
    </row>
    <row r="57456" spans="1:1">
      <c r="A57456" s="56"/>
    </row>
    <row r="57457" spans="1:1">
      <c r="A57457" s="56"/>
    </row>
    <row r="57458" spans="1:1">
      <c r="A57458" s="56"/>
    </row>
    <row r="57459" spans="1:1">
      <c r="A57459" s="56"/>
    </row>
    <row r="57460" spans="1:1">
      <c r="A57460" s="56"/>
    </row>
    <row r="57461" spans="1:1">
      <c r="A57461" s="56"/>
    </row>
    <row r="57462" spans="1:1">
      <c r="A57462" s="56"/>
    </row>
    <row r="57463" spans="1:1">
      <c r="A57463" s="56"/>
    </row>
    <row r="57464" spans="1:1">
      <c r="A57464" s="56"/>
    </row>
    <row r="57465" spans="1:1">
      <c r="A57465" s="56"/>
    </row>
    <row r="57466" spans="1:1">
      <c r="A57466" s="56"/>
    </row>
    <row r="57467" spans="1:1">
      <c r="A57467" s="56"/>
    </row>
    <row r="57468" spans="1:1">
      <c r="A57468" s="56"/>
    </row>
    <row r="57469" spans="1:1">
      <c r="A57469" s="56"/>
    </row>
    <row r="57470" spans="1:1">
      <c r="A57470" s="56"/>
    </row>
    <row r="57471" spans="1:1">
      <c r="A57471" s="56"/>
    </row>
    <row r="57472" spans="1:1">
      <c r="A57472" s="56"/>
    </row>
    <row r="57473" spans="1:1">
      <c r="A57473" s="56"/>
    </row>
    <row r="57474" spans="1:1">
      <c r="A57474" s="56"/>
    </row>
    <row r="57475" spans="1:1">
      <c r="A57475" s="56"/>
    </row>
    <row r="57476" spans="1:1">
      <c r="A57476" s="56"/>
    </row>
    <row r="57477" spans="1:1">
      <c r="A57477" s="56"/>
    </row>
    <row r="57478" spans="1:1">
      <c r="A57478" s="56"/>
    </row>
    <row r="57479" spans="1:1">
      <c r="A57479" s="56"/>
    </row>
    <row r="57480" spans="1:1">
      <c r="A57480" s="56"/>
    </row>
    <row r="57481" spans="1:1">
      <c r="A57481" s="56"/>
    </row>
    <row r="57482" spans="1:1">
      <c r="A57482" s="56"/>
    </row>
    <row r="57483" spans="1:1">
      <c r="A57483" s="56"/>
    </row>
    <row r="57484" spans="1:1">
      <c r="A57484" s="56"/>
    </row>
    <row r="57485" spans="1:1">
      <c r="A57485" s="56"/>
    </row>
    <row r="57486" spans="1:1">
      <c r="A57486" s="56"/>
    </row>
    <row r="57487" spans="1:1">
      <c r="A57487" s="56"/>
    </row>
    <row r="57488" spans="1:1">
      <c r="A57488" s="56"/>
    </row>
    <row r="57489" spans="1:1">
      <c r="A57489" s="56"/>
    </row>
    <row r="57490" spans="1:1">
      <c r="A57490" s="56"/>
    </row>
    <row r="57491" spans="1:1">
      <c r="A57491" s="56"/>
    </row>
    <row r="57492" spans="1:1">
      <c r="A57492" s="56"/>
    </row>
    <row r="57493" spans="1:1">
      <c r="A57493" s="56"/>
    </row>
    <row r="57494" spans="1:1">
      <c r="A57494" s="56"/>
    </row>
    <row r="57495" spans="1:1">
      <c r="A57495" s="56"/>
    </row>
    <row r="57496" spans="1:1">
      <c r="A57496" s="56"/>
    </row>
    <row r="57497" spans="1:1">
      <c r="A57497" s="56"/>
    </row>
    <row r="57498" spans="1:1">
      <c r="A57498" s="56"/>
    </row>
    <row r="57499" spans="1:1">
      <c r="A57499" s="56"/>
    </row>
    <row r="57500" spans="1:1">
      <c r="A57500" s="56"/>
    </row>
    <row r="57501" spans="1:1">
      <c r="A57501" s="56"/>
    </row>
    <row r="57502" spans="1:1">
      <c r="A57502" s="56"/>
    </row>
    <row r="57503" spans="1:1">
      <c r="A57503" s="56"/>
    </row>
    <row r="57504" spans="1:1">
      <c r="A57504" s="56"/>
    </row>
    <row r="57505" spans="1:1">
      <c r="A57505" s="56"/>
    </row>
    <row r="57506" spans="1:1">
      <c r="A57506" s="56"/>
    </row>
    <row r="57507" spans="1:1">
      <c r="A57507" s="56"/>
    </row>
    <row r="57508" spans="1:1">
      <c r="A57508" s="56"/>
    </row>
    <row r="57509" spans="1:1">
      <c r="A57509" s="56"/>
    </row>
    <row r="57510" spans="1:1">
      <c r="A57510" s="56"/>
    </row>
    <row r="57511" spans="1:1">
      <c r="A57511" s="56"/>
    </row>
    <row r="57512" spans="1:1">
      <c r="A57512" s="56"/>
    </row>
    <row r="57513" spans="1:1">
      <c r="A57513" s="56"/>
    </row>
    <row r="57514" spans="1:1">
      <c r="A57514" s="56"/>
    </row>
    <row r="57515" spans="1:1">
      <c r="A57515" s="56"/>
    </row>
    <row r="57516" spans="1:1">
      <c r="A57516" s="56"/>
    </row>
    <row r="57517" spans="1:1">
      <c r="A57517" s="56"/>
    </row>
    <row r="57518" spans="1:1">
      <c r="A57518" s="56"/>
    </row>
    <row r="57519" spans="1:1">
      <c r="A57519" s="56"/>
    </row>
    <row r="57520" spans="1:1">
      <c r="A57520" s="56"/>
    </row>
    <row r="57521" spans="1:1">
      <c r="A57521" s="56"/>
    </row>
    <row r="57522" spans="1:1">
      <c r="A57522" s="56"/>
    </row>
    <row r="57523" spans="1:1">
      <c r="A57523" s="56"/>
    </row>
    <row r="57524" spans="1:1">
      <c r="A57524" s="56"/>
    </row>
    <row r="57525" spans="1:1">
      <c r="A57525" s="56"/>
    </row>
    <row r="57526" spans="1:1">
      <c r="A57526" s="56"/>
    </row>
    <row r="57527" spans="1:1">
      <c r="A57527" s="56"/>
    </row>
    <row r="57528" spans="1:1">
      <c r="A57528" s="56"/>
    </row>
    <row r="57529" spans="1:1">
      <c r="A57529" s="56"/>
    </row>
    <row r="57530" spans="1:1">
      <c r="A57530" s="56"/>
    </row>
    <row r="57531" spans="1:1">
      <c r="A57531" s="56"/>
    </row>
    <row r="57532" spans="1:1">
      <c r="A57532" s="56"/>
    </row>
    <row r="57533" spans="1:1">
      <c r="A57533" s="56"/>
    </row>
    <row r="57534" spans="1:1">
      <c r="A57534" s="56"/>
    </row>
    <row r="57535" spans="1:1">
      <c r="A57535" s="56"/>
    </row>
    <row r="57536" spans="1:1">
      <c r="A57536" s="56"/>
    </row>
    <row r="57537" spans="1:1">
      <c r="A57537" s="56"/>
    </row>
    <row r="57538" spans="1:1">
      <c r="A57538" s="56"/>
    </row>
    <row r="57539" spans="1:1">
      <c r="A57539" s="56"/>
    </row>
    <row r="57540" spans="1:1">
      <c r="A57540" s="56"/>
    </row>
    <row r="57541" spans="1:1">
      <c r="A57541" s="56"/>
    </row>
    <row r="57542" spans="1:1">
      <c r="A57542" s="56"/>
    </row>
    <row r="57543" spans="1:1">
      <c r="A57543" s="56"/>
    </row>
    <row r="57544" spans="1:1">
      <c r="A57544" s="56"/>
    </row>
    <row r="57545" spans="1:1">
      <c r="A57545" s="56"/>
    </row>
    <row r="57546" spans="1:1">
      <c r="A57546" s="56"/>
    </row>
    <row r="57547" spans="1:1">
      <c r="A57547" s="56"/>
    </row>
    <row r="57548" spans="1:1">
      <c r="A57548" s="56"/>
    </row>
    <row r="57549" spans="1:1">
      <c r="A57549" s="56"/>
    </row>
    <row r="57550" spans="1:1">
      <c r="A57550" s="56"/>
    </row>
    <row r="57551" spans="1:1">
      <c r="A57551" s="56"/>
    </row>
    <row r="57552" spans="1:1">
      <c r="A57552" s="56"/>
    </row>
    <row r="57553" spans="1:1">
      <c r="A57553" s="56"/>
    </row>
    <row r="57554" spans="1:1">
      <c r="A57554" s="56"/>
    </row>
    <row r="57555" spans="1:1">
      <c r="A57555" s="56"/>
    </row>
    <row r="57556" spans="1:1">
      <c r="A57556" s="56"/>
    </row>
    <row r="57557" spans="1:1">
      <c r="A57557" s="56"/>
    </row>
    <row r="57558" spans="1:1">
      <c r="A57558" s="56"/>
    </row>
    <row r="57559" spans="1:1">
      <c r="A57559" s="56"/>
    </row>
    <row r="57560" spans="1:1">
      <c r="A57560" s="56"/>
    </row>
    <row r="57561" spans="1:1">
      <c r="A57561" s="56"/>
    </row>
    <row r="57562" spans="1:1">
      <c r="A57562" s="56"/>
    </row>
    <row r="57563" spans="1:1">
      <c r="A57563" s="56"/>
    </row>
    <row r="57564" spans="1:1">
      <c r="A57564" s="56"/>
    </row>
    <row r="57565" spans="1:1">
      <c r="A57565" s="56"/>
    </row>
    <row r="57566" spans="1:1">
      <c r="A57566" s="56"/>
    </row>
    <row r="57567" spans="1:1">
      <c r="A57567" s="56"/>
    </row>
    <row r="57568" spans="1:1">
      <c r="A57568" s="56"/>
    </row>
    <row r="57569" spans="1:1">
      <c r="A57569" s="56"/>
    </row>
    <row r="57570" spans="1:1">
      <c r="A57570" s="56"/>
    </row>
    <row r="57571" spans="1:1">
      <c r="A57571" s="56"/>
    </row>
    <row r="57572" spans="1:1">
      <c r="A57572" s="56"/>
    </row>
    <row r="57573" spans="1:1">
      <c r="A57573" s="56"/>
    </row>
    <row r="57574" spans="1:1">
      <c r="A57574" s="56"/>
    </row>
    <row r="57575" spans="1:1">
      <c r="A57575" s="56"/>
    </row>
    <row r="57576" spans="1:1">
      <c r="A57576" s="56"/>
    </row>
    <row r="57577" spans="1:1">
      <c r="A57577" s="56"/>
    </row>
    <row r="57578" spans="1:1">
      <c r="A57578" s="56"/>
    </row>
    <row r="57579" spans="1:1">
      <c r="A57579" s="56"/>
    </row>
    <row r="57580" spans="1:1">
      <c r="A57580" s="56"/>
    </row>
    <row r="57581" spans="1:1">
      <c r="A57581" s="56"/>
    </row>
    <row r="57582" spans="1:1">
      <c r="A57582" s="56"/>
    </row>
    <row r="57583" spans="1:1">
      <c r="A57583" s="56"/>
    </row>
    <row r="57584" spans="1:1">
      <c r="A57584" s="56"/>
    </row>
    <row r="57585" spans="1:1">
      <c r="A57585" s="56"/>
    </row>
    <row r="57586" spans="1:1">
      <c r="A57586" s="56"/>
    </row>
    <row r="57587" spans="1:1">
      <c r="A57587" s="56"/>
    </row>
    <row r="57588" spans="1:1">
      <c r="A57588" s="56"/>
    </row>
    <row r="57589" spans="1:1">
      <c r="A57589" s="56"/>
    </row>
    <row r="57590" spans="1:1">
      <c r="A57590" s="56"/>
    </row>
    <row r="57591" spans="1:1">
      <c r="A57591" s="56"/>
    </row>
    <row r="57592" spans="1:1">
      <c r="A57592" s="56"/>
    </row>
    <row r="57593" spans="1:1">
      <c r="A57593" s="56"/>
    </row>
    <row r="57594" spans="1:1">
      <c r="A57594" s="56"/>
    </row>
    <row r="57595" spans="1:1">
      <c r="A57595" s="56"/>
    </row>
    <row r="57596" spans="1:1">
      <c r="A57596" s="56"/>
    </row>
    <row r="57597" spans="1:1">
      <c r="A57597" s="56"/>
    </row>
    <row r="57598" spans="1:1">
      <c r="A57598" s="56"/>
    </row>
    <row r="57599" spans="1:1">
      <c r="A57599" s="56"/>
    </row>
    <row r="57600" spans="1:1">
      <c r="A57600" s="56"/>
    </row>
    <row r="57601" spans="1:1">
      <c r="A57601" s="56"/>
    </row>
    <row r="57602" spans="1:1">
      <c r="A57602" s="56"/>
    </row>
    <row r="57603" spans="1:1">
      <c r="A57603" s="56"/>
    </row>
    <row r="57604" spans="1:1">
      <c r="A57604" s="56"/>
    </row>
    <row r="57605" spans="1:1">
      <c r="A57605" s="56"/>
    </row>
    <row r="57606" spans="1:1">
      <c r="A57606" s="56"/>
    </row>
    <row r="57607" spans="1:1">
      <c r="A57607" s="56"/>
    </row>
    <row r="57608" spans="1:1">
      <c r="A57608" s="56"/>
    </row>
    <row r="57609" spans="1:1">
      <c r="A57609" s="56"/>
    </row>
    <row r="57610" spans="1:1">
      <c r="A57610" s="56"/>
    </row>
    <row r="57611" spans="1:1">
      <c r="A57611" s="56"/>
    </row>
    <row r="57612" spans="1:1">
      <c r="A57612" s="56"/>
    </row>
    <row r="57613" spans="1:1">
      <c r="A57613" s="56"/>
    </row>
    <row r="57614" spans="1:1">
      <c r="A57614" s="56"/>
    </row>
    <row r="57615" spans="1:1">
      <c r="A57615" s="56"/>
    </row>
    <row r="57616" spans="1:1">
      <c r="A57616" s="56"/>
    </row>
    <row r="57617" spans="1:1">
      <c r="A57617" s="56"/>
    </row>
    <row r="57618" spans="1:1">
      <c r="A57618" s="56"/>
    </row>
    <row r="57619" spans="1:1">
      <c r="A57619" s="56"/>
    </row>
    <row r="57620" spans="1:1">
      <c r="A57620" s="56"/>
    </row>
    <row r="57621" spans="1:1">
      <c r="A57621" s="56"/>
    </row>
    <row r="57622" spans="1:1">
      <c r="A57622" s="56"/>
    </row>
    <row r="57623" spans="1:1">
      <c r="A57623" s="56"/>
    </row>
    <row r="57624" spans="1:1">
      <c r="A57624" s="56"/>
    </row>
    <row r="57625" spans="1:1">
      <c r="A57625" s="56"/>
    </row>
    <row r="57626" spans="1:1">
      <c r="A57626" s="56"/>
    </row>
    <row r="57627" spans="1:1">
      <c r="A57627" s="56"/>
    </row>
    <row r="57628" spans="1:1">
      <c r="A57628" s="56"/>
    </row>
    <row r="57629" spans="1:1">
      <c r="A57629" s="56"/>
    </row>
    <row r="57630" spans="1:1">
      <c r="A57630" s="56"/>
    </row>
    <row r="57631" spans="1:1">
      <c r="A57631" s="56"/>
    </row>
    <row r="57632" spans="1:1">
      <c r="A57632" s="56"/>
    </row>
    <row r="57633" spans="1:1">
      <c r="A57633" s="56"/>
    </row>
    <row r="57634" spans="1:1">
      <c r="A57634" s="56"/>
    </row>
    <row r="57635" spans="1:1">
      <c r="A57635" s="56"/>
    </row>
    <row r="57636" spans="1:1">
      <c r="A57636" s="56"/>
    </row>
    <row r="57637" spans="1:1">
      <c r="A57637" s="56"/>
    </row>
    <row r="57638" spans="1:1">
      <c r="A57638" s="56"/>
    </row>
    <row r="57639" spans="1:1">
      <c r="A57639" s="56"/>
    </row>
    <row r="57640" spans="1:1">
      <c r="A57640" s="56"/>
    </row>
    <row r="57641" spans="1:1">
      <c r="A57641" s="56"/>
    </row>
    <row r="57642" spans="1:1">
      <c r="A57642" s="56"/>
    </row>
    <row r="57643" spans="1:1">
      <c r="A57643" s="56"/>
    </row>
    <row r="57644" spans="1:1">
      <c r="A57644" s="56"/>
    </row>
    <row r="57645" spans="1:1">
      <c r="A57645" s="56"/>
    </row>
    <row r="57646" spans="1:1">
      <c r="A57646" s="56"/>
    </row>
    <row r="57647" spans="1:1">
      <c r="A57647" s="56"/>
    </row>
    <row r="57648" spans="1:1">
      <c r="A57648" s="56"/>
    </row>
    <row r="57649" spans="1:1">
      <c r="A57649" s="56"/>
    </row>
    <row r="57650" spans="1:1">
      <c r="A57650" s="56"/>
    </row>
    <row r="57651" spans="1:1">
      <c r="A57651" s="56"/>
    </row>
    <row r="57652" spans="1:1">
      <c r="A57652" s="56"/>
    </row>
    <row r="57653" spans="1:1">
      <c r="A57653" s="56"/>
    </row>
    <row r="57654" spans="1:1">
      <c r="A57654" s="56"/>
    </row>
    <row r="57655" spans="1:1">
      <c r="A57655" s="56"/>
    </row>
    <row r="57656" spans="1:1">
      <c r="A57656" s="56"/>
    </row>
    <row r="57657" spans="1:1">
      <c r="A57657" s="56"/>
    </row>
    <row r="57658" spans="1:1">
      <c r="A57658" s="56"/>
    </row>
    <row r="57659" spans="1:1">
      <c r="A57659" s="56"/>
    </row>
    <row r="57660" spans="1:1">
      <c r="A57660" s="56"/>
    </row>
    <row r="57661" spans="1:1">
      <c r="A57661" s="56"/>
    </row>
    <row r="57662" spans="1:1">
      <c r="A57662" s="56"/>
    </row>
    <row r="57663" spans="1:1">
      <c r="A57663" s="56"/>
    </row>
    <row r="57664" spans="1:1">
      <c r="A57664" s="56"/>
    </row>
    <row r="57665" spans="1:1">
      <c r="A57665" s="56"/>
    </row>
    <row r="57666" spans="1:1">
      <c r="A57666" s="56"/>
    </row>
    <row r="57667" spans="1:1">
      <c r="A57667" s="56"/>
    </row>
    <row r="57668" spans="1:1">
      <c r="A57668" s="56"/>
    </row>
    <row r="57669" spans="1:1">
      <c r="A57669" s="56"/>
    </row>
    <row r="57670" spans="1:1">
      <c r="A57670" s="56"/>
    </row>
    <row r="57671" spans="1:1">
      <c r="A57671" s="56"/>
    </row>
    <row r="57672" spans="1:1">
      <c r="A57672" s="56"/>
    </row>
    <row r="57673" spans="1:1">
      <c r="A57673" s="56"/>
    </row>
    <row r="57674" spans="1:1">
      <c r="A57674" s="56"/>
    </row>
    <row r="57675" spans="1:1">
      <c r="A57675" s="56"/>
    </row>
    <row r="57676" spans="1:1">
      <c r="A57676" s="56"/>
    </row>
    <row r="57677" spans="1:1">
      <c r="A57677" s="56"/>
    </row>
    <row r="57678" spans="1:1">
      <c r="A57678" s="56"/>
    </row>
    <row r="57679" spans="1:1">
      <c r="A57679" s="56"/>
    </row>
    <row r="57680" spans="1:1">
      <c r="A57680" s="56"/>
    </row>
    <row r="57681" spans="1:1">
      <c r="A57681" s="56"/>
    </row>
    <row r="57682" spans="1:1">
      <c r="A57682" s="56"/>
    </row>
    <row r="57683" spans="1:1">
      <c r="A57683" s="56"/>
    </row>
    <row r="57684" spans="1:1">
      <c r="A57684" s="56"/>
    </row>
    <row r="57685" spans="1:1">
      <c r="A57685" s="56"/>
    </row>
    <row r="57686" spans="1:1">
      <c r="A57686" s="56"/>
    </row>
    <row r="57687" spans="1:1">
      <c r="A57687" s="56"/>
    </row>
    <row r="57688" spans="1:1">
      <c r="A57688" s="56"/>
    </row>
    <row r="57689" spans="1:1">
      <c r="A57689" s="56"/>
    </row>
    <row r="57690" spans="1:1">
      <c r="A57690" s="56"/>
    </row>
    <row r="57691" spans="1:1">
      <c r="A57691" s="56"/>
    </row>
    <row r="57692" spans="1:1">
      <c r="A57692" s="56"/>
    </row>
    <row r="57693" spans="1:1">
      <c r="A57693" s="56"/>
    </row>
    <row r="57694" spans="1:1">
      <c r="A57694" s="56"/>
    </row>
    <row r="57695" spans="1:1">
      <c r="A57695" s="56"/>
    </row>
    <row r="57696" spans="1:1">
      <c r="A57696" s="56"/>
    </row>
    <row r="57697" spans="1:1">
      <c r="A57697" s="56"/>
    </row>
    <row r="57698" spans="1:1">
      <c r="A57698" s="56"/>
    </row>
    <row r="57699" spans="1:1">
      <c r="A57699" s="56"/>
    </row>
    <row r="57700" spans="1:1">
      <c r="A57700" s="56"/>
    </row>
    <row r="57701" spans="1:1">
      <c r="A57701" s="56"/>
    </row>
    <row r="57702" spans="1:1">
      <c r="A57702" s="56"/>
    </row>
    <row r="57703" spans="1:1">
      <c r="A57703" s="56"/>
    </row>
    <row r="57704" spans="1:1">
      <c r="A57704" s="56"/>
    </row>
    <row r="57705" spans="1:1">
      <c r="A57705" s="56"/>
    </row>
    <row r="57706" spans="1:1">
      <c r="A57706" s="56"/>
    </row>
    <row r="57707" spans="1:1">
      <c r="A57707" s="56"/>
    </row>
    <row r="57708" spans="1:1">
      <c r="A57708" s="56"/>
    </row>
    <row r="57709" spans="1:1">
      <c r="A57709" s="56"/>
    </row>
    <row r="57710" spans="1:1">
      <c r="A57710" s="56"/>
    </row>
    <row r="57711" spans="1:1">
      <c r="A57711" s="56"/>
    </row>
    <row r="57712" spans="1:1">
      <c r="A57712" s="56"/>
    </row>
    <row r="57713" spans="1:1">
      <c r="A57713" s="56"/>
    </row>
    <row r="57714" spans="1:1">
      <c r="A57714" s="56"/>
    </row>
    <row r="57715" spans="1:1">
      <c r="A57715" s="56"/>
    </row>
    <row r="57716" spans="1:1">
      <c r="A57716" s="56"/>
    </row>
    <row r="57717" spans="1:1">
      <c r="A57717" s="56"/>
    </row>
    <row r="57718" spans="1:1">
      <c r="A57718" s="56"/>
    </row>
    <row r="57719" spans="1:1">
      <c r="A57719" s="56"/>
    </row>
    <row r="57720" spans="1:1">
      <c r="A57720" s="56"/>
    </row>
    <row r="57721" spans="1:1">
      <c r="A57721" s="56"/>
    </row>
    <row r="57722" spans="1:1">
      <c r="A57722" s="56"/>
    </row>
    <row r="57723" spans="1:1">
      <c r="A57723" s="56"/>
    </row>
    <row r="57724" spans="1:1">
      <c r="A57724" s="56"/>
    </row>
    <row r="57725" spans="1:1">
      <c r="A57725" s="56"/>
    </row>
    <row r="57726" spans="1:1">
      <c r="A57726" s="56"/>
    </row>
    <row r="57727" spans="1:1">
      <c r="A57727" s="56"/>
    </row>
    <row r="57728" spans="1:1">
      <c r="A57728" s="56"/>
    </row>
    <row r="57729" spans="1:1">
      <c r="A57729" s="56"/>
    </row>
    <row r="57730" spans="1:1">
      <c r="A57730" s="56"/>
    </row>
    <row r="57731" spans="1:1">
      <c r="A57731" s="56"/>
    </row>
    <row r="57732" spans="1:1">
      <c r="A57732" s="56"/>
    </row>
    <row r="57733" spans="1:1">
      <c r="A57733" s="56"/>
    </row>
    <row r="57734" spans="1:1">
      <c r="A57734" s="56"/>
    </row>
    <row r="57735" spans="1:1">
      <c r="A57735" s="56"/>
    </row>
    <row r="57736" spans="1:1">
      <c r="A57736" s="56"/>
    </row>
    <row r="57737" spans="1:1">
      <c r="A57737" s="56"/>
    </row>
    <row r="57738" spans="1:1">
      <c r="A57738" s="56"/>
    </row>
    <row r="57739" spans="1:1">
      <c r="A57739" s="56"/>
    </row>
    <row r="57740" spans="1:1">
      <c r="A57740" s="56"/>
    </row>
    <row r="57741" spans="1:1">
      <c r="A57741" s="56"/>
    </row>
    <row r="57742" spans="1:1">
      <c r="A57742" s="56"/>
    </row>
    <row r="57743" spans="1:1">
      <c r="A57743" s="56"/>
    </row>
    <row r="57744" spans="1:1">
      <c r="A57744" s="56"/>
    </row>
    <row r="57745" spans="1:1">
      <c r="A57745" s="56"/>
    </row>
    <row r="57746" spans="1:1">
      <c r="A57746" s="56"/>
    </row>
    <row r="57747" spans="1:1">
      <c r="A57747" s="56"/>
    </row>
    <row r="57748" spans="1:1">
      <c r="A57748" s="56"/>
    </row>
    <row r="57749" spans="1:1">
      <c r="A57749" s="56"/>
    </row>
    <row r="57750" spans="1:1">
      <c r="A57750" s="56"/>
    </row>
    <row r="57751" spans="1:1">
      <c r="A57751" s="56"/>
    </row>
    <row r="57752" spans="1:1">
      <c r="A57752" s="56"/>
    </row>
    <row r="57753" spans="1:1">
      <c r="A57753" s="56"/>
    </row>
    <row r="57754" spans="1:1">
      <c r="A57754" s="56"/>
    </row>
    <row r="57755" spans="1:1">
      <c r="A57755" s="56"/>
    </row>
    <row r="57756" spans="1:1">
      <c r="A57756" s="56"/>
    </row>
    <row r="57757" spans="1:1">
      <c r="A57757" s="56"/>
    </row>
    <row r="57758" spans="1:1">
      <c r="A57758" s="56"/>
    </row>
    <row r="57759" spans="1:1">
      <c r="A57759" s="56"/>
    </row>
    <row r="57760" spans="1:1">
      <c r="A57760" s="56"/>
    </row>
    <row r="57761" spans="1:1">
      <c r="A57761" s="56"/>
    </row>
    <row r="57762" spans="1:1">
      <c r="A57762" s="56"/>
    </row>
    <row r="57763" spans="1:1">
      <c r="A57763" s="56"/>
    </row>
    <row r="57764" spans="1:1">
      <c r="A57764" s="56"/>
    </row>
    <row r="57765" spans="1:1">
      <c r="A57765" s="56"/>
    </row>
    <row r="57766" spans="1:1">
      <c r="A57766" s="56"/>
    </row>
    <row r="57767" spans="1:1">
      <c r="A57767" s="56"/>
    </row>
    <row r="57768" spans="1:1">
      <c r="A57768" s="56"/>
    </row>
    <row r="57769" spans="1:1">
      <c r="A57769" s="56"/>
    </row>
    <row r="57770" spans="1:1">
      <c r="A57770" s="56"/>
    </row>
    <row r="57771" spans="1:1">
      <c r="A57771" s="56"/>
    </row>
    <row r="57772" spans="1:1">
      <c r="A57772" s="56"/>
    </row>
    <row r="57773" spans="1:1">
      <c r="A57773" s="56"/>
    </row>
    <row r="57774" spans="1:1">
      <c r="A57774" s="56"/>
    </row>
    <row r="57775" spans="1:1">
      <c r="A57775" s="56"/>
    </row>
    <row r="57776" spans="1:1">
      <c r="A57776" s="56"/>
    </row>
    <row r="57777" spans="1:1">
      <c r="A57777" s="56"/>
    </row>
    <row r="57778" spans="1:1">
      <c r="A57778" s="56"/>
    </row>
    <row r="57779" spans="1:1">
      <c r="A57779" s="56"/>
    </row>
    <row r="57780" spans="1:1">
      <c r="A57780" s="56"/>
    </row>
    <row r="57781" spans="1:1">
      <c r="A57781" s="56"/>
    </row>
    <row r="57782" spans="1:1">
      <c r="A57782" s="56"/>
    </row>
    <row r="57783" spans="1:1">
      <c r="A57783" s="56"/>
    </row>
    <row r="57784" spans="1:1">
      <c r="A57784" s="56"/>
    </row>
    <row r="57785" spans="1:1">
      <c r="A57785" s="56"/>
    </row>
    <row r="57786" spans="1:1">
      <c r="A57786" s="56"/>
    </row>
    <row r="57787" spans="1:1">
      <c r="A57787" s="56"/>
    </row>
    <row r="57788" spans="1:1">
      <c r="A57788" s="56"/>
    </row>
    <row r="57789" spans="1:1">
      <c r="A57789" s="56"/>
    </row>
    <row r="57790" spans="1:1">
      <c r="A57790" s="56"/>
    </row>
    <row r="57791" spans="1:1">
      <c r="A57791" s="56"/>
    </row>
    <row r="57792" spans="1:1">
      <c r="A57792" s="56"/>
    </row>
    <row r="57793" spans="1:1">
      <c r="A57793" s="56"/>
    </row>
    <row r="57794" spans="1:1">
      <c r="A57794" s="56"/>
    </row>
    <row r="57795" spans="1:1">
      <c r="A57795" s="56"/>
    </row>
    <row r="57796" spans="1:1">
      <c r="A57796" s="56"/>
    </row>
    <row r="57797" spans="1:1">
      <c r="A57797" s="56"/>
    </row>
    <row r="57798" spans="1:1">
      <c r="A57798" s="56"/>
    </row>
    <row r="57799" spans="1:1">
      <c r="A57799" s="56"/>
    </row>
    <row r="57800" spans="1:1">
      <c r="A57800" s="56"/>
    </row>
    <row r="57801" spans="1:1">
      <c r="A57801" s="56"/>
    </row>
    <row r="57802" spans="1:1">
      <c r="A57802" s="56"/>
    </row>
    <row r="57803" spans="1:1">
      <c r="A57803" s="56"/>
    </row>
    <row r="57804" spans="1:1">
      <c r="A57804" s="56"/>
    </row>
    <row r="57805" spans="1:1">
      <c r="A57805" s="56"/>
    </row>
    <row r="57806" spans="1:1">
      <c r="A57806" s="56"/>
    </row>
    <row r="57807" spans="1:1">
      <c r="A57807" s="56"/>
    </row>
    <row r="57808" spans="1:1">
      <c r="A57808" s="56"/>
    </row>
    <row r="57809" spans="1:1">
      <c r="A57809" s="56"/>
    </row>
    <row r="57810" spans="1:1">
      <c r="A57810" s="56"/>
    </row>
    <row r="57811" spans="1:1">
      <c r="A57811" s="56"/>
    </row>
    <row r="57812" spans="1:1">
      <c r="A57812" s="56"/>
    </row>
    <row r="57813" spans="1:1">
      <c r="A57813" s="56"/>
    </row>
    <row r="57814" spans="1:1">
      <c r="A57814" s="56"/>
    </row>
    <row r="57815" spans="1:1">
      <c r="A57815" s="56"/>
    </row>
    <row r="57816" spans="1:1">
      <c r="A57816" s="56"/>
    </row>
    <row r="57817" spans="1:1">
      <c r="A57817" s="56"/>
    </row>
    <row r="57818" spans="1:1">
      <c r="A57818" s="56"/>
    </row>
    <row r="57819" spans="1:1">
      <c r="A57819" s="56"/>
    </row>
    <row r="57820" spans="1:1">
      <c r="A57820" s="56"/>
    </row>
    <row r="57821" spans="1:1">
      <c r="A57821" s="56"/>
    </row>
    <row r="57822" spans="1:1">
      <c r="A57822" s="56"/>
    </row>
    <row r="57823" spans="1:1">
      <c r="A57823" s="56"/>
    </row>
    <row r="57824" spans="1:1">
      <c r="A57824" s="56"/>
    </row>
    <row r="57825" spans="1:1">
      <c r="A57825" s="56"/>
    </row>
    <row r="57826" spans="1:1">
      <c r="A57826" s="56"/>
    </row>
    <row r="57827" spans="1:1">
      <c r="A57827" s="56"/>
    </row>
    <row r="57828" spans="1:1">
      <c r="A57828" s="56"/>
    </row>
    <row r="57829" spans="1:1">
      <c r="A57829" s="56"/>
    </row>
    <row r="57830" spans="1:1">
      <c r="A57830" s="56"/>
    </row>
    <row r="57831" spans="1:1">
      <c r="A57831" s="56"/>
    </row>
    <row r="57832" spans="1:1">
      <c r="A57832" s="56"/>
    </row>
    <row r="57833" spans="1:1">
      <c r="A57833" s="56"/>
    </row>
    <row r="57834" spans="1:1">
      <c r="A57834" s="56"/>
    </row>
    <row r="57835" spans="1:1">
      <c r="A57835" s="56"/>
    </row>
    <row r="57836" spans="1:1">
      <c r="A57836" s="56"/>
    </row>
    <row r="57837" spans="1:1">
      <c r="A57837" s="56"/>
    </row>
    <row r="57838" spans="1:1">
      <c r="A57838" s="56"/>
    </row>
    <row r="57839" spans="1:1">
      <c r="A57839" s="56"/>
    </row>
    <row r="57840" spans="1:1">
      <c r="A57840" s="56"/>
    </row>
    <row r="57841" spans="1:1">
      <c r="A57841" s="56"/>
    </row>
    <row r="57842" spans="1:1">
      <c r="A57842" s="56"/>
    </row>
    <row r="57843" spans="1:1">
      <c r="A57843" s="56"/>
    </row>
    <row r="57844" spans="1:1">
      <c r="A57844" s="56"/>
    </row>
    <row r="57845" spans="1:1">
      <c r="A57845" s="56"/>
    </row>
    <row r="57846" spans="1:1">
      <c r="A57846" s="56"/>
    </row>
    <row r="57847" spans="1:1">
      <c r="A57847" s="56"/>
    </row>
    <row r="57848" spans="1:1">
      <c r="A57848" s="56"/>
    </row>
    <row r="57849" spans="1:1">
      <c r="A57849" s="56"/>
    </row>
    <row r="57850" spans="1:1">
      <c r="A57850" s="56"/>
    </row>
    <row r="57851" spans="1:1">
      <c r="A57851" s="56"/>
    </row>
    <row r="57852" spans="1:1">
      <c r="A57852" s="56"/>
    </row>
    <row r="57853" spans="1:1">
      <c r="A57853" s="56"/>
    </row>
    <row r="57854" spans="1:1">
      <c r="A57854" s="56"/>
    </row>
    <row r="57855" spans="1:1">
      <c r="A57855" s="56"/>
    </row>
    <row r="57856" spans="1:1">
      <c r="A57856" s="56"/>
    </row>
    <row r="57857" spans="1:1">
      <c r="A57857" s="56"/>
    </row>
    <row r="57858" spans="1:1">
      <c r="A57858" s="56"/>
    </row>
    <row r="57859" spans="1:1">
      <c r="A57859" s="56"/>
    </row>
    <row r="57860" spans="1:1">
      <c r="A57860" s="56"/>
    </row>
    <row r="57861" spans="1:1">
      <c r="A57861" s="56"/>
    </row>
    <row r="57862" spans="1:1">
      <c r="A57862" s="56"/>
    </row>
    <row r="57863" spans="1:1">
      <c r="A57863" s="56"/>
    </row>
    <row r="57864" spans="1:1">
      <c r="A57864" s="56"/>
    </row>
    <row r="57865" spans="1:1">
      <c r="A57865" s="56"/>
    </row>
    <row r="57866" spans="1:1">
      <c r="A57866" s="56"/>
    </row>
    <row r="57867" spans="1:1">
      <c r="A57867" s="56"/>
    </row>
    <row r="57868" spans="1:1">
      <c r="A57868" s="56"/>
    </row>
    <row r="57869" spans="1:1">
      <c r="A57869" s="56"/>
    </row>
    <row r="57870" spans="1:1">
      <c r="A57870" s="56"/>
    </row>
    <row r="57871" spans="1:1">
      <c r="A57871" s="56"/>
    </row>
    <row r="57872" spans="1:1">
      <c r="A57872" s="56"/>
    </row>
    <row r="57873" spans="1:1">
      <c r="A57873" s="56"/>
    </row>
    <row r="57874" spans="1:1">
      <c r="A57874" s="56"/>
    </row>
    <row r="57875" spans="1:1">
      <c r="A57875" s="56"/>
    </row>
    <row r="57876" spans="1:1">
      <c r="A57876" s="56"/>
    </row>
    <row r="57877" spans="1:1">
      <c r="A57877" s="56"/>
    </row>
    <row r="57878" spans="1:1">
      <c r="A57878" s="56"/>
    </row>
    <row r="57879" spans="1:1">
      <c r="A57879" s="56"/>
    </row>
    <row r="57880" spans="1:1">
      <c r="A57880" s="56"/>
    </row>
    <row r="57881" spans="1:1">
      <c r="A57881" s="56"/>
    </row>
    <row r="57882" spans="1:1">
      <c r="A57882" s="56"/>
    </row>
    <row r="57883" spans="1:1">
      <c r="A57883" s="56"/>
    </row>
    <row r="57884" spans="1:1">
      <c r="A57884" s="56"/>
    </row>
    <row r="57885" spans="1:1">
      <c r="A57885" s="56"/>
    </row>
    <row r="57886" spans="1:1">
      <c r="A57886" s="56"/>
    </row>
    <row r="57887" spans="1:1">
      <c r="A57887" s="56"/>
    </row>
    <row r="57888" spans="1:1">
      <c r="A57888" s="56"/>
    </row>
    <row r="57889" spans="1:1">
      <c r="A57889" s="56"/>
    </row>
    <row r="57890" spans="1:1">
      <c r="A57890" s="56"/>
    </row>
    <row r="57891" spans="1:1">
      <c r="A57891" s="56"/>
    </row>
    <row r="57892" spans="1:1">
      <c r="A57892" s="56"/>
    </row>
    <row r="57893" spans="1:1">
      <c r="A57893" s="56"/>
    </row>
    <row r="57894" spans="1:1">
      <c r="A57894" s="56"/>
    </row>
    <row r="57895" spans="1:1">
      <c r="A57895" s="56"/>
    </row>
    <row r="57896" spans="1:1">
      <c r="A57896" s="56"/>
    </row>
    <row r="57897" spans="1:1">
      <c r="A57897" s="56"/>
    </row>
    <row r="57898" spans="1:1">
      <c r="A57898" s="56"/>
    </row>
    <row r="57899" spans="1:1">
      <c r="A57899" s="56"/>
    </row>
    <row r="57900" spans="1:1">
      <c r="A57900" s="56"/>
    </row>
    <row r="57901" spans="1:1">
      <c r="A57901" s="56"/>
    </row>
    <row r="57902" spans="1:1">
      <c r="A57902" s="56"/>
    </row>
    <row r="57903" spans="1:1">
      <c r="A57903" s="56"/>
    </row>
    <row r="57904" spans="1:1">
      <c r="A57904" s="56"/>
    </row>
    <row r="57905" spans="1:1">
      <c r="A57905" s="56"/>
    </row>
    <row r="57906" spans="1:1">
      <c r="A57906" s="56"/>
    </row>
    <row r="57907" spans="1:1">
      <c r="A57907" s="56"/>
    </row>
    <row r="57908" spans="1:1">
      <c r="A57908" s="56"/>
    </row>
    <row r="57909" spans="1:1">
      <c r="A57909" s="56"/>
    </row>
    <row r="57910" spans="1:1">
      <c r="A57910" s="56"/>
    </row>
    <row r="57911" spans="1:1">
      <c r="A57911" s="56"/>
    </row>
    <row r="57912" spans="1:1">
      <c r="A57912" s="56"/>
    </row>
    <row r="57913" spans="1:1">
      <c r="A57913" s="56"/>
    </row>
    <row r="57914" spans="1:1">
      <c r="A57914" s="56"/>
    </row>
    <row r="57915" spans="1:1">
      <c r="A57915" s="56"/>
    </row>
    <row r="57916" spans="1:1">
      <c r="A57916" s="56"/>
    </row>
    <row r="57917" spans="1:1">
      <c r="A57917" s="56"/>
    </row>
    <row r="57918" spans="1:1">
      <c r="A57918" s="56"/>
    </row>
    <row r="57919" spans="1:1">
      <c r="A57919" s="56"/>
    </row>
    <row r="57920" spans="1:1">
      <c r="A57920" s="56"/>
    </row>
    <row r="57921" spans="1:1">
      <c r="A57921" s="56"/>
    </row>
    <row r="57922" spans="1:1">
      <c r="A57922" s="56"/>
    </row>
    <row r="57923" spans="1:1">
      <c r="A57923" s="56"/>
    </row>
    <row r="57924" spans="1:1">
      <c r="A57924" s="56"/>
    </row>
    <row r="57925" spans="1:1">
      <c r="A57925" s="56"/>
    </row>
    <row r="57926" spans="1:1">
      <c r="A57926" s="56"/>
    </row>
    <row r="57927" spans="1:1">
      <c r="A57927" s="56"/>
    </row>
    <row r="57928" spans="1:1">
      <c r="A57928" s="56"/>
    </row>
    <row r="57929" spans="1:1">
      <c r="A57929" s="56"/>
    </row>
    <row r="57930" spans="1:1">
      <c r="A57930" s="56"/>
    </row>
    <row r="57931" spans="1:1">
      <c r="A57931" s="56"/>
    </row>
    <row r="57932" spans="1:1">
      <c r="A57932" s="56"/>
    </row>
    <row r="57933" spans="1:1">
      <c r="A57933" s="56"/>
    </row>
    <row r="57934" spans="1:1">
      <c r="A57934" s="56"/>
    </row>
    <row r="57935" spans="1:1">
      <c r="A57935" s="56"/>
    </row>
    <row r="57936" spans="1:1">
      <c r="A57936" s="56"/>
    </row>
    <row r="57937" spans="1:1">
      <c r="A57937" s="56"/>
    </row>
    <row r="57938" spans="1:1">
      <c r="A57938" s="56"/>
    </row>
    <row r="57939" spans="1:1">
      <c r="A57939" s="56"/>
    </row>
    <row r="57940" spans="1:1">
      <c r="A57940" s="56"/>
    </row>
    <row r="57941" spans="1:1">
      <c r="A57941" s="56"/>
    </row>
    <row r="57942" spans="1:1">
      <c r="A57942" s="56"/>
    </row>
    <row r="57943" spans="1:1">
      <c r="A57943" s="56"/>
    </row>
    <row r="57944" spans="1:1">
      <c r="A57944" s="56"/>
    </row>
    <row r="57945" spans="1:1">
      <c r="A57945" s="56"/>
    </row>
    <row r="57946" spans="1:1">
      <c r="A57946" s="56"/>
    </row>
    <row r="57947" spans="1:1">
      <c r="A57947" s="56"/>
    </row>
    <row r="57948" spans="1:1">
      <c r="A57948" s="56"/>
    </row>
    <row r="57949" spans="1:1">
      <c r="A57949" s="56"/>
    </row>
    <row r="57950" spans="1:1">
      <c r="A57950" s="56"/>
    </row>
    <row r="57951" spans="1:1">
      <c r="A57951" s="56"/>
    </row>
    <row r="57952" spans="1:1">
      <c r="A57952" s="56"/>
    </row>
    <row r="57953" spans="1:1">
      <c r="A57953" s="56"/>
    </row>
    <row r="57954" spans="1:1">
      <c r="A57954" s="56"/>
    </row>
    <row r="57955" spans="1:1">
      <c r="A57955" s="56"/>
    </row>
    <row r="57956" spans="1:1">
      <c r="A57956" s="56"/>
    </row>
    <row r="57957" spans="1:1">
      <c r="A57957" s="56"/>
    </row>
    <row r="57958" spans="1:1">
      <c r="A57958" s="56"/>
    </row>
    <row r="57959" spans="1:1">
      <c r="A57959" s="56"/>
    </row>
    <row r="57960" spans="1:1">
      <c r="A57960" s="56"/>
    </row>
    <row r="57961" spans="1:1">
      <c r="A57961" s="56"/>
    </row>
    <row r="57962" spans="1:1">
      <c r="A57962" s="56"/>
    </row>
    <row r="57963" spans="1:1">
      <c r="A57963" s="56"/>
    </row>
    <row r="57964" spans="1:1">
      <c r="A57964" s="56"/>
    </row>
    <row r="57965" spans="1:1">
      <c r="A57965" s="56"/>
    </row>
    <row r="57966" spans="1:1">
      <c r="A57966" s="56"/>
    </row>
    <row r="57967" spans="1:1">
      <c r="A57967" s="56"/>
    </row>
    <row r="57968" spans="1:1">
      <c r="A57968" s="56"/>
    </row>
    <row r="57969" spans="1:1">
      <c r="A57969" s="56"/>
    </row>
    <row r="57970" spans="1:1">
      <c r="A57970" s="56"/>
    </row>
    <row r="57971" spans="1:1">
      <c r="A57971" s="56"/>
    </row>
    <row r="57972" spans="1:1">
      <c r="A57972" s="56"/>
    </row>
    <row r="57973" spans="1:1">
      <c r="A57973" s="56"/>
    </row>
    <row r="57974" spans="1:1">
      <c r="A57974" s="56"/>
    </row>
    <row r="57975" spans="1:1">
      <c r="A57975" s="56"/>
    </row>
    <row r="57976" spans="1:1">
      <c r="A57976" s="56"/>
    </row>
    <row r="57977" spans="1:1">
      <c r="A57977" s="56"/>
    </row>
    <row r="57978" spans="1:1">
      <c r="A57978" s="56"/>
    </row>
    <row r="57979" spans="1:1">
      <c r="A57979" s="56"/>
    </row>
    <row r="57980" spans="1:1">
      <c r="A57980" s="56"/>
    </row>
    <row r="57981" spans="1:1">
      <c r="A57981" s="56"/>
    </row>
    <row r="57982" spans="1:1">
      <c r="A57982" s="56"/>
    </row>
    <row r="57983" spans="1:1">
      <c r="A57983" s="56"/>
    </row>
    <row r="57984" spans="1:1">
      <c r="A57984" s="56"/>
    </row>
    <row r="57985" spans="1:1">
      <c r="A57985" s="56"/>
    </row>
    <row r="57986" spans="1:1">
      <c r="A57986" s="56"/>
    </row>
    <row r="57987" spans="1:1">
      <c r="A57987" s="56"/>
    </row>
    <row r="57988" spans="1:1">
      <c r="A57988" s="56"/>
    </row>
    <row r="57989" spans="1:1">
      <c r="A57989" s="56"/>
    </row>
    <row r="57990" spans="1:1">
      <c r="A57990" s="56"/>
    </row>
    <row r="57991" spans="1:1">
      <c r="A57991" s="56"/>
    </row>
    <row r="57992" spans="1:1">
      <c r="A57992" s="56"/>
    </row>
    <row r="57993" spans="1:1">
      <c r="A57993" s="56"/>
    </row>
    <row r="57994" spans="1:1">
      <c r="A57994" s="56"/>
    </row>
    <row r="57995" spans="1:1">
      <c r="A57995" s="56"/>
    </row>
    <row r="57996" spans="1:1">
      <c r="A57996" s="56"/>
    </row>
    <row r="57997" spans="1:1">
      <c r="A57997" s="56"/>
    </row>
    <row r="57998" spans="1:1">
      <c r="A57998" s="56"/>
    </row>
    <row r="57999" spans="1:1">
      <c r="A57999" s="56"/>
    </row>
    <row r="58000" spans="1:1">
      <c r="A58000" s="56"/>
    </row>
    <row r="58001" spans="1:1">
      <c r="A58001" s="56"/>
    </row>
    <row r="58002" spans="1:1">
      <c r="A58002" s="56"/>
    </row>
    <row r="58003" spans="1:1">
      <c r="A58003" s="56"/>
    </row>
    <row r="58004" spans="1:1">
      <c r="A58004" s="56"/>
    </row>
    <row r="58005" spans="1:1">
      <c r="A58005" s="56"/>
    </row>
    <row r="58006" spans="1:1">
      <c r="A58006" s="56"/>
    </row>
    <row r="58007" spans="1:1">
      <c r="A58007" s="56"/>
    </row>
    <row r="58008" spans="1:1">
      <c r="A58008" s="56"/>
    </row>
    <row r="58009" spans="1:1">
      <c r="A58009" s="56"/>
    </row>
    <row r="58010" spans="1:1">
      <c r="A58010" s="56"/>
    </row>
    <row r="58011" spans="1:1">
      <c r="A58011" s="56"/>
    </row>
    <row r="58012" spans="1:1">
      <c r="A58012" s="56"/>
    </row>
    <row r="58013" spans="1:1">
      <c r="A58013" s="56"/>
    </row>
    <row r="58014" spans="1:1">
      <c r="A58014" s="56"/>
    </row>
    <row r="58015" spans="1:1">
      <c r="A58015" s="56"/>
    </row>
    <row r="58016" spans="1:1">
      <c r="A58016" s="56"/>
    </row>
    <row r="58017" spans="1:1">
      <c r="A58017" s="56"/>
    </row>
    <row r="58018" spans="1:1">
      <c r="A58018" s="56"/>
    </row>
    <row r="58019" spans="1:1">
      <c r="A58019" s="56"/>
    </row>
    <row r="58020" spans="1:1">
      <c r="A58020" s="56"/>
    </row>
    <row r="58021" spans="1:1">
      <c r="A58021" s="56"/>
    </row>
    <row r="58022" spans="1:1">
      <c r="A58022" s="56"/>
    </row>
    <row r="58023" spans="1:1">
      <c r="A58023" s="56"/>
    </row>
    <row r="58024" spans="1:1">
      <c r="A58024" s="56"/>
    </row>
    <row r="58025" spans="1:1">
      <c r="A58025" s="56"/>
    </row>
    <row r="58026" spans="1:1">
      <c r="A58026" s="56"/>
    </row>
    <row r="58027" spans="1:1">
      <c r="A58027" s="56"/>
    </row>
    <row r="58028" spans="1:1">
      <c r="A58028" s="56"/>
    </row>
    <row r="58029" spans="1:1">
      <c r="A58029" s="56"/>
    </row>
    <row r="58030" spans="1:1">
      <c r="A58030" s="56"/>
    </row>
    <row r="58031" spans="1:1">
      <c r="A58031" s="56"/>
    </row>
    <row r="58032" spans="1:1">
      <c r="A58032" s="56"/>
    </row>
    <row r="58033" spans="1:1">
      <c r="A58033" s="56"/>
    </row>
    <row r="58034" spans="1:1">
      <c r="A58034" s="56"/>
    </row>
    <row r="58035" spans="1:1">
      <c r="A58035" s="56"/>
    </row>
    <row r="58036" spans="1:1">
      <c r="A58036" s="56"/>
    </row>
    <row r="58037" spans="1:1">
      <c r="A58037" s="56"/>
    </row>
    <row r="58038" spans="1:1">
      <c r="A58038" s="56"/>
    </row>
    <row r="58039" spans="1:1">
      <c r="A58039" s="56"/>
    </row>
    <row r="58040" spans="1:1">
      <c r="A58040" s="56"/>
    </row>
    <row r="58041" spans="1:1">
      <c r="A58041" s="56"/>
    </row>
    <row r="58042" spans="1:1">
      <c r="A58042" s="56"/>
    </row>
    <row r="58043" spans="1:1">
      <c r="A58043" s="56"/>
    </row>
    <row r="58044" spans="1:1">
      <c r="A58044" s="56"/>
    </row>
    <row r="58045" spans="1:1">
      <c r="A58045" s="56"/>
    </row>
    <row r="58046" spans="1:1">
      <c r="A58046" s="56"/>
    </row>
    <row r="58047" spans="1:1">
      <c r="A58047" s="56"/>
    </row>
    <row r="58048" spans="1:1">
      <c r="A58048" s="56"/>
    </row>
    <row r="58049" spans="1:1">
      <c r="A58049" s="56"/>
    </row>
    <row r="58050" spans="1:1">
      <c r="A58050" s="56"/>
    </row>
    <row r="58051" spans="1:1">
      <c r="A58051" s="56"/>
    </row>
    <row r="58052" spans="1:1">
      <c r="A58052" s="56"/>
    </row>
    <row r="58053" spans="1:1">
      <c r="A58053" s="56"/>
    </row>
    <row r="58054" spans="1:1">
      <c r="A58054" s="56"/>
    </row>
    <row r="58055" spans="1:1">
      <c r="A58055" s="56"/>
    </row>
    <row r="58056" spans="1:1">
      <c r="A58056" s="56"/>
    </row>
    <row r="58057" spans="1:1">
      <c r="A58057" s="56"/>
    </row>
    <row r="58058" spans="1:1">
      <c r="A58058" s="56"/>
    </row>
    <row r="58059" spans="1:1">
      <c r="A58059" s="56"/>
    </row>
    <row r="58060" spans="1:1">
      <c r="A58060" s="56"/>
    </row>
    <row r="58061" spans="1:1">
      <c r="A58061" s="56"/>
    </row>
    <row r="58062" spans="1:1">
      <c r="A58062" s="56"/>
    </row>
    <row r="58063" spans="1:1">
      <c r="A58063" s="56"/>
    </row>
    <row r="58064" spans="1:1">
      <c r="A58064" s="56"/>
    </row>
    <row r="58065" spans="1:1">
      <c r="A58065" s="56"/>
    </row>
    <row r="58066" spans="1:1">
      <c r="A58066" s="56"/>
    </row>
    <row r="58067" spans="1:1">
      <c r="A58067" s="56"/>
    </row>
    <row r="58068" spans="1:1">
      <c r="A58068" s="56"/>
    </row>
    <row r="58069" spans="1:1">
      <c r="A58069" s="56"/>
    </row>
    <row r="58070" spans="1:1">
      <c r="A58070" s="56"/>
    </row>
    <row r="58071" spans="1:1">
      <c r="A58071" s="56"/>
    </row>
    <row r="58072" spans="1:1">
      <c r="A58072" s="56"/>
    </row>
    <row r="58073" spans="1:1">
      <c r="A58073" s="56"/>
    </row>
    <row r="58074" spans="1:1">
      <c r="A58074" s="56"/>
    </row>
    <row r="58075" spans="1:1">
      <c r="A58075" s="56"/>
    </row>
    <row r="58076" spans="1:1">
      <c r="A58076" s="56"/>
    </row>
    <row r="58077" spans="1:1">
      <c r="A58077" s="56"/>
    </row>
    <row r="58078" spans="1:1">
      <c r="A58078" s="56"/>
    </row>
    <row r="58079" spans="1:1">
      <c r="A58079" s="56"/>
    </row>
    <row r="58080" spans="1:1">
      <c r="A58080" s="56"/>
    </row>
    <row r="58081" spans="1:1">
      <c r="A58081" s="56"/>
    </row>
    <row r="58082" spans="1:1">
      <c r="A58082" s="56"/>
    </row>
    <row r="58083" spans="1:1">
      <c r="A58083" s="56"/>
    </row>
    <row r="58084" spans="1:1">
      <c r="A58084" s="56"/>
    </row>
    <row r="58085" spans="1:1">
      <c r="A58085" s="56"/>
    </row>
    <row r="58086" spans="1:1">
      <c r="A58086" s="56"/>
    </row>
    <row r="58087" spans="1:1">
      <c r="A58087" s="56"/>
    </row>
    <row r="58088" spans="1:1">
      <c r="A58088" s="56"/>
    </row>
    <row r="58089" spans="1:1">
      <c r="A58089" s="56"/>
    </row>
    <row r="58090" spans="1:1">
      <c r="A58090" s="56"/>
    </row>
    <row r="58091" spans="1:1">
      <c r="A58091" s="56"/>
    </row>
    <row r="58092" spans="1:1">
      <c r="A58092" s="56"/>
    </row>
    <row r="58093" spans="1:1">
      <c r="A58093" s="56"/>
    </row>
    <row r="58094" spans="1:1">
      <c r="A58094" s="56"/>
    </row>
    <row r="58095" spans="1:1">
      <c r="A58095" s="56"/>
    </row>
    <row r="58096" spans="1:1">
      <c r="A58096" s="56"/>
    </row>
    <row r="58097" spans="1:1">
      <c r="A58097" s="56"/>
    </row>
    <row r="58098" spans="1:1">
      <c r="A58098" s="56"/>
    </row>
    <row r="58099" spans="1:1">
      <c r="A58099" s="56"/>
    </row>
    <row r="58100" spans="1:1">
      <c r="A58100" s="56"/>
    </row>
    <row r="58101" spans="1:1">
      <c r="A58101" s="56"/>
    </row>
    <row r="58102" spans="1:1">
      <c r="A58102" s="56"/>
    </row>
    <row r="58103" spans="1:1">
      <c r="A58103" s="56"/>
    </row>
    <row r="58104" spans="1:1">
      <c r="A58104" s="56"/>
    </row>
    <row r="58105" spans="1:1">
      <c r="A58105" s="56"/>
    </row>
    <row r="58106" spans="1:1">
      <c r="A58106" s="56"/>
    </row>
    <row r="58107" spans="1:1">
      <c r="A58107" s="56"/>
    </row>
    <row r="58108" spans="1:1">
      <c r="A58108" s="56"/>
    </row>
    <row r="58109" spans="1:1">
      <c r="A58109" s="56"/>
    </row>
    <row r="58110" spans="1:1">
      <c r="A58110" s="56"/>
    </row>
    <row r="58111" spans="1:1">
      <c r="A58111" s="56"/>
    </row>
    <row r="58112" spans="1:1">
      <c r="A58112" s="56"/>
    </row>
    <row r="58113" spans="1:1">
      <c r="A58113" s="56"/>
    </row>
    <row r="58114" spans="1:1">
      <c r="A58114" s="56"/>
    </row>
    <row r="58115" spans="1:1">
      <c r="A58115" s="56"/>
    </row>
    <row r="58116" spans="1:1">
      <c r="A58116" s="56"/>
    </row>
    <row r="58117" spans="1:1">
      <c r="A58117" s="56"/>
    </row>
    <row r="58118" spans="1:1">
      <c r="A58118" s="56"/>
    </row>
    <row r="58119" spans="1:1">
      <c r="A58119" s="56"/>
    </row>
    <row r="58120" spans="1:1">
      <c r="A58120" s="56"/>
    </row>
    <row r="58121" spans="1:1">
      <c r="A58121" s="56"/>
    </row>
    <row r="58122" spans="1:1">
      <c r="A58122" s="56"/>
    </row>
    <row r="58123" spans="1:1">
      <c r="A58123" s="56"/>
    </row>
    <row r="58124" spans="1:1">
      <c r="A58124" s="56"/>
    </row>
    <row r="58125" spans="1:1">
      <c r="A58125" s="56"/>
    </row>
    <row r="58126" spans="1:1">
      <c r="A58126" s="56"/>
    </row>
    <row r="58127" spans="1:1">
      <c r="A58127" s="56"/>
    </row>
    <row r="58128" spans="1:1">
      <c r="A58128" s="56"/>
    </row>
    <row r="58129" spans="1:1">
      <c r="A58129" s="56"/>
    </row>
    <row r="58130" spans="1:1">
      <c r="A58130" s="56"/>
    </row>
    <row r="58131" spans="1:1">
      <c r="A58131" s="56"/>
    </row>
    <row r="58132" spans="1:1">
      <c r="A58132" s="56"/>
    </row>
    <row r="58133" spans="1:1">
      <c r="A58133" s="56"/>
    </row>
    <row r="58134" spans="1:1">
      <c r="A58134" s="56"/>
    </row>
    <row r="58135" spans="1:1">
      <c r="A58135" s="56"/>
    </row>
    <row r="58136" spans="1:1">
      <c r="A58136" s="56"/>
    </row>
    <row r="58137" spans="1:1">
      <c r="A58137" s="56"/>
    </row>
    <row r="58138" spans="1:1">
      <c r="A58138" s="56"/>
    </row>
    <row r="58139" spans="1:1">
      <c r="A58139" s="56"/>
    </row>
    <row r="58140" spans="1:1">
      <c r="A58140" s="56"/>
    </row>
    <row r="58141" spans="1:1">
      <c r="A58141" s="56"/>
    </row>
    <row r="58142" spans="1:1">
      <c r="A58142" s="56"/>
    </row>
    <row r="58143" spans="1:1">
      <c r="A58143" s="56"/>
    </row>
    <row r="58144" spans="1:1">
      <c r="A58144" s="56"/>
    </row>
    <row r="58145" spans="1:1">
      <c r="A58145" s="56"/>
    </row>
    <row r="58146" spans="1:1">
      <c r="A58146" s="56"/>
    </row>
    <row r="58147" spans="1:1">
      <c r="A58147" s="56"/>
    </row>
    <row r="58148" spans="1:1">
      <c r="A58148" s="56"/>
    </row>
    <row r="58149" spans="1:1">
      <c r="A58149" s="56"/>
    </row>
    <row r="58150" spans="1:1">
      <c r="A58150" s="56"/>
    </row>
    <row r="58151" spans="1:1">
      <c r="A58151" s="56"/>
    </row>
    <row r="58152" spans="1:1">
      <c r="A58152" s="56"/>
    </row>
    <row r="58153" spans="1:1">
      <c r="A58153" s="56"/>
    </row>
    <row r="58154" spans="1:1">
      <c r="A58154" s="56"/>
    </row>
    <row r="58155" spans="1:1">
      <c r="A58155" s="56"/>
    </row>
    <row r="58156" spans="1:1">
      <c r="A58156" s="56"/>
    </row>
    <row r="58157" spans="1:1">
      <c r="A58157" s="56"/>
    </row>
    <row r="58158" spans="1:1">
      <c r="A58158" s="56"/>
    </row>
    <row r="58159" spans="1:1">
      <c r="A58159" s="56"/>
    </row>
    <row r="58160" spans="1:1">
      <c r="A58160" s="56"/>
    </row>
    <row r="58161" spans="1:1">
      <c r="A58161" s="56"/>
    </row>
    <row r="58162" spans="1:1">
      <c r="A58162" s="56"/>
    </row>
    <row r="58163" spans="1:1">
      <c r="A58163" s="56"/>
    </row>
    <row r="58164" spans="1:1">
      <c r="A58164" s="56"/>
    </row>
    <row r="58165" spans="1:1">
      <c r="A58165" s="56"/>
    </row>
    <row r="58166" spans="1:1">
      <c r="A58166" s="56"/>
    </row>
    <row r="58167" spans="1:1">
      <c r="A58167" s="56"/>
    </row>
    <row r="58168" spans="1:1">
      <c r="A58168" s="56"/>
    </row>
    <row r="58169" spans="1:1">
      <c r="A58169" s="56"/>
    </row>
    <row r="58170" spans="1:1">
      <c r="A58170" s="56"/>
    </row>
    <row r="58171" spans="1:1">
      <c r="A58171" s="56"/>
    </row>
    <row r="58172" spans="1:1">
      <c r="A58172" s="56"/>
    </row>
    <row r="58173" spans="1:1">
      <c r="A58173" s="56"/>
    </row>
    <row r="58174" spans="1:1">
      <c r="A58174" s="56"/>
    </row>
    <row r="58175" spans="1:1">
      <c r="A58175" s="56"/>
    </row>
    <row r="58176" spans="1:1">
      <c r="A58176" s="56"/>
    </row>
    <row r="58177" spans="1:1">
      <c r="A58177" s="56"/>
    </row>
    <row r="58178" spans="1:1">
      <c r="A58178" s="56"/>
    </row>
    <row r="58179" spans="1:1">
      <c r="A58179" s="56"/>
    </row>
    <row r="58180" spans="1:1">
      <c r="A58180" s="56"/>
    </row>
    <row r="58181" spans="1:1">
      <c r="A58181" s="56"/>
    </row>
    <row r="58182" spans="1:1">
      <c r="A58182" s="56"/>
    </row>
    <row r="58183" spans="1:1">
      <c r="A58183" s="56"/>
    </row>
    <row r="58184" spans="1:1">
      <c r="A58184" s="56"/>
    </row>
    <row r="58185" spans="1:1">
      <c r="A58185" s="56"/>
    </row>
    <row r="58186" spans="1:1">
      <c r="A58186" s="56"/>
    </row>
    <row r="58187" spans="1:1">
      <c r="A58187" s="56"/>
    </row>
    <row r="58188" spans="1:1">
      <c r="A58188" s="56"/>
    </row>
    <row r="58189" spans="1:1">
      <c r="A58189" s="56"/>
    </row>
    <row r="58190" spans="1:1">
      <c r="A58190" s="56"/>
    </row>
    <row r="58191" spans="1:1">
      <c r="A58191" s="56"/>
    </row>
    <row r="58192" spans="1:1">
      <c r="A58192" s="56"/>
    </row>
    <row r="58193" spans="1:1">
      <c r="A58193" s="56"/>
    </row>
    <row r="58194" spans="1:1">
      <c r="A58194" s="56"/>
    </row>
    <row r="58195" spans="1:1">
      <c r="A58195" s="56"/>
    </row>
    <row r="58196" spans="1:1">
      <c r="A58196" s="56"/>
    </row>
    <row r="58197" spans="1:1">
      <c r="A58197" s="56"/>
    </row>
    <row r="58198" spans="1:1">
      <c r="A58198" s="56"/>
    </row>
    <row r="58199" spans="1:1">
      <c r="A58199" s="56"/>
    </row>
    <row r="58200" spans="1:1">
      <c r="A58200" s="56"/>
    </row>
    <row r="58201" spans="1:1">
      <c r="A58201" s="56"/>
    </row>
    <row r="58202" spans="1:1">
      <c r="A58202" s="56"/>
    </row>
    <row r="58203" spans="1:1">
      <c r="A58203" s="56"/>
    </row>
    <row r="58204" spans="1:1">
      <c r="A58204" s="56"/>
    </row>
    <row r="58205" spans="1:1">
      <c r="A58205" s="56"/>
    </row>
    <row r="58206" spans="1:1">
      <c r="A58206" s="56"/>
    </row>
    <row r="58207" spans="1:1">
      <c r="A58207" s="56"/>
    </row>
    <row r="58208" spans="1:1">
      <c r="A58208" s="56"/>
    </row>
    <row r="58209" spans="1:1">
      <c r="A58209" s="56"/>
    </row>
    <row r="58210" spans="1:1">
      <c r="A58210" s="56"/>
    </row>
    <row r="58211" spans="1:1">
      <c r="A58211" s="56"/>
    </row>
    <row r="58212" spans="1:1">
      <c r="A58212" s="56"/>
    </row>
    <row r="58213" spans="1:1">
      <c r="A58213" s="56"/>
    </row>
    <row r="58214" spans="1:1">
      <c r="A58214" s="56"/>
    </row>
    <row r="58215" spans="1:1">
      <c r="A58215" s="56"/>
    </row>
    <row r="58216" spans="1:1">
      <c r="A58216" s="56"/>
    </row>
    <row r="58217" spans="1:1">
      <c r="A58217" s="56"/>
    </row>
    <row r="58218" spans="1:1">
      <c r="A58218" s="56"/>
    </row>
    <row r="58219" spans="1:1">
      <c r="A58219" s="56"/>
    </row>
    <row r="58220" spans="1:1">
      <c r="A58220" s="56"/>
    </row>
    <row r="58221" spans="1:1">
      <c r="A58221" s="56"/>
    </row>
    <row r="58222" spans="1:1">
      <c r="A58222" s="56"/>
    </row>
    <row r="58223" spans="1:1">
      <c r="A58223" s="56"/>
    </row>
    <row r="58224" spans="1:1">
      <c r="A58224" s="56"/>
    </row>
    <row r="58225" spans="1:1">
      <c r="A58225" s="56"/>
    </row>
    <row r="58226" spans="1:1">
      <c r="A58226" s="56"/>
    </row>
    <row r="58227" spans="1:1">
      <c r="A58227" s="56"/>
    </row>
    <row r="58228" spans="1:1">
      <c r="A58228" s="56"/>
    </row>
    <row r="58229" spans="1:1">
      <c r="A58229" s="56"/>
    </row>
    <row r="58230" spans="1:1">
      <c r="A58230" s="56"/>
    </row>
    <row r="58231" spans="1:1">
      <c r="A58231" s="56"/>
    </row>
    <row r="58232" spans="1:1">
      <c r="A58232" s="56"/>
    </row>
    <row r="58233" spans="1:1">
      <c r="A58233" s="56"/>
    </row>
    <row r="58234" spans="1:1">
      <c r="A58234" s="56"/>
    </row>
    <row r="58235" spans="1:1">
      <c r="A58235" s="56"/>
    </row>
    <row r="58236" spans="1:1">
      <c r="A58236" s="56"/>
    </row>
    <row r="58237" spans="1:1">
      <c r="A58237" s="56"/>
    </row>
    <row r="58238" spans="1:1">
      <c r="A58238" s="56"/>
    </row>
    <row r="58239" spans="1:1">
      <c r="A58239" s="56"/>
    </row>
    <row r="58240" spans="1:1">
      <c r="A58240" s="56"/>
    </row>
    <row r="58241" spans="1:1">
      <c r="A58241" s="56"/>
    </row>
    <row r="58242" spans="1:1">
      <c r="A58242" s="56"/>
    </row>
    <row r="58243" spans="1:1">
      <c r="A58243" s="56"/>
    </row>
    <row r="58244" spans="1:1">
      <c r="A58244" s="56"/>
    </row>
    <row r="58245" spans="1:1">
      <c r="A58245" s="56"/>
    </row>
    <row r="58246" spans="1:1">
      <c r="A58246" s="56"/>
    </row>
    <row r="58247" spans="1:1">
      <c r="A58247" s="56"/>
    </row>
    <row r="58248" spans="1:1">
      <c r="A58248" s="56"/>
    </row>
    <row r="58249" spans="1:1">
      <c r="A58249" s="56"/>
    </row>
    <row r="58250" spans="1:1">
      <c r="A58250" s="56"/>
    </row>
    <row r="58251" spans="1:1">
      <c r="A58251" s="56"/>
    </row>
    <row r="58252" spans="1:1">
      <c r="A58252" s="56"/>
    </row>
    <row r="58253" spans="1:1">
      <c r="A58253" s="56"/>
    </row>
    <row r="58254" spans="1:1">
      <c r="A58254" s="56"/>
    </row>
    <row r="58255" spans="1:1">
      <c r="A58255" s="56"/>
    </row>
    <row r="58256" spans="1:1">
      <c r="A58256" s="56"/>
    </row>
    <row r="58257" spans="1:1">
      <c r="A58257" s="56"/>
    </row>
    <row r="58258" spans="1:1">
      <c r="A58258" s="56"/>
    </row>
    <row r="58259" spans="1:1">
      <c r="A58259" s="56"/>
    </row>
    <row r="58260" spans="1:1">
      <c r="A58260" s="56"/>
    </row>
    <row r="58261" spans="1:1">
      <c r="A58261" s="56"/>
    </row>
    <row r="58262" spans="1:1">
      <c r="A58262" s="56"/>
    </row>
    <row r="58263" spans="1:1">
      <c r="A58263" s="56"/>
    </row>
    <row r="58264" spans="1:1">
      <c r="A58264" s="56"/>
    </row>
    <row r="58265" spans="1:1">
      <c r="A58265" s="56"/>
    </row>
    <row r="58266" spans="1:1">
      <c r="A58266" s="56"/>
    </row>
    <row r="58267" spans="1:1">
      <c r="A58267" s="56"/>
    </row>
    <row r="58268" spans="1:1">
      <c r="A58268" s="56"/>
    </row>
    <row r="58269" spans="1:1">
      <c r="A58269" s="56"/>
    </row>
    <row r="58270" spans="1:1">
      <c r="A58270" s="56"/>
    </row>
    <row r="58271" spans="1:1">
      <c r="A58271" s="56"/>
    </row>
    <row r="58272" spans="1:1">
      <c r="A58272" s="56"/>
    </row>
    <row r="58273" spans="1:1">
      <c r="A58273" s="56"/>
    </row>
    <row r="58274" spans="1:1">
      <c r="A58274" s="56"/>
    </row>
    <row r="58275" spans="1:1">
      <c r="A58275" s="56"/>
    </row>
    <row r="58276" spans="1:1">
      <c r="A58276" s="56"/>
    </row>
    <row r="58277" spans="1:1">
      <c r="A58277" s="56"/>
    </row>
    <row r="58278" spans="1:1">
      <c r="A58278" s="56"/>
    </row>
    <row r="58279" spans="1:1">
      <c r="A58279" s="56"/>
    </row>
    <row r="58280" spans="1:1">
      <c r="A58280" s="56"/>
    </row>
    <row r="58281" spans="1:1">
      <c r="A58281" s="56"/>
    </row>
    <row r="58282" spans="1:1">
      <c r="A58282" s="56"/>
    </row>
    <row r="58283" spans="1:1">
      <c r="A58283" s="56"/>
    </row>
    <row r="58284" spans="1:1">
      <c r="A58284" s="56"/>
    </row>
    <row r="58285" spans="1:1">
      <c r="A58285" s="56"/>
    </row>
    <row r="58286" spans="1:1">
      <c r="A58286" s="56"/>
    </row>
    <row r="58287" spans="1:1">
      <c r="A58287" s="56"/>
    </row>
    <row r="58288" spans="1:1">
      <c r="A58288" s="56"/>
    </row>
    <row r="58289" spans="1:1">
      <c r="A58289" s="56"/>
    </row>
    <row r="58290" spans="1:1">
      <c r="A58290" s="56"/>
    </row>
    <row r="58291" spans="1:1">
      <c r="A58291" s="56"/>
    </row>
    <row r="58292" spans="1:1">
      <c r="A58292" s="56"/>
    </row>
    <row r="58293" spans="1:1">
      <c r="A58293" s="56"/>
    </row>
    <row r="58294" spans="1:1">
      <c r="A58294" s="56"/>
    </row>
    <row r="58295" spans="1:1">
      <c r="A58295" s="56"/>
    </row>
    <row r="58296" spans="1:1">
      <c r="A58296" s="56"/>
    </row>
    <row r="58297" spans="1:1">
      <c r="A58297" s="56"/>
    </row>
    <row r="58298" spans="1:1">
      <c r="A58298" s="56"/>
    </row>
    <row r="58299" spans="1:1">
      <c r="A58299" s="56"/>
    </row>
    <row r="58300" spans="1:1">
      <c r="A58300" s="56"/>
    </row>
    <row r="58301" spans="1:1">
      <c r="A58301" s="56"/>
    </row>
    <row r="58302" spans="1:1">
      <c r="A58302" s="56"/>
    </row>
    <row r="58303" spans="1:1">
      <c r="A58303" s="56"/>
    </row>
    <row r="58304" spans="1:1">
      <c r="A58304" s="56"/>
    </row>
    <row r="58305" spans="1:1">
      <c r="A58305" s="56"/>
    </row>
    <row r="58306" spans="1:1">
      <c r="A58306" s="56"/>
    </row>
    <row r="58307" spans="1:1">
      <c r="A58307" s="56"/>
    </row>
    <row r="58308" spans="1:1">
      <c r="A58308" s="56"/>
    </row>
    <row r="58309" spans="1:1">
      <c r="A58309" s="56"/>
    </row>
    <row r="58310" spans="1:1">
      <c r="A58310" s="56"/>
    </row>
    <row r="58311" spans="1:1">
      <c r="A58311" s="56"/>
    </row>
    <row r="58312" spans="1:1">
      <c r="A58312" s="56"/>
    </row>
    <row r="58313" spans="1:1">
      <c r="A58313" s="56"/>
    </row>
    <row r="58314" spans="1:1">
      <c r="A58314" s="56"/>
    </row>
    <row r="58315" spans="1:1">
      <c r="A58315" s="56"/>
    </row>
    <row r="58316" spans="1:1">
      <c r="A58316" s="56"/>
    </row>
    <row r="58317" spans="1:1">
      <c r="A58317" s="56"/>
    </row>
    <row r="58318" spans="1:1">
      <c r="A58318" s="56"/>
    </row>
    <row r="58319" spans="1:1">
      <c r="A58319" s="56"/>
    </row>
    <row r="58320" spans="1:1">
      <c r="A58320" s="56"/>
    </row>
    <row r="58321" spans="1:1">
      <c r="A58321" s="56"/>
    </row>
    <row r="58322" spans="1:1">
      <c r="A58322" s="56"/>
    </row>
    <row r="58323" spans="1:1">
      <c r="A58323" s="56"/>
    </row>
    <row r="58324" spans="1:1">
      <c r="A58324" s="56"/>
    </row>
    <row r="58325" spans="1:1">
      <c r="A58325" s="56"/>
    </row>
    <row r="58326" spans="1:1">
      <c r="A58326" s="56"/>
    </row>
    <row r="58327" spans="1:1">
      <c r="A58327" s="56"/>
    </row>
    <row r="58328" spans="1:1">
      <c r="A58328" s="56"/>
    </row>
    <row r="58329" spans="1:1">
      <c r="A58329" s="56"/>
    </row>
    <row r="58330" spans="1:1">
      <c r="A58330" s="56"/>
    </row>
    <row r="58331" spans="1:1">
      <c r="A58331" s="56"/>
    </row>
    <row r="58332" spans="1:1">
      <c r="A58332" s="56"/>
    </row>
    <row r="58333" spans="1:1">
      <c r="A58333" s="56"/>
    </row>
    <row r="58334" spans="1:1">
      <c r="A58334" s="56"/>
    </row>
    <row r="58335" spans="1:1">
      <c r="A58335" s="56"/>
    </row>
    <row r="58336" spans="1:1">
      <c r="A58336" s="56"/>
    </row>
    <row r="58337" spans="1:1">
      <c r="A58337" s="56"/>
    </row>
    <row r="58338" spans="1:1">
      <c r="A58338" s="56"/>
    </row>
    <row r="58339" spans="1:1">
      <c r="A58339" s="56"/>
    </row>
    <row r="58340" spans="1:1">
      <c r="A58340" s="56"/>
    </row>
    <row r="58341" spans="1:1">
      <c r="A58341" s="56"/>
    </row>
    <row r="58342" spans="1:1">
      <c r="A58342" s="56"/>
    </row>
    <row r="58343" spans="1:1">
      <c r="A58343" s="56"/>
    </row>
    <row r="58344" spans="1:1">
      <c r="A58344" s="56"/>
    </row>
    <row r="58345" spans="1:1">
      <c r="A58345" s="56"/>
    </row>
    <row r="58346" spans="1:1">
      <c r="A58346" s="56"/>
    </row>
    <row r="58347" spans="1:1">
      <c r="A58347" s="56"/>
    </row>
    <row r="58348" spans="1:1">
      <c r="A58348" s="56"/>
    </row>
    <row r="58349" spans="1:1">
      <c r="A58349" s="56"/>
    </row>
    <row r="58350" spans="1:1">
      <c r="A58350" s="56"/>
    </row>
    <row r="58351" spans="1:1">
      <c r="A58351" s="56"/>
    </row>
    <row r="58352" spans="1:1">
      <c r="A58352" s="56"/>
    </row>
    <row r="58353" spans="1:1">
      <c r="A58353" s="56"/>
    </row>
    <row r="58354" spans="1:1">
      <c r="A58354" s="56"/>
    </row>
    <row r="58355" spans="1:1">
      <c r="A58355" s="56"/>
    </row>
    <row r="58356" spans="1:1">
      <c r="A58356" s="56"/>
    </row>
    <row r="58357" spans="1:1">
      <c r="A58357" s="56"/>
    </row>
    <row r="58358" spans="1:1">
      <c r="A58358" s="56"/>
    </row>
    <row r="58359" spans="1:1">
      <c r="A58359" s="56"/>
    </row>
    <row r="58360" spans="1:1">
      <c r="A58360" s="56"/>
    </row>
    <row r="58361" spans="1:1">
      <c r="A58361" s="56"/>
    </row>
    <row r="58362" spans="1:1">
      <c r="A58362" s="56"/>
    </row>
    <row r="58363" spans="1:1">
      <c r="A58363" s="56"/>
    </row>
    <row r="58364" spans="1:1">
      <c r="A58364" s="56"/>
    </row>
    <row r="58365" spans="1:1">
      <c r="A58365" s="56"/>
    </row>
    <row r="58366" spans="1:1">
      <c r="A58366" s="56"/>
    </row>
    <row r="58367" spans="1:1">
      <c r="A58367" s="56"/>
    </row>
    <row r="58368" spans="1:1">
      <c r="A58368" s="56"/>
    </row>
    <row r="58369" spans="1:1">
      <c r="A58369" s="56"/>
    </row>
    <row r="58370" spans="1:1">
      <c r="A58370" s="56"/>
    </row>
    <row r="58371" spans="1:1">
      <c r="A58371" s="56"/>
    </row>
    <row r="58372" spans="1:1">
      <c r="A58372" s="56"/>
    </row>
    <row r="58373" spans="1:1">
      <c r="A58373" s="56"/>
    </row>
    <row r="58374" spans="1:1">
      <c r="A58374" s="56"/>
    </row>
    <row r="58375" spans="1:1">
      <c r="A58375" s="56"/>
    </row>
    <row r="58376" spans="1:1">
      <c r="A58376" s="56"/>
    </row>
    <row r="58377" spans="1:1">
      <c r="A58377" s="56"/>
    </row>
    <row r="58378" spans="1:1">
      <c r="A58378" s="56"/>
    </row>
    <row r="58379" spans="1:1">
      <c r="A58379" s="56"/>
    </row>
    <row r="58380" spans="1:1">
      <c r="A58380" s="56"/>
    </row>
    <row r="58381" spans="1:1">
      <c r="A58381" s="56"/>
    </row>
    <row r="58382" spans="1:1">
      <c r="A58382" s="56"/>
    </row>
    <row r="58383" spans="1:1">
      <c r="A58383" s="56"/>
    </row>
    <row r="58384" spans="1:1">
      <c r="A58384" s="56"/>
    </row>
    <row r="58385" spans="1:1">
      <c r="A58385" s="56"/>
    </row>
    <row r="58386" spans="1:1">
      <c r="A58386" s="56"/>
    </row>
    <row r="58387" spans="1:1">
      <c r="A58387" s="56"/>
    </row>
    <row r="58388" spans="1:1">
      <c r="A58388" s="56"/>
    </row>
    <row r="58389" spans="1:1">
      <c r="A58389" s="56"/>
    </row>
    <row r="58390" spans="1:1">
      <c r="A58390" s="56"/>
    </row>
    <row r="58391" spans="1:1">
      <c r="A58391" s="56"/>
    </row>
    <row r="58392" spans="1:1">
      <c r="A58392" s="56"/>
    </row>
    <row r="58393" spans="1:1">
      <c r="A58393" s="56"/>
    </row>
    <row r="58394" spans="1:1">
      <c r="A58394" s="56"/>
    </row>
    <row r="58395" spans="1:1">
      <c r="A58395" s="56"/>
    </row>
    <row r="58396" spans="1:1">
      <c r="A58396" s="56"/>
    </row>
    <row r="58397" spans="1:1">
      <c r="A58397" s="56"/>
    </row>
    <row r="58398" spans="1:1">
      <c r="A58398" s="56"/>
    </row>
    <row r="58399" spans="1:1">
      <c r="A58399" s="56"/>
    </row>
    <row r="58400" spans="1:1">
      <c r="A58400" s="56"/>
    </row>
    <row r="58401" spans="1:1">
      <c r="A58401" s="56"/>
    </row>
    <row r="58402" spans="1:1">
      <c r="A58402" s="56"/>
    </row>
    <row r="58403" spans="1:1">
      <c r="A58403" s="56"/>
    </row>
    <row r="58404" spans="1:1">
      <c r="A58404" s="56"/>
    </row>
    <row r="58405" spans="1:1">
      <c r="A58405" s="56"/>
    </row>
    <row r="58406" spans="1:1">
      <c r="A58406" s="56"/>
    </row>
    <row r="58407" spans="1:1">
      <c r="A58407" s="56"/>
    </row>
    <row r="58408" spans="1:1">
      <c r="A58408" s="56"/>
    </row>
    <row r="58409" spans="1:1">
      <c r="A58409" s="56"/>
    </row>
    <row r="58410" spans="1:1">
      <c r="A58410" s="56"/>
    </row>
    <row r="58411" spans="1:1">
      <c r="A58411" s="56"/>
    </row>
    <row r="58412" spans="1:1">
      <c r="A58412" s="56"/>
    </row>
    <row r="58413" spans="1:1">
      <c r="A58413" s="56"/>
    </row>
    <row r="58414" spans="1:1">
      <c r="A58414" s="56"/>
    </row>
    <row r="58415" spans="1:1">
      <c r="A58415" s="56"/>
    </row>
    <row r="58416" spans="1:1">
      <c r="A58416" s="56"/>
    </row>
    <row r="58417" spans="1:1">
      <c r="A58417" s="56"/>
    </row>
    <row r="58418" spans="1:1">
      <c r="A58418" s="56"/>
    </row>
    <row r="58419" spans="1:1">
      <c r="A58419" s="56"/>
    </row>
    <row r="58420" spans="1:1">
      <c r="A58420" s="56"/>
    </row>
    <row r="58421" spans="1:1">
      <c r="A58421" s="56"/>
    </row>
    <row r="58422" spans="1:1">
      <c r="A58422" s="56"/>
    </row>
    <row r="58423" spans="1:1">
      <c r="A58423" s="56"/>
    </row>
    <row r="58424" spans="1:1">
      <c r="A58424" s="56"/>
    </row>
    <row r="58425" spans="1:1">
      <c r="A58425" s="56"/>
    </row>
    <row r="58426" spans="1:1">
      <c r="A58426" s="56"/>
    </row>
    <row r="58427" spans="1:1">
      <c r="A58427" s="56"/>
    </row>
    <row r="58428" spans="1:1">
      <c r="A58428" s="56"/>
    </row>
    <row r="58429" spans="1:1">
      <c r="A58429" s="56"/>
    </row>
    <row r="58430" spans="1:1">
      <c r="A58430" s="56"/>
    </row>
    <row r="58431" spans="1:1">
      <c r="A58431" s="56"/>
    </row>
    <row r="58432" spans="1:1">
      <c r="A58432" s="56"/>
    </row>
    <row r="58433" spans="1:1">
      <c r="A58433" s="56"/>
    </row>
    <row r="58434" spans="1:1">
      <c r="A58434" s="56"/>
    </row>
    <row r="58435" spans="1:1">
      <c r="A58435" s="56"/>
    </row>
    <row r="58436" spans="1:1">
      <c r="A58436" s="56"/>
    </row>
    <row r="58437" spans="1:1">
      <c r="A58437" s="56"/>
    </row>
    <row r="58438" spans="1:1">
      <c r="A58438" s="56"/>
    </row>
    <row r="58439" spans="1:1">
      <c r="A58439" s="56"/>
    </row>
    <row r="58440" spans="1:1">
      <c r="A58440" s="56"/>
    </row>
    <row r="58441" spans="1:1">
      <c r="A58441" s="56"/>
    </row>
    <row r="58442" spans="1:1">
      <c r="A58442" s="56"/>
    </row>
    <row r="58443" spans="1:1">
      <c r="A58443" s="56"/>
    </row>
    <row r="58444" spans="1:1">
      <c r="A58444" s="56"/>
    </row>
    <row r="58445" spans="1:1">
      <c r="A58445" s="56"/>
    </row>
    <row r="58446" spans="1:1">
      <c r="A58446" s="56"/>
    </row>
    <row r="58447" spans="1:1">
      <c r="A58447" s="56"/>
    </row>
    <row r="58448" spans="1:1">
      <c r="A58448" s="56"/>
    </row>
    <row r="58449" spans="1:1">
      <c r="A58449" s="56"/>
    </row>
    <row r="58450" spans="1:1">
      <c r="A58450" s="56"/>
    </row>
    <row r="58451" spans="1:1">
      <c r="A58451" s="56"/>
    </row>
    <row r="58452" spans="1:1">
      <c r="A58452" s="56"/>
    </row>
    <row r="58453" spans="1:1">
      <c r="A58453" s="56"/>
    </row>
    <row r="58454" spans="1:1">
      <c r="A58454" s="56"/>
    </row>
    <row r="58455" spans="1:1">
      <c r="A58455" s="56"/>
    </row>
    <row r="58456" spans="1:1">
      <c r="A58456" s="56"/>
    </row>
    <row r="58457" spans="1:1">
      <c r="A58457" s="56"/>
    </row>
    <row r="58458" spans="1:1">
      <c r="A58458" s="56"/>
    </row>
    <row r="58459" spans="1:1">
      <c r="A58459" s="56"/>
    </row>
    <row r="58460" spans="1:1">
      <c r="A58460" s="56"/>
    </row>
    <row r="58461" spans="1:1">
      <c r="A58461" s="56"/>
    </row>
    <row r="58462" spans="1:1">
      <c r="A58462" s="56"/>
    </row>
    <row r="58463" spans="1:1">
      <c r="A58463" s="56"/>
    </row>
    <row r="58464" spans="1:1">
      <c r="A58464" s="56"/>
    </row>
    <row r="58465" spans="1:1">
      <c r="A58465" s="56"/>
    </row>
    <row r="58466" spans="1:1">
      <c r="A58466" s="56"/>
    </row>
    <row r="58467" spans="1:1">
      <c r="A58467" s="56"/>
    </row>
    <row r="58468" spans="1:1">
      <c r="A58468" s="56"/>
    </row>
    <row r="58469" spans="1:1">
      <c r="A58469" s="56"/>
    </row>
    <row r="58470" spans="1:1">
      <c r="A58470" s="56"/>
    </row>
    <row r="58471" spans="1:1">
      <c r="A58471" s="56"/>
    </row>
    <row r="58472" spans="1:1">
      <c r="A58472" s="56"/>
    </row>
    <row r="58473" spans="1:1">
      <c r="A58473" s="56"/>
    </row>
    <row r="58474" spans="1:1">
      <c r="A58474" s="56"/>
    </row>
    <row r="58475" spans="1:1">
      <c r="A58475" s="56"/>
    </row>
    <row r="58476" spans="1:1">
      <c r="A58476" s="56"/>
    </row>
    <row r="58477" spans="1:1">
      <c r="A58477" s="56"/>
    </row>
    <row r="58478" spans="1:1">
      <c r="A58478" s="56"/>
    </row>
    <row r="58479" spans="1:1">
      <c r="A58479" s="56"/>
    </row>
    <row r="58480" spans="1:1">
      <c r="A58480" s="56"/>
    </row>
    <row r="58481" spans="1:1">
      <c r="A58481" s="56"/>
    </row>
    <row r="58482" spans="1:1">
      <c r="A58482" s="56"/>
    </row>
    <row r="58483" spans="1:1">
      <c r="A58483" s="56"/>
    </row>
    <row r="58484" spans="1:1">
      <c r="A58484" s="56"/>
    </row>
    <row r="58485" spans="1:1">
      <c r="A58485" s="56"/>
    </row>
    <row r="58486" spans="1:1">
      <c r="A58486" s="56"/>
    </row>
    <row r="58487" spans="1:1">
      <c r="A58487" s="56"/>
    </row>
    <row r="58488" spans="1:1">
      <c r="A58488" s="56"/>
    </row>
    <row r="58489" spans="1:1">
      <c r="A58489" s="56"/>
    </row>
    <row r="58490" spans="1:1">
      <c r="A58490" s="56"/>
    </row>
    <row r="58491" spans="1:1">
      <c r="A58491" s="56"/>
    </row>
    <row r="58492" spans="1:1">
      <c r="A58492" s="56"/>
    </row>
    <row r="58493" spans="1:1">
      <c r="A58493" s="56"/>
    </row>
    <row r="58494" spans="1:1">
      <c r="A58494" s="56"/>
    </row>
    <row r="58495" spans="1:1">
      <c r="A58495" s="56"/>
    </row>
    <row r="58496" spans="1:1">
      <c r="A58496" s="56"/>
    </row>
    <row r="58497" spans="1:1">
      <c r="A58497" s="56"/>
    </row>
    <row r="58498" spans="1:1">
      <c r="A58498" s="56"/>
    </row>
    <row r="58499" spans="1:1">
      <c r="A58499" s="56"/>
    </row>
    <row r="58500" spans="1:1">
      <c r="A58500" s="56"/>
    </row>
    <row r="58501" spans="1:1">
      <c r="A58501" s="56"/>
    </row>
    <row r="58502" spans="1:1">
      <c r="A58502" s="56"/>
    </row>
    <row r="58503" spans="1:1">
      <c r="A58503" s="56"/>
    </row>
    <row r="58504" spans="1:1">
      <c r="A58504" s="56"/>
    </row>
    <row r="58505" spans="1:1">
      <c r="A58505" s="56"/>
    </row>
    <row r="58506" spans="1:1">
      <c r="A58506" s="56"/>
    </row>
    <row r="58507" spans="1:1">
      <c r="A58507" s="56"/>
    </row>
    <row r="58508" spans="1:1">
      <c r="A58508" s="56"/>
    </row>
    <row r="58509" spans="1:1">
      <c r="A58509" s="56"/>
    </row>
    <row r="58510" spans="1:1">
      <c r="A58510" s="56"/>
    </row>
    <row r="58511" spans="1:1">
      <c r="A58511" s="56"/>
    </row>
    <row r="58512" spans="1:1">
      <c r="A58512" s="56"/>
    </row>
    <row r="58513" spans="1:1">
      <c r="A58513" s="56"/>
    </row>
    <row r="58514" spans="1:1">
      <c r="A58514" s="56"/>
    </row>
    <row r="58515" spans="1:1">
      <c r="A58515" s="56"/>
    </row>
    <row r="58516" spans="1:1">
      <c r="A58516" s="56"/>
    </row>
    <row r="58517" spans="1:1">
      <c r="A58517" s="56"/>
    </row>
    <row r="58518" spans="1:1">
      <c r="A58518" s="56"/>
    </row>
    <row r="58519" spans="1:1">
      <c r="A58519" s="56"/>
    </row>
    <row r="58520" spans="1:1">
      <c r="A58520" s="56"/>
    </row>
    <row r="58521" spans="1:1">
      <c r="A58521" s="56"/>
    </row>
    <row r="58522" spans="1:1">
      <c r="A58522" s="56"/>
    </row>
    <row r="58523" spans="1:1">
      <c r="A58523" s="56"/>
    </row>
    <row r="58524" spans="1:1">
      <c r="A58524" s="56"/>
    </row>
    <row r="58525" spans="1:1">
      <c r="A58525" s="56"/>
    </row>
    <row r="58526" spans="1:1">
      <c r="A58526" s="56"/>
    </row>
    <row r="58527" spans="1:1">
      <c r="A58527" s="56"/>
    </row>
    <row r="58528" spans="1:1">
      <c r="A58528" s="56"/>
    </row>
    <row r="58529" spans="1:1">
      <c r="A58529" s="56"/>
    </row>
    <row r="58530" spans="1:1">
      <c r="A58530" s="56"/>
    </row>
    <row r="58531" spans="1:1">
      <c r="A58531" s="56"/>
    </row>
    <row r="58532" spans="1:1">
      <c r="A58532" s="56"/>
    </row>
    <row r="58533" spans="1:1">
      <c r="A58533" s="56"/>
    </row>
    <row r="58534" spans="1:1">
      <c r="A58534" s="56"/>
    </row>
    <row r="58535" spans="1:1">
      <c r="A58535" s="56"/>
    </row>
    <row r="58536" spans="1:1">
      <c r="A58536" s="56"/>
    </row>
    <row r="58537" spans="1:1">
      <c r="A58537" s="56"/>
    </row>
    <row r="58538" spans="1:1">
      <c r="A58538" s="56"/>
    </row>
    <row r="58539" spans="1:1">
      <c r="A58539" s="56"/>
    </row>
    <row r="58540" spans="1:1">
      <c r="A58540" s="56"/>
    </row>
    <row r="58541" spans="1:1">
      <c r="A58541" s="56"/>
    </row>
    <row r="58542" spans="1:1">
      <c r="A58542" s="56"/>
    </row>
    <row r="58543" spans="1:1">
      <c r="A58543" s="56"/>
    </row>
    <row r="58544" spans="1:1">
      <c r="A58544" s="56"/>
    </row>
    <row r="58545" spans="1:1">
      <c r="A58545" s="56"/>
    </row>
    <row r="58546" spans="1:1">
      <c r="A58546" s="56"/>
    </row>
    <row r="58547" spans="1:1">
      <c r="A58547" s="56"/>
    </row>
    <row r="58548" spans="1:1">
      <c r="A58548" s="56"/>
    </row>
    <row r="58549" spans="1:1">
      <c r="A58549" s="56"/>
    </row>
    <row r="58550" spans="1:1">
      <c r="A58550" s="56"/>
    </row>
    <row r="58551" spans="1:1">
      <c r="A58551" s="56"/>
    </row>
    <row r="58552" spans="1:1">
      <c r="A58552" s="56"/>
    </row>
    <row r="58553" spans="1:1">
      <c r="A58553" s="56"/>
    </row>
    <row r="58554" spans="1:1">
      <c r="A58554" s="56"/>
    </row>
    <row r="58555" spans="1:1">
      <c r="A58555" s="56"/>
    </row>
    <row r="58556" spans="1:1">
      <c r="A58556" s="56"/>
    </row>
    <row r="58557" spans="1:1">
      <c r="A58557" s="56"/>
    </row>
    <row r="58558" spans="1:1">
      <c r="A58558" s="56"/>
    </row>
    <row r="58559" spans="1:1">
      <c r="A58559" s="56"/>
    </row>
    <row r="58560" spans="1:1">
      <c r="A58560" s="56"/>
    </row>
    <row r="58561" spans="1:1">
      <c r="A58561" s="56"/>
    </row>
    <row r="58562" spans="1:1">
      <c r="A58562" s="56"/>
    </row>
    <row r="58563" spans="1:1">
      <c r="A58563" s="56"/>
    </row>
    <row r="58564" spans="1:1">
      <c r="A58564" s="56"/>
    </row>
    <row r="58565" spans="1:1">
      <c r="A58565" s="56"/>
    </row>
    <row r="58566" spans="1:1">
      <c r="A58566" s="56"/>
    </row>
    <row r="58567" spans="1:1">
      <c r="A58567" s="56"/>
    </row>
    <row r="58568" spans="1:1">
      <c r="A58568" s="56"/>
    </row>
    <row r="58569" spans="1:1">
      <c r="A58569" s="56"/>
    </row>
    <row r="58570" spans="1:1">
      <c r="A58570" s="56"/>
    </row>
    <row r="58571" spans="1:1">
      <c r="A58571" s="56"/>
    </row>
    <row r="58572" spans="1:1">
      <c r="A58572" s="56"/>
    </row>
    <row r="58573" spans="1:1">
      <c r="A58573" s="56"/>
    </row>
    <row r="58574" spans="1:1">
      <c r="A58574" s="56"/>
    </row>
    <row r="58575" spans="1:1">
      <c r="A58575" s="56"/>
    </row>
    <row r="58576" spans="1:1">
      <c r="A58576" s="56"/>
    </row>
    <row r="58577" spans="1:1">
      <c r="A58577" s="56"/>
    </row>
    <row r="58578" spans="1:1">
      <c r="A58578" s="56"/>
    </row>
    <row r="58579" spans="1:1">
      <c r="A58579" s="56"/>
    </row>
    <row r="58580" spans="1:1">
      <c r="A58580" s="56"/>
    </row>
    <row r="58581" spans="1:1">
      <c r="A58581" s="56"/>
    </row>
    <row r="58582" spans="1:1">
      <c r="A58582" s="56"/>
    </row>
    <row r="58583" spans="1:1">
      <c r="A58583" s="56"/>
    </row>
    <row r="58584" spans="1:1">
      <c r="A58584" s="56"/>
    </row>
    <row r="58585" spans="1:1">
      <c r="A58585" s="56"/>
    </row>
    <row r="58586" spans="1:1">
      <c r="A58586" s="56"/>
    </row>
    <row r="58587" spans="1:1">
      <c r="A58587" s="56"/>
    </row>
    <row r="58588" spans="1:1">
      <c r="A58588" s="56"/>
    </row>
    <row r="58589" spans="1:1">
      <c r="A58589" s="56"/>
    </row>
    <row r="58590" spans="1:1">
      <c r="A58590" s="56"/>
    </row>
    <row r="58591" spans="1:1">
      <c r="A58591" s="56"/>
    </row>
    <row r="58592" spans="1:1">
      <c r="A58592" s="56"/>
    </row>
    <row r="58593" spans="1:1">
      <c r="A58593" s="56"/>
    </row>
    <row r="58594" spans="1:1">
      <c r="A58594" s="56"/>
    </row>
    <row r="58595" spans="1:1">
      <c r="A58595" s="56"/>
    </row>
    <row r="58596" spans="1:1">
      <c r="A58596" s="56"/>
    </row>
    <row r="58597" spans="1:1">
      <c r="A58597" s="56"/>
    </row>
    <row r="58598" spans="1:1">
      <c r="A58598" s="56"/>
    </row>
    <row r="58599" spans="1:1">
      <c r="A58599" s="56"/>
    </row>
    <row r="58600" spans="1:1">
      <c r="A58600" s="56"/>
    </row>
    <row r="58601" spans="1:1">
      <c r="A58601" s="56"/>
    </row>
    <row r="58602" spans="1:1">
      <c r="A58602" s="56"/>
    </row>
    <row r="58603" spans="1:1">
      <c r="A58603" s="56"/>
    </row>
    <row r="58604" spans="1:1">
      <c r="A58604" s="56"/>
    </row>
    <row r="58605" spans="1:1">
      <c r="A58605" s="56"/>
    </row>
    <row r="58606" spans="1:1">
      <c r="A58606" s="56"/>
    </row>
    <row r="58607" spans="1:1">
      <c r="A58607" s="56"/>
    </row>
    <row r="58608" spans="1:1">
      <c r="A58608" s="56"/>
    </row>
    <row r="58609" spans="1:1">
      <c r="A58609" s="56"/>
    </row>
    <row r="58610" spans="1:1">
      <c r="A58610" s="56"/>
    </row>
    <row r="58611" spans="1:1">
      <c r="A58611" s="56"/>
    </row>
    <row r="58612" spans="1:1">
      <c r="A58612" s="56"/>
    </row>
    <row r="58613" spans="1:1">
      <c r="A58613" s="56"/>
    </row>
    <row r="58614" spans="1:1">
      <c r="A58614" s="56"/>
    </row>
    <row r="58615" spans="1:1">
      <c r="A58615" s="56"/>
    </row>
    <row r="58616" spans="1:1">
      <c r="A58616" s="56"/>
    </row>
    <row r="58617" spans="1:1">
      <c r="A58617" s="56"/>
    </row>
    <row r="58618" spans="1:1">
      <c r="A58618" s="56"/>
    </row>
    <row r="58619" spans="1:1">
      <c r="A58619" s="56"/>
    </row>
    <row r="58620" spans="1:1">
      <c r="A58620" s="56"/>
    </row>
    <row r="58621" spans="1:1">
      <c r="A58621" s="56"/>
    </row>
    <row r="58622" spans="1:1">
      <c r="A58622" s="56"/>
    </row>
    <row r="58623" spans="1:1">
      <c r="A58623" s="56"/>
    </row>
    <row r="58624" spans="1:1">
      <c r="A58624" s="56"/>
    </row>
    <row r="58625" spans="1:1">
      <c r="A58625" s="56"/>
    </row>
    <row r="58626" spans="1:1">
      <c r="A58626" s="56"/>
    </row>
    <row r="58627" spans="1:1">
      <c r="A58627" s="56"/>
    </row>
    <row r="58628" spans="1:1">
      <c r="A58628" s="56"/>
    </row>
    <row r="58629" spans="1:1">
      <c r="A58629" s="56"/>
    </row>
    <row r="58630" spans="1:1">
      <c r="A58630" s="56"/>
    </row>
    <row r="58631" spans="1:1">
      <c r="A58631" s="56"/>
    </row>
    <row r="58632" spans="1:1">
      <c r="A58632" s="56"/>
    </row>
    <row r="58633" spans="1:1">
      <c r="A58633" s="56"/>
    </row>
    <row r="58634" spans="1:1">
      <c r="A58634" s="56"/>
    </row>
    <row r="58635" spans="1:1">
      <c r="A58635" s="56"/>
    </row>
    <row r="58636" spans="1:1">
      <c r="A58636" s="56"/>
    </row>
    <row r="58637" spans="1:1">
      <c r="A58637" s="56"/>
    </row>
    <row r="58638" spans="1:1">
      <c r="A58638" s="56"/>
    </row>
    <row r="58639" spans="1:1">
      <c r="A58639" s="56"/>
    </row>
    <row r="58640" spans="1:1">
      <c r="A58640" s="56"/>
    </row>
    <row r="58641" spans="1:1">
      <c r="A58641" s="56"/>
    </row>
    <row r="58642" spans="1:1">
      <c r="A58642" s="56"/>
    </row>
    <row r="58643" spans="1:1">
      <c r="A58643" s="56"/>
    </row>
    <row r="58644" spans="1:1">
      <c r="A58644" s="56"/>
    </row>
    <row r="58645" spans="1:1">
      <c r="A58645" s="56"/>
    </row>
    <row r="58646" spans="1:1">
      <c r="A58646" s="56"/>
    </row>
    <row r="58647" spans="1:1">
      <c r="A58647" s="56"/>
    </row>
    <row r="58648" spans="1:1">
      <c r="A58648" s="56"/>
    </row>
    <row r="58649" spans="1:1">
      <c r="A58649" s="56"/>
    </row>
    <row r="58650" spans="1:1">
      <c r="A58650" s="56"/>
    </row>
    <row r="58651" spans="1:1">
      <c r="A58651" s="56"/>
    </row>
    <row r="58652" spans="1:1">
      <c r="A58652" s="56"/>
    </row>
    <row r="58653" spans="1:1">
      <c r="A58653" s="56"/>
    </row>
    <row r="58654" spans="1:1">
      <c r="A58654" s="56"/>
    </row>
    <row r="58655" spans="1:1">
      <c r="A58655" s="56"/>
    </row>
    <row r="58656" spans="1:1">
      <c r="A58656" s="56"/>
    </row>
    <row r="58657" spans="1:1">
      <c r="A58657" s="56"/>
    </row>
    <row r="58658" spans="1:1">
      <c r="A58658" s="56"/>
    </row>
    <row r="58659" spans="1:1">
      <c r="A58659" s="56"/>
    </row>
    <row r="58660" spans="1:1">
      <c r="A58660" s="56"/>
    </row>
    <row r="58661" spans="1:1">
      <c r="A58661" s="56"/>
    </row>
    <row r="58662" spans="1:1">
      <c r="A58662" s="56"/>
    </row>
    <row r="58663" spans="1:1">
      <c r="A58663" s="56"/>
    </row>
    <row r="58664" spans="1:1">
      <c r="A58664" s="56"/>
    </row>
    <row r="58665" spans="1:1">
      <c r="A58665" s="56"/>
    </row>
    <row r="58666" spans="1:1">
      <c r="A58666" s="56"/>
    </row>
    <row r="58667" spans="1:1">
      <c r="A58667" s="56"/>
    </row>
    <row r="58668" spans="1:1">
      <c r="A58668" s="56"/>
    </row>
    <row r="58669" spans="1:1">
      <c r="A58669" s="56"/>
    </row>
    <row r="58670" spans="1:1">
      <c r="A58670" s="56"/>
    </row>
    <row r="58671" spans="1:1">
      <c r="A58671" s="56"/>
    </row>
    <row r="58672" spans="1:1">
      <c r="A58672" s="56"/>
    </row>
    <row r="58673" spans="1:1">
      <c r="A58673" s="56"/>
    </row>
    <row r="58674" spans="1:1">
      <c r="A58674" s="56"/>
    </row>
    <row r="58675" spans="1:1">
      <c r="A58675" s="56"/>
    </row>
    <row r="58676" spans="1:1">
      <c r="A58676" s="56"/>
    </row>
    <row r="58677" spans="1:1">
      <c r="A58677" s="56"/>
    </row>
    <row r="58678" spans="1:1">
      <c r="A58678" s="56"/>
    </row>
    <row r="58679" spans="1:1">
      <c r="A58679" s="56"/>
    </row>
    <row r="58680" spans="1:1">
      <c r="A58680" s="56"/>
    </row>
    <row r="58681" spans="1:1">
      <c r="A58681" s="56"/>
    </row>
    <row r="58682" spans="1:1">
      <c r="A58682" s="56"/>
    </row>
    <row r="58683" spans="1:1">
      <c r="A58683" s="56"/>
    </row>
    <row r="58684" spans="1:1">
      <c r="A58684" s="56"/>
    </row>
    <row r="58685" spans="1:1">
      <c r="A58685" s="56"/>
    </row>
    <row r="58686" spans="1:1">
      <c r="A58686" s="56"/>
    </row>
    <row r="58687" spans="1:1">
      <c r="A58687" s="56"/>
    </row>
    <row r="58688" spans="1:1">
      <c r="A58688" s="56"/>
    </row>
    <row r="58689" spans="1:1">
      <c r="A58689" s="56"/>
    </row>
    <row r="58690" spans="1:1">
      <c r="A58690" s="56"/>
    </row>
    <row r="58691" spans="1:1">
      <c r="A58691" s="56"/>
    </row>
    <row r="58692" spans="1:1">
      <c r="A58692" s="56"/>
    </row>
    <row r="58693" spans="1:1">
      <c r="A58693" s="56"/>
    </row>
    <row r="58694" spans="1:1">
      <c r="A58694" s="56"/>
    </row>
    <row r="58695" spans="1:1">
      <c r="A58695" s="56"/>
    </row>
    <row r="58696" spans="1:1">
      <c r="A58696" s="56"/>
    </row>
    <row r="58697" spans="1:1">
      <c r="A58697" s="56"/>
    </row>
    <row r="58698" spans="1:1">
      <c r="A58698" s="56"/>
    </row>
    <row r="58699" spans="1:1">
      <c r="A58699" s="56"/>
    </row>
    <row r="58700" spans="1:1">
      <c r="A58700" s="56"/>
    </row>
    <row r="58701" spans="1:1">
      <c r="A58701" s="56"/>
    </row>
    <row r="58702" spans="1:1">
      <c r="A58702" s="56"/>
    </row>
    <row r="58703" spans="1:1">
      <c r="A58703" s="56"/>
    </row>
    <row r="58704" spans="1:1">
      <c r="A58704" s="56"/>
    </row>
    <row r="58705" spans="1:1">
      <c r="A58705" s="56"/>
    </row>
    <row r="58706" spans="1:1">
      <c r="A58706" s="56"/>
    </row>
    <row r="58707" spans="1:1">
      <c r="A58707" s="56"/>
    </row>
    <row r="58708" spans="1:1">
      <c r="A58708" s="56"/>
    </row>
    <row r="58709" spans="1:1">
      <c r="A58709" s="56"/>
    </row>
    <row r="58710" spans="1:1">
      <c r="A58710" s="56"/>
    </row>
    <row r="58711" spans="1:1">
      <c r="A58711" s="56"/>
    </row>
    <row r="58712" spans="1:1">
      <c r="A58712" s="56"/>
    </row>
    <row r="58713" spans="1:1">
      <c r="A58713" s="56"/>
    </row>
    <row r="58714" spans="1:1">
      <c r="A58714" s="56"/>
    </row>
    <row r="58715" spans="1:1">
      <c r="A58715" s="56"/>
    </row>
    <row r="58716" spans="1:1">
      <c r="A58716" s="56"/>
    </row>
    <row r="58717" spans="1:1">
      <c r="A58717" s="56"/>
    </row>
    <row r="58718" spans="1:1">
      <c r="A58718" s="56"/>
    </row>
    <row r="58719" spans="1:1">
      <c r="A58719" s="56"/>
    </row>
    <row r="58720" spans="1:1">
      <c r="A58720" s="56"/>
    </row>
    <row r="58721" spans="1:1">
      <c r="A58721" s="56"/>
    </row>
    <row r="58722" spans="1:1">
      <c r="A58722" s="56"/>
    </row>
    <row r="58723" spans="1:1">
      <c r="A58723" s="56"/>
    </row>
    <row r="58724" spans="1:1">
      <c r="A58724" s="56"/>
    </row>
    <row r="58725" spans="1:1">
      <c r="A58725" s="56"/>
    </row>
    <row r="58726" spans="1:1">
      <c r="A58726" s="56"/>
    </row>
    <row r="58727" spans="1:1">
      <c r="A58727" s="56"/>
    </row>
    <row r="58728" spans="1:1">
      <c r="A58728" s="56"/>
    </row>
    <row r="58729" spans="1:1">
      <c r="A58729" s="56"/>
    </row>
    <row r="58730" spans="1:1">
      <c r="A58730" s="56"/>
    </row>
    <row r="58731" spans="1:1">
      <c r="A58731" s="56"/>
    </row>
    <row r="58732" spans="1:1">
      <c r="A58732" s="56"/>
    </row>
    <row r="58733" spans="1:1">
      <c r="A58733" s="56"/>
    </row>
    <row r="58734" spans="1:1">
      <c r="A58734" s="56"/>
    </row>
    <row r="58735" spans="1:1">
      <c r="A58735" s="56"/>
    </row>
    <row r="58736" spans="1:1">
      <c r="A58736" s="56"/>
    </row>
    <row r="58737" spans="1:1">
      <c r="A58737" s="56"/>
    </row>
    <row r="58738" spans="1:1">
      <c r="A58738" s="56"/>
    </row>
    <row r="58739" spans="1:1">
      <c r="A58739" s="56"/>
    </row>
    <row r="58740" spans="1:1">
      <c r="A58740" s="56"/>
    </row>
    <row r="58741" spans="1:1">
      <c r="A58741" s="56"/>
    </row>
    <row r="58742" spans="1:1">
      <c r="A58742" s="56"/>
    </row>
    <row r="58743" spans="1:1">
      <c r="A58743" s="56"/>
    </row>
    <row r="58744" spans="1:1">
      <c r="A58744" s="56"/>
    </row>
    <row r="58745" spans="1:1">
      <c r="A58745" s="56"/>
    </row>
    <row r="58746" spans="1:1">
      <c r="A58746" s="56"/>
    </row>
    <row r="58747" spans="1:1">
      <c r="A58747" s="56"/>
    </row>
    <row r="58748" spans="1:1">
      <c r="A58748" s="56"/>
    </row>
    <row r="58749" spans="1:1">
      <c r="A58749" s="56"/>
    </row>
    <row r="58750" spans="1:1">
      <c r="A58750" s="56"/>
    </row>
    <row r="58751" spans="1:1">
      <c r="A58751" s="56"/>
    </row>
    <row r="58752" spans="1:1">
      <c r="A58752" s="56"/>
    </row>
    <row r="58753" spans="1:1">
      <c r="A58753" s="56"/>
    </row>
    <row r="58754" spans="1:1">
      <c r="A58754" s="56"/>
    </row>
    <row r="58755" spans="1:1">
      <c r="A58755" s="56"/>
    </row>
    <row r="58756" spans="1:1">
      <c r="A58756" s="56"/>
    </row>
    <row r="58757" spans="1:1">
      <c r="A58757" s="56"/>
    </row>
    <row r="58758" spans="1:1">
      <c r="A58758" s="56"/>
    </row>
    <row r="58759" spans="1:1">
      <c r="A58759" s="56"/>
    </row>
    <row r="58760" spans="1:1">
      <c r="A58760" s="56"/>
    </row>
    <row r="58761" spans="1:1">
      <c r="A58761" s="56"/>
    </row>
    <row r="58762" spans="1:1">
      <c r="A58762" s="56"/>
    </row>
    <row r="58763" spans="1:1">
      <c r="A58763" s="56"/>
    </row>
    <row r="58764" spans="1:1">
      <c r="A58764" s="56"/>
    </row>
    <row r="58765" spans="1:1">
      <c r="A58765" s="56"/>
    </row>
    <row r="58766" spans="1:1">
      <c r="A58766" s="56"/>
    </row>
    <row r="58767" spans="1:1">
      <c r="A58767" s="56"/>
    </row>
    <row r="58768" spans="1:1">
      <c r="A58768" s="56"/>
    </row>
    <row r="58769" spans="1:1">
      <c r="A58769" s="56"/>
    </row>
    <row r="58770" spans="1:1">
      <c r="A58770" s="56"/>
    </row>
    <row r="58771" spans="1:1">
      <c r="A58771" s="56"/>
    </row>
    <row r="58772" spans="1:1">
      <c r="A58772" s="56"/>
    </row>
    <row r="58773" spans="1:1">
      <c r="A58773" s="56"/>
    </row>
    <row r="58774" spans="1:1">
      <c r="A58774" s="56"/>
    </row>
    <row r="58775" spans="1:1">
      <c r="A58775" s="56"/>
    </row>
    <row r="58776" spans="1:1">
      <c r="A58776" s="56"/>
    </row>
    <row r="58777" spans="1:1">
      <c r="A58777" s="56"/>
    </row>
    <row r="58778" spans="1:1">
      <c r="A58778" s="56"/>
    </row>
    <row r="58779" spans="1:1">
      <c r="A58779" s="56"/>
    </row>
    <row r="58780" spans="1:1">
      <c r="A58780" s="56"/>
    </row>
    <row r="58781" spans="1:1">
      <c r="A58781" s="56"/>
    </row>
    <row r="58782" spans="1:1">
      <c r="A58782" s="56"/>
    </row>
    <row r="58783" spans="1:1">
      <c r="A58783" s="56"/>
    </row>
    <row r="58784" spans="1:1">
      <c r="A58784" s="56"/>
    </row>
    <row r="58785" spans="1:1">
      <c r="A58785" s="56"/>
    </row>
    <row r="58786" spans="1:1">
      <c r="A58786" s="56"/>
    </row>
    <row r="58787" spans="1:1">
      <c r="A58787" s="56"/>
    </row>
    <row r="58788" spans="1:1">
      <c r="A58788" s="56"/>
    </row>
    <row r="58789" spans="1:1">
      <c r="A58789" s="56"/>
    </row>
    <row r="58790" spans="1:1">
      <c r="A58790" s="56"/>
    </row>
    <row r="58791" spans="1:1">
      <c r="A58791" s="56"/>
    </row>
    <row r="58792" spans="1:1">
      <c r="A58792" s="56"/>
    </row>
    <row r="58793" spans="1:1">
      <c r="A58793" s="56"/>
    </row>
    <row r="58794" spans="1:1">
      <c r="A58794" s="56"/>
    </row>
    <row r="58795" spans="1:1">
      <c r="A58795" s="56"/>
    </row>
    <row r="58796" spans="1:1">
      <c r="A58796" s="56"/>
    </row>
    <row r="58797" spans="1:1">
      <c r="A58797" s="56"/>
    </row>
    <row r="58798" spans="1:1">
      <c r="A58798" s="56"/>
    </row>
    <row r="58799" spans="1:1">
      <c r="A58799" s="56"/>
    </row>
    <row r="58800" spans="1:1">
      <c r="A58800" s="56"/>
    </row>
    <row r="58801" spans="1:1">
      <c r="A58801" s="56"/>
    </row>
    <row r="58802" spans="1:1">
      <c r="A58802" s="56"/>
    </row>
    <row r="58803" spans="1:1">
      <c r="A58803" s="56"/>
    </row>
    <row r="58804" spans="1:1">
      <c r="A58804" s="56"/>
    </row>
    <row r="58805" spans="1:1">
      <c r="A58805" s="56"/>
    </row>
    <row r="58806" spans="1:1">
      <c r="A58806" s="56"/>
    </row>
    <row r="58807" spans="1:1">
      <c r="A58807" s="56"/>
    </row>
    <row r="58808" spans="1:1">
      <c r="A58808" s="56"/>
    </row>
    <row r="58809" spans="1:1">
      <c r="A58809" s="56"/>
    </row>
    <row r="58810" spans="1:1">
      <c r="A58810" s="56"/>
    </row>
    <row r="58811" spans="1:1">
      <c r="A58811" s="56"/>
    </row>
    <row r="58812" spans="1:1">
      <c r="A58812" s="56"/>
    </row>
    <row r="58813" spans="1:1">
      <c r="A58813" s="56"/>
    </row>
    <row r="58814" spans="1:1">
      <c r="A58814" s="56"/>
    </row>
    <row r="58815" spans="1:1">
      <c r="A58815" s="56"/>
    </row>
    <row r="58816" spans="1:1">
      <c r="A58816" s="56"/>
    </row>
    <row r="58817" spans="1:1">
      <c r="A58817" s="56"/>
    </row>
    <row r="58818" spans="1:1">
      <c r="A58818" s="56"/>
    </row>
    <row r="58819" spans="1:1">
      <c r="A58819" s="56"/>
    </row>
    <row r="58820" spans="1:1">
      <c r="A58820" s="56"/>
    </row>
    <row r="58821" spans="1:1">
      <c r="A58821" s="56"/>
    </row>
    <row r="58822" spans="1:1">
      <c r="A58822" s="56"/>
    </row>
    <row r="58823" spans="1:1">
      <c r="A58823" s="56"/>
    </row>
    <row r="58824" spans="1:1">
      <c r="A58824" s="56"/>
    </row>
    <row r="58825" spans="1:1">
      <c r="A58825" s="56"/>
    </row>
    <row r="58826" spans="1:1">
      <c r="A58826" s="56"/>
    </row>
    <row r="58827" spans="1:1">
      <c r="A58827" s="56"/>
    </row>
    <row r="58828" spans="1:1">
      <c r="A58828" s="56"/>
    </row>
    <row r="58829" spans="1:1">
      <c r="A58829" s="56"/>
    </row>
    <row r="58830" spans="1:1">
      <c r="A58830" s="56"/>
    </row>
    <row r="58831" spans="1:1">
      <c r="A58831" s="56"/>
    </row>
    <row r="58832" spans="1:1">
      <c r="A58832" s="56"/>
    </row>
    <row r="58833" spans="1:1">
      <c r="A58833" s="56"/>
    </row>
    <row r="58834" spans="1:1">
      <c r="A58834" s="56"/>
    </row>
    <row r="58835" spans="1:1">
      <c r="A58835" s="56"/>
    </row>
    <row r="58836" spans="1:1">
      <c r="A58836" s="56"/>
    </row>
    <row r="58837" spans="1:1">
      <c r="A58837" s="56"/>
    </row>
    <row r="58838" spans="1:1">
      <c r="A58838" s="56"/>
    </row>
    <row r="58839" spans="1:1">
      <c r="A58839" s="56"/>
    </row>
    <row r="58840" spans="1:1">
      <c r="A58840" s="56"/>
    </row>
    <row r="58841" spans="1:1">
      <c r="A58841" s="56"/>
    </row>
    <row r="58842" spans="1:1">
      <c r="A58842" s="56"/>
    </row>
    <row r="58843" spans="1:1">
      <c r="A58843" s="56"/>
    </row>
    <row r="58844" spans="1:1">
      <c r="A58844" s="56"/>
    </row>
    <row r="58845" spans="1:1">
      <c r="A58845" s="56"/>
    </row>
    <row r="58846" spans="1:1">
      <c r="A58846" s="56"/>
    </row>
    <row r="58847" spans="1:1">
      <c r="A58847" s="56"/>
    </row>
    <row r="58848" spans="1:1">
      <c r="A58848" s="56"/>
    </row>
    <row r="58849" spans="1:1">
      <c r="A58849" s="56"/>
    </row>
    <row r="58850" spans="1:1">
      <c r="A58850" s="56"/>
    </row>
    <row r="58851" spans="1:1">
      <c r="A58851" s="56"/>
    </row>
    <row r="58852" spans="1:1">
      <c r="A58852" s="56"/>
    </row>
    <row r="58853" spans="1:1">
      <c r="A58853" s="56"/>
    </row>
    <row r="58854" spans="1:1">
      <c r="A58854" s="56"/>
    </row>
    <row r="58855" spans="1:1">
      <c r="A58855" s="56"/>
    </row>
    <row r="58856" spans="1:1">
      <c r="A58856" s="56"/>
    </row>
    <row r="58857" spans="1:1">
      <c r="A58857" s="56"/>
    </row>
    <row r="58858" spans="1:1">
      <c r="A58858" s="56"/>
    </row>
    <row r="58859" spans="1:1">
      <c r="A58859" s="56"/>
    </row>
    <row r="58860" spans="1:1">
      <c r="A58860" s="56"/>
    </row>
    <row r="58861" spans="1:1">
      <c r="A58861" s="56"/>
    </row>
    <row r="58862" spans="1:1">
      <c r="A58862" s="56"/>
    </row>
    <row r="58863" spans="1:1">
      <c r="A58863" s="56"/>
    </row>
    <row r="58864" spans="1:1">
      <c r="A58864" s="56"/>
    </row>
    <row r="58865" spans="1:1">
      <c r="A58865" s="56"/>
    </row>
    <row r="58866" spans="1:1">
      <c r="A58866" s="56"/>
    </row>
    <row r="58867" spans="1:1">
      <c r="A58867" s="56"/>
    </row>
    <row r="58868" spans="1:1">
      <c r="A58868" s="56"/>
    </row>
    <row r="58869" spans="1:1">
      <c r="A58869" s="56"/>
    </row>
    <row r="58870" spans="1:1">
      <c r="A58870" s="56"/>
    </row>
    <row r="58871" spans="1:1">
      <c r="A58871" s="56"/>
    </row>
    <row r="58872" spans="1:1">
      <c r="A58872" s="56"/>
    </row>
    <row r="58873" spans="1:1">
      <c r="A58873" s="56"/>
    </row>
    <row r="58874" spans="1:1">
      <c r="A58874" s="56"/>
    </row>
    <row r="58875" spans="1:1">
      <c r="A58875" s="56"/>
    </row>
    <row r="58876" spans="1:1">
      <c r="A58876" s="56"/>
    </row>
    <row r="58877" spans="1:1">
      <c r="A58877" s="56"/>
    </row>
    <row r="58878" spans="1:1">
      <c r="A58878" s="56"/>
    </row>
    <row r="58879" spans="1:1">
      <c r="A58879" s="56"/>
    </row>
    <row r="58880" spans="1:1">
      <c r="A58880" s="56"/>
    </row>
    <row r="58881" spans="1:1">
      <c r="A58881" s="56"/>
    </row>
    <row r="58882" spans="1:1">
      <c r="A58882" s="56"/>
    </row>
    <row r="58883" spans="1:1">
      <c r="A58883" s="56"/>
    </row>
    <row r="58884" spans="1:1">
      <c r="A58884" s="56"/>
    </row>
    <row r="58885" spans="1:1">
      <c r="A58885" s="56"/>
    </row>
    <row r="58886" spans="1:1">
      <c r="A58886" s="56"/>
    </row>
    <row r="58887" spans="1:1">
      <c r="A58887" s="56"/>
    </row>
    <row r="58888" spans="1:1">
      <c r="A58888" s="56"/>
    </row>
    <row r="58889" spans="1:1">
      <c r="A58889" s="56"/>
    </row>
    <row r="58890" spans="1:1">
      <c r="A58890" s="56"/>
    </row>
    <row r="58891" spans="1:1">
      <c r="A58891" s="56"/>
    </row>
    <row r="58892" spans="1:1">
      <c r="A58892" s="56"/>
    </row>
    <row r="58893" spans="1:1">
      <c r="A58893" s="56"/>
    </row>
    <row r="58894" spans="1:1">
      <c r="A58894" s="56"/>
    </row>
    <row r="58895" spans="1:1">
      <c r="A58895" s="56"/>
    </row>
    <row r="58896" spans="1:1">
      <c r="A58896" s="56"/>
    </row>
    <row r="58897" spans="1:1">
      <c r="A58897" s="56"/>
    </row>
    <row r="58898" spans="1:1">
      <c r="A58898" s="56"/>
    </row>
    <row r="58899" spans="1:1">
      <c r="A58899" s="56"/>
    </row>
    <row r="58900" spans="1:1">
      <c r="A58900" s="56"/>
    </row>
    <row r="58901" spans="1:1">
      <c r="A58901" s="56"/>
    </row>
    <row r="58902" spans="1:1">
      <c r="A58902" s="56"/>
    </row>
    <row r="58903" spans="1:1">
      <c r="A58903" s="56"/>
    </row>
    <row r="58904" spans="1:1">
      <c r="A58904" s="56"/>
    </row>
    <row r="58905" spans="1:1">
      <c r="A58905" s="56"/>
    </row>
    <row r="58906" spans="1:1">
      <c r="A58906" s="56"/>
    </row>
    <row r="58907" spans="1:1">
      <c r="A58907" s="56"/>
    </row>
    <row r="58908" spans="1:1">
      <c r="A58908" s="56"/>
    </row>
    <row r="58909" spans="1:1">
      <c r="A58909" s="56"/>
    </row>
    <row r="58910" spans="1:1">
      <c r="A58910" s="56"/>
    </row>
    <row r="58911" spans="1:1">
      <c r="A58911" s="56"/>
    </row>
    <row r="58912" spans="1:1">
      <c r="A58912" s="56"/>
    </row>
    <row r="58913" spans="1:1">
      <c r="A58913" s="56"/>
    </row>
    <row r="58914" spans="1:1">
      <c r="A58914" s="56"/>
    </row>
    <row r="58915" spans="1:1">
      <c r="A58915" s="56"/>
    </row>
    <row r="58916" spans="1:1">
      <c r="A58916" s="56"/>
    </row>
    <row r="58917" spans="1:1">
      <c r="A58917" s="56"/>
    </row>
    <row r="58918" spans="1:1">
      <c r="A58918" s="56"/>
    </row>
    <row r="58919" spans="1:1">
      <c r="A58919" s="56"/>
    </row>
    <row r="58920" spans="1:1">
      <c r="A58920" s="56"/>
    </row>
    <row r="58921" spans="1:1">
      <c r="A58921" s="56"/>
    </row>
    <row r="58922" spans="1:1">
      <c r="A58922" s="56"/>
    </row>
    <row r="58923" spans="1:1">
      <c r="A58923" s="56"/>
    </row>
    <row r="58924" spans="1:1">
      <c r="A58924" s="56"/>
    </row>
    <row r="58925" spans="1:1">
      <c r="A58925" s="56"/>
    </row>
    <row r="58926" spans="1:1">
      <c r="A58926" s="56"/>
    </row>
    <row r="58927" spans="1:1">
      <c r="A58927" s="56"/>
    </row>
    <row r="58928" spans="1:1">
      <c r="A58928" s="56"/>
    </row>
    <row r="58929" spans="1:1">
      <c r="A58929" s="56"/>
    </row>
    <row r="58930" spans="1:1">
      <c r="A58930" s="56"/>
    </row>
    <row r="58931" spans="1:1">
      <c r="A58931" s="56"/>
    </row>
    <row r="58932" spans="1:1">
      <c r="A58932" s="56"/>
    </row>
    <row r="58933" spans="1:1">
      <c r="A58933" s="56"/>
    </row>
    <row r="58934" spans="1:1">
      <c r="A58934" s="56"/>
    </row>
    <row r="58935" spans="1:1">
      <c r="A58935" s="56"/>
    </row>
    <row r="58936" spans="1:1">
      <c r="A58936" s="56"/>
    </row>
    <row r="58937" spans="1:1">
      <c r="A58937" s="56"/>
    </row>
    <row r="58938" spans="1:1">
      <c r="A58938" s="56"/>
    </row>
    <row r="58939" spans="1:1">
      <c r="A58939" s="56"/>
    </row>
    <row r="58940" spans="1:1">
      <c r="A58940" s="56"/>
    </row>
    <row r="58941" spans="1:1">
      <c r="A58941" s="56"/>
    </row>
    <row r="58942" spans="1:1">
      <c r="A58942" s="56"/>
    </row>
    <row r="58943" spans="1:1">
      <c r="A58943" s="56"/>
    </row>
    <row r="58944" spans="1:1">
      <c r="A58944" s="56"/>
    </row>
    <row r="58945" spans="1:1">
      <c r="A58945" s="56"/>
    </row>
    <row r="58946" spans="1:1">
      <c r="A58946" s="56"/>
    </row>
    <row r="58947" spans="1:1">
      <c r="A58947" s="56"/>
    </row>
    <row r="58948" spans="1:1">
      <c r="A58948" s="56"/>
    </row>
    <row r="58949" spans="1:1">
      <c r="A58949" s="56"/>
    </row>
    <row r="58950" spans="1:1">
      <c r="A58950" s="56"/>
    </row>
    <row r="58951" spans="1:1">
      <c r="A58951" s="56"/>
    </row>
    <row r="58952" spans="1:1">
      <c r="A58952" s="56"/>
    </row>
    <row r="58953" spans="1:1">
      <c r="A58953" s="56"/>
    </row>
    <row r="58954" spans="1:1">
      <c r="A58954" s="56"/>
    </row>
    <row r="58955" spans="1:1">
      <c r="A58955" s="56"/>
    </row>
    <row r="58956" spans="1:1">
      <c r="A58956" s="56"/>
    </row>
    <row r="58957" spans="1:1">
      <c r="A58957" s="56"/>
    </row>
    <row r="58958" spans="1:1">
      <c r="A58958" s="56"/>
    </row>
    <row r="58959" spans="1:1">
      <c r="A58959" s="56"/>
    </row>
    <row r="58960" spans="1:1">
      <c r="A58960" s="56"/>
    </row>
    <row r="58961" spans="1:1">
      <c r="A58961" s="56"/>
    </row>
    <row r="58962" spans="1:1">
      <c r="A58962" s="56"/>
    </row>
    <row r="58963" spans="1:1">
      <c r="A58963" s="56"/>
    </row>
    <row r="58964" spans="1:1">
      <c r="A58964" s="56"/>
    </row>
    <row r="58965" spans="1:1">
      <c r="A58965" s="56"/>
    </row>
    <row r="58966" spans="1:1">
      <c r="A58966" s="56"/>
    </row>
    <row r="58967" spans="1:1">
      <c r="A58967" s="56"/>
    </row>
    <row r="58968" spans="1:1">
      <c r="A58968" s="56"/>
    </row>
    <row r="58969" spans="1:1">
      <c r="A58969" s="56"/>
    </row>
    <row r="58970" spans="1:1">
      <c r="A58970" s="56"/>
    </row>
    <row r="58971" spans="1:1">
      <c r="A58971" s="56"/>
    </row>
    <row r="58972" spans="1:1">
      <c r="A58972" s="56"/>
    </row>
    <row r="58973" spans="1:1">
      <c r="A58973" s="56"/>
    </row>
    <row r="58974" spans="1:1">
      <c r="A58974" s="56"/>
    </row>
    <row r="58975" spans="1:1">
      <c r="A58975" s="56"/>
    </row>
    <row r="58976" spans="1:1">
      <c r="A58976" s="56"/>
    </row>
    <row r="58977" spans="1:1">
      <c r="A58977" s="56"/>
    </row>
    <row r="58978" spans="1:1">
      <c r="A58978" s="56"/>
    </row>
    <row r="58979" spans="1:1">
      <c r="A58979" s="56"/>
    </row>
    <row r="58980" spans="1:1">
      <c r="A58980" s="56"/>
    </row>
    <row r="58981" spans="1:1">
      <c r="A58981" s="56"/>
    </row>
    <row r="58982" spans="1:1">
      <c r="A58982" s="56"/>
    </row>
    <row r="58983" spans="1:1">
      <c r="A58983" s="56"/>
    </row>
    <row r="58984" spans="1:1">
      <c r="A58984" s="56"/>
    </row>
    <row r="58985" spans="1:1">
      <c r="A58985" s="56"/>
    </row>
    <row r="58986" spans="1:1">
      <c r="A58986" s="56"/>
    </row>
    <row r="58987" spans="1:1">
      <c r="A58987" s="56"/>
    </row>
    <row r="58988" spans="1:1">
      <c r="A58988" s="56"/>
    </row>
    <row r="58989" spans="1:1">
      <c r="A58989" s="56"/>
    </row>
    <row r="58990" spans="1:1">
      <c r="A58990" s="56"/>
    </row>
    <row r="58991" spans="1:1">
      <c r="A58991" s="56"/>
    </row>
    <row r="58992" spans="1:1">
      <c r="A58992" s="56"/>
    </row>
    <row r="58993" spans="1:1">
      <c r="A58993" s="56"/>
    </row>
    <row r="58994" spans="1:1">
      <c r="A58994" s="56"/>
    </row>
    <row r="58995" spans="1:1">
      <c r="A58995" s="56"/>
    </row>
    <row r="58996" spans="1:1">
      <c r="A58996" s="56"/>
    </row>
    <row r="58997" spans="1:1">
      <c r="A58997" s="56"/>
    </row>
    <row r="58998" spans="1:1">
      <c r="A58998" s="56"/>
    </row>
    <row r="58999" spans="1:1">
      <c r="A58999" s="56"/>
    </row>
    <row r="59000" spans="1:1">
      <c r="A59000" s="56"/>
    </row>
    <row r="59001" spans="1:1">
      <c r="A59001" s="56"/>
    </row>
    <row r="59002" spans="1:1">
      <c r="A59002" s="56"/>
    </row>
    <row r="59003" spans="1:1">
      <c r="A59003" s="56"/>
    </row>
    <row r="59004" spans="1:1">
      <c r="A59004" s="56"/>
    </row>
    <row r="59005" spans="1:1">
      <c r="A59005" s="56"/>
    </row>
    <row r="59006" spans="1:1">
      <c r="A59006" s="56"/>
    </row>
    <row r="59007" spans="1:1">
      <c r="A59007" s="56"/>
    </row>
    <row r="59008" spans="1:1">
      <c r="A59008" s="56"/>
    </row>
    <row r="59009" spans="1:1">
      <c r="A59009" s="56"/>
    </row>
    <row r="59010" spans="1:1">
      <c r="A59010" s="56"/>
    </row>
    <row r="59011" spans="1:1">
      <c r="A59011" s="56"/>
    </row>
    <row r="59012" spans="1:1">
      <c r="A59012" s="56"/>
    </row>
    <row r="59013" spans="1:1">
      <c r="A59013" s="56"/>
    </row>
    <row r="59014" spans="1:1">
      <c r="A59014" s="56"/>
    </row>
    <row r="59015" spans="1:1">
      <c r="A59015" s="56"/>
    </row>
    <row r="59016" spans="1:1">
      <c r="A59016" s="56"/>
    </row>
    <row r="59017" spans="1:1">
      <c r="A59017" s="56"/>
    </row>
    <row r="59018" spans="1:1">
      <c r="A59018" s="56"/>
    </row>
    <row r="59019" spans="1:1">
      <c r="A59019" s="56"/>
    </row>
    <row r="59020" spans="1:1">
      <c r="A59020" s="56"/>
    </row>
    <row r="59021" spans="1:1">
      <c r="A59021" s="56"/>
    </row>
    <row r="59022" spans="1:1">
      <c r="A59022" s="56"/>
    </row>
    <row r="59023" spans="1:1">
      <c r="A59023" s="56"/>
    </row>
    <row r="59024" spans="1:1">
      <c r="A59024" s="56"/>
    </row>
    <row r="59025" spans="1:1">
      <c r="A59025" s="56"/>
    </row>
    <row r="59026" spans="1:1">
      <c r="A59026" s="56"/>
    </row>
    <row r="59027" spans="1:1">
      <c r="A59027" s="56"/>
    </row>
    <row r="59028" spans="1:1">
      <c r="A59028" s="56"/>
    </row>
    <row r="59029" spans="1:1">
      <c r="A59029" s="56"/>
    </row>
    <row r="59030" spans="1:1">
      <c r="A59030" s="56"/>
    </row>
    <row r="59031" spans="1:1">
      <c r="A59031" s="56"/>
    </row>
    <row r="59032" spans="1:1">
      <c r="A59032" s="56"/>
    </row>
    <row r="59033" spans="1:1">
      <c r="A59033" s="56"/>
    </row>
    <row r="59034" spans="1:1">
      <c r="A59034" s="56"/>
    </row>
    <row r="59035" spans="1:1">
      <c r="A59035" s="56"/>
    </row>
    <row r="59036" spans="1:1">
      <c r="A59036" s="56"/>
    </row>
    <row r="59037" spans="1:1">
      <c r="A59037" s="56"/>
    </row>
    <row r="59038" spans="1:1">
      <c r="A59038" s="56"/>
    </row>
    <row r="59039" spans="1:1">
      <c r="A59039" s="56"/>
    </row>
    <row r="59040" spans="1:1">
      <c r="A59040" s="56"/>
    </row>
    <row r="59041" spans="1:1">
      <c r="A59041" s="56"/>
    </row>
    <row r="59042" spans="1:1">
      <c r="A59042" s="56"/>
    </row>
    <row r="59043" spans="1:1">
      <c r="A59043" s="56"/>
    </row>
    <row r="59044" spans="1:1">
      <c r="A59044" s="56"/>
    </row>
    <row r="59045" spans="1:1">
      <c r="A59045" s="56"/>
    </row>
    <row r="59046" spans="1:1">
      <c r="A59046" s="56"/>
    </row>
    <row r="59047" spans="1:1">
      <c r="A59047" s="56"/>
    </row>
    <row r="59048" spans="1:1">
      <c r="A59048" s="56"/>
    </row>
    <row r="59049" spans="1:1">
      <c r="A59049" s="56"/>
    </row>
    <row r="59050" spans="1:1">
      <c r="A59050" s="56"/>
    </row>
    <row r="59051" spans="1:1">
      <c r="A59051" s="56"/>
    </row>
    <row r="59052" spans="1:1">
      <c r="A59052" s="56"/>
    </row>
    <row r="59053" spans="1:1">
      <c r="A59053" s="56"/>
    </row>
    <row r="59054" spans="1:1">
      <c r="A59054" s="56"/>
    </row>
    <row r="59055" spans="1:1">
      <c r="A59055" s="56"/>
    </row>
    <row r="59056" spans="1:1">
      <c r="A59056" s="56"/>
    </row>
    <row r="59057" spans="1:1">
      <c r="A59057" s="56"/>
    </row>
    <row r="59058" spans="1:1">
      <c r="A59058" s="56"/>
    </row>
    <row r="59059" spans="1:1">
      <c r="A59059" s="56"/>
    </row>
    <row r="59060" spans="1:1">
      <c r="A59060" s="56"/>
    </row>
    <row r="59061" spans="1:1">
      <c r="A59061" s="56"/>
    </row>
    <row r="59062" spans="1:1">
      <c r="A59062" s="56"/>
    </row>
    <row r="59063" spans="1:1">
      <c r="A59063" s="56"/>
    </row>
    <row r="59064" spans="1:1">
      <c r="A59064" s="56"/>
    </row>
    <row r="59065" spans="1:1">
      <c r="A59065" s="56"/>
    </row>
    <row r="59066" spans="1:1">
      <c r="A59066" s="56"/>
    </row>
    <row r="59067" spans="1:1">
      <c r="A59067" s="56"/>
    </row>
    <row r="59068" spans="1:1">
      <c r="A59068" s="56"/>
    </row>
    <row r="59069" spans="1:1">
      <c r="A59069" s="56"/>
    </row>
    <row r="59070" spans="1:1">
      <c r="A59070" s="56"/>
    </row>
    <row r="59071" spans="1:1">
      <c r="A59071" s="56"/>
    </row>
    <row r="59072" spans="1:1">
      <c r="A59072" s="56"/>
    </row>
    <row r="59073" spans="1:1">
      <c r="A59073" s="56"/>
    </row>
    <row r="59074" spans="1:1">
      <c r="A59074" s="56"/>
    </row>
    <row r="59075" spans="1:1">
      <c r="A59075" s="56"/>
    </row>
    <row r="59076" spans="1:1">
      <c r="A59076" s="56"/>
    </row>
    <row r="59077" spans="1:1">
      <c r="A59077" s="56"/>
    </row>
    <row r="59078" spans="1:1">
      <c r="A59078" s="56"/>
    </row>
    <row r="59079" spans="1:1">
      <c r="A59079" s="56"/>
    </row>
    <row r="59080" spans="1:1">
      <c r="A59080" s="56"/>
    </row>
    <row r="59081" spans="1:1">
      <c r="A59081" s="56"/>
    </row>
    <row r="59082" spans="1:1">
      <c r="A59082" s="56"/>
    </row>
    <row r="59083" spans="1:1">
      <c r="A59083" s="56"/>
    </row>
    <row r="59084" spans="1:1">
      <c r="A59084" s="56"/>
    </row>
    <row r="59085" spans="1:1">
      <c r="A59085" s="56"/>
    </row>
    <row r="59086" spans="1:1">
      <c r="A59086" s="56"/>
    </row>
    <row r="59087" spans="1:1">
      <c r="A59087" s="56"/>
    </row>
    <row r="59088" spans="1:1">
      <c r="A59088" s="56"/>
    </row>
    <row r="59089" spans="1:1">
      <c r="A59089" s="56"/>
    </row>
    <row r="59090" spans="1:1">
      <c r="A59090" s="56"/>
    </row>
    <row r="59091" spans="1:1">
      <c r="A59091" s="56"/>
    </row>
    <row r="59092" spans="1:1">
      <c r="A59092" s="56"/>
    </row>
    <row r="59093" spans="1:1">
      <c r="A59093" s="56"/>
    </row>
    <row r="59094" spans="1:1">
      <c r="A59094" s="56"/>
    </row>
    <row r="59095" spans="1:1">
      <c r="A59095" s="56"/>
    </row>
    <row r="59096" spans="1:1">
      <c r="A59096" s="56"/>
    </row>
    <row r="59097" spans="1:1">
      <c r="A59097" s="56"/>
    </row>
    <row r="59098" spans="1:1">
      <c r="A59098" s="56"/>
    </row>
    <row r="59099" spans="1:1">
      <c r="A59099" s="56"/>
    </row>
    <row r="59100" spans="1:1">
      <c r="A59100" s="56"/>
    </row>
    <row r="59101" spans="1:1">
      <c r="A59101" s="56"/>
    </row>
    <row r="59102" spans="1:1">
      <c r="A59102" s="56"/>
    </row>
    <row r="59103" spans="1:1">
      <c r="A59103" s="56"/>
    </row>
    <row r="59104" spans="1:1">
      <c r="A59104" s="56"/>
    </row>
    <row r="59105" spans="1:1">
      <c r="A59105" s="56"/>
    </row>
    <row r="59106" spans="1:1">
      <c r="A59106" s="56"/>
    </row>
    <row r="59107" spans="1:1">
      <c r="A59107" s="56"/>
    </row>
    <row r="59108" spans="1:1">
      <c r="A59108" s="56"/>
    </row>
    <row r="59109" spans="1:1">
      <c r="A59109" s="56"/>
    </row>
    <row r="59110" spans="1:1">
      <c r="A59110" s="56"/>
    </row>
    <row r="59111" spans="1:1">
      <c r="A59111" s="56"/>
    </row>
    <row r="59112" spans="1:1">
      <c r="A59112" s="56"/>
    </row>
    <row r="59113" spans="1:1">
      <c r="A59113" s="56"/>
    </row>
    <row r="59114" spans="1:1">
      <c r="A59114" s="56"/>
    </row>
    <row r="59115" spans="1:1">
      <c r="A59115" s="56"/>
    </row>
    <row r="59116" spans="1:1">
      <c r="A59116" s="56"/>
    </row>
    <row r="59117" spans="1:1">
      <c r="A59117" s="56"/>
    </row>
    <row r="59118" spans="1:1">
      <c r="A59118" s="56"/>
    </row>
    <row r="59119" spans="1:1">
      <c r="A59119" s="56"/>
    </row>
    <row r="59120" spans="1:1">
      <c r="A59120" s="56"/>
    </row>
    <row r="59121" spans="1:1">
      <c r="A59121" s="56"/>
    </row>
    <row r="59122" spans="1:1">
      <c r="A59122" s="56"/>
    </row>
    <row r="59123" spans="1:1">
      <c r="A59123" s="56"/>
    </row>
    <row r="59124" spans="1:1">
      <c r="A59124" s="56"/>
    </row>
    <row r="59125" spans="1:1">
      <c r="A59125" s="56"/>
    </row>
    <row r="59126" spans="1:1">
      <c r="A59126" s="56"/>
    </row>
    <row r="59127" spans="1:1">
      <c r="A59127" s="56"/>
    </row>
    <row r="59128" spans="1:1">
      <c r="A59128" s="56"/>
    </row>
    <row r="59129" spans="1:1">
      <c r="A59129" s="56"/>
    </row>
    <row r="59130" spans="1:1">
      <c r="A59130" s="56"/>
    </row>
    <row r="59131" spans="1:1">
      <c r="A59131" s="56"/>
    </row>
    <row r="59132" spans="1:1">
      <c r="A59132" s="56"/>
    </row>
    <row r="59133" spans="1:1">
      <c r="A59133" s="56"/>
    </row>
    <row r="59134" spans="1:1">
      <c r="A59134" s="56"/>
    </row>
    <row r="59135" spans="1:1">
      <c r="A59135" s="56"/>
    </row>
    <row r="59136" spans="1:1">
      <c r="A59136" s="56"/>
    </row>
    <row r="59137" spans="1:1">
      <c r="A59137" s="56"/>
    </row>
    <row r="59138" spans="1:1">
      <c r="A59138" s="56"/>
    </row>
    <row r="59139" spans="1:1">
      <c r="A59139" s="56"/>
    </row>
    <row r="59140" spans="1:1">
      <c r="A59140" s="56"/>
    </row>
    <row r="59141" spans="1:1">
      <c r="A59141" s="56"/>
    </row>
    <row r="59142" spans="1:1">
      <c r="A59142" s="56"/>
    </row>
    <row r="59143" spans="1:1">
      <c r="A59143" s="56"/>
    </row>
    <row r="59144" spans="1:1">
      <c r="A59144" s="56"/>
    </row>
    <row r="59145" spans="1:1">
      <c r="A59145" s="56"/>
    </row>
    <row r="59146" spans="1:1">
      <c r="A59146" s="56"/>
    </row>
    <row r="59147" spans="1:1">
      <c r="A59147" s="56"/>
    </row>
    <row r="59148" spans="1:1">
      <c r="A59148" s="56"/>
    </row>
    <row r="59149" spans="1:1">
      <c r="A59149" s="56"/>
    </row>
    <row r="59150" spans="1:1">
      <c r="A59150" s="56"/>
    </row>
    <row r="59151" spans="1:1">
      <c r="A59151" s="56"/>
    </row>
    <row r="59152" spans="1:1">
      <c r="A59152" s="56"/>
    </row>
    <row r="59153" spans="1:1">
      <c r="A59153" s="56"/>
    </row>
    <row r="59154" spans="1:1">
      <c r="A59154" s="56"/>
    </row>
    <row r="59155" spans="1:1">
      <c r="A59155" s="56"/>
    </row>
    <row r="59156" spans="1:1">
      <c r="A59156" s="56"/>
    </row>
    <row r="59157" spans="1:1">
      <c r="A59157" s="56"/>
    </row>
    <row r="59158" spans="1:1">
      <c r="A59158" s="56"/>
    </row>
    <row r="59159" spans="1:1">
      <c r="A59159" s="56"/>
    </row>
    <row r="59160" spans="1:1">
      <c r="A59160" s="56"/>
    </row>
    <row r="59161" spans="1:1">
      <c r="A59161" s="56"/>
    </row>
    <row r="59162" spans="1:1">
      <c r="A59162" s="56"/>
    </row>
    <row r="59163" spans="1:1">
      <c r="A59163" s="56"/>
    </row>
    <row r="59164" spans="1:1">
      <c r="A59164" s="56"/>
    </row>
    <row r="59165" spans="1:1">
      <c r="A59165" s="56"/>
    </row>
    <row r="59166" spans="1:1">
      <c r="A59166" s="56"/>
    </row>
    <row r="59167" spans="1:1">
      <c r="A59167" s="56"/>
    </row>
    <row r="59168" spans="1:1">
      <c r="A59168" s="56"/>
    </row>
    <row r="59169" spans="1:1">
      <c r="A59169" s="56"/>
    </row>
    <row r="59170" spans="1:1">
      <c r="A59170" s="56"/>
    </row>
    <row r="59171" spans="1:1">
      <c r="A59171" s="56"/>
    </row>
    <row r="59172" spans="1:1">
      <c r="A59172" s="56"/>
    </row>
    <row r="59173" spans="1:1">
      <c r="A59173" s="56"/>
    </row>
    <row r="59174" spans="1:1">
      <c r="A59174" s="56"/>
    </row>
    <row r="59175" spans="1:1">
      <c r="A59175" s="56"/>
    </row>
    <row r="59176" spans="1:1">
      <c r="A59176" s="56"/>
    </row>
    <row r="59177" spans="1:1">
      <c r="A59177" s="56"/>
    </row>
    <row r="59178" spans="1:1">
      <c r="A59178" s="56"/>
    </row>
    <row r="59179" spans="1:1">
      <c r="A59179" s="56"/>
    </row>
    <row r="59180" spans="1:1">
      <c r="A59180" s="56"/>
    </row>
    <row r="59181" spans="1:1">
      <c r="A59181" s="56"/>
    </row>
    <row r="59182" spans="1:1">
      <c r="A59182" s="56"/>
    </row>
    <row r="59183" spans="1:1">
      <c r="A59183" s="56"/>
    </row>
    <row r="59184" spans="1:1">
      <c r="A59184" s="56"/>
    </row>
    <row r="59185" spans="1:1">
      <c r="A59185" s="56"/>
    </row>
    <row r="59186" spans="1:1">
      <c r="A59186" s="56"/>
    </row>
    <row r="59187" spans="1:1">
      <c r="A59187" s="56"/>
    </row>
    <row r="59188" spans="1:1">
      <c r="A59188" s="56"/>
    </row>
    <row r="59189" spans="1:1">
      <c r="A59189" s="56"/>
    </row>
    <row r="59190" spans="1:1">
      <c r="A59190" s="56"/>
    </row>
    <row r="59191" spans="1:1">
      <c r="A59191" s="56"/>
    </row>
    <row r="59192" spans="1:1">
      <c r="A59192" s="56"/>
    </row>
    <row r="59193" spans="1:1">
      <c r="A59193" s="56"/>
    </row>
    <row r="59194" spans="1:1">
      <c r="A59194" s="56"/>
    </row>
    <row r="59195" spans="1:1">
      <c r="A59195" s="56"/>
    </row>
    <row r="59196" spans="1:1">
      <c r="A59196" s="56"/>
    </row>
    <row r="59197" spans="1:1">
      <c r="A59197" s="56"/>
    </row>
    <row r="59198" spans="1:1">
      <c r="A59198" s="56"/>
    </row>
    <row r="59199" spans="1:1">
      <c r="A59199" s="56"/>
    </row>
    <row r="59200" spans="1:1">
      <c r="A59200" s="56"/>
    </row>
    <row r="59201" spans="1:1">
      <c r="A59201" s="56"/>
    </row>
    <row r="59202" spans="1:1">
      <c r="A59202" s="56"/>
    </row>
    <row r="59203" spans="1:1">
      <c r="A59203" s="56"/>
    </row>
    <row r="59204" spans="1:1">
      <c r="A59204" s="56"/>
    </row>
    <row r="59205" spans="1:1">
      <c r="A59205" s="56"/>
    </row>
    <row r="59206" spans="1:1">
      <c r="A59206" s="56"/>
    </row>
    <row r="59207" spans="1:1">
      <c r="A59207" s="56"/>
    </row>
    <row r="59208" spans="1:1">
      <c r="A59208" s="56"/>
    </row>
    <row r="59209" spans="1:1">
      <c r="A59209" s="56"/>
    </row>
    <row r="59210" spans="1:1">
      <c r="A59210" s="56"/>
    </row>
    <row r="59211" spans="1:1">
      <c r="A59211" s="56"/>
    </row>
    <row r="59212" spans="1:1">
      <c r="A59212" s="56"/>
    </row>
    <row r="59213" spans="1:1">
      <c r="A59213" s="56"/>
    </row>
    <row r="59214" spans="1:1">
      <c r="A59214" s="56"/>
    </row>
    <row r="59215" spans="1:1">
      <c r="A59215" s="56"/>
    </row>
    <row r="59216" spans="1:1">
      <c r="A59216" s="56"/>
    </row>
    <row r="59217" spans="1:1">
      <c r="A59217" s="56"/>
    </row>
    <row r="59218" spans="1:1">
      <c r="A59218" s="56"/>
    </row>
    <row r="59219" spans="1:1">
      <c r="A59219" s="56"/>
    </row>
    <row r="59220" spans="1:1">
      <c r="A59220" s="56"/>
    </row>
    <row r="59221" spans="1:1">
      <c r="A59221" s="56"/>
    </row>
    <row r="59222" spans="1:1">
      <c r="A59222" s="56"/>
    </row>
    <row r="59223" spans="1:1">
      <c r="A59223" s="56"/>
    </row>
    <row r="59224" spans="1:1">
      <c r="A59224" s="56"/>
    </row>
    <row r="59225" spans="1:1">
      <c r="A59225" s="56"/>
    </row>
    <row r="59226" spans="1:1">
      <c r="A59226" s="56"/>
    </row>
    <row r="59227" spans="1:1">
      <c r="A59227" s="56"/>
    </row>
    <row r="59228" spans="1:1">
      <c r="A59228" s="56"/>
    </row>
    <row r="59229" spans="1:1">
      <c r="A59229" s="56"/>
    </row>
    <row r="59230" spans="1:1">
      <c r="A59230" s="56"/>
    </row>
    <row r="59231" spans="1:1">
      <c r="A59231" s="56"/>
    </row>
    <row r="59232" spans="1:1">
      <c r="A59232" s="56"/>
    </row>
    <row r="59233" spans="1:1">
      <c r="A59233" s="56"/>
    </row>
    <row r="59234" spans="1:1">
      <c r="A59234" s="56"/>
    </row>
    <row r="59235" spans="1:1">
      <c r="A59235" s="56"/>
    </row>
    <row r="59236" spans="1:1">
      <c r="A59236" s="56"/>
    </row>
    <row r="59237" spans="1:1">
      <c r="A59237" s="56"/>
    </row>
    <row r="59238" spans="1:1">
      <c r="A59238" s="56"/>
    </row>
    <row r="59239" spans="1:1">
      <c r="A59239" s="56"/>
    </row>
    <row r="59240" spans="1:1">
      <c r="A59240" s="56"/>
    </row>
    <row r="59241" spans="1:1">
      <c r="A59241" s="56"/>
    </row>
    <row r="59242" spans="1:1">
      <c r="A59242" s="56"/>
    </row>
    <row r="59243" spans="1:1">
      <c r="A59243" s="56"/>
    </row>
    <row r="59244" spans="1:1">
      <c r="A59244" s="56"/>
    </row>
    <row r="59245" spans="1:1">
      <c r="A59245" s="56"/>
    </row>
    <row r="59246" spans="1:1">
      <c r="A59246" s="56"/>
    </row>
    <row r="59247" spans="1:1">
      <c r="A59247" s="56"/>
    </row>
    <row r="59248" spans="1:1">
      <c r="A59248" s="56"/>
    </row>
    <row r="59249" spans="1:1">
      <c r="A59249" s="56"/>
    </row>
    <row r="59250" spans="1:1">
      <c r="A59250" s="56"/>
    </row>
    <row r="59251" spans="1:1">
      <c r="A59251" s="56"/>
    </row>
    <row r="59252" spans="1:1">
      <c r="A59252" s="56"/>
    </row>
    <row r="59253" spans="1:1">
      <c r="A59253" s="56"/>
    </row>
    <row r="59254" spans="1:1">
      <c r="A59254" s="56"/>
    </row>
    <row r="59255" spans="1:1">
      <c r="A59255" s="56"/>
    </row>
    <row r="59256" spans="1:1">
      <c r="A59256" s="56"/>
    </row>
    <row r="59257" spans="1:1">
      <c r="A59257" s="56"/>
    </row>
    <row r="59258" spans="1:1">
      <c r="A59258" s="56"/>
    </row>
    <row r="59259" spans="1:1">
      <c r="A59259" s="56"/>
    </row>
    <row r="59260" spans="1:1">
      <c r="A59260" s="56"/>
    </row>
    <row r="59261" spans="1:1">
      <c r="A59261" s="56"/>
    </row>
    <row r="59262" spans="1:1">
      <c r="A59262" s="56"/>
    </row>
    <row r="59263" spans="1:1">
      <c r="A59263" s="56"/>
    </row>
    <row r="59264" spans="1:1">
      <c r="A59264" s="56"/>
    </row>
    <row r="59265" spans="1:1">
      <c r="A59265" s="56"/>
    </row>
    <row r="59266" spans="1:1">
      <c r="A59266" s="56"/>
    </row>
    <row r="59267" spans="1:1">
      <c r="A59267" s="56"/>
    </row>
    <row r="59268" spans="1:1">
      <c r="A59268" s="56"/>
    </row>
    <row r="59269" spans="1:1">
      <c r="A59269" s="56"/>
    </row>
    <row r="59270" spans="1:1">
      <c r="A59270" s="56"/>
    </row>
    <row r="59271" spans="1:1">
      <c r="A59271" s="56"/>
    </row>
    <row r="59272" spans="1:1">
      <c r="A59272" s="56"/>
    </row>
    <row r="59273" spans="1:1">
      <c r="A59273" s="56"/>
    </row>
    <row r="59274" spans="1:1">
      <c r="A59274" s="56"/>
    </row>
    <row r="59275" spans="1:1">
      <c r="A59275" s="56"/>
    </row>
    <row r="59276" spans="1:1">
      <c r="A59276" s="56"/>
    </row>
    <row r="59277" spans="1:1">
      <c r="A59277" s="56"/>
    </row>
    <row r="59278" spans="1:1">
      <c r="A59278" s="56"/>
    </row>
    <row r="59279" spans="1:1">
      <c r="A59279" s="56"/>
    </row>
    <row r="59280" spans="1:1">
      <c r="A59280" s="56"/>
    </row>
    <row r="59281" spans="1:1">
      <c r="A59281" s="56"/>
    </row>
    <row r="59282" spans="1:1">
      <c r="A59282" s="56"/>
    </row>
    <row r="59283" spans="1:1">
      <c r="A59283" s="56"/>
    </row>
    <row r="59284" spans="1:1">
      <c r="A59284" s="56"/>
    </row>
    <row r="59285" spans="1:1">
      <c r="A59285" s="56"/>
    </row>
    <row r="59286" spans="1:1">
      <c r="A59286" s="56"/>
    </row>
    <row r="59287" spans="1:1">
      <c r="A59287" s="56"/>
    </row>
    <row r="59288" spans="1:1">
      <c r="A59288" s="56"/>
    </row>
    <row r="59289" spans="1:1">
      <c r="A59289" s="56"/>
    </row>
    <row r="59290" spans="1:1">
      <c r="A59290" s="56"/>
    </row>
    <row r="59291" spans="1:1">
      <c r="A59291" s="56"/>
    </row>
    <row r="59292" spans="1:1">
      <c r="A59292" s="56"/>
    </row>
    <row r="59293" spans="1:1">
      <c r="A59293" s="56"/>
    </row>
    <row r="59294" spans="1:1">
      <c r="A59294" s="56"/>
    </row>
    <row r="59295" spans="1:1">
      <c r="A59295" s="56"/>
    </row>
    <row r="59296" spans="1:1">
      <c r="A59296" s="56"/>
    </row>
    <row r="59297" spans="1:1">
      <c r="A59297" s="56"/>
    </row>
    <row r="59298" spans="1:1">
      <c r="A59298" s="56"/>
    </row>
    <row r="59299" spans="1:1">
      <c r="A59299" s="56"/>
    </row>
    <row r="59300" spans="1:1">
      <c r="A59300" s="56"/>
    </row>
    <row r="59301" spans="1:1">
      <c r="A59301" s="56"/>
    </row>
    <row r="59302" spans="1:1">
      <c r="A59302" s="56"/>
    </row>
    <row r="59303" spans="1:1">
      <c r="A59303" s="56"/>
    </row>
    <row r="59304" spans="1:1">
      <c r="A59304" s="56"/>
    </row>
    <row r="59305" spans="1:1">
      <c r="A59305" s="56"/>
    </row>
    <row r="59306" spans="1:1">
      <c r="A59306" s="56"/>
    </row>
    <row r="59307" spans="1:1">
      <c r="A59307" s="56"/>
    </row>
    <row r="59308" spans="1:1">
      <c r="A59308" s="56"/>
    </row>
    <row r="59309" spans="1:1">
      <c r="A59309" s="56"/>
    </row>
    <row r="59310" spans="1:1">
      <c r="A59310" s="56"/>
    </row>
    <row r="59311" spans="1:1">
      <c r="A59311" s="56"/>
    </row>
    <row r="59312" spans="1:1">
      <c r="A59312" s="56"/>
    </row>
    <row r="59313" spans="1:1">
      <c r="A59313" s="56"/>
    </row>
    <row r="59314" spans="1:1">
      <c r="A59314" s="56"/>
    </row>
    <row r="59315" spans="1:1">
      <c r="A59315" s="56"/>
    </row>
    <row r="59316" spans="1:1">
      <c r="A59316" s="56"/>
    </row>
    <row r="59317" spans="1:1">
      <c r="A59317" s="56"/>
    </row>
    <row r="59318" spans="1:1">
      <c r="A59318" s="56"/>
    </row>
    <row r="59319" spans="1:1">
      <c r="A59319" s="56"/>
    </row>
    <row r="59320" spans="1:1">
      <c r="A59320" s="56"/>
    </row>
    <row r="59321" spans="1:1">
      <c r="A59321" s="56"/>
    </row>
    <row r="59322" spans="1:1">
      <c r="A59322" s="56"/>
    </row>
    <row r="59323" spans="1:1">
      <c r="A59323" s="56"/>
    </row>
    <row r="59324" spans="1:1">
      <c r="A59324" s="56"/>
    </row>
    <row r="59325" spans="1:1">
      <c r="A59325" s="56"/>
    </row>
    <row r="59326" spans="1:1">
      <c r="A59326" s="56"/>
    </row>
    <row r="59327" spans="1:1">
      <c r="A59327" s="56"/>
    </row>
    <row r="59328" spans="1:1">
      <c r="A59328" s="56"/>
    </row>
    <row r="59329" spans="1:1">
      <c r="A59329" s="56"/>
    </row>
    <row r="59330" spans="1:1">
      <c r="A59330" s="56"/>
    </row>
    <row r="59331" spans="1:1">
      <c r="A59331" s="56"/>
    </row>
    <row r="59332" spans="1:1">
      <c r="A59332" s="56"/>
    </row>
    <row r="59333" spans="1:1">
      <c r="A59333" s="56"/>
    </row>
    <row r="59334" spans="1:1">
      <c r="A59334" s="56"/>
    </row>
    <row r="59335" spans="1:1">
      <c r="A59335" s="56"/>
    </row>
    <row r="59336" spans="1:1">
      <c r="A59336" s="56"/>
    </row>
    <row r="59337" spans="1:1">
      <c r="A59337" s="56"/>
    </row>
    <row r="59338" spans="1:1">
      <c r="A59338" s="56"/>
    </row>
    <row r="59339" spans="1:1">
      <c r="A59339" s="56"/>
    </row>
    <row r="59340" spans="1:1">
      <c r="A59340" s="56"/>
    </row>
    <row r="59341" spans="1:1">
      <c r="A59341" s="56"/>
    </row>
    <row r="59342" spans="1:1">
      <c r="A59342" s="56"/>
    </row>
    <row r="59343" spans="1:1">
      <c r="A59343" s="56"/>
    </row>
    <row r="59344" spans="1:1">
      <c r="A59344" s="56"/>
    </row>
    <row r="59345" spans="1:1">
      <c r="A59345" s="56"/>
    </row>
    <row r="59346" spans="1:1">
      <c r="A59346" s="56"/>
    </row>
    <row r="59347" spans="1:1">
      <c r="A59347" s="56"/>
    </row>
    <row r="59348" spans="1:1">
      <c r="A59348" s="56"/>
    </row>
    <row r="59349" spans="1:1">
      <c r="A59349" s="56"/>
    </row>
    <row r="59350" spans="1:1">
      <c r="A59350" s="56"/>
    </row>
    <row r="59351" spans="1:1">
      <c r="A59351" s="56"/>
    </row>
    <row r="59352" spans="1:1">
      <c r="A59352" s="56"/>
    </row>
    <row r="59353" spans="1:1">
      <c r="A59353" s="56"/>
    </row>
    <row r="59354" spans="1:1">
      <c r="A59354" s="56"/>
    </row>
    <row r="59355" spans="1:1">
      <c r="A59355" s="56"/>
    </row>
    <row r="59356" spans="1:1">
      <c r="A59356" s="56"/>
    </row>
    <row r="59357" spans="1:1">
      <c r="A59357" s="56"/>
    </row>
    <row r="59358" spans="1:1">
      <c r="A59358" s="56"/>
    </row>
    <row r="59359" spans="1:1">
      <c r="A59359" s="56"/>
    </row>
    <row r="59360" spans="1:1">
      <c r="A59360" s="56"/>
    </row>
    <row r="59361" spans="1:1">
      <c r="A59361" s="56"/>
    </row>
    <row r="59362" spans="1:1">
      <c r="A59362" s="56"/>
    </row>
    <row r="59363" spans="1:1">
      <c r="A59363" s="56"/>
    </row>
    <row r="59364" spans="1:1">
      <c r="A59364" s="56"/>
    </row>
    <row r="59365" spans="1:1">
      <c r="A59365" s="56"/>
    </row>
    <row r="59366" spans="1:1">
      <c r="A59366" s="56"/>
    </row>
    <row r="59367" spans="1:1">
      <c r="A59367" s="56"/>
    </row>
    <row r="59368" spans="1:1">
      <c r="A59368" s="56"/>
    </row>
    <row r="59369" spans="1:1">
      <c r="A59369" s="56"/>
    </row>
    <row r="59370" spans="1:1">
      <c r="A59370" s="56"/>
    </row>
    <row r="59371" spans="1:1">
      <c r="A59371" s="56"/>
    </row>
    <row r="59372" spans="1:1">
      <c r="A59372" s="56"/>
    </row>
    <row r="59373" spans="1:1">
      <c r="A59373" s="56"/>
    </row>
    <row r="59374" spans="1:1">
      <c r="A59374" s="56"/>
    </row>
    <row r="59375" spans="1:1">
      <c r="A59375" s="56"/>
    </row>
    <row r="59376" spans="1:1">
      <c r="A59376" s="56"/>
    </row>
    <row r="59377" spans="1:1">
      <c r="A59377" s="56"/>
    </row>
    <row r="59378" spans="1:1">
      <c r="A59378" s="56"/>
    </row>
    <row r="59379" spans="1:1">
      <c r="A59379" s="56"/>
    </row>
    <row r="59380" spans="1:1">
      <c r="A59380" s="56"/>
    </row>
    <row r="59381" spans="1:1">
      <c r="A59381" s="56"/>
    </row>
    <row r="59382" spans="1:1">
      <c r="A59382" s="56"/>
    </row>
    <row r="59383" spans="1:1">
      <c r="A59383" s="56"/>
    </row>
    <row r="59384" spans="1:1">
      <c r="A59384" s="56"/>
    </row>
    <row r="59385" spans="1:1">
      <c r="A59385" s="56"/>
    </row>
    <row r="59386" spans="1:1">
      <c r="A59386" s="56"/>
    </row>
    <row r="59387" spans="1:1">
      <c r="A59387" s="56"/>
    </row>
    <row r="59388" spans="1:1">
      <c r="A59388" s="56"/>
    </row>
    <row r="59389" spans="1:1">
      <c r="A59389" s="56"/>
    </row>
    <row r="59390" spans="1:1">
      <c r="A59390" s="56"/>
    </row>
    <row r="59391" spans="1:1">
      <c r="A59391" s="56"/>
    </row>
    <row r="59392" spans="1:1">
      <c r="A59392" s="56"/>
    </row>
    <row r="59393" spans="1:1">
      <c r="A59393" s="56"/>
    </row>
    <row r="59394" spans="1:1">
      <c r="A59394" s="56"/>
    </row>
    <row r="59395" spans="1:1">
      <c r="A59395" s="56"/>
    </row>
    <row r="59396" spans="1:1">
      <c r="A59396" s="56"/>
    </row>
    <row r="59397" spans="1:1">
      <c r="A59397" s="56"/>
    </row>
    <row r="59398" spans="1:1">
      <c r="A59398" s="56"/>
    </row>
    <row r="59399" spans="1:1">
      <c r="A59399" s="56"/>
    </row>
    <row r="59400" spans="1:1">
      <c r="A59400" s="56"/>
    </row>
    <row r="59401" spans="1:1">
      <c r="A59401" s="56"/>
    </row>
    <row r="59402" spans="1:1">
      <c r="A59402" s="56"/>
    </row>
    <row r="59403" spans="1:1">
      <c r="A59403" s="56"/>
    </row>
    <row r="59404" spans="1:1">
      <c r="A59404" s="56"/>
    </row>
    <row r="59405" spans="1:1">
      <c r="A59405" s="56"/>
    </row>
    <row r="59406" spans="1:1">
      <c r="A59406" s="56"/>
    </row>
    <row r="59407" spans="1:1">
      <c r="A59407" s="56"/>
    </row>
    <row r="59408" spans="1:1">
      <c r="A59408" s="56"/>
    </row>
    <row r="59409" spans="1:1">
      <c r="A59409" s="56"/>
    </row>
    <row r="59410" spans="1:1">
      <c r="A59410" s="56"/>
    </row>
    <row r="59411" spans="1:1">
      <c r="A59411" s="56"/>
    </row>
    <row r="59412" spans="1:1">
      <c r="A59412" s="56"/>
    </row>
    <row r="59413" spans="1:1">
      <c r="A59413" s="56"/>
    </row>
    <row r="59414" spans="1:1">
      <c r="A59414" s="56"/>
    </row>
    <row r="59415" spans="1:1">
      <c r="A59415" s="56"/>
    </row>
    <row r="59416" spans="1:1">
      <c r="A59416" s="56"/>
    </row>
    <row r="59417" spans="1:1">
      <c r="A59417" s="56"/>
    </row>
    <row r="59418" spans="1:1">
      <c r="A59418" s="56"/>
    </row>
    <row r="59419" spans="1:1">
      <c r="A59419" s="56"/>
    </row>
    <row r="59420" spans="1:1">
      <c r="A59420" s="56"/>
    </row>
    <row r="59421" spans="1:1">
      <c r="A59421" s="56"/>
    </row>
    <row r="59422" spans="1:1">
      <c r="A59422" s="56"/>
    </row>
    <row r="59423" spans="1:1">
      <c r="A59423" s="56"/>
    </row>
    <row r="59424" spans="1:1">
      <c r="A59424" s="56"/>
    </row>
    <row r="59425" spans="1:1">
      <c r="A59425" s="56"/>
    </row>
    <row r="59426" spans="1:1">
      <c r="A59426" s="56"/>
    </row>
    <row r="59427" spans="1:1">
      <c r="A59427" s="56"/>
    </row>
    <row r="59428" spans="1:1">
      <c r="A59428" s="56"/>
    </row>
    <row r="59429" spans="1:1">
      <c r="A59429" s="56"/>
    </row>
    <row r="59430" spans="1:1">
      <c r="A59430" s="56"/>
    </row>
    <row r="59431" spans="1:1">
      <c r="A59431" s="56"/>
    </row>
    <row r="59432" spans="1:1">
      <c r="A59432" s="56"/>
    </row>
    <row r="59433" spans="1:1">
      <c r="A59433" s="56"/>
    </row>
    <row r="59434" spans="1:1">
      <c r="A59434" s="56"/>
    </row>
    <row r="59435" spans="1:1">
      <c r="A59435" s="56"/>
    </row>
    <row r="59436" spans="1:1">
      <c r="A59436" s="56"/>
    </row>
    <row r="59437" spans="1:1">
      <c r="A59437" s="56"/>
    </row>
    <row r="59438" spans="1:1">
      <c r="A59438" s="56"/>
    </row>
    <row r="59439" spans="1:1">
      <c r="A59439" s="56"/>
    </row>
    <row r="59440" spans="1:1">
      <c r="A59440" s="56"/>
    </row>
    <row r="59441" spans="1:1">
      <c r="A59441" s="56"/>
    </row>
    <row r="59442" spans="1:1">
      <c r="A59442" s="56"/>
    </row>
    <row r="59443" spans="1:1">
      <c r="A59443" s="56"/>
    </row>
    <row r="59444" spans="1:1">
      <c r="A59444" s="56"/>
    </row>
    <row r="59445" spans="1:1">
      <c r="A59445" s="56"/>
    </row>
    <row r="59446" spans="1:1">
      <c r="A59446" s="56"/>
    </row>
    <row r="59447" spans="1:1">
      <c r="A59447" s="56"/>
    </row>
    <row r="59448" spans="1:1">
      <c r="A59448" s="56"/>
    </row>
    <row r="59449" spans="1:1">
      <c r="A59449" s="56"/>
    </row>
    <row r="59450" spans="1:1">
      <c r="A59450" s="56"/>
    </row>
    <row r="59451" spans="1:1">
      <c r="A59451" s="56"/>
    </row>
    <row r="59452" spans="1:1">
      <c r="A59452" s="56"/>
    </row>
    <row r="59453" spans="1:1">
      <c r="A59453" s="56"/>
    </row>
    <row r="59454" spans="1:1">
      <c r="A59454" s="56"/>
    </row>
    <row r="59455" spans="1:1">
      <c r="A59455" s="56"/>
    </row>
    <row r="59456" spans="1:1">
      <c r="A59456" s="56"/>
    </row>
    <row r="59457" spans="1:1">
      <c r="A59457" s="56"/>
    </row>
    <row r="59458" spans="1:1">
      <c r="A59458" s="56"/>
    </row>
    <row r="59459" spans="1:1">
      <c r="A59459" s="56"/>
    </row>
    <row r="59460" spans="1:1">
      <c r="A59460" s="56"/>
    </row>
    <row r="59461" spans="1:1">
      <c r="A59461" s="56"/>
    </row>
    <row r="59462" spans="1:1">
      <c r="A59462" s="56"/>
    </row>
    <row r="59463" spans="1:1">
      <c r="A59463" s="56"/>
    </row>
    <row r="59464" spans="1:1">
      <c r="A59464" s="56"/>
    </row>
    <row r="59465" spans="1:1">
      <c r="A59465" s="56"/>
    </row>
    <row r="59466" spans="1:1">
      <c r="A59466" s="56"/>
    </row>
    <row r="59467" spans="1:1">
      <c r="A59467" s="56"/>
    </row>
    <row r="59468" spans="1:1">
      <c r="A59468" s="56"/>
    </row>
    <row r="59469" spans="1:1">
      <c r="A59469" s="56"/>
    </row>
    <row r="59470" spans="1:1">
      <c r="A59470" s="56"/>
    </row>
    <row r="59471" spans="1:1">
      <c r="A59471" s="56"/>
    </row>
    <row r="59472" spans="1:1">
      <c r="A59472" s="56"/>
    </row>
    <row r="59473" spans="1:1">
      <c r="A59473" s="56"/>
    </row>
    <row r="59474" spans="1:1">
      <c r="A59474" s="56"/>
    </row>
    <row r="59475" spans="1:1">
      <c r="A59475" s="56"/>
    </row>
    <row r="59476" spans="1:1">
      <c r="A59476" s="56"/>
    </row>
    <row r="59477" spans="1:1">
      <c r="A59477" s="56"/>
    </row>
    <row r="59478" spans="1:1">
      <c r="A59478" s="56"/>
    </row>
    <row r="59479" spans="1:1">
      <c r="A59479" s="56"/>
    </row>
    <row r="59480" spans="1:1">
      <c r="A59480" s="56"/>
    </row>
    <row r="59481" spans="1:1">
      <c r="A59481" s="56"/>
    </row>
    <row r="59482" spans="1:1">
      <c r="A59482" s="56"/>
    </row>
    <row r="59483" spans="1:1">
      <c r="A59483" s="56"/>
    </row>
    <row r="59484" spans="1:1">
      <c r="A59484" s="56"/>
    </row>
    <row r="59485" spans="1:1">
      <c r="A59485" s="56"/>
    </row>
    <row r="59486" spans="1:1">
      <c r="A59486" s="56"/>
    </row>
    <row r="59487" spans="1:1">
      <c r="A59487" s="56"/>
    </row>
    <row r="59488" spans="1:1">
      <c r="A59488" s="56"/>
    </row>
    <row r="59489" spans="1:1">
      <c r="A59489" s="56"/>
    </row>
    <row r="59490" spans="1:1">
      <c r="A59490" s="56"/>
    </row>
    <row r="59491" spans="1:1">
      <c r="A59491" s="56"/>
    </row>
    <row r="59492" spans="1:1">
      <c r="A59492" s="56"/>
    </row>
    <row r="59493" spans="1:1">
      <c r="A59493" s="56"/>
    </row>
    <row r="59494" spans="1:1">
      <c r="A59494" s="56"/>
    </row>
    <row r="59495" spans="1:1">
      <c r="A59495" s="56"/>
    </row>
    <row r="59496" spans="1:1">
      <c r="A59496" s="56"/>
    </row>
    <row r="59497" spans="1:1">
      <c r="A59497" s="56"/>
    </row>
    <row r="59498" spans="1:1">
      <c r="A59498" s="56"/>
    </row>
    <row r="59499" spans="1:1">
      <c r="A59499" s="56"/>
    </row>
    <row r="59500" spans="1:1">
      <c r="A59500" s="56"/>
    </row>
    <row r="59501" spans="1:1">
      <c r="A59501" s="56"/>
    </row>
    <row r="59502" spans="1:1">
      <c r="A59502" s="56"/>
    </row>
    <row r="59503" spans="1:1">
      <c r="A59503" s="56"/>
    </row>
    <row r="59504" spans="1:1">
      <c r="A59504" s="56"/>
    </row>
    <row r="59505" spans="1:1">
      <c r="A59505" s="56"/>
    </row>
    <row r="59506" spans="1:1">
      <c r="A59506" s="56"/>
    </row>
    <row r="59507" spans="1:1">
      <c r="A59507" s="56"/>
    </row>
    <row r="59508" spans="1:1">
      <c r="A59508" s="56"/>
    </row>
    <row r="59509" spans="1:1">
      <c r="A59509" s="56"/>
    </row>
    <row r="59510" spans="1:1">
      <c r="A59510" s="56"/>
    </row>
    <row r="59511" spans="1:1">
      <c r="A59511" s="56"/>
    </row>
    <row r="59512" spans="1:1">
      <c r="A59512" s="56"/>
    </row>
    <row r="59513" spans="1:1">
      <c r="A59513" s="56"/>
    </row>
    <row r="59514" spans="1:1">
      <c r="A59514" s="56"/>
    </row>
    <row r="59515" spans="1:1">
      <c r="A59515" s="56"/>
    </row>
    <row r="59516" spans="1:1">
      <c r="A59516" s="56"/>
    </row>
    <row r="59517" spans="1:1">
      <c r="A59517" s="56"/>
    </row>
    <row r="59518" spans="1:1">
      <c r="A59518" s="56"/>
    </row>
    <row r="59519" spans="1:1">
      <c r="A59519" s="56"/>
    </row>
    <row r="59520" spans="1:1">
      <c r="A59520" s="56"/>
    </row>
    <row r="59521" spans="1:1">
      <c r="A59521" s="56"/>
    </row>
    <row r="59522" spans="1:1">
      <c r="A59522" s="56"/>
    </row>
    <row r="59523" spans="1:1">
      <c r="A59523" s="56"/>
    </row>
    <row r="59524" spans="1:1">
      <c r="A59524" s="56"/>
    </row>
    <row r="59525" spans="1:1">
      <c r="A59525" s="56"/>
    </row>
    <row r="59526" spans="1:1">
      <c r="A59526" s="56"/>
    </row>
    <row r="59527" spans="1:1">
      <c r="A59527" s="56"/>
    </row>
    <row r="59528" spans="1:1">
      <c r="A59528" s="56"/>
    </row>
    <row r="59529" spans="1:1">
      <c r="A59529" s="56"/>
    </row>
    <row r="59530" spans="1:1">
      <c r="A59530" s="56"/>
    </row>
    <row r="59531" spans="1:1">
      <c r="A59531" s="56"/>
    </row>
    <row r="59532" spans="1:1">
      <c r="A59532" s="56"/>
    </row>
    <row r="59533" spans="1:1">
      <c r="A59533" s="56"/>
    </row>
    <row r="59534" spans="1:1">
      <c r="A59534" s="56"/>
    </row>
    <row r="59535" spans="1:1">
      <c r="A59535" s="56"/>
    </row>
    <row r="59536" spans="1:1">
      <c r="A59536" s="56"/>
    </row>
    <row r="59537" spans="1:1">
      <c r="A59537" s="56"/>
    </row>
    <row r="59538" spans="1:1">
      <c r="A59538" s="56"/>
    </row>
    <row r="59539" spans="1:1">
      <c r="A59539" s="56"/>
    </row>
    <row r="59540" spans="1:1">
      <c r="A59540" s="56"/>
    </row>
    <row r="59541" spans="1:1">
      <c r="A59541" s="56"/>
    </row>
    <row r="59542" spans="1:1">
      <c r="A59542" s="56"/>
    </row>
    <row r="59543" spans="1:1">
      <c r="A59543" s="56"/>
    </row>
    <row r="59544" spans="1:1">
      <c r="A59544" s="56"/>
    </row>
    <row r="59545" spans="1:1">
      <c r="A59545" s="56"/>
    </row>
    <row r="59546" spans="1:1">
      <c r="A59546" s="56"/>
    </row>
    <row r="59547" spans="1:1">
      <c r="A59547" s="56"/>
    </row>
    <row r="59548" spans="1:1">
      <c r="A59548" s="56"/>
    </row>
    <row r="59549" spans="1:1">
      <c r="A59549" s="56"/>
    </row>
    <row r="59550" spans="1:1">
      <c r="A59550" s="56"/>
    </row>
    <row r="59551" spans="1:1">
      <c r="A59551" s="56"/>
    </row>
    <row r="59552" spans="1:1">
      <c r="A59552" s="56"/>
    </row>
    <row r="59553" spans="1:1">
      <c r="A59553" s="56"/>
    </row>
    <row r="59554" spans="1:1">
      <c r="A59554" s="56"/>
    </row>
    <row r="59555" spans="1:1">
      <c r="A59555" s="56"/>
    </row>
    <row r="59556" spans="1:1">
      <c r="A59556" s="56"/>
    </row>
    <row r="59557" spans="1:1">
      <c r="A59557" s="56"/>
    </row>
    <row r="59558" spans="1:1">
      <c r="A59558" s="56"/>
    </row>
    <row r="59559" spans="1:1">
      <c r="A59559" s="56"/>
    </row>
    <row r="59560" spans="1:1">
      <c r="A59560" s="56"/>
    </row>
    <row r="59561" spans="1:1">
      <c r="A59561" s="56"/>
    </row>
    <row r="59562" spans="1:1">
      <c r="A59562" s="56"/>
    </row>
    <row r="59563" spans="1:1">
      <c r="A59563" s="56"/>
    </row>
    <row r="59564" spans="1:1">
      <c r="A59564" s="56"/>
    </row>
    <row r="59565" spans="1:1">
      <c r="A59565" s="56"/>
    </row>
    <row r="59566" spans="1:1">
      <c r="A59566" s="56"/>
    </row>
    <row r="59567" spans="1:1">
      <c r="A59567" s="56"/>
    </row>
    <row r="59568" spans="1:1">
      <c r="A59568" s="56"/>
    </row>
    <row r="59569" spans="1:1">
      <c r="A59569" s="56"/>
    </row>
    <row r="59570" spans="1:1">
      <c r="A59570" s="56"/>
    </row>
    <row r="59571" spans="1:1">
      <c r="A59571" s="56"/>
    </row>
    <row r="59572" spans="1:1">
      <c r="A59572" s="56"/>
    </row>
    <row r="59573" spans="1:1">
      <c r="A59573" s="56"/>
    </row>
    <row r="59574" spans="1:1">
      <c r="A59574" s="56"/>
    </row>
    <row r="59575" spans="1:1">
      <c r="A59575" s="56"/>
    </row>
    <row r="59576" spans="1:1">
      <c r="A59576" s="56"/>
    </row>
    <row r="59577" spans="1:1">
      <c r="A59577" s="56"/>
    </row>
    <row r="59578" spans="1:1">
      <c r="A59578" s="56"/>
    </row>
    <row r="59579" spans="1:1">
      <c r="A59579" s="56"/>
    </row>
    <row r="59580" spans="1:1">
      <c r="A59580" s="56"/>
    </row>
    <row r="59581" spans="1:1">
      <c r="A59581" s="56"/>
    </row>
    <row r="59582" spans="1:1">
      <c r="A59582" s="56"/>
    </row>
    <row r="59583" spans="1:1">
      <c r="A59583" s="56"/>
    </row>
    <row r="59584" spans="1:1">
      <c r="A59584" s="56"/>
    </row>
    <row r="59585" spans="1:1">
      <c r="A59585" s="56"/>
    </row>
    <row r="59586" spans="1:1">
      <c r="A59586" s="56"/>
    </row>
    <row r="59587" spans="1:1">
      <c r="A59587" s="56"/>
    </row>
    <row r="59588" spans="1:1">
      <c r="A59588" s="56"/>
    </row>
    <row r="59589" spans="1:1">
      <c r="A59589" s="56"/>
    </row>
    <row r="59590" spans="1:1">
      <c r="A59590" s="56"/>
    </row>
    <row r="59591" spans="1:1">
      <c r="A59591" s="56"/>
    </row>
    <row r="59592" spans="1:1">
      <c r="A59592" s="56"/>
    </row>
    <row r="59593" spans="1:1">
      <c r="A59593" s="56"/>
    </row>
    <row r="59594" spans="1:1">
      <c r="A59594" s="56"/>
    </row>
    <row r="59595" spans="1:1">
      <c r="A59595" s="56"/>
    </row>
    <row r="59596" spans="1:1">
      <c r="A59596" s="56"/>
    </row>
    <row r="59597" spans="1:1">
      <c r="A59597" s="56"/>
    </row>
    <row r="59598" spans="1:1">
      <c r="A59598" s="56"/>
    </row>
    <row r="59599" spans="1:1">
      <c r="A59599" s="56"/>
    </row>
    <row r="59600" spans="1:1">
      <c r="A59600" s="56"/>
    </row>
    <row r="59601" spans="1:1">
      <c r="A59601" s="56"/>
    </row>
    <row r="59602" spans="1:1">
      <c r="A59602" s="56"/>
    </row>
    <row r="59603" spans="1:1">
      <c r="A59603" s="56"/>
    </row>
    <row r="59604" spans="1:1">
      <c r="A59604" s="56"/>
    </row>
    <row r="59605" spans="1:1">
      <c r="A59605" s="56"/>
    </row>
    <row r="59606" spans="1:1">
      <c r="A59606" s="56"/>
    </row>
    <row r="59607" spans="1:1">
      <c r="A59607" s="56"/>
    </row>
    <row r="59608" spans="1:1">
      <c r="A59608" s="56"/>
    </row>
    <row r="59609" spans="1:1">
      <c r="A59609" s="56"/>
    </row>
    <row r="59610" spans="1:1">
      <c r="A59610" s="56"/>
    </row>
    <row r="59611" spans="1:1">
      <c r="A59611" s="56"/>
    </row>
    <row r="59612" spans="1:1">
      <c r="A59612" s="56"/>
    </row>
    <row r="59613" spans="1:1">
      <c r="A59613" s="56"/>
    </row>
    <row r="59614" spans="1:1">
      <c r="A59614" s="56"/>
    </row>
    <row r="59615" spans="1:1">
      <c r="A59615" s="56"/>
    </row>
    <row r="59616" spans="1:1">
      <c r="A59616" s="56"/>
    </row>
    <row r="59617" spans="1:1">
      <c r="A59617" s="56"/>
    </row>
    <row r="59618" spans="1:1">
      <c r="A59618" s="56"/>
    </row>
    <row r="59619" spans="1:1">
      <c r="A59619" s="56"/>
    </row>
    <row r="59620" spans="1:1">
      <c r="A59620" s="56"/>
    </row>
    <row r="59621" spans="1:1">
      <c r="A59621" s="56"/>
    </row>
    <row r="59622" spans="1:1">
      <c r="A59622" s="56"/>
    </row>
    <row r="59623" spans="1:1">
      <c r="A59623" s="56"/>
    </row>
    <row r="59624" spans="1:1">
      <c r="A59624" s="56"/>
    </row>
    <row r="59625" spans="1:1">
      <c r="A59625" s="56"/>
    </row>
    <row r="59626" spans="1:1">
      <c r="A59626" s="56"/>
    </row>
    <row r="59627" spans="1:1">
      <c r="A59627" s="56"/>
    </row>
    <row r="59628" spans="1:1">
      <c r="A59628" s="56"/>
    </row>
    <row r="59629" spans="1:1">
      <c r="A59629" s="56"/>
    </row>
    <row r="59630" spans="1:1">
      <c r="A59630" s="56"/>
    </row>
    <row r="59631" spans="1:1">
      <c r="A59631" s="56"/>
    </row>
    <row r="59632" spans="1:1">
      <c r="A59632" s="56"/>
    </row>
    <row r="59633" spans="1:1">
      <c r="A59633" s="56"/>
    </row>
    <row r="59634" spans="1:1">
      <c r="A59634" s="56"/>
    </row>
    <row r="59635" spans="1:1">
      <c r="A59635" s="56"/>
    </row>
    <row r="59636" spans="1:1">
      <c r="A59636" s="56"/>
    </row>
    <row r="59637" spans="1:1">
      <c r="A59637" s="56"/>
    </row>
    <row r="59638" spans="1:1">
      <c r="A59638" s="56"/>
    </row>
    <row r="59639" spans="1:1">
      <c r="A59639" s="56"/>
    </row>
    <row r="59640" spans="1:1">
      <c r="A59640" s="56"/>
    </row>
    <row r="59641" spans="1:1">
      <c r="A59641" s="56"/>
    </row>
    <row r="59642" spans="1:1">
      <c r="A59642" s="56"/>
    </row>
    <row r="59643" spans="1:1">
      <c r="A59643" s="56"/>
    </row>
    <row r="59644" spans="1:1">
      <c r="A59644" s="56"/>
    </row>
    <row r="59645" spans="1:1">
      <c r="A59645" s="56"/>
    </row>
    <row r="59646" spans="1:1">
      <c r="A59646" s="56"/>
    </row>
    <row r="59647" spans="1:1">
      <c r="A59647" s="56"/>
    </row>
    <row r="59648" spans="1:1">
      <c r="A59648" s="56"/>
    </row>
    <row r="59649" spans="1:1">
      <c r="A59649" s="56"/>
    </row>
    <row r="59650" spans="1:1">
      <c r="A59650" s="56"/>
    </row>
    <row r="59651" spans="1:1">
      <c r="A59651" s="56"/>
    </row>
    <row r="59652" spans="1:1">
      <c r="A59652" s="56"/>
    </row>
    <row r="59653" spans="1:1">
      <c r="A59653" s="56"/>
    </row>
    <row r="59654" spans="1:1">
      <c r="A59654" s="56"/>
    </row>
    <row r="59655" spans="1:1">
      <c r="A59655" s="56"/>
    </row>
    <row r="59656" spans="1:1">
      <c r="A59656" s="56"/>
    </row>
    <row r="59657" spans="1:1">
      <c r="A59657" s="56"/>
    </row>
    <row r="59658" spans="1:1">
      <c r="A59658" s="56"/>
    </row>
    <row r="59659" spans="1:1">
      <c r="A59659" s="56"/>
    </row>
    <row r="59660" spans="1:1">
      <c r="A59660" s="56"/>
    </row>
    <row r="59661" spans="1:1">
      <c r="A59661" s="56"/>
    </row>
    <row r="59662" spans="1:1">
      <c r="A59662" s="56"/>
    </row>
    <row r="59663" spans="1:1">
      <c r="A59663" s="56"/>
    </row>
    <row r="59664" spans="1:1">
      <c r="A59664" s="56"/>
    </row>
    <row r="59665" spans="1:1">
      <c r="A59665" s="56"/>
    </row>
    <row r="59666" spans="1:1">
      <c r="A59666" s="56"/>
    </row>
    <row r="59667" spans="1:1">
      <c r="A59667" s="56"/>
    </row>
    <row r="59668" spans="1:1">
      <c r="A59668" s="56"/>
    </row>
    <row r="59669" spans="1:1">
      <c r="A59669" s="56"/>
    </row>
    <row r="59670" spans="1:1">
      <c r="A59670" s="56"/>
    </row>
    <row r="59671" spans="1:1">
      <c r="A59671" s="56"/>
    </row>
    <row r="59672" spans="1:1">
      <c r="A59672" s="56"/>
    </row>
    <row r="59673" spans="1:1">
      <c r="A59673" s="56"/>
    </row>
    <row r="59674" spans="1:1">
      <c r="A59674" s="56"/>
    </row>
    <row r="59675" spans="1:1">
      <c r="A59675" s="56"/>
    </row>
    <row r="59676" spans="1:1">
      <c r="A59676" s="56"/>
    </row>
    <row r="59677" spans="1:1">
      <c r="A59677" s="56"/>
    </row>
    <row r="59678" spans="1:1">
      <c r="A59678" s="56"/>
    </row>
    <row r="59679" spans="1:1">
      <c r="A59679" s="56"/>
    </row>
    <row r="59680" spans="1:1">
      <c r="A59680" s="56"/>
    </row>
    <row r="59681" spans="1:1">
      <c r="A59681" s="56"/>
    </row>
    <row r="59682" spans="1:1">
      <c r="A59682" s="56"/>
    </row>
    <row r="59683" spans="1:1">
      <c r="A59683" s="56"/>
    </row>
    <row r="59684" spans="1:1">
      <c r="A59684" s="56"/>
    </row>
    <row r="59685" spans="1:1">
      <c r="A59685" s="56"/>
    </row>
    <row r="59686" spans="1:1">
      <c r="A59686" s="56"/>
    </row>
    <row r="59687" spans="1:1">
      <c r="A59687" s="56"/>
    </row>
    <row r="59688" spans="1:1">
      <c r="A59688" s="56"/>
    </row>
    <row r="59689" spans="1:1">
      <c r="A59689" s="56"/>
    </row>
    <row r="59690" spans="1:1">
      <c r="A59690" s="56"/>
    </row>
    <row r="59691" spans="1:1">
      <c r="A59691" s="56"/>
    </row>
    <row r="59692" spans="1:1">
      <c r="A59692" s="56"/>
    </row>
    <row r="59693" spans="1:1">
      <c r="A59693" s="56"/>
    </row>
    <row r="59694" spans="1:1">
      <c r="A59694" s="56"/>
    </row>
    <row r="59695" spans="1:1">
      <c r="A59695" s="56"/>
    </row>
    <row r="59696" spans="1:1">
      <c r="A59696" s="56"/>
    </row>
    <row r="59697" spans="1:1">
      <c r="A59697" s="56"/>
    </row>
    <row r="59698" spans="1:1">
      <c r="A59698" s="56"/>
    </row>
    <row r="59699" spans="1:1">
      <c r="A59699" s="56"/>
    </row>
    <row r="59700" spans="1:1">
      <c r="A59700" s="56"/>
    </row>
    <row r="59701" spans="1:1">
      <c r="A59701" s="56"/>
    </row>
    <row r="59702" spans="1:1">
      <c r="A59702" s="56"/>
    </row>
    <row r="59703" spans="1:1">
      <c r="A59703" s="56"/>
    </row>
    <row r="59704" spans="1:1">
      <c r="A59704" s="56"/>
    </row>
    <row r="59705" spans="1:1">
      <c r="A59705" s="56"/>
    </row>
    <row r="59706" spans="1:1">
      <c r="A59706" s="56"/>
    </row>
    <row r="59707" spans="1:1">
      <c r="A59707" s="56"/>
    </row>
    <row r="59708" spans="1:1">
      <c r="A59708" s="56"/>
    </row>
    <row r="59709" spans="1:1">
      <c r="A59709" s="56"/>
    </row>
    <row r="59710" spans="1:1">
      <c r="A59710" s="56"/>
    </row>
    <row r="59711" spans="1:1">
      <c r="A59711" s="56"/>
    </row>
    <row r="59712" spans="1:1">
      <c r="A59712" s="56"/>
    </row>
    <row r="59713" spans="1:1">
      <c r="A59713" s="56"/>
    </row>
    <row r="59714" spans="1:1">
      <c r="A59714" s="56"/>
    </row>
    <row r="59715" spans="1:1">
      <c r="A59715" s="56"/>
    </row>
    <row r="59716" spans="1:1">
      <c r="A59716" s="56"/>
    </row>
    <row r="59717" spans="1:1">
      <c r="A59717" s="56"/>
    </row>
    <row r="59718" spans="1:1">
      <c r="A59718" s="56"/>
    </row>
    <row r="59719" spans="1:1">
      <c r="A59719" s="56"/>
    </row>
    <row r="59720" spans="1:1">
      <c r="A59720" s="56"/>
    </row>
    <row r="59721" spans="1:1">
      <c r="A59721" s="56"/>
    </row>
    <row r="59722" spans="1:1">
      <c r="A59722" s="56"/>
    </row>
    <row r="59723" spans="1:1">
      <c r="A59723" s="56"/>
    </row>
    <row r="59724" spans="1:1">
      <c r="A59724" s="56"/>
    </row>
    <row r="59725" spans="1:1">
      <c r="A59725" s="56"/>
    </row>
    <row r="59726" spans="1:1">
      <c r="A59726" s="56"/>
    </row>
    <row r="59727" spans="1:1">
      <c r="A59727" s="56"/>
    </row>
    <row r="59728" spans="1:1">
      <c r="A59728" s="56"/>
    </row>
    <row r="59729" spans="1:1">
      <c r="A59729" s="56"/>
    </row>
    <row r="59730" spans="1:1">
      <c r="A59730" s="56"/>
    </row>
    <row r="59731" spans="1:1">
      <c r="A59731" s="56"/>
    </row>
    <row r="59732" spans="1:1">
      <c r="A59732" s="56"/>
    </row>
    <row r="59733" spans="1:1">
      <c r="A59733" s="56"/>
    </row>
    <row r="59734" spans="1:1">
      <c r="A59734" s="56"/>
    </row>
    <row r="59735" spans="1:1">
      <c r="A59735" s="56"/>
    </row>
    <row r="59736" spans="1:1">
      <c r="A59736" s="56"/>
    </row>
    <row r="59737" spans="1:1">
      <c r="A59737" s="56"/>
    </row>
    <row r="59738" spans="1:1">
      <c r="A59738" s="56"/>
    </row>
    <row r="59739" spans="1:1">
      <c r="A59739" s="56"/>
    </row>
    <row r="59740" spans="1:1">
      <c r="A59740" s="56"/>
    </row>
    <row r="59741" spans="1:1">
      <c r="A59741" s="56"/>
    </row>
    <row r="59742" spans="1:1">
      <c r="A59742" s="56"/>
    </row>
    <row r="59743" spans="1:1">
      <c r="A59743" s="56"/>
    </row>
    <row r="59744" spans="1:1">
      <c r="A59744" s="56"/>
    </row>
    <row r="59745" spans="1:1">
      <c r="A59745" s="56"/>
    </row>
    <row r="59746" spans="1:1">
      <c r="A59746" s="56"/>
    </row>
    <row r="59747" spans="1:1">
      <c r="A59747" s="56"/>
    </row>
    <row r="59748" spans="1:1">
      <c r="A59748" s="56"/>
    </row>
    <row r="59749" spans="1:1">
      <c r="A59749" s="56"/>
    </row>
    <row r="59750" spans="1:1">
      <c r="A59750" s="56"/>
    </row>
    <row r="59751" spans="1:1">
      <c r="A59751" s="56"/>
    </row>
    <row r="59752" spans="1:1">
      <c r="A59752" s="56"/>
    </row>
    <row r="59753" spans="1:1">
      <c r="A59753" s="56"/>
    </row>
    <row r="59754" spans="1:1">
      <c r="A59754" s="56"/>
    </row>
    <row r="59755" spans="1:1">
      <c r="A59755" s="56"/>
    </row>
    <row r="59756" spans="1:1">
      <c r="A59756" s="56"/>
    </row>
    <row r="59757" spans="1:1">
      <c r="A59757" s="56"/>
    </row>
    <row r="59758" spans="1:1">
      <c r="A59758" s="56"/>
    </row>
    <row r="59759" spans="1:1">
      <c r="A59759" s="56"/>
    </row>
    <row r="59760" spans="1:1">
      <c r="A59760" s="56"/>
    </row>
    <row r="59761" spans="1:1">
      <c r="A59761" s="56"/>
    </row>
    <row r="59762" spans="1:1">
      <c r="A59762" s="56"/>
    </row>
    <row r="59763" spans="1:1">
      <c r="A59763" s="56"/>
    </row>
    <row r="59764" spans="1:1">
      <c r="A59764" s="56"/>
    </row>
    <row r="59765" spans="1:1">
      <c r="A59765" s="56"/>
    </row>
    <row r="59766" spans="1:1">
      <c r="A59766" s="56"/>
    </row>
    <row r="59767" spans="1:1">
      <c r="A59767" s="56"/>
    </row>
    <row r="59768" spans="1:1">
      <c r="A59768" s="56"/>
    </row>
    <row r="59769" spans="1:1">
      <c r="A59769" s="56"/>
    </row>
    <row r="59770" spans="1:1">
      <c r="A59770" s="56"/>
    </row>
    <row r="59771" spans="1:1">
      <c r="A59771" s="56"/>
    </row>
    <row r="59772" spans="1:1">
      <c r="A59772" s="56"/>
    </row>
    <row r="59773" spans="1:1">
      <c r="A59773" s="56"/>
    </row>
    <row r="59774" spans="1:1">
      <c r="A59774" s="56"/>
    </row>
    <row r="59775" spans="1:1">
      <c r="A59775" s="56"/>
    </row>
    <row r="59776" spans="1:1">
      <c r="A59776" s="56"/>
    </row>
    <row r="59777" spans="1:1">
      <c r="A59777" s="56"/>
    </row>
    <row r="59778" spans="1:1">
      <c r="A59778" s="56"/>
    </row>
    <row r="59779" spans="1:1">
      <c r="A59779" s="56"/>
    </row>
    <row r="59780" spans="1:1">
      <c r="A59780" s="56"/>
    </row>
    <row r="59781" spans="1:1">
      <c r="A59781" s="56"/>
    </row>
    <row r="59782" spans="1:1">
      <c r="A59782" s="56"/>
    </row>
    <row r="59783" spans="1:1">
      <c r="A59783" s="56"/>
    </row>
    <row r="59784" spans="1:1">
      <c r="A59784" s="56"/>
    </row>
    <row r="59785" spans="1:1">
      <c r="A59785" s="56"/>
    </row>
    <row r="59786" spans="1:1">
      <c r="A59786" s="56"/>
    </row>
    <row r="59787" spans="1:1">
      <c r="A59787" s="56"/>
    </row>
    <row r="59788" spans="1:1">
      <c r="A59788" s="56"/>
    </row>
    <row r="59789" spans="1:1">
      <c r="A59789" s="56"/>
    </row>
    <row r="59790" spans="1:1">
      <c r="A59790" s="56"/>
    </row>
    <row r="59791" spans="1:1">
      <c r="A59791" s="56"/>
    </row>
    <row r="59792" spans="1:1">
      <c r="A59792" s="56"/>
    </row>
    <row r="59793" spans="1:1">
      <c r="A59793" s="56"/>
    </row>
    <row r="59794" spans="1:1">
      <c r="A59794" s="56"/>
    </row>
    <row r="59795" spans="1:1">
      <c r="A59795" s="56"/>
    </row>
    <row r="59796" spans="1:1">
      <c r="A59796" s="56"/>
    </row>
    <row r="59797" spans="1:1">
      <c r="A59797" s="56"/>
    </row>
    <row r="59798" spans="1:1">
      <c r="A59798" s="56"/>
    </row>
    <row r="59799" spans="1:1">
      <c r="A59799" s="56"/>
    </row>
    <row r="59800" spans="1:1">
      <c r="A59800" s="56"/>
    </row>
    <row r="59801" spans="1:1">
      <c r="A59801" s="56"/>
    </row>
    <row r="59802" spans="1:1">
      <c r="A59802" s="56"/>
    </row>
    <row r="59803" spans="1:1">
      <c r="A59803" s="56"/>
    </row>
    <row r="59804" spans="1:1">
      <c r="A59804" s="56"/>
    </row>
    <row r="59805" spans="1:1">
      <c r="A59805" s="56"/>
    </row>
    <row r="59806" spans="1:1">
      <c r="A59806" s="56"/>
    </row>
    <row r="59807" spans="1:1">
      <c r="A59807" s="56"/>
    </row>
    <row r="59808" spans="1:1">
      <c r="A59808" s="56"/>
    </row>
    <row r="59809" spans="1:1">
      <c r="A59809" s="56"/>
    </row>
    <row r="59810" spans="1:1">
      <c r="A59810" s="56"/>
    </row>
    <row r="59811" spans="1:1">
      <c r="A59811" s="56"/>
    </row>
    <row r="59812" spans="1:1">
      <c r="A59812" s="56"/>
    </row>
    <row r="59813" spans="1:1">
      <c r="A59813" s="56"/>
    </row>
    <row r="59814" spans="1:1">
      <c r="A59814" s="56"/>
    </row>
    <row r="59815" spans="1:1">
      <c r="A59815" s="56"/>
    </row>
    <row r="59816" spans="1:1">
      <c r="A59816" s="56"/>
    </row>
    <row r="59817" spans="1:1">
      <c r="A59817" s="56"/>
    </row>
    <row r="59818" spans="1:1">
      <c r="A59818" s="56"/>
    </row>
    <row r="59819" spans="1:1">
      <c r="A59819" s="56"/>
    </row>
    <row r="59820" spans="1:1">
      <c r="A59820" s="56"/>
    </row>
    <row r="59821" spans="1:1">
      <c r="A59821" s="56"/>
    </row>
    <row r="59822" spans="1:1">
      <c r="A59822" s="56"/>
    </row>
    <row r="59823" spans="1:1">
      <c r="A59823" s="56"/>
    </row>
    <row r="59824" spans="1:1">
      <c r="A59824" s="56"/>
    </row>
    <row r="59825" spans="1:1">
      <c r="A59825" s="56"/>
    </row>
    <row r="59826" spans="1:1">
      <c r="A59826" s="56"/>
    </row>
    <row r="59827" spans="1:1">
      <c r="A59827" s="56"/>
    </row>
    <row r="59828" spans="1:1">
      <c r="A59828" s="56"/>
    </row>
    <row r="59829" spans="1:1">
      <c r="A59829" s="56"/>
    </row>
    <row r="59830" spans="1:1">
      <c r="A59830" s="56"/>
    </row>
    <row r="59831" spans="1:1">
      <c r="A59831" s="56"/>
    </row>
    <row r="59832" spans="1:1">
      <c r="A59832" s="56"/>
    </row>
    <row r="59833" spans="1:1">
      <c r="A59833" s="56"/>
    </row>
    <row r="59834" spans="1:1">
      <c r="A59834" s="56"/>
    </row>
    <row r="59835" spans="1:1">
      <c r="A59835" s="56"/>
    </row>
    <row r="59836" spans="1:1">
      <c r="A59836" s="56"/>
    </row>
    <row r="59837" spans="1:1">
      <c r="A59837" s="56"/>
    </row>
    <row r="59838" spans="1:1">
      <c r="A59838" s="56"/>
    </row>
    <row r="59839" spans="1:1">
      <c r="A59839" s="56"/>
    </row>
    <row r="59840" spans="1:1">
      <c r="A59840" s="56"/>
    </row>
    <row r="59841" spans="1:1">
      <c r="A59841" s="56"/>
    </row>
    <row r="59842" spans="1:1">
      <c r="A59842" s="56"/>
    </row>
    <row r="59843" spans="1:1">
      <c r="A59843" s="56"/>
    </row>
    <row r="59844" spans="1:1">
      <c r="A59844" s="56"/>
    </row>
    <row r="59845" spans="1:1">
      <c r="A59845" s="56"/>
    </row>
    <row r="59846" spans="1:1">
      <c r="A59846" s="56"/>
    </row>
    <row r="59847" spans="1:1">
      <c r="A59847" s="56"/>
    </row>
    <row r="59848" spans="1:1">
      <c r="A59848" s="56"/>
    </row>
    <row r="59849" spans="1:1">
      <c r="A59849" s="56"/>
    </row>
    <row r="59850" spans="1:1">
      <c r="A59850" s="56"/>
    </row>
    <row r="59851" spans="1:1">
      <c r="A59851" s="56"/>
    </row>
    <row r="59852" spans="1:1">
      <c r="A59852" s="56"/>
    </row>
    <row r="59853" spans="1:1">
      <c r="A59853" s="56"/>
    </row>
    <row r="59854" spans="1:1">
      <c r="A59854" s="56"/>
    </row>
    <row r="59855" spans="1:1">
      <c r="A59855" s="56"/>
    </row>
    <row r="59856" spans="1:1">
      <c r="A59856" s="56"/>
    </row>
    <row r="59857" spans="1:1">
      <c r="A59857" s="56"/>
    </row>
    <row r="59858" spans="1:1">
      <c r="A59858" s="56"/>
    </row>
    <row r="59859" spans="1:1">
      <c r="A59859" s="56"/>
    </row>
    <row r="59860" spans="1:1">
      <c r="A59860" s="56"/>
    </row>
    <row r="59861" spans="1:1">
      <c r="A59861" s="56"/>
    </row>
    <row r="59862" spans="1:1">
      <c r="A59862" s="56"/>
    </row>
    <row r="59863" spans="1:1">
      <c r="A59863" s="56"/>
    </row>
    <row r="59864" spans="1:1">
      <c r="A59864" s="56"/>
    </row>
    <row r="59865" spans="1:1">
      <c r="A59865" s="56"/>
    </row>
    <row r="59866" spans="1:1">
      <c r="A59866" s="56"/>
    </row>
    <row r="59867" spans="1:1">
      <c r="A59867" s="56"/>
    </row>
    <row r="59868" spans="1:1">
      <c r="A59868" s="56"/>
    </row>
    <row r="59869" spans="1:1">
      <c r="A59869" s="56"/>
    </row>
    <row r="59870" spans="1:1">
      <c r="A59870" s="56"/>
    </row>
    <row r="59871" spans="1:1">
      <c r="A59871" s="56"/>
    </row>
    <row r="59872" spans="1:1">
      <c r="A59872" s="56"/>
    </row>
    <row r="59873" spans="1:1">
      <c r="A59873" s="56"/>
    </row>
    <row r="59874" spans="1:1">
      <c r="A59874" s="56"/>
    </row>
    <row r="59875" spans="1:1">
      <c r="A59875" s="56"/>
    </row>
    <row r="59876" spans="1:1">
      <c r="A59876" s="56"/>
    </row>
    <row r="59877" spans="1:1">
      <c r="A59877" s="56"/>
    </row>
    <row r="59878" spans="1:1">
      <c r="A59878" s="56"/>
    </row>
    <row r="59879" spans="1:1">
      <c r="A59879" s="56"/>
    </row>
    <row r="59880" spans="1:1">
      <c r="A59880" s="56"/>
    </row>
    <row r="59881" spans="1:1">
      <c r="A59881" s="56"/>
    </row>
    <row r="59882" spans="1:1">
      <c r="A59882" s="56"/>
    </row>
    <row r="59883" spans="1:1">
      <c r="A59883" s="56"/>
    </row>
    <row r="59884" spans="1:1">
      <c r="A59884" s="56"/>
    </row>
    <row r="59885" spans="1:1">
      <c r="A59885" s="56"/>
    </row>
    <row r="59886" spans="1:1">
      <c r="A59886" s="56"/>
    </row>
    <row r="59887" spans="1:1">
      <c r="A59887" s="56"/>
    </row>
    <row r="59888" spans="1:1">
      <c r="A59888" s="56"/>
    </row>
    <row r="59889" spans="1:1">
      <c r="A59889" s="56"/>
    </row>
    <row r="59890" spans="1:1">
      <c r="A59890" s="56"/>
    </row>
    <row r="59891" spans="1:1">
      <c r="A59891" s="56"/>
    </row>
    <row r="59892" spans="1:1">
      <c r="A59892" s="56"/>
    </row>
    <row r="59893" spans="1:1">
      <c r="A59893" s="56"/>
    </row>
    <row r="59894" spans="1:1">
      <c r="A59894" s="56"/>
    </row>
    <row r="59895" spans="1:1">
      <c r="A59895" s="56"/>
    </row>
    <row r="59896" spans="1:1">
      <c r="A59896" s="56"/>
    </row>
    <row r="59897" spans="1:1">
      <c r="A59897" s="56"/>
    </row>
    <row r="59898" spans="1:1">
      <c r="A59898" s="56"/>
    </row>
    <row r="59899" spans="1:1">
      <c r="A59899" s="56"/>
    </row>
    <row r="59900" spans="1:1">
      <c r="A59900" s="56"/>
    </row>
    <row r="59901" spans="1:1">
      <c r="A59901" s="56"/>
    </row>
    <row r="59902" spans="1:1">
      <c r="A59902" s="56"/>
    </row>
    <row r="59903" spans="1:1">
      <c r="A59903" s="56"/>
    </row>
    <row r="59904" spans="1:1">
      <c r="A59904" s="56"/>
    </row>
    <row r="59905" spans="1:1">
      <c r="A59905" s="56"/>
    </row>
    <row r="59906" spans="1:1">
      <c r="A59906" s="56"/>
    </row>
    <row r="59907" spans="1:1">
      <c r="A59907" s="56"/>
    </row>
    <row r="59908" spans="1:1">
      <c r="A59908" s="56"/>
    </row>
    <row r="59909" spans="1:1">
      <c r="A59909" s="56"/>
    </row>
    <row r="59910" spans="1:1">
      <c r="A59910" s="56"/>
    </row>
    <row r="59911" spans="1:1">
      <c r="A59911" s="56"/>
    </row>
    <row r="59912" spans="1:1">
      <c r="A59912" s="56"/>
    </row>
    <row r="59913" spans="1:1">
      <c r="A59913" s="56"/>
    </row>
    <row r="59914" spans="1:1">
      <c r="A59914" s="56"/>
    </row>
    <row r="59915" spans="1:1">
      <c r="A59915" s="56"/>
    </row>
    <row r="59916" spans="1:1">
      <c r="A59916" s="56"/>
    </row>
    <row r="59917" spans="1:1">
      <c r="A59917" s="56"/>
    </row>
    <row r="59918" spans="1:1">
      <c r="A59918" s="56"/>
    </row>
    <row r="59919" spans="1:1">
      <c r="A59919" s="56"/>
    </row>
    <row r="59920" spans="1:1">
      <c r="A59920" s="56"/>
    </row>
    <row r="59921" spans="1:1">
      <c r="A59921" s="56"/>
    </row>
    <row r="59922" spans="1:1">
      <c r="A59922" s="56"/>
    </row>
    <row r="59923" spans="1:1">
      <c r="A59923" s="56"/>
    </row>
    <row r="59924" spans="1:1">
      <c r="A59924" s="56"/>
    </row>
    <row r="59925" spans="1:1">
      <c r="A59925" s="56"/>
    </row>
    <row r="59926" spans="1:1">
      <c r="A59926" s="56"/>
    </row>
    <row r="59927" spans="1:1">
      <c r="A59927" s="56"/>
    </row>
    <row r="59928" spans="1:1">
      <c r="A59928" s="56"/>
    </row>
    <row r="59929" spans="1:1">
      <c r="A59929" s="56"/>
    </row>
    <row r="59930" spans="1:1">
      <c r="A59930" s="56"/>
    </row>
    <row r="59931" spans="1:1">
      <c r="A59931" s="56"/>
    </row>
    <row r="59932" spans="1:1">
      <c r="A59932" s="56"/>
    </row>
    <row r="59933" spans="1:1">
      <c r="A59933" s="56"/>
    </row>
    <row r="59934" spans="1:1">
      <c r="A59934" s="56"/>
    </row>
    <row r="59935" spans="1:1">
      <c r="A59935" s="56"/>
    </row>
    <row r="59936" spans="1:1">
      <c r="A59936" s="56"/>
    </row>
    <row r="59937" spans="1:1">
      <c r="A59937" s="56"/>
    </row>
    <row r="59938" spans="1:1">
      <c r="A59938" s="56"/>
    </row>
    <row r="59939" spans="1:1">
      <c r="A59939" s="56"/>
    </row>
    <row r="59940" spans="1:1">
      <c r="A59940" s="56"/>
    </row>
    <row r="59941" spans="1:1">
      <c r="A59941" s="56"/>
    </row>
    <row r="59942" spans="1:1">
      <c r="A59942" s="56"/>
    </row>
    <row r="59943" spans="1:1">
      <c r="A59943" s="56"/>
    </row>
    <row r="59944" spans="1:1">
      <c r="A59944" s="56"/>
    </row>
    <row r="59945" spans="1:1">
      <c r="A59945" s="56"/>
    </row>
    <row r="59946" spans="1:1">
      <c r="A59946" s="56"/>
    </row>
    <row r="59947" spans="1:1">
      <c r="A59947" s="56"/>
    </row>
    <row r="59948" spans="1:1">
      <c r="A59948" s="56"/>
    </row>
    <row r="59949" spans="1:1">
      <c r="A59949" s="56"/>
    </row>
    <row r="59950" spans="1:1">
      <c r="A59950" s="56"/>
    </row>
    <row r="59951" spans="1:1">
      <c r="A59951" s="56"/>
    </row>
    <row r="59952" spans="1:1">
      <c r="A59952" s="56"/>
    </row>
    <row r="59953" spans="1:1">
      <c r="A59953" s="56"/>
    </row>
    <row r="59954" spans="1:1">
      <c r="A59954" s="56"/>
    </row>
    <row r="59955" spans="1:1">
      <c r="A59955" s="56"/>
    </row>
    <row r="59956" spans="1:1">
      <c r="A59956" s="56"/>
    </row>
    <row r="59957" spans="1:1">
      <c r="A59957" s="56"/>
    </row>
    <row r="59958" spans="1:1">
      <c r="A59958" s="56"/>
    </row>
    <row r="59959" spans="1:1">
      <c r="A59959" s="56"/>
    </row>
    <row r="59960" spans="1:1">
      <c r="A59960" s="56"/>
    </row>
    <row r="59961" spans="1:1">
      <c r="A59961" s="56"/>
    </row>
    <row r="59962" spans="1:1">
      <c r="A59962" s="56"/>
    </row>
    <row r="59963" spans="1:1">
      <c r="A59963" s="56"/>
    </row>
    <row r="59964" spans="1:1">
      <c r="A59964" s="56"/>
    </row>
    <row r="59965" spans="1:1">
      <c r="A59965" s="56"/>
    </row>
    <row r="59966" spans="1:1">
      <c r="A59966" s="56"/>
    </row>
    <row r="59967" spans="1:1">
      <c r="A59967" s="56"/>
    </row>
    <row r="59968" spans="1:1">
      <c r="A59968" s="56"/>
    </row>
    <row r="59969" spans="1:1">
      <c r="A59969" s="56"/>
    </row>
    <row r="59970" spans="1:1">
      <c r="A59970" s="56"/>
    </row>
    <row r="59971" spans="1:1">
      <c r="A59971" s="56"/>
    </row>
    <row r="59972" spans="1:1">
      <c r="A59972" s="56"/>
    </row>
    <row r="59973" spans="1:1">
      <c r="A59973" s="56"/>
    </row>
    <row r="59974" spans="1:1">
      <c r="A59974" s="56"/>
    </row>
    <row r="59975" spans="1:1">
      <c r="A59975" s="56"/>
    </row>
    <row r="59976" spans="1:1">
      <c r="A59976" s="56"/>
    </row>
    <row r="59977" spans="1:1">
      <c r="A59977" s="56"/>
    </row>
    <row r="59978" spans="1:1">
      <c r="A59978" s="56"/>
    </row>
    <row r="59979" spans="1:1">
      <c r="A59979" s="56"/>
    </row>
    <row r="59980" spans="1:1">
      <c r="A59980" s="56"/>
    </row>
    <row r="59981" spans="1:1">
      <c r="A59981" s="56"/>
    </row>
    <row r="59982" spans="1:1">
      <c r="A59982" s="56"/>
    </row>
    <row r="59983" spans="1:1">
      <c r="A59983" s="56"/>
    </row>
    <row r="59984" spans="1:1">
      <c r="A59984" s="56"/>
    </row>
    <row r="59985" spans="1:1">
      <c r="A59985" s="56"/>
    </row>
    <row r="59986" spans="1:1">
      <c r="A59986" s="56"/>
    </row>
    <row r="59987" spans="1:1">
      <c r="A59987" s="56"/>
    </row>
    <row r="59988" spans="1:1">
      <c r="A59988" s="56"/>
    </row>
    <row r="59989" spans="1:1">
      <c r="A59989" s="56"/>
    </row>
    <row r="59990" spans="1:1">
      <c r="A59990" s="56"/>
    </row>
    <row r="59991" spans="1:1">
      <c r="A59991" s="56"/>
    </row>
    <row r="59992" spans="1:1">
      <c r="A59992" s="56"/>
    </row>
    <row r="59993" spans="1:1">
      <c r="A59993" s="56"/>
    </row>
    <row r="59994" spans="1:1">
      <c r="A59994" s="56"/>
    </row>
    <row r="59995" spans="1:1">
      <c r="A59995" s="56"/>
    </row>
    <row r="59996" spans="1:1">
      <c r="A59996" s="56"/>
    </row>
    <row r="59997" spans="1:1">
      <c r="A59997" s="56"/>
    </row>
    <row r="59998" spans="1:1">
      <c r="A59998" s="56"/>
    </row>
    <row r="59999" spans="1:1">
      <c r="A59999" s="56"/>
    </row>
    <row r="60000" spans="1:1">
      <c r="A60000" s="56"/>
    </row>
    <row r="60001" spans="1:1">
      <c r="A60001" s="56"/>
    </row>
    <row r="60002" spans="1:1">
      <c r="A60002" s="56"/>
    </row>
    <row r="60003" spans="1:1">
      <c r="A60003" s="56"/>
    </row>
    <row r="60004" spans="1:1">
      <c r="A60004" s="56"/>
    </row>
    <row r="60005" spans="1:1">
      <c r="A60005" s="56"/>
    </row>
    <row r="60006" spans="1:1">
      <c r="A60006" s="56"/>
    </row>
    <row r="60007" spans="1:1">
      <c r="A60007" s="56"/>
    </row>
    <row r="60008" spans="1:1">
      <c r="A60008" s="56"/>
    </row>
    <row r="60009" spans="1:1">
      <c r="A60009" s="56"/>
    </row>
    <row r="60010" spans="1:1">
      <c r="A60010" s="56"/>
    </row>
    <row r="60011" spans="1:1">
      <c r="A60011" s="56"/>
    </row>
    <row r="60012" spans="1:1">
      <c r="A60012" s="56"/>
    </row>
    <row r="60013" spans="1:1">
      <c r="A60013" s="56"/>
    </row>
    <row r="60014" spans="1:1">
      <c r="A60014" s="56"/>
    </row>
    <row r="60015" spans="1:1">
      <c r="A60015" s="56"/>
    </row>
    <row r="60016" spans="1:1">
      <c r="A60016" s="56"/>
    </row>
    <row r="60017" spans="1:1">
      <c r="A60017" s="56"/>
    </row>
    <row r="60018" spans="1:1">
      <c r="A60018" s="56"/>
    </row>
    <row r="60019" spans="1:1">
      <c r="A60019" s="56"/>
    </row>
    <row r="60020" spans="1:1">
      <c r="A60020" s="56"/>
    </row>
    <row r="60021" spans="1:1">
      <c r="A60021" s="56"/>
    </row>
    <row r="60022" spans="1:1">
      <c r="A60022" s="56"/>
    </row>
    <row r="60023" spans="1:1">
      <c r="A60023" s="56"/>
    </row>
    <row r="60024" spans="1:1">
      <c r="A60024" s="56"/>
    </row>
    <row r="60025" spans="1:1">
      <c r="A60025" s="56"/>
    </row>
    <row r="60026" spans="1:1">
      <c r="A60026" s="56"/>
    </row>
    <row r="60027" spans="1:1">
      <c r="A60027" s="56"/>
    </row>
    <row r="60028" spans="1:1">
      <c r="A60028" s="56"/>
    </row>
    <row r="60029" spans="1:1">
      <c r="A60029" s="56"/>
    </row>
    <row r="60030" spans="1:1">
      <c r="A60030" s="56"/>
    </row>
    <row r="60031" spans="1:1">
      <c r="A60031" s="56"/>
    </row>
    <row r="60032" spans="1:1">
      <c r="A60032" s="56"/>
    </row>
    <row r="60033" spans="1:1">
      <c r="A60033" s="56"/>
    </row>
    <row r="60034" spans="1:1">
      <c r="A60034" s="56"/>
    </row>
    <row r="60035" spans="1:1">
      <c r="A60035" s="56"/>
    </row>
    <row r="60036" spans="1:1">
      <c r="A60036" s="56"/>
    </row>
    <row r="60037" spans="1:1">
      <c r="A60037" s="56"/>
    </row>
    <row r="60038" spans="1:1">
      <c r="A60038" s="56"/>
    </row>
    <row r="60039" spans="1:1">
      <c r="A60039" s="56"/>
    </row>
    <row r="60040" spans="1:1">
      <c r="A60040" s="56"/>
    </row>
    <row r="60041" spans="1:1">
      <c r="A60041" s="56"/>
    </row>
    <row r="60042" spans="1:1">
      <c r="A60042" s="56"/>
    </row>
    <row r="60043" spans="1:1">
      <c r="A60043" s="56"/>
    </row>
    <row r="60044" spans="1:1">
      <c r="A60044" s="56"/>
    </row>
    <row r="60045" spans="1:1">
      <c r="A60045" s="56"/>
    </row>
    <row r="60046" spans="1:1">
      <c r="A60046" s="56"/>
    </row>
    <row r="60047" spans="1:1">
      <c r="A60047" s="56"/>
    </row>
    <row r="60048" spans="1:1">
      <c r="A60048" s="56"/>
    </row>
    <row r="60049" spans="1:1">
      <c r="A60049" s="56"/>
    </row>
    <row r="60050" spans="1:1">
      <c r="A60050" s="56"/>
    </row>
    <row r="60051" spans="1:1">
      <c r="A60051" s="56"/>
    </row>
    <row r="60052" spans="1:1">
      <c r="A60052" s="56"/>
    </row>
    <row r="60053" spans="1:1">
      <c r="A60053" s="56"/>
    </row>
    <row r="60054" spans="1:1">
      <c r="A60054" s="56"/>
    </row>
    <row r="60055" spans="1:1">
      <c r="A60055" s="56"/>
    </row>
    <row r="60056" spans="1:1">
      <c r="A60056" s="56"/>
    </row>
    <row r="60057" spans="1:1">
      <c r="A60057" s="56"/>
    </row>
    <row r="60058" spans="1:1">
      <c r="A60058" s="56"/>
    </row>
    <row r="60059" spans="1:1">
      <c r="A60059" s="56"/>
    </row>
    <row r="60060" spans="1:1">
      <c r="A60060" s="56"/>
    </row>
    <row r="60061" spans="1:1">
      <c r="A60061" s="56"/>
    </row>
    <row r="60062" spans="1:1">
      <c r="A60062" s="56"/>
    </row>
    <row r="60063" spans="1:1">
      <c r="A60063" s="56"/>
    </row>
    <row r="60064" spans="1:1">
      <c r="A60064" s="56"/>
    </row>
    <row r="60065" spans="1:1">
      <c r="A60065" s="56"/>
    </row>
    <row r="60066" spans="1:1">
      <c r="A60066" s="56"/>
    </row>
    <row r="60067" spans="1:1">
      <c r="A60067" s="56"/>
    </row>
    <row r="60068" spans="1:1">
      <c r="A60068" s="56"/>
    </row>
    <row r="60069" spans="1:1">
      <c r="A60069" s="56"/>
    </row>
    <row r="60070" spans="1:1">
      <c r="A60070" s="56"/>
    </row>
    <row r="60071" spans="1:1">
      <c r="A60071" s="56"/>
    </row>
    <row r="60072" spans="1:1">
      <c r="A60072" s="56"/>
    </row>
    <row r="60073" spans="1:1">
      <c r="A60073" s="56"/>
    </row>
    <row r="60074" spans="1:1">
      <c r="A60074" s="56"/>
    </row>
    <row r="60075" spans="1:1">
      <c r="A60075" s="56"/>
    </row>
    <row r="60076" spans="1:1">
      <c r="A60076" s="56"/>
    </row>
    <row r="60077" spans="1:1">
      <c r="A60077" s="56"/>
    </row>
    <row r="60078" spans="1:1">
      <c r="A60078" s="56"/>
    </row>
    <row r="60079" spans="1:1">
      <c r="A60079" s="56"/>
    </row>
    <row r="60080" spans="1:1">
      <c r="A60080" s="56"/>
    </row>
    <row r="60081" spans="1:1">
      <c r="A60081" s="56"/>
    </row>
    <row r="60082" spans="1:1">
      <c r="A60082" s="56"/>
    </row>
    <row r="60083" spans="1:1">
      <c r="A60083" s="56"/>
    </row>
    <row r="60084" spans="1:1">
      <c r="A60084" s="56"/>
    </row>
    <row r="60085" spans="1:1">
      <c r="A60085" s="56"/>
    </row>
    <row r="60086" spans="1:1">
      <c r="A60086" s="56"/>
    </row>
    <row r="60087" spans="1:1">
      <c r="A60087" s="56"/>
    </row>
    <row r="60088" spans="1:1">
      <c r="A60088" s="56"/>
    </row>
    <row r="60089" spans="1:1">
      <c r="A60089" s="56"/>
    </row>
    <row r="60090" spans="1:1">
      <c r="A60090" s="56"/>
    </row>
    <row r="60091" spans="1:1">
      <c r="A60091" s="56"/>
    </row>
    <row r="60092" spans="1:1">
      <c r="A60092" s="56"/>
    </row>
    <row r="60093" spans="1:1">
      <c r="A60093" s="56"/>
    </row>
    <row r="60094" spans="1:1">
      <c r="A60094" s="56"/>
    </row>
    <row r="60095" spans="1:1">
      <c r="A60095" s="56"/>
    </row>
    <row r="60096" spans="1:1">
      <c r="A60096" s="56"/>
    </row>
    <row r="60097" spans="1:1">
      <c r="A60097" s="56"/>
    </row>
    <row r="60098" spans="1:1">
      <c r="A60098" s="56"/>
    </row>
    <row r="60099" spans="1:1">
      <c r="A60099" s="56"/>
    </row>
    <row r="60100" spans="1:1">
      <c r="A60100" s="56"/>
    </row>
    <row r="60101" spans="1:1">
      <c r="A60101" s="56"/>
    </row>
    <row r="60102" spans="1:1">
      <c r="A60102" s="56"/>
    </row>
    <row r="60103" spans="1:1">
      <c r="A60103" s="56"/>
    </row>
    <row r="60104" spans="1:1">
      <c r="A60104" s="56"/>
    </row>
    <row r="60105" spans="1:1">
      <c r="A60105" s="56"/>
    </row>
    <row r="60106" spans="1:1">
      <c r="A60106" s="56"/>
    </row>
    <row r="60107" spans="1:1">
      <c r="A60107" s="56"/>
    </row>
    <row r="60108" spans="1:1">
      <c r="A60108" s="56"/>
    </row>
    <row r="60109" spans="1:1">
      <c r="A60109" s="56"/>
    </row>
    <row r="60110" spans="1:1">
      <c r="A60110" s="56"/>
    </row>
    <row r="60111" spans="1:1">
      <c r="A60111" s="56"/>
    </row>
    <row r="60112" spans="1:1">
      <c r="A60112" s="56"/>
    </row>
    <row r="60113" spans="1:1">
      <c r="A60113" s="56"/>
    </row>
    <row r="60114" spans="1:1">
      <c r="A60114" s="56"/>
    </row>
    <row r="60115" spans="1:1">
      <c r="A60115" s="56"/>
    </row>
    <row r="60116" spans="1:1">
      <c r="A60116" s="56"/>
    </row>
    <row r="60117" spans="1:1">
      <c r="A60117" s="56"/>
    </row>
    <row r="60118" spans="1:1">
      <c r="A60118" s="56"/>
    </row>
    <row r="60119" spans="1:1">
      <c r="A60119" s="56"/>
    </row>
    <row r="60120" spans="1:1">
      <c r="A60120" s="56"/>
    </row>
    <row r="60121" spans="1:1">
      <c r="A60121" s="56"/>
    </row>
    <row r="60122" spans="1:1">
      <c r="A60122" s="56"/>
    </row>
    <row r="60123" spans="1:1">
      <c r="A60123" s="56"/>
    </row>
    <row r="60124" spans="1:1">
      <c r="A60124" s="56"/>
    </row>
    <row r="60125" spans="1:1">
      <c r="A60125" s="56"/>
    </row>
    <row r="60126" spans="1:1">
      <c r="A60126" s="56"/>
    </row>
    <row r="60127" spans="1:1">
      <c r="A60127" s="56"/>
    </row>
    <row r="60128" spans="1:1">
      <c r="A60128" s="56"/>
    </row>
    <row r="60129" spans="1:1">
      <c r="A60129" s="56"/>
    </row>
    <row r="60130" spans="1:1">
      <c r="A60130" s="56"/>
    </row>
    <row r="60131" spans="1:1">
      <c r="A60131" s="56"/>
    </row>
    <row r="60132" spans="1:1">
      <c r="A60132" s="56"/>
    </row>
    <row r="60133" spans="1:1">
      <c r="A60133" s="56"/>
    </row>
    <row r="60134" spans="1:1">
      <c r="A60134" s="56"/>
    </row>
    <row r="60135" spans="1:1">
      <c r="A60135" s="56"/>
    </row>
    <row r="60136" spans="1:1">
      <c r="A60136" s="56"/>
    </row>
    <row r="60137" spans="1:1">
      <c r="A60137" s="56"/>
    </row>
    <row r="60138" spans="1:1">
      <c r="A60138" s="56"/>
    </row>
    <row r="60139" spans="1:1">
      <c r="A60139" s="56"/>
    </row>
    <row r="60140" spans="1:1">
      <c r="A60140" s="56"/>
    </row>
    <row r="60141" spans="1:1">
      <c r="A60141" s="56"/>
    </row>
    <row r="60142" spans="1:1">
      <c r="A60142" s="56"/>
    </row>
    <row r="60143" spans="1:1">
      <c r="A60143" s="56"/>
    </row>
    <row r="60144" spans="1:1">
      <c r="A60144" s="56"/>
    </row>
    <row r="60145" spans="1:1">
      <c r="A60145" s="56"/>
    </row>
    <row r="60146" spans="1:1">
      <c r="A60146" s="56"/>
    </row>
    <row r="60147" spans="1:1">
      <c r="A60147" s="56"/>
    </row>
    <row r="60148" spans="1:1">
      <c r="A60148" s="56"/>
    </row>
    <row r="60149" spans="1:1">
      <c r="A60149" s="56"/>
    </row>
    <row r="60150" spans="1:1">
      <c r="A60150" s="56"/>
    </row>
    <row r="60151" spans="1:1">
      <c r="A60151" s="56"/>
    </row>
    <row r="60152" spans="1:1">
      <c r="A60152" s="56"/>
    </row>
    <row r="60153" spans="1:1">
      <c r="A60153" s="56"/>
    </row>
    <row r="60154" spans="1:1">
      <c r="A60154" s="56"/>
    </row>
    <row r="60155" spans="1:1">
      <c r="A60155" s="56"/>
    </row>
    <row r="60156" spans="1:1">
      <c r="A60156" s="56"/>
    </row>
    <row r="60157" spans="1:1">
      <c r="A60157" s="56"/>
    </row>
    <row r="60158" spans="1:1">
      <c r="A60158" s="56"/>
    </row>
    <row r="60159" spans="1:1">
      <c r="A60159" s="56"/>
    </row>
    <row r="60160" spans="1:1">
      <c r="A60160" s="56"/>
    </row>
    <row r="60161" spans="1:1">
      <c r="A60161" s="56"/>
    </row>
    <row r="60162" spans="1:1">
      <c r="A60162" s="56"/>
    </row>
    <row r="60163" spans="1:1">
      <c r="A60163" s="56"/>
    </row>
    <row r="60164" spans="1:1">
      <c r="A60164" s="56"/>
    </row>
    <row r="60165" spans="1:1">
      <c r="A60165" s="56"/>
    </row>
    <row r="60166" spans="1:1">
      <c r="A60166" s="56"/>
    </row>
    <row r="60167" spans="1:1">
      <c r="A60167" s="56"/>
    </row>
    <row r="60168" spans="1:1">
      <c r="A60168" s="56"/>
    </row>
    <row r="60169" spans="1:1">
      <c r="A60169" s="56"/>
    </row>
    <row r="60170" spans="1:1">
      <c r="A60170" s="56"/>
    </row>
    <row r="60171" spans="1:1">
      <c r="A60171" s="56"/>
    </row>
    <row r="60172" spans="1:1">
      <c r="A60172" s="56"/>
    </row>
    <row r="60173" spans="1:1">
      <c r="A60173" s="56"/>
    </row>
    <row r="60174" spans="1:1">
      <c r="A60174" s="56"/>
    </row>
    <row r="60175" spans="1:1">
      <c r="A60175" s="56"/>
    </row>
    <row r="60176" spans="1:1">
      <c r="A60176" s="56"/>
    </row>
    <row r="60177" spans="1:1">
      <c r="A60177" s="56"/>
    </row>
    <row r="60178" spans="1:1">
      <c r="A60178" s="56"/>
    </row>
    <row r="60179" spans="1:1">
      <c r="A60179" s="56"/>
    </row>
    <row r="60180" spans="1:1">
      <c r="A60180" s="56"/>
    </row>
    <row r="60181" spans="1:1">
      <c r="A60181" s="56"/>
    </row>
    <row r="60182" spans="1:1">
      <c r="A60182" s="56"/>
    </row>
    <row r="60183" spans="1:1">
      <c r="A60183" s="56"/>
    </row>
    <row r="60184" spans="1:1">
      <c r="A60184" s="56"/>
    </row>
    <row r="60185" spans="1:1">
      <c r="A60185" s="56"/>
    </row>
    <row r="60186" spans="1:1">
      <c r="A60186" s="56"/>
    </row>
    <row r="60187" spans="1:1">
      <c r="A60187" s="56"/>
    </row>
    <row r="60188" spans="1:1">
      <c r="A60188" s="56"/>
    </row>
    <row r="60189" spans="1:1">
      <c r="A60189" s="56"/>
    </row>
    <row r="60190" spans="1:1">
      <c r="A60190" s="56"/>
    </row>
    <row r="60191" spans="1:1">
      <c r="A60191" s="56"/>
    </row>
    <row r="60192" spans="1:1">
      <c r="A60192" s="56"/>
    </row>
    <row r="60193" spans="1:1">
      <c r="A60193" s="56"/>
    </row>
    <row r="60194" spans="1:1">
      <c r="A60194" s="56"/>
    </row>
    <row r="60195" spans="1:1">
      <c r="A60195" s="56"/>
    </row>
    <row r="60196" spans="1:1">
      <c r="A60196" s="56"/>
    </row>
    <row r="60197" spans="1:1">
      <c r="A60197" s="56"/>
    </row>
    <row r="60198" spans="1:1">
      <c r="A60198" s="56"/>
    </row>
    <row r="60199" spans="1:1">
      <c r="A60199" s="56"/>
    </row>
    <row r="60200" spans="1:1">
      <c r="A60200" s="56"/>
    </row>
    <row r="60201" spans="1:1">
      <c r="A60201" s="56"/>
    </row>
    <row r="60202" spans="1:1">
      <c r="A60202" s="56"/>
    </row>
    <row r="60203" spans="1:1">
      <c r="A60203" s="56"/>
    </row>
    <row r="60204" spans="1:1">
      <c r="A60204" s="56"/>
    </row>
    <row r="60205" spans="1:1">
      <c r="A60205" s="56"/>
    </row>
    <row r="60206" spans="1:1">
      <c r="A60206" s="56"/>
    </row>
    <row r="60207" spans="1:1">
      <c r="A60207" s="56"/>
    </row>
    <row r="60208" spans="1:1">
      <c r="A60208" s="56"/>
    </row>
    <row r="60209" spans="1:1">
      <c r="A60209" s="56"/>
    </row>
    <row r="60210" spans="1:1">
      <c r="A60210" s="56"/>
    </row>
    <row r="60211" spans="1:1">
      <c r="A60211" s="56"/>
    </row>
    <row r="60212" spans="1:1">
      <c r="A60212" s="56"/>
    </row>
    <row r="60213" spans="1:1">
      <c r="A60213" s="56"/>
    </row>
    <row r="60214" spans="1:1">
      <c r="A60214" s="56"/>
    </row>
    <row r="60215" spans="1:1">
      <c r="A60215" s="56"/>
    </row>
    <row r="60216" spans="1:1">
      <c r="A60216" s="56"/>
    </row>
    <row r="60217" spans="1:1">
      <c r="A60217" s="56"/>
    </row>
    <row r="60218" spans="1:1">
      <c r="A60218" s="56"/>
    </row>
    <row r="60219" spans="1:1">
      <c r="A60219" s="56"/>
    </row>
    <row r="60220" spans="1:1">
      <c r="A60220" s="56"/>
    </row>
    <row r="60221" spans="1:1">
      <c r="A60221" s="56"/>
    </row>
    <row r="60222" spans="1:1">
      <c r="A60222" s="56"/>
    </row>
    <row r="60223" spans="1:1">
      <c r="A60223" s="56"/>
    </row>
    <row r="60224" spans="1:1">
      <c r="A60224" s="56"/>
    </row>
    <row r="60225" spans="1:1">
      <c r="A60225" s="56"/>
    </row>
    <row r="60226" spans="1:1">
      <c r="A60226" s="56"/>
    </row>
    <row r="60227" spans="1:1">
      <c r="A60227" s="56"/>
    </row>
    <row r="60228" spans="1:1">
      <c r="A60228" s="56"/>
    </row>
    <row r="60229" spans="1:1">
      <c r="A60229" s="56"/>
    </row>
    <row r="60230" spans="1:1">
      <c r="A60230" s="56"/>
    </row>
    <row r="60231" spans="1:1">
      <c r="A60231" s="56"/>
    </row>
    <row r="60232" spans="1:1">
      <c r="A60232" s="56"/>
    </row>
    <row r="60233" spans="1:1">
      <c r="A60233" s="56"/>
    </row>
    <row r="60234" spans="1:1">
      <c r="A60234" s="56"/>
    </row>
    <row r="60235" spans="1:1">
      <c r="A60235" s="56"/>
    </row>
    <row r="60236" spans="1:1">
      <c r="A60236" s="56"/>
    </row>
    <row r="60237" spans="1:1">
      <c r="A60237" s="56"/>
    </row>
    <row r="60238" spans="1:1">
      <c r="A60238" s="56"/>
    </row>
    <row r="60239" spans="1:1">
      <c r="A60239" s="56"/>
    </row>
    <row r="60240" spans="1:1">
      <c r="A60240" s="56"/>
    </row>
    <row r="60241" spans="1:1">
      <c r="A60241" s="56"/>
    </row>
    <row r="60242" spans="1:1">
      <c r="A60242" s="56"/>
    </row>
    <row r="60243" spans="1:1">
      <c r="A60243" s="56"/>
    </row>
    <row r="60244" spans="1:1">
      <c r="A60244" s="56"/>
    </row>
    <row r="60245" spans="1:1">
      <c r="A60245" s="56"/>
    </row>
    <row r="60246" spans="1:1">
      <c r="A60246" s="56"/>
    </row>
    <row r="60247" spans="1:1">
      <c r="A60247" s="56"/>
    </row>
    <row r="60248" spans="1:1">
      <c r="A60248" s="56"/>
    </row>
    <row r="60249" spans="1:1">
      <c r="A60249" s="56"/>
    </row>
    <row r="60250" spans="1:1">
      <c r="A60250" s="56"/>
    </row>
    <row r="60251" spans="1:1">
      <c r="A60251" s="56"/>
    </row>
    <row r="60252" spans="1:1">
      <c r="A60252" s="56"/>
    </row>
    <row r="60253" spans="1:1">
      <c r="A60253" s="56"/>
    </row>
    <row r="60254" spans="1:1">
      <c r="A60254" s="56"/>
    </row>
    <row r="60255" spans="1:1">
      <c r="A60255" s="56"/>
    </row>
    <row r="60256" spans="1:1">
      <c r="A60256" s="56"/>
    </row>
    <row r="60257" spans="1:1">
      <c r="A60257" s="56"/>
    </row>
    <row r="60258" spans="1:1">
      <c r="A60258" s="56"/>
    </row>
    <row r="60259" spans="1:1">
      <c r="A60259" s="56"/>
    </row>
    <row r="60260" spans="1:1">
      <c r="A60260" s="56"/>
    </row>
    <row r="60261" spans="1:1">
      <c r="A60261" s="56"/>
    </row>
    <row r="60262" spans="1:1">
      <c r="A60262" s="56"/>
    </row>
    <row r="60263" spans="1:1">
      <c r="A60263" s="56"/>
    </row>
    <row r="60264" spans="1:1">
      <c r="A60264" s="56"/>
    </row>
    <row r="60265" spans="1:1">
      <c r="A60265" s="56"/>
    </row>
    <row r="60266" spans="1:1">
      <c r="A60266" s="56"/>
    </row>
    <row r="60267" spans="1:1">
      <c r="A60267" s="56"/>
    </row>
    <row r="60268" spans="1:1">
      <c r="A60268" s="56"/>
    </row>
    <row r="60269" spans="1:1">
      <c r="A60269" s="56"/>
    </row>
    <row r="60270" spans="1:1">
      <c r="A60270" s="56"/>
    </row>
    <row r="60271" spans="1:1">
      <c r="A60271" s="56"/>
    </row>
    <row r="60272" spans="1:1">
      <c r="A60272" s="56"/>
    </row>
    <row r="60273" spans="1:1">
      <c r="A60273" s="56"/>
    </row>
    <row r="60274" spans="1:1">
      <c r="A60274" s="56"/>
    </row>
    <row r="60275" spans="1:1">
      <c r="A60275" s="56"/>
    </row>
    <row r="60276" spans="1:1">
      <c r="A60276" s="56"/>
    </row>
    <row r="60277" spans="1:1">
      <c r="A60277" s="56"/>
    </row>
    <row r="60278" spans="1:1">
      <c r="A60278" s="56"/>
    </row>
    <row r="60279" spans="1:1">
      <c r="A60279" s="56"/>
    </row>
    <row r="60280" spans="1:1">
      <c r="A60280" s="56"/>
    </row>
    <row r="60281" spans="1:1">
      <c r="A60281" s="56"/>
    </row>
    <row r="60282" spans="1:1">
      <c r="A60282" s="56"/>
    </row>
    <row r="60283" spans="1:1">
      <c r="A60283" s="56"/>
    </row>
    <row r="60284" spans="1:1">
      <c r="A60284" s="56"/>
    </row>
    <row r="60285" spans="1:1">
      <c r="A60285" s="56"/>
    </row>
    <row r="60286" spans="1:1">
      <c r="A60286" s="56"/>
    </row>
    <row r="60287" spans="1:1">
      <c r="A60287" s="56"/>
    </row>
    <row r="60288" spans="1:1">
      <c r="A60288" s="56"/>
    </row>
    <row r="60289" spans="1:1">
      <c r="A60289" s="56"/>
    </row>
    <row r="60290" spans="1:1">
      <c r="A60290" s="56"/>
    </row>
    <row r="60291" spans="1:1">
      <c r="A60291" s="56"/>
    </row>
    <row r="60292" spans="1:1">
      <c r="A60292" s="56"/>
    </row>
    <row r="60293" spans="1:1">
      <c r="A60293" s="56"/>
    </row>
    <row r="60294" spans="1:1">
      <c r="A60294" s="56"/>
    </row>
    <row r="60295" spans="1:1">
      <c r="A60295" s="56"/>
    </row>
    <row r="60296" spans="1:1">
      <c r="A60296" s="56"/>
    </row>
    <row r="60297" spans="1:1">
      <c r="A60297" s="56"/>
    </row>
    <row r="60298" spans="1:1">
      <c r="A60298" s="56"/>
    </row>
    <row r="60299" spans="1:1">
      <c r="A60299" s="56"/>
    </row>
    <row r="60300" spans="1:1">
      <c r="A60300" s="56"/>
    </row>
    <row r="60301" spans="1:1">
      <c r="A60301" s="56"/>
    </row>
    <row r="60302" spans="1:1">
      <c r="A60302" s="56"/>
    </row>
    <row r="60303" spans="1:1">
      <c r="A60303" s="56"/>
    </row>
    <row r="60304" spans="1:1">
      <c r="A60304" s="56"/>
    </row>
    <row r="60305" spans="1:1">
      <c r="A60305" s="56"/>
    </row>
    <row r="60306" spans="1:1">
      <c r="A60306" s="56"/>
    </row>
    <row r="60307" spans="1:1">
      <c r="A60307" s="56"/>
    </row>
    <row r="60308" spans="1:1">
      <c r="A60308" s="56"/>
    </row>
    <row r="60309" spans="1:1">
      <c r="A60309" s="56"/>
    </row>
    <row r="60310" spans="1:1">
      <c r="A60310" s="56"/>
    </row>
    <row r="60311" spans="1:1">
      <c r="A60311" s="56"/>
    </row>
    <row r="60312" spans="1:1">
      <c r="A60312" s="56"/>
    </row>
    <row r="60313" spans="1:1">
      <c r="A60313" s="56"/>
    </row>
    <row r="60314" spans="1:1">
      <c r="A60314" s="56"/>
    </row>
    <row r="60315" spans="1:1">
      <c r="A60315" s="56"/>
    </row>
    <row r="60316" spans="1:1">
      <c r="A60316" s="56"/>
    </row>
    <row r="60317" spans="1:1">
      <c r="A60317" s="56"/>
    </row>
    <row r="60318" spans="1:1">
      <c r="A60318" s="56"/>
    </row>
    <row r="60319" spans="1:1">
      <c r="A60319" s="56"/>
    </row>
    <row r="60320" spans="1:1">
      <c r="A60320" s="56"/>
    </row>
    <row r="60321" spans="1:1">
      <c r="A60321" s="56"/>
    </row>
    <row r="60322" spans="1:1">
      <c r="A60322" s="56"/>
    </row>
    <row r="60323" spans="1:1">
      <c r="A60323" s="56"/>
    </row>
    <row r="60324" spans="1:1">
      <c r="A60324" s="56"/>
    </row>
    <row r="60325" spans="1:1">
      <c r="A60325" s="56"/>
    </row>
    <row r="60326" spans="1:1">
      <c r="A60326" s="56"/>
    </row>
    <row r="60327" spans="1:1">
      <c r="A60327" s="56"/>
    </row>
    <row r="60328" spans="1:1">
      <c r="A60328" s="56"/>
    </row>
    <row r="60329" spans="1:1">
      <c r="A60329" s="56"/>
    </row>
    <row r="60330" spans="1:1">
      <c r="A60330" s="56"/>
    </row>
    <row r="60331" spans="1:1">
      <c r="A60331" s="56"/>
    </row>
    <row r="60332" spans="1:1">
      <c r="A60332" s="56"/>
    </row>
    <row r="60333" spans="1:1">
      <c r="A60333" s="56"/>
    </row>
    <row r="60334" spans="1:1">
      <c r="A60334" s="56"/>
    </row>
    <row r="60335" spans="1:1">
      <c r="A60335" s="56"/>
    </row>
    <row r="60336" spans="1:1">
      <c r="A60336" s="56"/>
    </row>
    <row r="60337" spans="1:1">
      <c r="A60337" s="56"/>
    </row>
    <row r="60338" spans="1:1">
      <c r="A60338" s="56"/>
    </row>
    <row r="60339" spans="1:1">
      <c r="A60339" s="56"/>
    </row>
    <row r="60340" spans="1:1">
      <c r="A60340" s="56"/>
    </row>
    <row r="60341" spans="1:1">
      <c r="A60341" s="56"/>
    </row>
    <row r="60342" spans="1:1">
      <c r="A60342" s="56"/>
    </row>
    <row r="60343" spans="1:1">
      <c r="A60343" s="56"/>
    </row>
    <row r="60344" spans="1:1">
      <c r="A60344" s="56"/>
    </row>
    <row r="60345" spans="1:1">
      <c r="A60345" s="56"/>
    </row>
    <row r="60346" spans="1:1">
      <c r="A60346" s="56"/>
    </row>
    <row r="60347" spans="1:1">
      <c r="A60347" s="56"/>
    </row>
    <row r="60348" spans="1:1">
      <c r="A60348" s="56"/>
    </row>
    <row r="60349" spans="1:1">
      <c r="A60349" s="56"/>
    </row>
    <row r="60350" spans="1:1">
      <c r="A60350" s="56"/>
    </row>
    <row r="60351" spans="1:1">
      <c r="A60351" s="56"/>
    </row>
    <row r="60352" spans="1:1">
      <c r="A60352" s="56"/>
    </row>
    <row r="60353" spans="1:1">
      <c r="A60353" s="56"/>
    </row>
    <row r="60354" spans="1:1">
      <c r="A60354" s="56"/>
    </row>
    <row r="60355" spans="1:1">
      <c r="A60355" s="56"/>
    </row>
    <row r="60356" spans="1:1">
      <c r="A60356" s="56"/>
    </row>
    <row r="60357" spans="1:1">
      <c r="A60357" s="56"/>
    </row>
    <row r="60358" spans="1:1">
      <c r="A60358" s="56"/>
    </row>
    <row r="60359" spans="1:1">
      <c r="A60359" s="56"/>
    </row>
    <row r="60360" spans="1:1">
      <c r="A60360" s="56"/>
    </row>
    <row r="60361" spans="1:1">
      <c r="A60361" s="56"/>
    </row>
    <row r="60362" spans="1:1">
      <c r="A60362" s="56"/>
    </row>
    <row r="60363" spans="1:1">
      <c r="A60363" s="56"/>
    </row>
    <row r="60364" spans="1:1">
      <c r="A60364" s="56"/>
    </row>
    <row r="60365" spans="1:1">
      <c r="A60365" s="56"/>
    </row>
    <row r="60366" spans="1:1">
      <c r="A60366" s="56"/>
    </row>
    <row r="60367" spans="1:1">
      <c r="A60367" s="56"/>
    </row>
    <row r="60368" spans="1:1">
      <c r="A60368" s="56"/>
    </row>
    <row r="60369" spans="1:1">
      <c r="A60369" s="56"/>
    </row>
    <row r="60370" spans="1:1">
      <c r="A60370" s="56"/>
    </row>
    <row r="60371" spans="1:1">
      <c r="A60371" s="56"/>
    </row>
    <row r="60372" spans="1:1">
      <c r="A60372" s="56"/>
    </row>
    <row r="60373" spans="1:1">
      <c r="A60373" s="56"/>
    </row>
    <row r="60374" spans="1:1">
      <c r="A60374" s="56"/>
    </row>
    <row r="60375" spans="1:1">
      <c r="A60375" s="56"/>
    </row>
    <row r="60376" spans="1:1">
      <c r="A60376" s="56"/>
    </row>
    <row r="60377" spans="1:1">
      <c r="A60377" s="56"/>
    </row>
    <row r="60378" spans="1:1">
      <c r="A60378" s="56"/>
    </row>
    <row r="60379" spans="1:1">
      <c r="A60379" s="56"/>
    </row>
    <row r="60380" spans="1:1">
      <c r="A60380" s="56"/>
    </row>
    <row r="60381" spans="1:1">
      <c r="A60381" s="56"/>
    </row>
    <row r="60382" spans="1:1">
      <c r="A60382" s="56"/>
    </row>
    <row r="60383" spans="1:1">
      <c r="A60383" s="56"/>
    </row>
    <row r="60384" spans="1:1">
      <c r="A60384" s="56"/>
    </row>
    <row r="60385" spans="1:1">
      <c r="A60385" s="56"/>
    </row>
    <row r="60386" spans="1:1">
      <c r="A60386" s="56"/>
    </row>
    <row r="60387" spans="1:1">
      <c r="A60387" s="56"/>
    </row>
    <row r="60388" spans="1:1">
      <c r="A60388" s="56"/>
    </row>
    <row r="60389" spans="1:1">
      <c r="A60389" s="56"/>
    </row>
    <row r="60390" spans="1:1">
      <c r="A60390" s="56"/>
    </row>
    <row r="60391" spans="1:1">
      <c r="A60391" s="56"/>
    </row>
    <row r="60392" spans="1:1">
      <c r="A60392" s="56"/>
    </row>
    <row r="60393" spans="1:1">
      <c r="A60393" s="56"/>
    </row>
    <row r="60394" spans="1:1">
      <c r="A60394" s="56"/>
    </row>
    <row r="60395" spans="1:1">
      <c r="A60395" s="56"/>
    </row>
    <row r="60396" spans="1:1">
      <c r="A60396" s="56"/>
    </row>
    <row r="60397" spans="1:1">
      <c r="A60397" s="56"/>
    </row>
    <row r="60398" spans="1:1">
      <c r="A60398" s="56"/>
    </row>
    <row r="60399" spans="1:1">
      <c r="A60399" s="56"/>
    </row>
    <row r="60400" spans="1:1">
      <c r="A60400" s="56"/>
    </row>
    <row r="60401" spans="1:1">
      <c r="A60401" s="56"/>
    </row>
    <row r="60402" spans="1:1">
      <c r="A60402" s="56"/>
    </row>
    <row r="60403" spans="1:1">
      <c r="A60403" s="56"/>
    </row>
    <row r="60404" spans="1:1">
      <c r="A60404" s="56"/>
    </row>
    <row r="60405" spans="1:1">
      <c r="A60405" s="56"/>
    </row>
    <row r="60406" spans="1:1">
      <c r="A60406" s="56"/>
    </row>
    <row r="60407" spans="1:1">
      <c r="A60407" s="56"/>
    </row>
    <row r="60408" spans="1:1">
      <c r="A60408" s="56"/>
    </row>
    <row r="60409" spans="1:1">
      <c r="A60409" s="56"/>
    </row>
    <row r="60410" spans="1:1">
      <c r="A60410" s="56"/>
    </row>
    <row r="60411" spans="1:1">
      <c r="A60411" s="56"/>
    </row>
    <row r="60412" spans="1:1">
      <c r="A60412" s="56"/>
    </row>
    <row r="60413" spans="1:1">
      <c r="A60413" s="56"/>
    </row>
    <row r="60414" spans="1:1">
      <c r="A60414" s="56"/>
    </row>
    <row r="60415" spans="1:1">
      <c r="A60415" s="56"/>
    </row>
    <row r="60416" spans="1:1">
      <c r="A60416" s="56"/>
    </row>
    <row r="60417" spans="1:1">
      <c r="A60417" s="56"/>
    </row>
    <row r="60418" spans="1:1">
      <c r="A60418" s="56"/>
    </row>
    <row r="60419" spans="1:1">
      <c r="A60419" s="56"/>
    </row>
    <row r="60420" spans="1:1">
      <c r="A60420" s="56"/>
    </row>
    <row r="60421" spans="1:1">
      <c r="A60421" s="56"/>
    </row>
    <row r="60422" spans="1:1">
      <c r="A60422" s="56"/>
    </row>
    <row r="60423" spans="1:1">
      <c r="A60423" s="56"/>
    </row>
    <row r="60424" spans="1:1">
      <c r="A60424" s="56"/>
    </row>
    <row r="60425" spans="1:1">
      <c r="A60425" s="56"/>
    </row>
    <row r="60426" spans="1:1">
      <c r="A60426" s="56"/>
    </row>
    <row r="60427" spans="1:1">
      <c r="A60427" s="56"/>
    </row>
    <row r="60428" spans="1:1">
      <c r="A60428" s="56"/>
    </row>
    <row r="60429" spans="1:1">
      <c r="A60429" s="56"/>
    </row>
    <row r="60430" spans="1:1">
      <c r="A60430" s="56"/>
    </row>
    <row r="60431" spans="1:1">
      <c r="A60431" s="56"/>
    </row>
    <row r="60432" spans="1:1">
      <c r="A60432" s="56"/>
    </row>
    <row r="60433" spans="1:1">
      <c r="A60433" s="56"/>
    </row>
    <row r="60434" spans="1:1">
      <c r="A60434" s="56"/>
    </row>
    <row r="60435" spans="1:1">
      <c r="A60435" s="56"/>
    </row>
    <row r="60436" spans="1:1">
      <c r="A60436" s="56"/>
    </row>
    <row r="60437" spans="1:1">
      <c r="A60437" s="56"/>
    </row>
    <row r="60438" spans="1:1">
      <c r="A60438" s="56"/>
    </row>
    <row r="60439" spans="1:1">
      <c r="A60439" s="56"/>
    </row>
    <row r="60440" spans="1:1">
      <c r="A60440" s="56"/>
    </row>
    <row r="60441" spans="1:1">
      <c r="A60441" s="56"/>
    </row>
    <row r="60442" spans="1:1">
      <c r="A60442" s="56"/>
    </row>
    <row r="60443" spans="1:1">
      <c r="A60443" s="56"/>
    </row>
    <row r="60444" spans="1:1">
      <c r="A60444" s="56"/>
    </row>
    <row r="60445" spans="1:1">
      <c r="A60445" s="56"/>
    </row>
    <row r="60446" spans="1:1">
      <c r="A60446" s="56"/>
    </row>
    <row r="60447" spans="1:1">
      <c r="A60447" s="56"/>
    </row>
    <row r="60448" spans="1:1">
      <c r="A60448" s="56"/>
    </row>
    <row r="60449" spans="1:1">
      <c r="A60449" s="56"/>
    </row>
    <row r="60450" spans="1:1">
      <c r="A60450" s="56"/>
    </row>
    <row r="60451" spans="1:1">
      <c r="A60451" s="56"/>
    </row>
    <row r="60452" spans="1:1">
      <c r="A60452" s="56"/>
    </row>
    <row r="60453" spans="1:1">
      <c r="A60453" s="56"/>
    </row>
    <row r="60454" spans="1:1">
      <c r="A60454" s="56"/>
    </row>
    <row r="60455" spans="1:1">
      <c r="A60455" s="56"/>
    </row>
    <row r="60456" spans="1:1">
      <c r="A60456" s="56"/>
    </row>
    <row r="60457" spans="1:1">
      <c r="A60457" s="56"/>
    </row>
    <row r="60458" spans="1:1">
      <c r="A60458" s="56"/>
    </row>
    <row r="60459" spans="1:1">
      <c r="A60459" s="56"/>
    </row>
    <row r="60460" spans="1:1">
      <c r="A60460" s="56"/>
    </row>
    <row r="60461" spans="1:1">
      <c r="A60461" s="56"/>
    </row>
    <row r="60462" spans="1:1">
      <c r="A60462" s="56"/>
    </row>
    <row r="60463" spans="1:1">
      <c r="A60463" s="56"/>
    </row>
    <row r="60464" spans="1:1">
      <c r="A60464" s="56"/>
    </row>
    <row r="60465" spans="1:1">
      <c r="A60465" s="56"/>
    </row>
    <row r="60466" spans="1:1">
      <c r="A60466" s="56"/>
    </row>
    <row r="60467" spans="1:1">
      <c r="A60467" s="56"/>
    </row>
    <row r="60468" spans="1:1">
      <c r="A60468" s="56"/>
    </row>
    <row r="60469" spans="1:1">
      <c r="A60469" s="56"/>
    </row>
    <row r="60470" spans="1:1">
      <c r="A60470" s="56"/>
    </row>
    <row r="60471" spans="1:1">
      <c r="A60471" s="56"/>
    </row>
    <row r="60472" spans="1:1">
      <c r="A60472" s="56"/>
    </row>
    <row r="60473" spans="1:1">
      <c r="A60473" s="56"/>
    </row>
    <row r="60474" spans="1:1">
      <c r="A60474" s="56"/>
    </row>
    <row r="60475" spans="1:1">
      <c r="A60475" s="56"/>
    </row>
    <row r="60476" spans="1:1">
      <c r="A60476" s="56"/>
    </row>
    <row r="60477" spans="1:1">
      <c r="A60477" s="56"/>
    </row>
    <row r="60478" spans="1:1">
      <c r="A60478" s="56"/>
    </row>
    <row r="60479" spans="1:1">
      <c r="A60479" s="56"/>
    </row>
    <row r="60480" spans="1:1">
      <c r="A60480" s="56"/>
    </row>
    <row r="60481" spans="1:1">
      <c r="A60481" s="56"/>
    </row>
    <row r="60482" spans="1:1">
      <c r="A60482" s="56"/>
    </row>
    <row r="60483" spans="1:1">
      <c r="A60483" s="56"/>
    </row>
    <row r="60484" spans="1:1">
      <c r="A60484" s="56"/>
    </row>
    <row r="60485" spans="1:1">
      <c r="A60485" s="56"/>
    </row>
    <row r="60486" spans="1:1">
      <c r="A60486" s="56"/>
    </row>
    <row r="60487" spans="1:1">
      <c r="A60487" s="56"/>
    </row>
    <row r="60488" spans="1:1">
      <c r="A60488" s="56"/>
    </row>
    <row r="60489" spans="1:1">
      <c r="A60489" s="56"/>
    </row>
    <row r="60490" spans="1:1">
      <c r="A60490" s="56"/>
    </row>
    <row r="60491" spans="1:1">
      <c r="A60491" s="56"/>
    </row>
    <row r="60492" spans="1:1">
      <c r="A60492" s="56"/>
    </row>
    <row r="60493" spans="1:1">
      <c r="A60493" s="56"/>
    </row>
    <row r="60494" spans="1:1">
      <c r="A60494" s="56"/>
    </row>
    <row r="60495" spans="1:1">
      <c r="A60495" s="56"/>
    </row>
    <row r="60496" spans="1:1">
      <c r="A60496" s="56"/>
    </row>
    <row r="60497" spans="1:1">
      <c r="A60497" s="56"/>
    </row>
    <row r="60498" spans="1:1">
      <c r="A60498" s="56"/>
    </row>
    <row r="60499" spans="1:1">
      <c r="A60499" s="56"/>
    </row>
    <row r="60500" spans="1:1">
      <c r="A60500" s="56"/>
    </row>
    <row r="60501" spans="1:1">
      <c r="A60501" s="56"/>
    </row>
    <row r="60502" spans="1:1">
      <c r="A60502" s="56"/>
    </row>
    <row r="60503" spans="1:1">
      <c r="A60503" s="56"/>
    </row>
    <row r="60504" spans="1:1">
      <c r="A60504" s="56"/>
    </row>
    <row r="60505" spans="1:1">
      <c r="A60505" s="56"/>
    </row>
    <row r="60506" spans="1:1">
      <c r="A60506" s="56"/>
    </row>
    <row r="60507" spans="1:1">
      <c r="A60507" s="56"/>
    </row>
    <row r="60508" spans="1:1">
      <c r="A60508" s="56"/>
    </row>
    <row r="60509" spans="1:1">
      <c r="A60509" s="56"/>
    </row>
    <row r="60510" spans="1:1">
      <c r="A60510" s="56"/>
    </row>
    <row r="60511" spans="1:1">
      <c r="A60511" s="56"/>
    </row>
    <row r="60512" spans="1:1">
      <c r="A60512" s="56"/>
    </row>
    <row r="60513" spans="1:1">
      <c r="A60513" s="56"/>
    </row>
    <row r="60514" spans="1:1">
      <c r="A60514" s="56"/>
    </row>
    <row r="60515" spans="1:1">
      <c r="A60515" s="56"/>
    </row>
    <row r="60516" spans="1:1">
      <c r="A60516" s="56"/>
    </row>
    <row r="60517" spans="1:1">
      <c r="A60517" s="56"/>
    </row>
    <row r="60518" spans="1:1">
      <c r="A60518" s="56"/>
    </row>
    <row r="60519" spans="1:1">
      <c r="A60519" s="56"/>
    </row>
    <row r="60520" spans="1:1">
      <c r="A60520" s="56"/>
    </row>
    <row r="60521" spans="1:1">
      <c r="A60521" s="56"/>
    </row>
    <row r="60522" spans="1:1">
      <c r="A60522" s="56"/>
    </row>
    <row r="60523" spans="1:1">
      <c r="A60523" s="56"/>
    </row>
    <row r="60524" spans="1:1">
      <c r="A60524" s="56"/>
    </row>
    <row r="60525" spans="1:1">
      <c r="A60525" s="56"/>
    </row>
    <row r="60526" spans="1:1">
      <c r="A60526" s="56"/>
    </row>
    <row r="60527" spans="1:1">
      <c r="A60527" s="56"/>
    </row>
    <row r="60528" spans="1:1">
      <c r="A60528" s="56"/>
    </row>
    <row r="60529" spans="1:1">
      <c r="A60529" s="56"/>
    </row>
    <row r="60530" spans="1:1">
      <c r="A60530" s="56"/>
    </row>
    <row r="60531" spans="1:1">
      <c r="A60531" s="56"/>
    </row>
    <row r="60532" spans="1:1">
      <c r="A60532" s="56"/>
    </row>
    <row r="60533" spans="1:1">
      <c r="A60533" s="56"/>
    </row>
    <row r="60534" spans="1:1">
      <c r="A60534" s="56"/>
    </row>
    <row r="60535" spans="1:1">
      <c r="A60535" s="56"/>
    </row>
    <row r="60536" spans="1:1">
      <c r="A60536" s="56"/>
    </row>
    <row r="60537" spans="1:1">
      <c r="A60537" s="56"/>
    </row>
    <row r="60538" spans="1:1">
      <c r="A60538" s="56"/>
    </row>
    <row r="60539" spans="1:1">
      <c r="A60539" s="56"/>
    </row>
    <row r="60540" spans="1:1">
      <c r="A60540" s="56"/>
    </row>
    <row r="60541" spans="1:1">
      <c r="A60541" s="56"/>
    </row>
    <row r="60542" spans="1:1">
      <c r="A60542" s="56"/>
    </row>
    <row r="60543" spans="1:1">
      <c r="A60543" s="56"/>
    </row>
    <row r="60544" spans="1:1">
      <c r="A60544" s="56"/>
    </row>
    <row r="60545" spans="1:1">
      <c r="A60545" s="56"/>
    </row>
    <row r="60546" spans="1:1">
      <c r="A60546" s="56"/>
    </row>
    <row r="60547" spans="1:1">
      <c r="A60547" s="56"/>
    </row>
    <row r="60548" spans="1:1">
      <c r="A60548" s="56"/>
    </row>
    <row r="60549" spans="1:1">
      <c r="A60549" s="56"/>
    </row>
    <row r="60550" spans="1:1">
      <c r="A60550" s="56"/>
    </row>
    <row r="60551" spans="1:1">
      <c r="A60551" s="56"/>
    </row>
    <row r="60552" spans="1:1">
      <c r="A60552" s="56"/>
    </row>
    <row r="60553" spans="1:1">
      <c r="A60553" s="56"/>
    </row>
    <row r="60554" spans="1:1">
      <c r="A60554" s="56"/>
    </row>
    <row r="60555" spans="1:1">
      <c r="A60555" s="56"/>
    </row>
    <row r="60556" spans="1:1">
      <c r="A60556" s="56"/>
    </row>
    <row r="60557" spans="1:1">
      <c r="A60557" s="56"/>
    </row>
    <row r="60558" spans="1:1">
      <c r="A60558" s="56"/>
    </row>
    <row r="60559" spans="1:1">
      <c r="A60559" s="56"/>
    </row>
    <row r="60560" spans="1:1">
      <c r="A60560" s="56"/>
    </row>
    <row r="60561" spans="1:1">
      <c r="A60561" s="56"/>
    </row>
    <row r="60562" spans="1:1">
      <c r="A60562" s="56"/>
    </row>
    <row r="60563" spans="1:1">
      <c r="A60563" s="56"/>
    </row>
    <row r="60564" spans="1:1">
      <c r="A60564" s="56"/>
    </row>
    <row r="60565" spans="1:1">
      <c r="A60565" s="56"/>
    </row>
    <row r="60566" spans="1:1">
      <c r="A60566" s="56"/>
    </row>
    <row r="60567" spans="1:1">
      <c r="A60567" s="56"/>
    </row>
    <row r="60568" spans="1:1">
      <c r="A60568" s="56"/>
    </row>
    <row r="60569" spans="1:1">
      <c r="A60569" s="56"/>
    </row>
    <row r="60570" spans="1:1">
      <c r="A60570" s="56"/>
    </row>
    <row r="60571" spans="1:1">
      <c r="A60571" s="56"/>
    </row>
    <row r="60572" spans="1:1">
      <c r="A60572" s="56"/>
    </row>
    <row r="60573" spans="1:1">
      <c r="A60573" s="56"/>
    </row>
    <row r="60574" spans="1:1">
      <c r="A60574" s="56"/>
    </row>
    <row r="60575" spans="1:1">
      <c r="A60575" s="56"/>
    </row>
    <row r="60576" spans="1:1">
      <c r="A60576" s="56"/>
    </row>
    <row r="60577" spans="1:1">
      <c r="A60577" s="56"/>
    </row>
    <row r="60578" spans="1:1">
      <c r="A60578" s="56"/>
    </row>
    <row r="60579" spans="1:1">
      <c r="A60579" s="56"/>
    </row>
    <row r="60580" spans="1:1">
      <c r="A60580" s="56"/>
    </row>
    <row r="60581" spans="1:1">
      <c r="A60581" s="56"/>
    </row>
    <row r="60582" spans="1:1">
      <c r="A60582" s="56"/>
    </row>
    <row r="60583" spans="1:1">
      <c r="A60583" s="56"/>
    </row>
    <row r="60584" spans="1:1">
      <c r="A60584" s="56"/>
    </row>
    <row r="60585" spans="1:1">
      <c r="A60585" s="56"/>
    </row>
    <row r="60586" spans="1:1">
      <c r="A60586" s="56"/>
    </row>
    <row r="60587" spans="1:1">
      <c r="A60587" s="56"/>
    </row>
    <row r="60588" spans="1:1">
      <c r="A60588" s="56"/>
    </row>
    <row r="60589" spans="1:1">
      <c r="A60589" s="56"/>
    </row>
    <row r="60590" spans="1:1">
      <c r="A60590" s="56"/>
    </row>
    <row r="60591" spans="1:1">
      <c r="A60591" s="56"/>
    </row>
    <row r="60592" spans="1:1">
      <c r="A60592" s="56"/>
    </row>
    <row r="60593" spans="1:1">
      <c r="A60593" s="56"/>
    </row>
    <row r="60594" spans="1:1">
      <c r="A60594" s="56"/>
    </row>
    <row r="60595" spans="1:1">
      <c r="A60595" s="56"/>
    </row>
    <row r="60596" spans="1:1">
      <c r="A60596" s="56"/>
    </row>
    <row r="60597" spans="1:1">
      <c r="A60597" s="56"/>
    </row>
    <row r="60598" spans="1:1">
      <c r="A60598" s="56"/>
    </row>
    <row r="60599" spans="1:1">
      <c r="A60599" s="56"/>
    </row>
    <row r="60600" spans="1:1">
      <c r="A60600" s="56"/>
    </row>
    <row r="60601" spans="1:1">
      <c r="A60601" s="56"/>
    </row>
    <row r="60602" spans="1:1">
      <c r="A60602" s="56"/>
    </row>
    <row r="60603" spans="1:1">
      <c r="A60603" s="56"/>
    </row>
    <row r="60604" spans="1:1">
      <c r="A60604" s="56"/>
    </row>
    <row r="60605" spans="1:1">
      <c r="A60605" s="56"/>
    </row>
    <row r="60606" spans="1:1">
      <c r="A60606" s="56"/>
    </row>
    <row r="60607" spans="1:1">
      <c r="A60607" s="56"/>
    </row>
    <row r="60608" spans="1:1">
      <c r="A60608" s="56"/>
    </row>
    <row r="60609" spans="1:1">
      <c r="A60609" s="56"/>
    </row>
    <row r="60610" spans="1:1">
      <c r="A60610" s="56"/>
    </row>
    <row r="60611" spans="1:1">
      <c r="A60611" s="56"/>
    </row>
    <row r="60612" spans="1:1">
      <c r="A60612" s="56"/>
    </row>
    <row r="60613" spans="1:1">
      <c r="A60613" s="56"/>
    </row>
    <row r="60614" spans="1:1">
      <c r="A60614" s="56"/>
    </row>
    <row r="60615" spans="1:1">
      <c r="A60615" s="56"/>
    </row>
    <row r="60616" spans="1:1">
      <c r="A60616" s="56"/>
    </row>
    <row r="60617" spans="1:1">
      <c r="A60617" s="56"/>
    </row>
    <row r="60618" spans="1:1">
      <c r="A60618" s="56"/>
    </row>
    <row r="60619" spans="1:1">
      <c r="A60619" s="56"/>
    </row>
    <row r="60620" spans="1:1">
      <c r="A60620" s="56"/>
    </row>
    <row r="60621" spans="1:1">
      <c r="A60621" s="56"/>
    </row>
    <row r="60622" spans="1:1">
      <c r="A60622" s="56"/>
    </row>
    <row r="60623" spans="1:1">
      <c r="A60623" s="56"/>
    </row>
    <row r="60624" spans="1:1">
      <c r="A60624" s="56"/>
    </row>
    <row r="60625" spans="1:1">
      <c r="A60625" s="56"/>
    </row>
    <row r="60626" spans="1:1">
      <c r="A60626" s="56"/>
    </row>
    <row r="60627" spans="1:1">
      <c r="A60627" s="56"/>
    </row>
    <row r="60628" spans="1:1">
      <c r="A60628" s="56"/>
    </row>
    <row r="60629" spans="1:1">
      <c r="A60629" s="56"/>
    </row>
    <row r="60630" spans="1:1">
      <c r="A60630" s="56"/>
    </row>
    <row r="60631" spans="1:1">
      <c r="A60631" s="56"/>
    </row>
    <row r="60632" spans="1:1">
      <c r="A60632" s="56"/>
    </row>
    <row r="60633" spans="1:1">
      <c r="A60633" s="56"/>
    </row>
    <row r="60634" spans="1:1">
      <c r="A60634" s="56"/>
    </row>
    <row r="60635" spans="1:1">
      <c r="A60635" s="56"/>
    </row>
    <row r="60636" spans="1:1">
      <c r="A60636" s="56"/>
    </row>
    <row r="60637" spans="1:1">
      <c r="A60637" s="56"/>
    </row>
    <row r="60638" spans="1:1">
      <c r="A60638" s="56"/>
    </row>
    <row r="60639" spans="1:1">
      <c r="A60639" s="56"/>
    </row>
    <row r="60640" spans="1:1">
      <c r="A60640" s="56"/>
    </row>
    <row r="60641" spans="1:1">
      <c r="A60641" s="56"/>
    </row>
    <row r="60642" spans="1:1">
      <c r="A60642" s="56"/>
    </row>
    <row r="60643" spans="1:1">
      <c r="A60643" s="56"/>
    </row>
    <row r="60644" spans="1:1">
      <c r="A60644" s="56"/>
    </row>
    <row r="60645" spans="1:1">
      <c r="A60645" s="56"/>
    </row>
    <row r="60646" spans="1:1">
      <c r="A60646" s="56"/>
    </row>
    <row r="60647" spans="1:1">
      <c r="A60647" s="56"/>
    </row>
    <row r="60648" spans="1:1">
      <c r="A60648" s="56"/>
    </row>
    <row r="60649" spans="1:1">
      <c r="A60649" s="56"/>
    </row>
    <row r="60650" spans="1:1">
      <c r="A60650" s="56"/>
    </row>
    <row r="60651" spans="1:1">
      <c r="A60651" s="56"/>
    </row>
    <row r="60652" spans="1:1">
      <c r="A60652" s="56"/>
    </row>
    <row r="60653" spans="1:1">
      <c r="A60653" s="56"/>
    </row>
    <row r="60654" spans="1:1">
      <c r="A60654" s="56"/>
    </row>
    <row r="60655" spans="1:1">
      <c r="A60655" s="56"/>
    </row>
    <row r="60656" spans="1:1">
      <c r="A60656" s="56"/>
    </row>
    <row r="60657" spans="1:1">
      <c r="A60657" s="56"/>
    </row>
    <row r="60658" spans="1:1">
      <c r="A60658" s="56"/>
    </row>
    <row r="60659" spans="1:1">
      <c r="A60659" s="56"/>
    </row>
    <row r="60660" spans="1:1">
      <c r="A60660" s="56"/>
    </row>
    <row r="60661" spans="1:1">
      <c r="A60661" s="56"/>
    </row>
    <row r="60662" spans="1:1">
      <c r="A60662" s="56"/>
    </row>
    <row r="60663" spans="1:1">
      <c r="A60663" s="56"/>
    </row>
    <row r="60664" spans="1:1">
      <c r="A60664" s="56"/>
    </row>
    <row r="60665" spans="1:1">
      <c r="A60665" s="56"/>
    </row>
    <row r="60666" spans="1:1">
      <c r="A60666" s="56"/>
    </row>
    <row r="60667" spans="1:1">
      <c r="A60667" s="56"/>
    </row>
    <row r="60668" spans="1:1">
      <c r="A60668" s="56"/>
    </row>
    <row r="60669" spans="1:1">
      <c r="A60669" s="56"/>
    </row>
    <row r="60670" spans="1:1">
      <c r="A60670" s="56"/>
    </row>
    <row r="60671" spans="1:1">
      <c r="A60671" s="56"/>
    </row>
    <row r="60672" spans="1:1">
      <c r="A60672" s="56"/>
    </row>
    <row r="60673" spans="1:1">
      <c r="A60673" s="56"/>
    </row>
    <row r="60674" spans="1:1">
      <c r="A60674" s="56"/>
    </row>
    <row r="60675" spans="1:1">
      <c r="A60675" s="56"/>
    </row>
    <row r="60676" spans="1:1">
      <c r="A60676" s="56"/>
    </row>
    <row r="60677" spans="1:1">
      <c r="A60677" s="56"/>
    </row>
    <row r="60678" spans="1:1">
      <c r="A60678" s="56"/>
    </row>
    <row r="60679" spans="1:1">
      <c r="A60679" s="56"/>
    </row>
    <row r="60680" spans="1:1">
      <c r="A60680" s="56"/>
    </row>
    <row r="60681" spans="1:1">
      <c r="A60681" s="56"/>
    </row>
    <row r="60682" spans="1:1">
      <c r="A60682" s="56"/>
    </row>
    <row r="60683" spans="1:1">
      <c r="A60683" s="56"/>
    </row>
    <row r="60684" spans="1:1">
      <c r="A60684" s="56"/>
    </row>
    <row r="60685" spans="1:1">
      <c r="A60685" s="56"/>
    </row>
    <row r="60686" spans="1:1">
      <c r="A60686" s="56"/>
    </row>
    <row r="60687" spans="1:1">
      <c r="A60687" s="56"/>
    </row>
    <row r="60688" spans="1:1">
      <c r="A60688" s="56"/>
    </row>
    <row r="60689" spans="1:1">
      <c r="A60689" s="56"/>
    </row>
    <row r="60690" spans="1:1">
      <c r="A60690" s="56"/>
    </row>
    <row r="60691" spans="1:1">
      <c r="A60691" s="56"/>
    </row>
    <row r="60692" spans="1:1">
      <c r="A60692" s="56"/>
    </row>
    <row r="60693" spans="1:1">
      <c r="A60693" s="56"/>
    </row>
    <row r="60694" spans="1:1">
      <c r="A60694" s="56"/>
    </row>
    <row r="60695" spans="1:1">
      <c r="A60695" s="56"/>
    </row>
    <row r="60696" spans="1:1">
      <c r="A60696" s="56"/>
    </row>
    <row r="60697" spans="1:1">
      <c r="A60697" s="56"/>
    </row>
    <row r="60698" spans="1:1">
      <c r="A60698" s="56"/>
    </row>
    <row r="60699" spans="1:1">
      <c r="A60699" s="56"/>
    </row>
    <row r="60700" spans="1:1">
      <c r="A60700" s="56"/>
    </row>
    <row r="60701" spans="1:1">
      <c r="A60701" s="56"/>
    </row>
    <row r="60702" spans="1:1">
      <c r="A60702" s="56"/>
    </row>
    <row r="60703" spans="1:1">
      <c r="A60703" s="56"/>
    </row>
    <row r="60704" spans="1:1">
      <c r="A60704" s="56"/>
    </row>
    <row r="60705" spans="1:1">
      <c r="A60705" s="56"/>
    </row>
    <row r="60706" spans="1:1">
      <c r="A60706" s="56"/>
    </row>
    <row r="60707" spans="1:1">
      <c r="A60707" s="56"/>
    </row>
    <row r="60708" spans="1:1">
      <c r="A60708" s="56"/>
    </row>
    <row r="60709" spans="1:1">
      <c r="A60709" s="56"/>
    </row>
    <row r="60710" spans="1:1">
      <c r="A60710" s="56"/>
    </row>
    <row r="60711" spans="1:1">
      <c r="A60711" s="56"/>
    </row>
    <row r="60712" spans="1:1">
      <c r="A60712" s="56"/>
    </row>
    <row r="60713" spans="1:1">
      <c r="A60713" s="56"/>
    </row>
    <row r="60714" spans="1:1">
      <c r="A60714" s="56"/>
    </row>
    <row r="60715" spans="1:1">
      <c r="A60715" s="56"/>
    </row>
    <row r="60716" spans="1:1">
      <c r="A60716" s="56"/>
    </row>
    <row r="60717" spans="1:1">
      <c r="A60717" s="56"/>
    </row>
    <row r="60718" spans="1:1">
      <c r="A60718" s="56"/>
    </row>
    <row r="60719" spans="1:1">
      <c r="A60719" s="56"/>
    </row>
    <row r="60720" spans="1:1">
      <c r="A60720" s="56"/>
    </row>
    <row r="60721" spans="1:1">
      <c r="A60721" s="56"/>
    </row>
    <row r="60722" spans="1:1">
      <c r="A60722" s="56"/>
    </row>
    <row r="60723" spans="1:1">
      <c r="A60723" s="56"/>
    </row>
    <row r="60724" spans="1:1">
      <c r="A60724" s="56"/>
    </row>
    <row r="60725" spans="1:1">
      <c r="A60725" s="56"/>
    </row>
    <row r="60726" spans="1:1">
      <c r="A60726" s="56"/>
    </row>
    <row r="60727" spans="1:1">
      <c r="A60727" s="56"/>
    </row>
    <row r="60728" spans="1:1">
      <c r="A60728" s="56"/>
    </row>
    <row r="60729" spans="1:1">
      <c r="A60729" s="56"/>
    </row>
    <row r="60730" spans="1:1">
      <c r="A60730" s="56"/>
    </row>
    <row r="60731" spans="1:1">
      <c r="A60731" s="56"/>
    </row>
    <row r="60732" spans="1:1">
      <c r="A60732" s="56"/>
    </row>
    <row r="60733" spans="1:1">
      <c r="A60733" s="56"/>
    </row>
    <row r="60734" spans="1:1">
      <c r="A60734" s="56"/>
    </row>
    <row r="60735" spans="1:1">
      <c r="A60735" s="56"/>
    </row>
    <row r="60736" spans="1:1">
      <c r="A60736" s="56"/>
    </row>
    <row r="60737" spans="1:1">
      <c r="A60737" s="56"/>
    </row>
    <row r="60738" spans="1:1">
      <c r="A60738" s="56"/>
    </row>
    <row r="60739" spans="1:1">
      <c r="A60739" s="56"/>
    </row>
    <row r="60740" spans="1:1">
      <c r="A60740" s="56"/>
    </row>
    <row r="60741" spans="1:1">
      <c r="A60741" s="56"/>
    </row>
    <row r="60742" spans="1:1">
      <c r="A60742" s="56"/>
    </row>
    <row r="60743" spans="1:1">
      <c r="A60743" s="56"/>
    </row>
    <row r="60744" spans="1:1">
      <c r="A60744" s="56"/>
    </row>
    <row r="60745" spans="1:1">
      <c r="A60745" s="56"/>
    </row>
    <row r="60746" spans="1:1">
      <c r="A60746" s="56"/>
    </row>
    <row r="60747" spans="1:1">
      <c r="A60747" s="56"/>
    </row>
    <row r="60748" spans="1:1">
      <c r="A60748" s="56"/>
    </row>
    <row r="60749" spans="1:1">
      <c r="A60749" s="56"/>
    </row>
    <row r="60750" spans="1:1">
      <c r="A60750" s="56"/>
    </row>
    <row r="60751" spans="1:1">
      <c r="A60751" s="56"/>
    </row>
    <row r="60752" spans="1:1">
      <c r="A60752" s="56"/>
    </row>
    <row r="60753" spans="1:1">
      <c r="A60753" s="56"/>
    </row>
    <row r="60754" spans="1:1">
      <c r="A60754" s="56"/>
    </row>
    <row r="60755" spans="1:1">
      <c r="A60755" s="56"/>
    </row>
    <row r="60756" spans="1:1">
      <c r="A60756" s="56"/>
    </row>
    <row r="60757" spans="1:1">
      <c r="A60757" s="56"/>
    </row>
    <row r="60758" spans="1:1">
      <c r="A60758" s="56"/>
    </row>
    <row r="60759" spans="1:1">
      <c r="A60759" s="56"/>
    </row>
    <row r="60760" spans="1:1">
      <c r="A60760" s="56"/>
    </row>
    <row r="60761" spans="1:1">
      <c r="A60761" s="56"/>
    </row>
    <row r="60762" spans="1:1">
      <c r="A60762" s="56"/>
    </row>
    <row r="60763" spans="1:1">
      <c r="A60763" s="56"/>
    </row>
    <row r="60764" spans="1:1">
      <c r="A60764" s="56"/>
    </row>
    <row r="60765" spans="1:1">
      <c r="A60765" s="56"/>
    </row>
    <row r="60766" spans="1:1">
      <c r="A60766" s="56"/>
    </row>
    <row r="60767" spans="1:1">
      <c r="A60767" s="56"/>
    </row>
    <row r="60768" spans="1:1">
      <c r="A60768" s="56"/>
    </row>
    <row r="60769" spans="1:1">
      <c r="A60769" s="56"/>
    </row>
    <row r="60770" spans="1:1">
      <c r="A60770" s="56"/>
    </row>
    <row r="60771" spans="1:1">
      <c r="A60771" s="56"/>
    </row>
    <row r="60772" spans="1:1">
      <c r="A60772" s="56"/>
    </row>
    <row r="60773" spans="1:1">
      <c r="A60773" s="56"/>
    </row>
    <row r="60774" spans="1:1">
      <c r="A60774" s="56"/>
    </row>
    <row r="60775" spans="1:1">
      <c r="A60775" s="56"/>
    </row>
    <row r="60776" spans="1:1">
      <c r="A60776" s="56"/>
    </row>
    <row r="60777" spans="1:1">
      <c r="A60777" s="56"/>
    </row>
    <row r="60778" spans="1:1">
      <c r="A60778" s="56"/>
    </row>
    <row r="60779" spans="1:1">
      <c r="A60779" s="56"/>
    </row>
    <row r="60780" spans="1:1">
      <c r="A60780" s="56"/>
    </row>
    <row r="60781" spans="1:1">
      <c r="A60781" s="56"/>
    </row>
    <row r="60782" spans="1:1">
      <c r="A60782" s="56"/>
    </row>
    <row r="60783" spans="1:1">
      <c r="A60783" s="56"/>
    </row>
    <row r="60784" spans="1:1">
      <c r="A60784" s="56"/>
    </row>
    <row r="60785" spans="1:1">
      <c r="A60785" s="56"/>
    </row>
    <row r="60786" spans="1:1">
      <c r="A60786" s="56"/>
    </row>
    <row r="60787" spans="1:1">
      <c r="A60787" s="56"/>
    </row>
    <row r="60788" spans="1:1">
      <c r="A60788" s="56"/>
    </row>
    <row r="60789" spans="1:1">
      <c r="A60789" s="56"/>
    </row>
    <row r="60790" spans="1:1">
      <c r="A60790" s="56"/>
    </row>
    <row r="60791" spans="1:1">
      <c r="A60791" s="56"/>
    </row>
    <row r="60792" spans="1:1">
      <c r="A60792" s="56"/>
    </row>
    <row r="60793" spans="1:1">
      <c r="A60793" s="56"/>
    </row>
    <row r="60794" spans="1:1">
      <c r="A60794" s="56"/>
    </row>
    <row r="60795" spans="1:1">
      <c r="A60795" s="56"/>
    </row>
    <row r="60796" spans="1:1">
      <c r="A60796" s="56"/>
    </row>
    <row r="60797" spans="1:1">
      <c r="A60797" s="56"/>
    </row>
    <row r="60798" spans="1:1">
      <c r="A60798" s="56"/>
    </row>
    <row r="60799" spans="1:1">
      <c r="A60799" s="56"/>
    </row>
    <row r="60800" spans="1:1">
      <c r="A60800" s="56"/>
    </row>
    <row r="60801" spans="1:1">
      <c r="A60801" s="56"/>
    </row>
    <row r="60802" spans="1:1">
      <c r="A60802" s="56"/>
    </row>
    <row r="60803" spans="1:1">
      <c r="A60803" s="56"/>
    </row>
    <row r="60804" spans="1:1">
      <c r="A60804" s="56"/>
    </row>
    <row r="60805" spans="1:1">
      <c r="A60805" s="56"/>
    </row>
    <row r="60806" spans="1:1">
      <c r="A60806" s="56"/>
    </row>
    <row r="60807" spans="1:1">
      <c r="A60807" s="56"/>
    </row>
    <row r="60808" spans="1:1">
      <c r="A60808" s="56"/>
    </row>
    <row r="60809" spans="1:1">
      <c r="A60809" s="56"/>
    </row>
    <row r="60810" spans="1:1">
      <c r="A60810" s="56"/>
    </row>
    <row r="60811" spans="1:1">
      <c r="A60811" s="56"/>
    </row>
    <row r="60812" spans="1:1">
      <c r="A60812" s="56"/>
    </row>
    <row r="60813" spans="1:1">
      <c r="A60813" s="56"/>
    </row>
    <row r="60814" spans="1:1">
      <c r="A60814" s="56"/>
    </row>
    <row r="60815" spans="1:1">
      <c r="A60815" s="56"/>
    </row>
    <row r="60816" spans="1:1">
      <c r="A60816" s="56"/>
    </row>
    <row r="60817" spans="1:1">
      <c r="A60817" s="56"/>
    </row>
    <row r="60818" spans="1:1">
      <c r="A60818" s="56"/>
    </row>
    <row r="60819" spans="1:1">
      <c r="A60819" s="56"/>
    </row>
    <row r="60820" spans="1:1">
      <c r="A60820" s="56"/>
    </row>
    <row r="60821" spans="1:1">
      <c r="A60821" s="56"/>
    </row>
    <row r="60822" spans="1:1">
      <c r="A60822" s="56"/>
    </row>
    <row r="60823" spans="1:1">
      <c r="A60823" s="56"/>
    </row>
    <row r="60824" spans="1:1">
      <c r="A60824" s="56"/>
    </row>
    <row r="60825" spans="1:1">
      <c r="A60825" s="56"/>
    </row>
    <row r="60826" spans="1:1">
      <c r="A60826" s="56"/>
    </row>
    <row r="60827" spans="1:1">
      <c r="A60827" s="56"/>
    </row>
    <row r="60828" spans="1:1">
      <c r="A60828" s="56"/>
    </row>
    <row r="60829" spans="1:1">
      <c r="A60829" s="56"/>
    </row>
    <row r="60830" spans="1:1">
      <c r="A60830" s="56"/>
    </row>
    <row r="60831" spans="1:1">
      <c r="A60831" s="56"/>
    </row>
    <row r="60832" spans="1:1">
      <c r="A60832" s="56"/>
    </row>
    <row r="60833" spans="1:1">
      <c r="A60833" s="56"/>
    </row>
    <row r="60834" spans="1:1">
      <c r="A60834" s="56"/>
    </row>
    <row r="60835" spans="1:1">
      <c r="A60835" s="56"/>
    </row>
    <row r="60836" spans="1:1">
      <c r="A60836" s="56"/>
    </row>
    <row r="60837" spans="1:1">
      <c r="A60837" s="56"/>
    </row>
    <row r="60838" spans="1:1">
      <c r="A60838" s="56"/>
    </row>
    <row r="60839" spans="1:1">
      <c r="A60839" s="56"/>
    </row>
    <row r="60840" spans="1:1">
      <c r="A60840" s="56"/>
    </row>
    <row r="60841" spans="1:1">
      <c r="A60841" s="56"/>
    </row>
    <row r="60842" spans="1:1">
      <c r="A60842" s="56"/>
    </row>
    <row r="60843" spans="1:1">
      <c r="A60843" s="56"/>
    </row>
    <row r="60844" spans="1:1">
      <c r="A60844" s="56"/>
    </row>
    <row r="60845" spans="1:1">
      <c r="A60845" s="56"/>
    </row>
    <row r="60846" spans="1:1">
      <c r="A60846" s="56"/>
    </row>
    <row r="60847" spans="1:1">
      <c r="A60847" s="56"/>
    </row>
    <row r="60848" spans="1:1">
      <c r="A60848" s="56"/>
    </row>
    <row r="60849" spans="1:1">
      <c r="A60849" s="56"/>
    </row>
    <row r="60850" spans="1:1">
      <c r="A60850" s="56"/>
    </row>
    <row r="60851" spans="1:1">
      <c r="A60851" s="56"/>
    </row>
    <row r="60852" spans="1:1">
      <c r="A60852" s="56"/>
    </row>
    <row r="60853" spans="1:1">
      <c r="A60853" s="56"/>
    </row>
    <row r="60854" spans="1:1">
      <c r="A60854" s="56"/>
    </row>
    <row r="60855" spans="1:1">
      <c r="A60855" s="56"/>
    </row>
    <row r="60856" spans="1:1">
      <c r="A60856" s="56"/>
    </row>
    <row r="60857" spans="1:1">
      <c r="A60857" s="56"/>
    </row>
    <row r="60858" spans="1:1">
      <c r="A60858" s="56"/>
    </row>
    <row r="60859" spans="1:1">
      <c r="A60859" s="56"/>
    </row>
    <row r="60860" spans="1:1">
      <c r="A60860" s="56"/>
    </row>
    <row r="60861" spans="1:1">
      <c r="A60861" s="56"/>
    </row>
    <row r="60862" spans="1:1">
      <c r="A60862" s="56"/>
    </row>
    <row r="60863" spans="1:1">
      <c r="A60863" s="56"/>
    </row>
    <row r="60864" spans="1:1">
      <c r="A60864" s="56"/>
    </row>
    <row r="60865" spans="1:1">
      <c r="A60865" s="56"/>
    </row>
    <row r="60866" spans="1:1">
      <c r="A60866" s="56"/>
    </row>
    <row r="60867" spans="1:1">
      <c r="A60867" s="56"/>
    </row>
    <row r="60868" spans="1:1">
      <c r="A60868" s="56"/>
    </row>
    <row r="60869" spans="1:1">
      <c r="A60869" s="56"/>
    </row>
    <row r="60870" spans="1:1">
      <c r="A60870" s="56"/>
    </row>
    <row r="60871" spans="1:1">
      <c r="A60871" s="56"/>
    </row>
    <row r="60872" spans="1:1">
      <c r="A60872" s="56"/>
    </row>
    <row r="60873" spans="1:1">
      <c r="A60873" s="56"/>
    </row>
    <row r="60874" spans="1:1">
      <c r="A60874" s="56"/>
    </row>
    <row r="60875" spans="1:1">
      <c r="A60875" s="56"/>
    </row>
    <row r="60876" spans="1:1">
      <c r="A60876" s="56"/>
    </row>
    <row r="60877" spans="1:1">
      <c r="A60877" s="56"/>
    </row>
    <row r="60878" spans="1:1">
      <c r="A60878" s="56"/>
    </row>
    <row r="60879" spans="1:1">
      <c r="A60879" s="56"/>
    </row>
    <row r="60880" spans="1:1">
      <c r="A60880" s="56"/>
    </row>
    <row r="60881" spans="1:1">
      <c r="A60881" s="56"/>
    </row>
    <row r="60882" spans="1:1">
      <c r="A60882" s="56"/>
    </row>
    <row r="60883" spans="1:1">
      <c r="A60883" s="56"/>
    </row>
    <row r="60884" spans="1:1">
      <c r="A60884" s="56"/>
    </row>
    <row r="60885" spans="1:1">
      <c r="A60885" s="56"/>
    </row>
    <row r="60886" spans="1:1">
      <c r="A60886" s="56"/>
    </row>
    <row r="60887" spans="1:1">
      <c r="A60887" s="56"/>
    </row>
    <row r="60888" spans="1:1">
      <c r="A60888" s="56"/>
    </row>
    <row r="60889" spans="1:1">
      <c r="A60889" s="56"/>
    </row>
    <row r="60890" spans="1:1">
      <c r="A60890" s="56"/>
    </row>
    <row r="60891" spans="1:1">
      <c r="A60891" s="56"/>
    </row>
    <row r="60892" spans="1:1">
      <c r="A60892" s="56"/>
    </row>
    <row r="60893" spans="1:1">
      <c r="A60893" s="56"/>
    </row>
    <row r="60894" spans="1:1">
      <c r="A60894" s="56"/>
    </row>
    <row r="60895" spans="1:1">
      <c r="A60895" s="56"/>
    </row>
    <row r="60896" spans="1:1">
      <c r="A60896" s="56"/>
    </row>
    <row r="60897" spans="1:1">
      <c r="A60897" s="56"/>
    </row>
    <row r="60898" spans="1:1">
      <c r="A60898" s="56"/>
    </row>
    <row r="60899" spans="1:1">
      <c r="A60899" s="56"/>
    </row>
    <row r="60900" spans="1:1">
      <c r="A60900" s="56"/>
    </row>
    <row r="60901" spans="1:1">
      <c r="A60901" s="56"/>
    </row>
    <row r="60902" spans="1:1">
      <c r="A60902" s="56"/>
    </row>
    <row r="60903" spans="1:1">
      <c r="A60903" s="56"/>
    </row>
    <row r="60904" spans="1:1">
      <c r="A60904" s="56"/>
    </row>
    <row r="60905" spans="1:1">
      <c r="A60905" s="56"/>
    </row>
    <row r="60906" spans="1:1">
      <c r="A60906" s="56"/>
    </row>
    <row r="60907" spans="1:1">
      <c r="A60907" s="56"/>
    </row>
    <row r="60908" spans="1:1">
      <c r="A60908" s="56"/>
    </row>
    <row r="60909" spans="1:1">
      <c r="A60909" s="56"/>
    </row>
    <row r="60910" spans="1:1">
      <c r="A60910" s="56"/>
    </row>
    <row r="60911" spans="1:1">
      <c r="A60911" s="56"/>
    </row>
    <row r="60912" spans="1:1">
      <c r="A60912" s="56"/>
    </row>
    <row r="60913" spans="1:1">
      <c r="A60913" s="56"/>
    </row>
    <row r="60914" spans="1:1">
      <c r="A60914" s="56"/>
    </row>
    <row r="60915" spans="1:1">
      <c r="A60915" s="56"/>
    </row>
    <row r="60916" spans="1:1">
      <c r="A60916" s="56"/>
    </row>
    <row r="60917" spans="1:1">
      <c r="A60917" s="56"/>
    </row>
    <row r="60918" spans="1:1">
      <c r="A60918" s="56"/>
    </row>
    <row r="60919" spans="1:1">
      <c r="A60919" s="56"/>
    </row>
    <row r="60920" spans="1:1">
      <c r="A60920" s="56"/>
    </row>
    <row r="60921" spans="1:1">
      <c r="A60921" s="56"/>
    </row>
    <row r="60922" spans="1:1">
      <c r="A60922" s="56"/>
    </row>
    <row r="60923" spans="1:1">
      <c r="A60923" s="56"/>
    </row>
    <row r="60924" spans="1:1">
      <c r="A60924" s="56"/>
    </row>
    <row r="60925" spans="1:1">
      <c r="A60925" s="56"/>
    </row>
    <row r="60926" spans="1:1">
      <c r="A60926" s="56"/>
    </row>
    <row r="60927" spans="1:1">
      <c r="A60927" s="56"/>
    </row>
    <row r="60928" spans="1:1">
      <c r="A60928" s="56"/>
    </row>
    <row r="60929" spans="1:1">
      <c r="A60929" s="56"/>
    </row>
    <row r="60930" spans="1:1">
      <c r="A60930" s="56"/>
    </row>
    <row r="60931" spans="1:1">
      <c r="A60931" s="56"/>
    </row>
    <row r="60932" spans="1:1">
      <c r="A60932" s="56"/>
    </row>
    <row r="60933" spans="1:1">
      <c r="A60933" s="56"/>
    </row>
    <row r="60934" spans="1:1">
      <c r="A60934" s="56"/>
    </row>
    <row r="60935" spans="1:1">
      <c r="A60935" s="56"/>
    </row>
    <row r="60936" spans="1:1">
      <c r="A60936" s="56"/>
    </row>
    <row r="60937" spans="1:1">
      <c r="A60937" s="56"/>
    </row>
    <row r="60938" spans="1:1">
      <c r="A60938" s="56"/>
    </row>
    <row r="60939" spans="1:1">
      <c r="A60939" s="56"/>
    </row>
    <row r="60940" spans="1:1">
      <c r="A60940" s="56"/>
    </row>
    <row r="60941" spans="1:1">
      <c r="A60941" s="56"/>
    </row>
    <row r="60942" spans="1:1">
      <c r="A60942" s="56"/>
    </row>
    <row r="60943" spans="1:1">
      <c r="A60943" s="56"/>
    </row>
    <row r="60944" spans="1:1">
      <c r="A60944" s="56"/>
    </row>
    <row r="60945" spans="1:1">
      <c r="A60945" s="56"/>
    </row>
    <row r="60946" spans="1:1">
      <c r="A60946" s="56"/>
    </row>
    <row r="60947" spans="1:1">
      <c r="A60947" s="56"/>
    </row>
    <row r="60948" spans="1:1">
      <c r="A60948" s="56"/>
    </row>
    <row r="60949" spans="1:1">
      <c r="A60949" s="56"/>
    </row>
    <row r="60950" spans="1:1">
      <c r="A60950" s="56"/>
    </row>
    <row r="60951" spans="1:1">
      <c r="A60951" s="56"/>
    </row>
    <row r="60952" spans="1:1">
      <c r="A60952" s="56"/>
    </row>
    <row r="60953" spans="1:1">
      <c r="A60953" s="56"/>
    </row>
    <row r="60954" spans="1:1">
      <c r="A60954" s="56"/>
    </row>
    <row r="60955" spans="1:1">
      <c r="A60955" s="56"/>
    </row>
    <row r="60956" spans="1:1">
      <c r="A60956" s="56"/>
    </row>
    <row r="60957" spans="1:1">
      <c r="A60957" s="56"/>
    </row>
    <row r="60958" spans="1:1">
      <c r="A60958" s="56"/>
    </row>
    <row r="60959" spans="1:1">
      <c r="A60959" s="56"/>
    </row>
    <row r="60960" spans="1:1">
      <c r="A60960" s="56"/>
    </row>
    <row r="60961" spans="1:1">
      <c r="A60961" s="56"/>
    </row>
    <row r="60962" spans="1:1">
      <c r="A60962" s="56"/>
    </row>
    <row r="60963" spans="1:1">
      <c r="A60963" s="56"/>
    </row>
    <row r="60964" spans="1:1">
      <c r="A60964" s="56"/>
    </row>
    <row r="60965" spans="1:1">
      <c r="A60965" s="56"/>
    </row>
    <row r="60966" spans="1:1">
      <c r="A60966" s="56"/>
    </row>
    <row r="60967" spans="1:1">
      <c r="A60967" s="56"/>
    </row>
    <row r="60968" spans="1:1">
      <c r="A60968" s="56"/>
    </row>
    <row r="60969" spans="1:1">
      <c r="A60969" s="56"/>
    </row>
    <row r="60970" spans="1:1">
      <c r="A60970" s="56"/>
    </row>
    <row r="60971" spans="1:1">
      <c r="A60971" s="56"/>
    </row>
    <row r="60972" spans="1:1">
      <c r="A60972" s="56"/>
    </row>
    <row r="60973" spans="1:1">
      <c r="A60973" s="56"/>
    </row>
    <row r="60974" spans="1:1">
      <c r="A60974" s="56"/>
    </row>
    <row r="60975" spans="1:1">
      <c r="A60975" s="56"/>
    </row>
    <row r="60976" spans="1:1">
      <c r="A60976" s="56"/>
    </row>
    <row r="60977" spans="1:1">
      <c r="A60977" s="56"/>
    </row>
    <row r="60978" spans="1:1">
      <c r="A60978" s="56"/>
    </row>
    <row r="60979" spans="1:1">
      <c r="A60979" s="56"/>
    </row>
    <row r="60980" spans="1:1">
      <c r="A60980" s="56"/>
    </row>
    <row r="60981" spans="1:1">
      <c r="A60981" s="56"/>
    </row>
    <row r="60982" spans="1:1">
      <c r="A60982" s="56"/>
    </row>
    <row r="60983" spans="1:1">
      <c r="A60983" s="56"/>
    </row>
    <row r="60984" spans="1:1">
      <c r="A60984" s="56"/>
    </row>
    <row r="60985" spans="1:1">
      <c r="A60985" s="56"/>
    </row>
    <row r="60986" spans="1:1">
      <c r="A60986" s="56"/>
    </row>
    <row r="60987" spans="1:1">
      <c r="A60987" s="56"/>
    </row>
    <row r="60988" spans="1:1">
      <c r="A60988" s="56"/>
    </row>
    <row r="60989" spans="1:1">
      <c r="A60989" s="56"/>
    </row>
    <row r="60990" spans="1:1">
      <c r="A60990" s="56"/>
    </row>
    <row r="60991" spans="1:1">
      <c r="A60991" s="56"/>
    </row>
    <row r="60992" spans="1:1">
      <c r="A60992" s="56"/>
    </row>
    <row r="60993" spans="1:1">
      <c r="A60993" s="56"/>
    </row>
    <row r="60994" spans="1:1">
      <c r="A60994" s="56"/>
    </row>
    <row r="60995" spans="1:1">
      <c r="A60995" s="56"/>
    </row>
    <row r="60996" spans="1:1">
      <c r="A60996" s="56"/>
    </row>
    <row r="60997" spans="1:1">
      <c r="A60997" s="56"/>
    </row>
    <row r="60998" spans="1:1">
      <c r="A60998" s="56"/>
    </row>
    <row r="60999" spans="1:1">
      <c r="A60999" s="56"/>
    </row>
    <row r="61000" spans="1:1">
      <c r="A61000" s="56"/>
    </row>
    <row r="61001" spans="1:1">
      <c r="A61001" s="56"/>
    </row>
    <row r="61002" spans="1:1">
      <c r="A61002" s="56"/>
    </row>
    <row r="61003" spans="1:1">
      <c r="A61003" s="56"/>
    </row>
    <row r="61004" spans="1:1">
      <c r="A61004" s="56"/>
    </row>
    <row r="61005" spans="1:1">
      <c r="A61005" s="56"/>
    </row>
    <row r="61006" spans="1:1">
      <c r="A61006" s="56"/>
    </row>
    <row r="61007" spans="1:1">
      <c r="A61007" s="56"/>
    </row>
    <row r="61008" spans="1:1">
      <c r="A61008" s="56"/>
    </row>
    <row r="61009" spans="1:1">
      <c r="A61009" s="56"/>
    </row>
    <row r="61010" spans="1:1">
      <c r="A61010" s="56"/>
    </row>
    <row r="61011" spans="1:1">
      <c r="A61011" s="56"/>
    </row>
    <row r="61012" spans="1:1">
      <c r="A61012" s="56"/>
    </row>
    <row r="61013" spans="1:1">
      <c r="A61013" s="56"/>
    </row>
    <row r="61014" spans="1:1">
      <c r="A61014" s="56"/>
    </row>
    <row r="61015" spans="1:1">
      <c r="A61015" s="56"/>
    </row>
    <row r="61016" spans="1:1">
      <c r="A61016" s="56"/>
    </row>
    <row r="61017" spans="1:1">
      <c r="A61017" s="56"/>
    </row>
    <row r="61018" spans="1:1">
      <c r="A61018" s="56"/>
    </row>
    <row r="61019" spans="1:1">
      <c r="A61019" s="56"/>
    </row>
    <row r="61020" spans="1:1">
      <c r="A61020" s="56"/>
    </row>
    <row r="61021" spans="1:1">
      <c r="A61021" s="56"/>
    </row>
    <row r="61022" spans="1:1">
      <c r="A61022" s="56"/>
    </row>
    <row r="61023" spans="1:1">
      <c r="A61023" s="56"/>
    </row>
    <row r="61024" spans="1:1">
      <c r="A61024" s="56"/>
    </row>
    <row r="61025" spans="1:1">
      <c r="A61025" s="56"/>
    </row>
    <row r="61026" spans="1:1">
      <c r="A61026" s="56"/>
    </row>
    <row r="61027" spans="1:1">
      <c r="A61027" s="56"/>
    </row>
    <row r="61028" spans="1:1">
      <c r="A61028" s="56"/>
    </row>
    <row r="61029" spans="1:1">
      <c r="A61029" s="56"/>
    </row>
    <row r="61030" spans="1:1">
      <c r="A61030" s="56"/>
    </row>
    <row r="61031" spans="1:1">
      <c r="A61031" s="56"/>
    </row>
    <row r="61032" spans="1:1">
      <c r="A61032" s="56"/>
    </row>
    <row r="61033" spans="1:1">
      <c r="A61033" s="56"/>
    </row>
    <row r="61034" spans="1:1">
      <c r="A61034" s="56"/>
    </row>
    <row r="61035" spans="1:1">
      <c r="A61035" s="56"/>
    </row>
    <row r="61036" spans="1:1">
      <c r="A61036" s="56"/>
    </row>
    <row r="61037" spans="1:1">
      <c r="A61037" s="56"/>
    </row>
    <row r="61038" spans="1:1">
      <c r="A61038" s="56"/>
    </row>
    <row r="61039" spans="1:1">
      <c r="A61039" s="56"/>
    </row>
    <row r="61040" spans="1:1">
      <c r="A61040" s="56"/>
    </row>
    <row r="61041" spans="1:1">
      <c r="A61041" s="56"/>
    </row>
    <row r="61042" spans="1:1">
      <c r="A61042" s="56"/>
    </row>
    <row r="61043" spans="1:1">
      <c r="A61043" s="56"/>
    </row>
    <row r="61044" spans="1:1">
      <c r="A61044" s="56"/>
    </row>
    <row r="61045" spans="1:1">
      <c r="A61045" s="56"/>
    </row>
    <row r="61046" spans="1:1">
      <c r="A61046" s="56"/>
    </row>
    <row r="61047" spans="1:1">
      <c r="A61047" s="56"/>
    </row>
    <row r="61048" spans="1:1">
      <c r="A61048" s="56"/>
    </row>
    <row r="61049" spans="1:1">
      <c r="A61049" s="56"/>
    </row>
    <row r="61050" spans="1:1">
      <c r="A61050" s="56"/>
    </row>
    <row r="61051" spans="1:1">
      <c r="A61051" s="56"/>
    </row>
    <row r="61052" spans="1:1">
      <c r="A61052" s="56"/>
    </row>
    <row r="61053" spans="1:1">
      <c r="A61053" s="56"/>
    </row>
    <row r="61054" spans="1:1">
      <c r="A61054" s="56"/>
    </row>
    <row r="61055" spans="1:1">
      <c r="A61055" s="56"/>
    </row>
    <row r="61056" spans="1:1">
      <c r="A61056" s="56"/>
    </row>
    <row r="61057" spans="1:1">
      <c r="A61057" s="56"/>
    </row>
    <row r="61058" spans="1:1">
      <c r="A61058" s="56"/>
    </row>
    <row r="61059" spans="1:1">
      <c r="A61059" s="56"/>
    </row>
    <row r="61060" spans="1:1">
      <c r="A61060" s="56"/>
    </row>
    <row r="61061" spans="1:1">
      <c r="A61061" s="56"/>
    </row>
    <row r="61062" spans="1:1">
      <c r="A61062" s="56"/>
    </row>
    <row r="61063" spans="1:1">
      <c r="A61063" s="56"/>
    </row>
    <row r="61064" spans="1:1">
      <c r="A61064" s="56"/>
    </row>
    <row r="61065" spans="1:1">
      <c r="A61065" s="56"/>
    </row>
    <row r="61066" spans="1:1">
      <c r="A61066" s="56"/>
    </row>
    <row r="61067" spans="1:1">
      <c r="A61067" s="56"/>
    </row>
    <row r="61068" spans="1:1">
      <c r="A61068" s="56"/>
    </row>
    <row r="61069" spans="1:1">
      <c r="A61069" s="56"/>
    </row>
    <row r="61070" spans="1:1">
      <c r="A61070" s="56"/>
    </row>
    <row r="61071" spans="1:1">
      <c r="A61071" s="56"/>
    </row>
    <row r="61072" spans="1:1">
      <c r="A61072" s="56"/>
    </row>
    <row r="61073" spans="1:1">
      <c r="A61073" s="56"/>
    </row>
    <row r="61074" spans="1:1">
      <c r="A61074" s="56"/>
    </row>
    <row r="61075" spans="1:1">
      <c r="A61075" s="56"/>
    </row>
    <row r="61076" spans="1:1">
      <c r="A61076" s="56"/>
    </row>
    <row r="61077" spans="1:1">
      <c r="A61077" s="56"/>
    </row>
    <row r="61078" spans="1:1">
      <c r="A61078" s="56"/>
    </row>
    <row r="61079" spans="1:1">
      <c r="A61079" s="56"/>
    </row>
    <row r="61080" spans="1:1">
      <c r="A61080" s="56"/>
    </row>
    <row r="61081" spans="1:1">
      <c r="A61081" s="56"/>
    </row>
    <row r="61082" spans="1:1">
      <c r="A61082" s="56"/>
    </row>
    <row r="61083" spans="1:1">
      <c r="A61083" s="56"/>
    </row>
    <row r="61084" spans="1:1">
      <c r="A61084" s="56"/>
    </row>
    <row r="61085" spans="1:1">
      <c r="A61085" s="56"/>
    </row>
    <row r="61086" spans="1:1">
      <c r="A61086" s="56"/>
    </row>
    <row r="61087" spans="1:1">
      <c r="A61087" s="56"/>
    </row>
    <row r="61088" spans="1:1">
      <c r="A61088" s="56"/>
    </row>
    <row r="61089" spans="1:1">
      <c r="A61089" s="56"/>
    </row>
    <row r="61090" spans="1:1">
      <c r="A61090" s="56"/>
    </row>
    <row r="61091" spans="1:1">
      <c r="A61091" s="56"/>
    </row>
    <row r="61092" spans="1:1">
      <c r="A61092" s="56"/>
    </row>
    <row r="61093" spans="1:1">
      <c r="A61093" s="56"/>
    </row>
    <row r="61094" spans="1:1">
      <c r="A61094" s="56"/>
    </row>
    <row r="61095" spans="1:1">
      <c r="A61095" s="56"/>
    </row>
    <row r="61096" spans="1:1">
      <c r="A61096" s="56"/>
    </row>
    <row r="61097" spans="1:1">
      <c r="A61097" s="56"/>
    </row>
    <row r="61098" spans="1:1">
      <c r="A61098" s="56"/>
    </row>
    <row r="61099" spans="1:1">
      <c r="A61099" s="56"/>
    </row>
    <row r="61100" spans="1:1">
      <c r="A61100" s="56"/>
    </row>
    <row r="61101" spans="1:1">
      <c r="A61101" s="56"/>
    </row>
    <row r="61102" spans="1:1">
      <c r="A61102" s="56"/>
    </row>
    <row r="61103" spans="1:1">
      <c r="A61103" s="56"/>
    </row>
    <row r="61104" spans="1:1">
      <c r="A61104" s="56"/>
    </row>
    <row r="61105" spans="1:1">
      <c r="A61105" s="56"/>
    </row>
    <row r="61106" spans="1:1">
      <c r="A61106" s="56"/>
    </row>
    <row r="61107" spans="1:1">
      <c r="A61107" s="56"/>
    </row>
    <row r="61108" spans="1:1">
      <c r="A61108" s="56"/>
    </row>
    <row r="61109" spans="1:1">
      <c r="A61109" s="56"/>
    </row>
    <row r="61110" spans="1:1">
      <c r="A61110" s="56"/>
    </row>
    <row r="61111" spans="1:1">
      <c r="A61111" s="56"/>
    </row>
    <row r="61112" spans="1:1">
      <c r="A61112" s="56"/>
    </row>
    <row r="61113" spans="1:1">
      <c r="A61113" s="56"/>
    </row>
    <row r="61114" spans="1:1">
      <c r="A61114" s="56"/>
    </row>
    <row r="61115" spans="1:1">
      <c r="A61115" s="56"/>
    </row>
    <row r="61116" spans="1:1">
      <c r="A61116" s="56"/>
    </row>
    <row r="61117" spans="1:1">
      <c r="A61117" s="56"/>
    </row>
    <row r="61118" spans="1:1">
      <c r="A61118" s="56"/>
    </row>
    <row r="61119" spans="1:1">
      <c r="A61119" s="56"/>
    </row>
    <row r="61120" spans="1:1">
      <c r="A61120" s="56"/>
    </row>
    <row r="61121" spans="1:1">
      <c r="A61121" s="56"/>
    </row>
    <row r="61122" spans="1:1">
      <c r="A61122" s="56"/>
    </row>
    <row r="61123" spans="1:1">
      <c r="A61123" s="56"/>
    </row>
    <row r="61124" spans="1:1">
      <c r="A61124" s="56"/>
    </row>
    <row r="61125" spans="1:1">
      <c r="A61125" s="56"/>
    </row>
    <row r="61126" spans="1:1">
      <c r="A61126" s="56"/>
    </row>
    <row r="61127" spans="1:1">
      <c r="A61127" s="56"/>
    </row>
    <row r="61128" spans="1:1">
      <c r="A61128" s="56"/>
    </row>
    <row r="61129" spans="1:1">
      <c r="A61129" s="56"/>
    </row>
    <row r="61130" spans="1:1">
      <c r="A61130" s="56"/>
    </row>
    <row r="61131" spans="1:1">
      <c r="A61131" s="56"/>
    </row>
    <row r="61132" spans="1:1">
      <c r="A61132" s="56"/>
    </row>
    <row r="61133" spans="1:1">
      <c r="A61133" s="56"/>
    </row>
    <row r="61134" spans="1:1">
      <c r="A61134" s="56"/>
    </row>
    <row r="61135" spans="1:1">
      <c r="A61135" s="56"/>
    </row>
    <row r="61136" spans="1:1">
      <c r="A61136" s="56"/>
    </row>
    <row r="61137" spans="1:1">
      <c r="A61137" s="56"/>
    </row>
    <row r="61138" spans="1:1">
      <c r="A61138" s="56"/>
    </row>
    <row r="61139" spans="1:1">
      <c r="A61139" s="56"/>
    </row>
    <row r="61140" spans="1:1">
      <c r="A61140" s="56"/>
    </row>
    <row r="61141" spans="1:1">
      <c r="A61141" s="56"/>
    </row>
    <row r="61142" spans="1:1">
      <c r="A61142" s="56"/>
    </row>
    <row r="61143" spans="1:1">
      <c r="A61143" s="56"/>
    </row>
    <row r="61144" spans="1:1">
      <c r="A61144" s="56"/>
    </row>
    <row r="61145" spans="1:1">
      <c r="A61145" s="56"/>
    </row>
    <row r="61146" spans="1:1">
      <c r="A61146" s="56"/>
    </row>
    <row r="61147" spans="1:1">
      <c r="A61147" s="56"/>
    </row>
    <row r="61148" spans="1:1">
      <c r="A61148" s="56"/>
    </row>
    <row r="61149" spans="1:1">
      <c r="A61149" s="56"/>
    </row>
    <row r="61150" spans="1:1">
      <c r="A61150" s="56"/>
    </row>
    <row r="61151" spans="1:1">
      <c r="A61151" s="56"/>
    </row>
    <row r="61152" spans="1:1">
      <c r="A61152" s="56"/>
    </row>
    <row r="61153" spans="1:1">
      <c r="A61153" s="56"/>
    </row>
    <row r="61154" spans="1:1">
      <c r="A61154" s="56"/>
    </row>
    <row r="61155" spans="1:1">
      <c r="A61155" s="56"/>
    </row>
    <row r="61156" spans="1:1">
      <c r="A61156" s="56"/>
    </row>
    <row r="61157" spans="1:1">
      <c r="A61157" s="56"/>
    </row>
    <row r="61158" spans="1:1">
      <c r="A61158" s="56"/>
    </row>
    <row r="61159" spans="1:1">
      <c r="A61159" s="56"/>
    </row>
    <row r="61160" spans="1:1">
      <c r="A61160" s="56"/>
    </row>
    <row r="61161" spans="1:1">
      <c r="A61161" s="56"/>
    </row>
    <row r="61162" spans="1:1">
      <c r="A61162" s="56"/>
    </row>
    <row r="61163" spans="1:1">
      <c r="A61163" s="56"/>
    </row>
    <row r="61164" spans="1:1">
      <c r="A61164" s="56"/>
    </row>
    <row r="61165" spans="1:1">
      <c r="A61165" s="56"/>
    </row>
    <row r="61166" spans="1:1">
      <c r="A61166" s="56"/>
    </row>
    <row r="61167" spans="1:1">
      <c r="A61167" s="56"/>
    </row>
    <row r="61168" spans="1:1">
      <c r="A61168" s="56"/>
    </row>
    <row r="61169" spans="1:1">
      <c r="A61169" s="56"/>
    </row>
    <row r="61170" spans="1:1">
      <c r="A61170" s="56"/>
    </row>
    <row r="61171" spans="1:1">
      <c r="A61171" s="56"/>
    </row>
    <row r="61172" spans="1:1">
      <c r="A61172" s="56"/>
    </row>
    <row r="61173" spans="1:1">
      <c r="A61173" s="56"/>
    </row>
    <row r="61174" spans="1:1">
      <c r="A61174" s="56"/>
    </row>
    <row r="61175" spans="1:1">
      <c r="A61175" s="56"/>
    </row>
    <row r="61176" spans="1:1">
      <c r="A61176" s="56"/>
    </row>
    <row r="61177" spans="1:1">
      <c r="A61177" s="56"/>
    </row>
    <row r="61178" spans="1:1">
      <c r="A61178" s="56"/>
    </row>
    <row r="61179" spans="1:1">
      <c r="A61179" s="56"/>
    </row>
    <row r="61180" spans="1:1">
      <c r="A61180" s="56"/>
    </row>
    <row r="61181" spans="1:1">
      <c r="A61181" s="56"/>
    </row>
    <row r="61182" spans="1:1">
      <c r="A61182" s="56"/>
    </row>
    <row r="61183" spans="1:1">
      <c r="A61183" s="56"/>
    </row>
    <row r="61184" spans="1:1">
      <c r="A61184" s="56"/>
    </row>
    <row r="61185" spans="1:1">
      <c r="A61185" s="56"/>
    </row>
    <row r="61186" spans="1:1">
      <c r="A61186" s="56"/>
    </row>
    <row r="61187" spans="1:1">
      <c r="A61187" s="56"/>
    </row>
    <row r="61188" spans="1:1">
      <c r="A61188" s="56"/>
    </row>
    <row r="61189" spans="1:1">
      <c r="A61189" s="56"/>
    </row>
    <row r="61190" spans="1:1">
      <c r="A61190" s="56"/>
    </row>
    <row r="61191" spans="1:1">
      <c r="A61191" s="56"/>
    </row>
    <row r="61192" spans="1:1">
      <c r="A61192" s="56"/>
    </row>
    <row r="61193" spans="1:1">
      <c r="A61193" s="56"/>
    </row>
    <row r="61194" spans="1:1">
      <c r="A61194" s="56"/>
    </row>
    <row r="61195" spans="1:1">
      <c r="A61195" s="56"/>
    </row>
    <row r="61196" spans="1:1">
      <c r="A61196" s="56"/>
    </row>
    <row r="61197" spans="1:1">
      <c r="A61197" s="56"/>
    </row>
    <row r="61198" spans="1:1">
      <c r="A61198" s="56"/>
    </row>
    <row r="61199" spans="1:1">
      <c r="A61199" s="56"/>
    </row>
    <row r="61200" spans="1:1">
      <c r="A61200" s="56"/>
    </row>
    <row r="61201" spans="1:1">
      <c r="A61201" s="56"/>
    </row>
    <row r="61202" spans="1:1">
      <c r="A61202" s="56"/>
    </row>
    <row r="61203" spans="1:1">
      <c r="A61203" s="56"/>
    </row>
    <row r="61204" spans="1:1">
      <c r="A61204" s="56"/>
    </row>
    <row r="61205" spans="1:1">
      <c r="A61205" s="56"/>
    </row>
    <row r="61206" spans="1:1">
      <c r="A61206" s="56"/>
    </row>
    <row r="61207" spans="1:1">
      <c r="A61207" s="56"/>
    </row>
    <row r="61208" spans="1:1">
      <c r="A61208" s="56"/>
    </row>
    <row r="61209" spans="1:1">
      <c r="A61209" s="56"/>
    </row>
    <row r="61210" spans="1:1">
      <c r="A61210" s="56"/>
    </row>
    <row r="61211" spans="1:1">
      <c r="A61211" s="56"/>
    </row>
    <row r="61212" spans="1:1">
      <c r="A61212" s="56"/>
    </row>
    <row r="61213" spans="1:1">
      <c r="A61213" s="56"/>
    </row>
    <row r="61214" spans="1:1">
      <c r="A61214" s="56"/>
    </row>
    <row r="61215" spans="1:1">
      <c r="A61215" s="56"/>
    </row>
    <row r="61216" spans="1:1">
      <c r="A61216" s="56"/>
    </row>
    <row r="61217" spans="1:1">
      <c r="A61217" s="56"/>
    </row>
    <row r="61218" spans="1:1">
      <c r="A61218" s="56"/>
    </row>
    <row r="61219" spans="1:1">
      <c r="A61219" s="56"/>
    </row>
    <row r="61220" spans="1:1">
      <c r="A61220" s="56"/>
    </row>
    <row r="61221" spans="1:1">
      <c r="A61221" s="56"/>
    </row>
    <row r="61222" spans="1:1">
      <c r="A61222" s="56"/>
    </row>
    <row r="61223" spans="1:1">
      <c r="A61223" s="56"/>
    </row>
    <row r="61224" spans="1:1">
      <c r="A61224" s="56"/>
    </row>
    <row r="61225" spans="1:1">
      <c r="A61225" s="56"/>
    </row>
    <row r="61226" spans="1:1">
      <c r="A61226" s="56"/>
    </row>
    <row r="61227" spans="1:1">
      <c r="A61227" s="56"/>
    </row>
    <row r="61228" spans="1:1">
      <c r="A61228" s="56"/>
    </row>
    <row r="61229" spans="1:1">
      <c r="A61229" s="56"/>
    </row>
    <row r="61230" spans="1:1">
      <c r="A61230" s="56"/>
    </row>
    <row r="61231" spans="1:1">
      <c r="A61231" s="56"/>
    </row>
    <row r="61232" spans="1:1">
      <c r="A61232" s="56"/>
    </row>
    <row r="61233" spans="1:1">
      <c r="A61233" s="56"/>
    </row>
    <row r="61234" spans="1:1">
      <c r="A61234" s="56"/>
    </row>
    <row r="61235" spans="1:1">
      <c r="A61235" s="56"/>
    </row>
    <row r="61236" spans="1:1">
      <c r="A61236" s="56"/>
    </row>
    <row r="61237" spans="1:1">
      <c r="A61237" s="56"/>
    </row>
    <row r="61238" spans="1:1">
      <c r="A61238" s="56"/>
    </row>
    <row r="61239" spans="1:1">
      <c r="A61239" s="56"/>
    </row>
    <row r="61240" spans="1:1">
      <c r="A61240" s="56"/>
    </row>
    <row r="61241" spans="1:1">
      <c r="A61241" s="56"/>
    </row>
    <row r="61242" spans="1:1">
      <c r="A61242" s="56"/>
    </row>
    <row r="61243" spans="1:1">
      <c r="A61243" s="56"/>
    </row>
    <row r="61244" spans="1:1">
      <c r="A61244" s="56"/>
    </row>
    <row r="61245" spans="1:1">
      <c r="A61245" s="56"/>
    </row>
    <row r="61246" spans="1:1">
      <c r="A61246" s="56"/>
    </row>
    <row r="61247" spans="1:1">
      <c r="A61247" s="56"/>
    </row>
    <row r="61248" spans="1:1">
      <c r="A61248" s="56"/>
    </row>
    <row r="61249" spans="1:1">
      <c r="A61249" s="56"/>
    </row>
    <row r="61250" spans="1:1">
      <c r="A61250" s="56"/>
    </row>
    <row r="61251" spans="1:1">
      <c r="A61251" s="56"/>
    </row>
    <row r="61252" spans="1:1">
      <c r="A61252" s="56"/>
    </row>
    <row r="61253" spans="1:1">
      <c r="A61253" s="56"/>
    </row>
    <row r="61254" spans="1:1">
      <c r="A61254" s="56"/>
    </row>
    <row r="61255" spans="1:1">
      <c r="A61255" s="56"/>
    </row>
    <row r="61256" spans="1:1">
      <c r="A61256" s="56"/>
    </row>
    <row r="61257" spans="1:1">
      <c r="A61257" s="56"/>
    </row>
    <row r="61258" spans="1:1">
      <c r="A61258" s="56"/>
    </row>
    <row r="61259" spans="1:1">
      <c r="A61259" s="56"/>
    </row>
    <row r="61260" spans="1:1">
      <c r="A61260" s="56"/>
    </row>
    <row r="61261" spans="1:1">
      <c r="A61261" s="56"/>
    </row>
    <row r="61262" spans="1:1">
      <c r="A61262" s="56"/>
    </row>
    <row r="61263" spans="1:1">
      <c r="A61263" s="56"/>
    </row>
    <row r="61264" spans="1:1">
      <c r="A61264" s="56"/>
    </row>
    <row r="61265" spans="1:1">
      <c r="A61265" s="56"/>
    </row>
    <row r="61266" spans="1:1">
      <c r="A61266" s="56"/>
    </row>
    <row r="61267" spans="1:1">
      <c r="A61267" s="56"/>
    </row>
    <row r="61268" spans="1:1">
      <c r="A61268" s="56"/>
    </row>
    <row r="61269" spans="1:1">
      <c r="A61269" s="56"/>
    </row>
    <row r="61270" spans="1:1">
      <c r="A61270" s="56"/>
    </row>
    <row r="61271" spans="1:1">
      <c r="A61271" s="56"/>
    </row>
    <row r="61272" spans="1:1">
      <c r="A61272" s="56"/>
    </row>
    <row r="61273" spans="1:1">
      <c r="A61273" s="56"/>
    </row>
    <row r="61274" spans="1:1">
      <c r="A61274" s="56"/>
    </row>
    <row r="61275" spans="1:1">
      <c r="A61275" s="56"/>
    </row>
    <row r="61276" spans="1:1">
      <c r="A61276" s="56"/>
    </row>
    <row r="61277" spans="1:1">
      <c r="A61277" s="56"/>
    </row>
    <row r="61278" spans="1:1">
      <c r="A61278" s="56"/>
    </row>
    <row r="61279" spans="1:1">
      <c r="A61279" s="56"/>
    </row>
    <row r="61280" spans="1:1">
      <c r="A61280" s="56"/>
    </row>
    <row r="61281" spans="1:1">
      <c r="A61281" s="56"/>
    </row>
    <row r="61282" spans="1:1">
      <c r="A61282" s="56"/>
    </row>
    <row r="61283" spans="1:1">
      <c r="A61283" s="56"/>
    </row>
    <row r="61284" spans="1:1">
      <c r="A61284" s="56"/>
    </row>
    <row r="61285" spans="1:1">
      <c r="A61285" s="56"/>
    </row>
    <row r="61286" spans="1:1">
      <c r="A61286" s="56"/>
    </row>
    <row r="61287" spans="1:1">
      <c r="A61287" s="56"/>
    </row>
    <row r="61288" spans="1:1">
      <c r="A61288" s="56"/>
    </row>
    <row r="61289" spans="1:1">
      <c r="A61289" s="56"/>
    </row>
    <row r="61290" spans="1:1">
      <c r="A61290" s="56"/>
    </row>
    <row r="61291" spans="1:1">
      <c r="A61291" s="56"/>
    </row>
    <row r="61292" spans="1:1">
      <c r="A61292" s="56"/>
    </row>
    <row r="61293" spans="1:1">
      <c r="A61293" s="56"/>
    </row>
    <row r="61294" spans="1:1">
      <c r="A61294" s="56"/>
    </row>
    <row r="61295" spans="1:1">
      <c r="A61295" s="56"/>
    </row>
    <row r="61296" spans="1:1">
      <c r="A61296" s="56"/>
    </row>
    <row r="61297" spans="1:1">
      <c r="A61297" s="56"/>
    </row>
    <row r="61298" spans="1:1">
      <c r="A61298" s="56"/>
    </row>
    <row r="61299" spans="1:1">
      <c r="A61299" s="56"/>
    </row>
    <row r="61300" spans="1:1">
      <c r="A61300" s="56"/>
    </row>
    <row r="61301" spans="1:1">
      <c r="A61301" s="56"/>
    </row>
    <row r="61302" spans="1:1">
      <c r="A61302" s="56"/>
    </row>
    <row r="61303" spans="1:1">
      <c r="A61303" s="56"/>
    </row>
    <row r="61304" spans="1:1">
      <c r="A61304" s="56"/>
    </row>
    <row r="61305" spans="1:1">
      <c r="A61305" s="56"/>
    </row>
    <row r="61306" spans="1:1">
      <c r="A61306" s="56"/>
    </row>
    <row r="61307" spans="1:1">
      <c r="A61307" s="56"/>
    </row>
    <row r="61308" spans="1:1">
      <c r="A61308" s="56"/>
    </row>
    <row r="61309" spans="1:1">
      <c r="A61309" s="56"/>
    </row>
    <row r="61310" spans="1:1">
      <c r="A61310" s="56"/>
    </row>
    <row r="61311" spans="1:1">
      <c r="A61311" s="56"/>
    </row>
    <row r="61312" spans="1:1">
      <c r="A61312" s="56"/>
    </row>
    <row r="61313" spans="1:1">
      <c r="A61313" s="56"/>
    </row>
    <row r="61314" spans="1:1">
      <c r="A61314" s="56"/>
    </row>
    <row r="61315" spans="1:1">
      <c r="A61315" s="56"/>
    </row>
    <row r="61316" spans="1:1">
      <c r="A61316" s="56"/>
    </row>
    <row r="61317" spans="1:1">
      <c r="A61317" s="56"/>
    </row>
    <row r="61318" spans="1:1">
      <c r="A61318" s="56"/>
    </row>
    <row r="61319" spans="1:1">
      <c r="A61319" s="56"/>
    </row>
    <row r="61320" spans="1:1">
      <c r="A61320" s="56"/>
    </row>
    <row r="61321" spans="1:1">
      <c r="A61321" s="56"/>
    </row>
    <row r="61322" spans="1:1">
      <c r="A61322" s="56"/>
    </row>
    <row r="61323" spans="1:1">
      <c r="A61323" s="56"/>
    </row>
    <row r="61324" spans="1:1">
      <c r="A61324" s="56"/>
    </row>
    <row r="61325" spans="1:1">
      <c r="A61325" s="56"/>
    </row>
    <row r="61326" spans="1:1">
      <c r="A61326" s="56"/>
    </row>
    <row r="61327" spans="1:1">
      <c r="A61327" s="56"/>
    </row>
    <row r="61328" spans="1:1">
      <c r="A61328" s="56"/>
    </row>
    <row r="61329" spans="1:1">
      <c r="A61329" s="56"/>
    </row>
    <row r="61330" spans="1:1">
      <c r="A61330" s="56"/>
    </row>
    <row r="61331" spans="1:1">
      <c r="A61331" s="56"/>
    </row>
    <row r="61332" spans="1:1">
      <c r="A61332" s="56"/>
    </row>
    <row r="61333" spans="1:1">
      <c r="A61333" s="56"/>
    </row>
    <row r="61334" spans="1:1">
      <c r="A61334" s="56"/>
    </row>
    <row r="61335" spans="1:1">
      <c r="A61335" s="56"/>
    </row>
    <row r="61336" spans="1:1">
      <c r="A61336" s="56"/>
    </row>
    <row r="61337" spans="1:1">
      <c r="A61337" s="56"/>
    </row>
    <row r="61338" spans="1:1">
      <c r="A61338" s="56"/>
    </row>
    <row r="61339" spans="1:1">
      <c r="A61339" s="56"/>
    </row>
    <row r="61340" spans="1:1">
      <c r="A61340" s="56"/>
    </row>
    <row r="61341" spans="1:1">
      <c r="A61341" s="56"/>
    </row>
    <row r="61342" spans="1:1">
      <c r="A61342" s="56"/>
    </row>
    <row r="61343" spans="1:1">
      <c r="A61343" s="56"/>
    </row>
    <row r="61344" spans="1:1">
      <c r="A61344" s="56"/>
    </row>
    <row r="61345" spans="1:1">
      <c r="A61345" s="56"/>
    </row>
    <row r="61346" spans="1:1">
      <c r="A61346" s="56"/>
    </row>
    <row r="61347" spans="1:1">
      <c r="A61347" s="56"/>
    </row>
    <row r="61348" spans="1:1">
      <c r="A61348" s="56"/>
    </row>
    <row r="61349" spans="1:1">
      <c r="A61349" s="56"/>
    </row>
    <row r="61350" spans="1:1">
      <c r="A61350" s="56"/>
    </row>
    <row r="61351" spans="1:1">
      <c r="A61351" s="56"/>
    </row>
    <row r="61352" spans="1:1">
      <c r="A61352" s="56"/>
    </row>
    <row r="61353" spans="1:1">
      <c r="A61353" s="56"/>
    </row>
    <row r="61354" spans="1:1">
      <c r="A61354" s="56"/>
    </row>
    <row r="61355" spans="1:1">
      <c r="A61355" s="56"/>
    </row>
    <row r="61356" spans="1:1">
      <c r="A61356" s="56"/>
    </row>
    <row r="61357" spans="1:1">
      <c r="A61357" s="56"/>
    </row>
    <row r="61358" spans="1:1">
      <c r="A61358" s="56"/>
    </row>
    <row r="61359" spans="1:1">
      <c r="A61359" s="56"/>
    </row>
    <row r="61360" spans="1:1">
      <c r="A61360" s="56"/>
    </row>
    <row r="61361" spans="1:1">
      <c r="A61361" s="56"/>
    </row>
    <row r="61362" spans="1:1">
      <c r="A61362" s="56"/>
    </row>
    <row r="61363" spans="1:1">
      <c r="A61363" s="56"/>
    </row>
    <row r="61364" spans="1:1">
      <c r="A61364" s="56"/>
    </row>
    <row r="61365" spans="1:1">
      <c r="A61365" s="56"/>
    </row>
    <row r="61366" spans="1:1">
      <c r="A61366" s="56"/>
    </row>
    <row r="61367" spans="1:1">
      <c r="A61367" s="56"/>
    </row>
    <row r="61368" spans="1:1">
      <c r="A61368" s="56"/>
    </row>
    <row r="61369" spans="1:1">
      <c r="A61369" s="56"/>
    </row>
    <row r="61370" spans="1:1">
      <c r="A61370" s="56"/>
    </row>
    <row r="61371" spans="1:1">
      <c r="A61371" s="56"/>
    </row>
    <row r="61372" spans="1:1">
      <c r="A61372" s="56"/>
    </row>
    <row r="61373" spans="1:1">
      <c r="A61373" s="56"/>
    </row>
    <row r="61374" spans="1:1">
      <c r="A61374" s="56"/>
    </row>
    <row r="61375" spans="1:1">
      <c r="A61375" s="56"/>
    </row>
    <row r="61376" spans="1:1">
      <c r="A61376" s="56"/>
    </row>
    <row r="61377" spans="1:1">
      <c r="A61377" s="56"/>
    </row>
    <row r="61378" spans="1:1">
      <c r="A61378" s="56"/>
    </row>
    <row r="61379" spans="1:1">
      <c r="A61379" s="56"/>
    </row>
    <row r="61380" spans="1:1">
      <c r="A61380" s="56"/>
    </row>
    <row r="61381" spans="1:1">
      <c r="A61381" s="56"/>
    </row>
    <row r="61382" spans="1:1">
      <c r="A61382" s="56"/>
    </row>
    <row r="61383" spans="1:1">
      <c r="A61383" s="56"/>
    </row>
    <row r="61384" spans="1:1">
      <c r="A61384" s="56"/>
    </row>
    <row r="61385" spans="1:1">
      <c r="A61385" s="56"/>
    </row>
    <row r="61386" spans="1:1">
      <c r="A61386" s="56"/>
    </row>
    <row r="61387" spans="1:1">
      <c r="A61387" s="56"/>
    </row>
    <row r="61388" spans="1:1">
      <c r="A61388" s="56"/>
    </row>
    <row r="61389" spans="1:1">
      <c r="A61389" s="56"/>
    </row>
    <row r="61390" spans="1:1">
      <c r="A61390" s="56"/>
    </row>
    <row r="61391" spans="1:1">
      <c r="A61391" s="56"/>
    </row>
    <row r="61392" spans="1:1">
      <c r="A61392" s="56"/>
    </row>
    <row r="61393" spans="1:1">
      <c r="A61393" s="56"/>
    </row>
    <row r="61394" spans="1:1">
      <c r="A61394" s="56"/>
    </row>
    <row r="61395" spans="1:1">
      <c r="A61395" s="56"/>
    </row>
    <row r="61396" spans="1:1">
      <c r="A61396" s="56"/>
    </row>
    <row r="61397" spans="1:1">
      <c r="A61397" s="56"/>
    </row>
    <row r="61398" spans="1:1">
      <c r="A61398" s="56"/>
    </row>
    <row r="61399" spans="1:1">
      <c r="A61399" s="56"/>
    </row>
    <row r="61400" spans="1:1">
      <c r="A61400" s="56"/>
    </row>
    <row r="61401" spans="1:1">
      <c r="A61401" s="56"/>
    </row>
    <row r="61402" spans="1:1">
      <c r="A61402" s="56"/>
    </row>
    <row r="61403" spans="1:1">
      <c r="A61403" s="56"/>
    </row>
    <row r="61404" spans="1:1">
      <c r="A61404" s="56"/>
    </row>
    <row r="61405" spans="1:1">
      <c r="A61405" s="56"/>
    </row>
    <row r="61406" spans="1:1">
      <c r="A61406" s="56"/>
    </row>
    <row r="61407" spans="1:1">
      <c r="A61407" s="56"/>
    </row>
    <row r="61408" spans="1:1">
      <c r="A61408" s="56"/>
    </row>
    <row r="61409" spans="1:1">
      <c r="A61409" s="56"/>
    </row>
    <row r="61410" spans="1:1">
      <c r="A61410" s="56"/>
    </row>
    <row r="61411" spans="1:1">
      <c r="A61411" s="56"/>
    </row>
    <row r="61412" spans="1:1">
      <c r="A61412" s="56"/>
    </row>
    <row r="61413" spans="1:1">
      <c r="A61413" s="56"/>
    </row>
    <row r="61414" spans="1:1">
      <c r="A61414" s="56"/>
    </row>
    <row r="61415" spans="1:1">
      <c r="A61415" s="56"/>
    </row>
    <row r="61416" spans="1:1">
      <c r="A61416" s="56"/>
    </row>
    <row r="61417" spans="1:1">
      <c r="A61417" s="56"/>
    </row>
    <row r="61418" spans="1:1">
      <c r="A61418" s="56"/>
    </row>
    <row r="61419" spans="1:1">
      <c r="A61419" s="56"/>
    </row>
    <row r="61420" spans="1:1">
      <c r="A61420" s="56"/>
    </row>
    <row r="61421" spans="1:1">
      <c r="A61421" s="56"/>
    </row>
    <row r="61422" spans="1:1">
      <c r="A61422" s="56"/>
    </row>
    <row r="61423" spans="1:1">
      <c r="A61423" s="56"/>
    </row>
    <row r="61424" spans="1:1">
      <c r="A61424" s="56"/>
    </row>
    <row r="61425" spans="1:1">
      <c r="A61425" s="56"/>
    </row>
    <row r="61426" spans="1:1">
      <c r="A61426" s="56"/>
    </row>
    <row r="61427" spans="1:1">
      <c r="A61427" s="56"/>
    </row>
    <row r="61428" spans="1:1">
      <c r="A61428" s="56"/>
    </row>
    <row r="61429" spans="1:1">
      <c r="A61429" s="56"/>
    </row>
    <row r="61430" spans="1:1">
      <c r="A61430" s="56"/>
    </row>
    <row r="61431" spans="1:1">
      <c r="A61431" s="56"/>
    </row>
    <row r="61432" spans="1:1">
      <c r="A61432" s="56"/>
    </row>
    <row r="61433" spans="1:1">
      <c r="A61433" s="56"/>
    </row>
    <row r="61434" spans="1:1">
      <c r="A61434" s="56"/>
    </row>
    <row r="61435" spans="1:1">
      <c r="A61435" s="56"/>
    </row>
    <row r="61436" spans="1:1">
      <c r="A61436" s="56"/>
    </row>
    <row r="61437" spans="1:1">
      <c r="A61437" s="56"/>
    </row>
    <row r="61438" spans="1:1">
      <c r="A61438" s="56"/>
    </row>
    <row r="61439" spans="1:1">
      <c r="A61439" s="56"/>
    </row>
    <row r="61440" spans="1:1">
      <c r="A61440" s="56"/>
    </row>
    <row r="61441" spans="1:1">
      <c r="A61441" s="56"/>
    </row>
    <row r="61442" spans="1:1">
      <c r="A61442" s="56"/>
    </row>
    <row r="61443" spans="1:1">
      <c r="A61443" s="56"/>
    </row>
    <row r="61444" spans="1:1">
      <c r="A61444" s="56"/>
    </row>
    <row r="61445" spans="1:1">
      <c r="A61445" s="56"/>
    </row>
    <row r="61446" spans="1:1">
      <c r="A61446" s="56"/>
    </row>
    <row r="61447" spans="1:1">
      <c r="A61447" s="56"/>
    </row>
    <row r="61448" spans="1:1">
      <c r="A61448" s="56"/>
    </row>
    <row r="61449" spans="1:1">
      <c r="A61449" s="56"/>
    </row>
    <row r="61450" spans="1:1">
      <c r="A61450" s="56"/>
    </row>
    <row r="61451" spans="1:1">
      <c r="A61451" s="56"/>
    </row>
    <row r="61452" spans="1:1">
      <c r="A61452" s="56"/>
    </row>
    <row r="61453" spans="1:1">
      <c r="A61453" s="56"/>
    </row>
    <row r="61454" spans="1:1">
      <c r="A61454" s="56"/>
    </row>
    <row r="61455" spans="1:1">
      <c r="A61455" s="56"/>
    </row>
    <row r="61456" spans="1:1">
      <c r="A61456" s="56"/>
    </row>
    <row r="61457" spans="1:1">
      <c r="A61457" s="56"/>
    </row>
    <row r="61458" spans="1:1">
      <c r="A61458" s="56"/>
    </row>
    <row r="61459" spans="1:1">
      <c r="A61459" s="56"/>
    </row>
    <row r="61460" spans="1:1">
      <c r="A61460" s="56"/>
    </row>
    <row r="61461" spans="1:1">
      <c r="A61461" s="56"/>
    </row>
    <row r="61462" spans="1:1">
      <c r="A61462" s="56"/>
    </row>
    <row r="61463" spans="1:1">
      <c r="A61463" s="56"/>
    </row>
    <row r="61464" spans="1:1">
      <c r="A61464" s="56"/>
    </row>
    <row r="61465" spans="1:1">
      <c r="A61465" s="56"/>
    </row>
    <row r="61466" spans="1:1">
      <c r="A61466" s="56"/>
    </row>
    <row r="61467" spans="1:1">
      <c r="A61467" s="56"/>
    </row>
    <row r="61468" spans="1:1">
      <c r="A61468" s="56"/>
    </row>
    <row r="61469" spans="1:1">
      <c r="A61469" s="56"/>
    </row>
    <row r="61470" spans="1:1">
      <c r="A61470" s="56"/>
    </row>
    <row r="61471" spans="1:1">
      <c r="A61471" s="56"/>
    </row>
    <row r="61472" spans="1:1">
      <c r="A61472" s="56"/>
    </row>
    <row r="61473" spans="1:1">
      <c r="A61473" s="56"/>
    </row>
    <row r="61474" spans="1:1">
      <c r="A61474" s="56"/>
    </row>
    <row r="61475" spans="1:1">
      <c r="A61475" s="56"/>
    </row>
    <row r="61476" spans="1:1">
      <c r="A61476" s="56"/>
    </row>
    <row r="61477" spans="1:1">
      <c r="A61477" s="56"/>
    </row>
    <row r="61478" spans="1:1">
      <c r="A61478" s="56"/>
    </row>
    <row r="61479" spans="1:1">
      <c r="A61479" s="56"/>
    </row>
    <row r="61480" spans="1:1">
      <c r="A61480" s="56"/>
    </row>
    <row r="61481" spans="1:1">
      <c r="A61481" s="56"/>
    </row>
    <row r="61482" spans="1:1">
      <c r="A61482" s="56"/>
    </row>
    <row r="61483" spans="1:1">
      <c r="A61483" s="56"/>
    </row>
    <row r="61484" spans="1:1">
      <c r="A61484" s="56"/>
    </row>
    <row r="61485" spans="1:1">
      <c r="A61485" s="56"/>
    </row>
    <row r="61486" spans="1:1">
      <c r="A61486" s="56"/>
    </row>
    <row r="61487" spans="1:1">
      <c r="A61487" s="56"/>
    </row>
    <row r="61488" spans="1:1">
      <c r="A61488" s="56"/>
    </row>
    <row r="61489" spans="1:1">
      <c r="A61489" s="56"/>
    </row>
    <row r="61490" spans="1:1">
      <c r="A61490" s="56"/>
    </row>
    <row r="61491" spans="1:1">
      <c r="A61491" s="56"/>
    </row>
    <row r="61492" spans="1:1">
      <c r="A61492" s="56"/>
    </row>
    <row r="61493" spans="1:1">
      <c r="A61493" s="56"/>
    </row>
    <row r="61494" spans="1:1">
      <c r="A61494" s="56"/>
    </row>
    <row r="61495" spans="1:1">
      <c r="A61495" s="56"/>
    </row>
    <row r="61496" spans="1:1">
      <c r="A61496" s="56"/>
    </row>
    <row r="61497" spans="1:1">
      <c r="A61497" s="56"/>
    </row>
    <row r="61498" spans="1:1">
      <c r="A61498" s="56"/>
    </row>
    <row r="61499" spans="1:1">
      <c r="A61499" s="56"/>
    </row>
    <row r="61500" spans="1:1">
      <c r="A61500" s="56"/>
    </row>
    <row r="61501" spans="1:1">
      <c r="A61501" s="56"/>
    </row>
    <row r="61502" spans="1:1">
      <c r="A61502" s="56"/>
    </row>
    <row r="61503" spans="1:1">
      <c r="A61503" s="56"/>
    </row>
    <row r="61504" spans="1:1">
      <c r="A61504" s="56"/>
    </row>
    <row r="61505" spans="1:1">
      <c r="A61505" s="56"/>
    </row>
    <row r="61506" spans="1:1">
      <c r="A61506" s="56"/>
    </row>
    <row r="61507" spans="1:1">
      <c r="A61507" s="56"/>
    </row>
    <row r="61508" spans="1:1">
      <c r="A61508" s="56"/>
    </row>
    <row r="61509" spans="1:1">
      <c r="A61509" s="56"/>
    </row>
    <row r="61510" spans="1:1">
      <c r="A61510" s="56"/>
    </row>
    <row r="61511" spans="1:1">
      <c r="A61511" s="56"/>
    </row>
    <row r="61512" spans="1:1">
      <c r="A61512" s="56"/>
    </row>
    <row r="61513" spans="1:1">
      <c r="A61513" s="56"/>
    </row>
    <row r="61514" spans="1:1">
      <c r="A61514" s="56"/>
    </row>
    <row r="61515" spans="1:1">
      <c r="A61515" s="56"/>
    </row>
    <row r="61516" spans="1:1">
      <c r="A61516" s="56"/>
    </row>
    <row r="61517" spans="1:1">
      <c r="A61517" s="56"/>
    </row>
    <row r="61518" spans="1:1">
      <c r="A61518" s="56"/>
    </row>
    <row r="61519" spans="1:1">
      <c r="A61519" s="56"/>
    </row>
    <row r="61520" spans="1:1">
      <c r="A61520" s="56"/>
    </row>
    <row r="61521" spans="1:1">
      <c r="A61521" s="56"/>
    </row>
    <row r="61522" spans="1:1">
      <c r="A61522" s="56"/>
    </row>
    <row r="61523" spans="1:1">
      <c r="A61523" s="56"/>
    </row>
    <row r="61524" spans="1:1">
      <c r="A61524" s="56"/>
    </row>
    <row r="61525" spans="1:1">
      <c r="A61525" s="56"/>
    </row>
    <row r="61526" spans="1:1">
      <c r="A61526" s="56"/>
    </row>
    <row r="61527" spans="1:1">
      <c r="A61527" s="56"/>
    </row>
    <row r="61528" spans="1:1">
      <c r="A61528" s="56"/>
    </row>
    <row r="61529" spans="1:1">
      <c r="A61529" s="56"/>
    </row>
    <row r="61530" spans="1:1">
      <c r="A61530" s="56"/>
    </row>
    <row r="61531" spans="1:1">
      <c r="A61531" s="56"/>
    </row>
    <row r="61532" spans="1:1">
      <c r="A61532" s="56"/>
    </row>
    <row r="61533" spans="1:1">
      <c r="A61533" s="56"/>
    </row>
    <row r="61534" spans="1:1">
      <c r="A61534" s="56"/>
    </row>
    <row r="61535" spans="1:1">
      <c r="A61535" s="56"/>
    </row>
    <row r="61536" spans="1:1">
      <c r="A61536" s="56"/>
    </row>
    <row r="61537" spans="1:1">
      <c r="A61537" s="56"/>
    </row>
    <row r="61538" spans="1:1">
      <c r="A61538" s="56"/>
    </row>
    <row r="61539" spans="1:1">
      <c r="A61539" s="56"/>
    </row>
    <row r="61540" spans="1:1">
      <c r="A61540" s="56"/>
    </row>
    <row r="61541" spans="1:1">
      <c r="A61541" s="56"/>
    </row>
    <row r="61542" spans="1:1">
      <c r="A61542" s="56"/>
    </row>
    <row r="61543" spans="1:1">
      <c r="A61543" s="56"/>
    </row>
    <row r="61544" spans="1:1">
      <c r="A61544" s="56"/>
    </row>
    <row r="61545" spans="1:1">
      <c r="A61545" s="56"/>
    </row>
    <row r="61546" spans="1:1">
      <c r="A61546" s="56"/>
    </row>
    <row r="61547" spans="1:1">
      <c r="A61547" s="56"/>
    </row>
    <row r="61548" spans="1:1">
      <c r="A61548" s="56"/>
    </row>
    <row r="61549" spans="1:1">
      <c r="A61549" s="56"/>
    </row>
    <row r="61550" spans="1:1">
      <c r="A61550" s="56"/>
    </row>
    <row r="61551" spans="1:1">
      <c r="A61551" s="56"/>
    </row>
    <row r="61552" spans="1:1">
      <c r="A61552" s="56"/>
    </row>
    <row r="61553" spans="1:1">
      <c r="A61553" s="56"/>
    </row>
    <row r="61554" spans="1:1">
      <c r="A61554" s="56"/>
    </row>
    <row r="61555" spans="1:1">
      <c r="A61555" s="56"/>
    </row>
    <row r="61556" spans="1:1">
      <c r="A61556" s="56"/>
    </row>
    <row r="61557" spans="1:1">
      <c r="A61557" s="56"/>
    </row>
    <row r="61558" spans="1:1">
      <c r="A61558" s="56"/>
    </row>
    <row r="61559" spans="1:1">
      <c r="A61559" s="56"/>
    </row>
    <row r="61560" spans="1:1">
      <c r="A61560" s="56"/>
    </row>
    <row r="61561" spans="1:1">
      <c r="A61561" s="56"/>
    </row>
    <row r="61562" spans="1:1">
      <c r="A61562" s="56"/>
    </row>
    <row r="61563" spans="1:1">
      <c r="A61563" s="56"/>
    </row>
    <row r="61564" spans="1:1">
      <c r="A61564" s="56"/>
    </row>
    <row r="61565" spans="1:1">
      <c r="A61565" s="56"/>
    </row>
    <row r="61566" spans="1:1">
      <c r="A61566" s="56"/>
    </row>
    <row r="61567" spans="1:1">
      <c r="A61567" s="56"/>
    </row>
    <row r="61568" spans="1:1">
      <c r="A61568" s="56"/>
    </row>
    <row r="61569" spans="1:1">
      <c r="A61569" s="56"/>
    </row>
    <row r="61570" spans="1:1">
      <c r="A61570" s="56"/>
    </row>
    <row r="61571" spans="1:1">
      <c r="A61571" s="56"/>
    </row>
    <row r="61572" spans="1:1">
      <c r="A61572" s="56"/>
    </row>
    <row r="61573" spans="1:1">
      <c r="A61573" s="56"/>
    </row>
    <row r="61574" spans="1:1">
      <c r="A61574" s="56"/>
    </row>
    <row r="61575" spans="1:1">
      <c r="A61575" s="56"/>
    </row>
    <row r="61576" spans="1:1">
      <c r="A61576" s="56"/>
    </row>
    <row r="61577" spans="1:1">
      <c r="A61577" s="56"/>
    </row>
    <row r="61578" spans="1:1">
      <c r="A61578" s="56"/>
    </row>
    <row r="61579" spans="1:1">
      <c r="A61579" s="56"/>
    </row>
    <row r="61580" spans="1:1">
      <c r="A61580" s="56"/>
    </row>
    <row r="61581" spans="1:1">
      <c r="A61581" s="56"/>
    </row>
    <row r="61582" spans="1:1">
      <c r="A61582" s="56"/>
    </row>
    <row r="61583" spans="1:1">
      <c r="A61583" s="56"/>
    </row>
    <row r="61584" spans="1:1">
      <c r="A61584" s="56"/>
    </row>
    <row r="61585" spans="1:1">
      <c r="A61585" s="56"/>
    </row>
    <row r="61586" spans="1:1">
      <c r="A61586" s="56"/>
    </row>
    <row r="61587" spans="1:1">
      <c r="A61587" s="56"/>
    </row>
    <row r="61588" spans="1:1">
      <c r="A61588" s="56"/>
    </row>
    <row r="61589" spans="1:1">
      <c r="A61589" s="56"/>
    </row>
    <row r="61590" spans="1:1">
      <c r="A61590" s="56"/>
    </row>
    <row r="61591" spans="1:1">
      <c r="A61591" s="56"/>
    </row>
    <row r="61592" spans="1:1">
      <c r="A61592" s="56"/>
    </row>
    <row r="61593" spans="1:1">
      <c r="A61593" s="56"/>
    </row>
    <row r="61594" spans="1:1">
      <c r="A61594" s="56"/>
    </row>
    <row r="61595" spans="1:1">
      <c r="A61595" s="56"/>
    </row>
    <row r="61596" spans="1:1">
      <c r="A61596" s="56"/>
    </row>
    <row r="61597" spans="1:1">
      <c r="A61597" s="56"/>
    </row>
    <row r="61598" spans="1:1">
      <c r="A61598" s="56"/>
    </row>
    <row r="61599" spans="1:1">
      <c r="A61599" s="56"/>
    </row>
    <row r="61600" spans="1:1">
      <c r="A61600" s="56"/>
    </row>
    <row r="61601" spans="1:1">
      <c r="A61601" s="56"/>
    </row>
    <row r="61602" spans="1:1">
      <c r="A61602" s="56"/>
    </row>
    <row r="61603" spans="1:1">
      <c r="A61603" s="56"/>
    </row>
    <row r="61604" spans="1:1">
      <c r="A61604" s="56"/>
    </row>
    <row r="61605" spans="1:1">
      <c r="A61605" s="56"/>
    </row>
    <row r="61606" spans="1:1">
      <c r="A61606" s="56"/>
    </row>
    <row r="61607" spans="1:1">
      <c r="A61607" s="56"/>
    </row>
    <row r="61608" spans="1:1">
      <c r="A61608" s="56"/>
    </row>
    <row r="61609" spans="1:1">
      <c r="A61609" s="56"/>
    </row>
    <row r="61610" spans="1:1">
      <c r="A61610" s="56"/>
    </row>
    <row r="61611" spans="1:1">
      <c r="A61611" s="56"/>
    </row>
    <row r="61612" spans="1:1">
      <c r="A61612" s="56"/>
    </row>
    <row r="61613" spans="1:1">
      <c r="A61613" s="56"/>
    </row>
    <row r="61614" spans="1:1">
      <c r="A61614" s="56"/>
    </row>
    <row r="61615" spans="1:1">
      <c r="A61615" s="56"/>
    </row>
    <row r="61616" spans="1:1">
      <c r="A61616" s="56"/>
    </row>
    <row r="61617" spans="1:1">
      <c r="A61617" s="56"/>
    </row>
    <row r="61618" spans="1:1">
      <c r="A61618" s="56"/>
    </row>
    <row r="61619" spans="1:1">
      <c r="A61619" s="56"/>
    </row>
    <row r="61620" spans="1:1">
      <c r="A61620" s="56"/>
    </row>
    <row r="61621" spans="1:1">
      <c r="A61621" s="56"/>
    </row>
    <row r="61622" spans="1:1">
      <c r="A61622" s="56"/>
    </row>
    <row r="61623" spans="1:1">
      <c r="A61623" s="56"/>
    </row>
    <row r="61624" spans="1:1">
      <c r="A61624" s="56"/>
    </row>
    <row r="61625" spans="1:1">
      <c r="A61625" s="56"/>
    </row>
    <row r="61626" spans="1:1">
      <c r="A61626" s="56"/>
    </row>
    <row r="61627" spans="1:1">
      <c r="A61627" s="56"/>
    </row>
    <row r="61628" spans="1:1">
      <c r="A61628" s="56"/>
    </row>
    <row r="61629" spans="1:1">
      <c r="A61629" s="56"/>
    </row>
    <row r="61630" spans="1:1">
      <c r="A61630" s="56"/>
    </row>
    <row r="61631" spans="1:1">
      <c r="A61631" s="56"/>
    </row>
    <row r="61632" spans="1:1">
      <c r="A61632" s="56"/>
    </row>
    <row r="61633" spans="1:1">
      <c r="A61633" s="56"/>
    </row>
    <row r="61634" spans="1:1">
      <c r="A61634" s="56"/>
    </row>
    <row r="61635" spans="1:1">
      <c r="A61635" s="56"/>
    </row>
    <row r="61636" spans="1:1">
      <c r="A61636" s="56"/>
    </row>
    <row r="61637" spans="1:1">
      <c r="A61637" s="56"/>
    </row>
    <row r="61638" spans="1:1">
      <c r="A61638" s="56"/>
    </row>
    <row r="61639" spans="1:1">
      <c r="A61639" s="56"/>
    </row>
    <row r="61640" spans="1:1">
      <c r="A61640" s="56"/>
    </row>
    <row r="61641" spans="1:1">
      <c r="A61641" s="56"/>
    </row>
    <row r="61642" spans="1:1">
      <c r="A61642" s="56"/>
    </row>
    <row r="61643" spans="1:1">
      <c r="A61643" s="56"/>
    </row>
    <row r="61644" spans="1:1">
      <c r="A61644" s="56"/>
    </row>
    <row r="61645" spans="1:1">
      <c r="A61645" s="56"/>
    </row>
    <row r="61646" spans="1:1">
      <c r="A61646" s="56"/>
    </row>
    <row r="61647" spans="1:1">
      <c r="A61647" s="56"/>
    </row>
    <row r="61648" spans="1:1">
      <c r="A61648" s="56"/>
    </row>
    <row r="61649" spans="1:1">
      <c r="A61649" s="56"/>
    </row>
    <row r="61650" spans="1:1">
      <c r="A61650" s="56"/>
    </row>
    <row r="61651" spans="1:1">
      <c r="A61651" s="56"/>
    </row>
    <row r="61652" spans="1:1">
      <c r="A61652" s="56"/>
    </row>
    <row r="61653" spans="1:1">
      <c r="A61653" s="56"/>
    </row>
    <row r="61654" spans="1:1">
      <c r="A61654" s="56"/>
    </row>
    <row r="61655" spans="1:1">
      <c r="A61655" s="56"/>
    </row>
    <row r="61656" spans="1:1">
      <c r="A61656" s="56"/>
    </row>
    <row r="61657" spans="1:1">
      <c r="A61657" s="56"/>
    </row>
    <row r="61658" spans="1:1">
      <c r="A61658" s="56"/>
    </row>
    <row r="61659" spans="1:1">
      <c r="A61659" s="56"/>
    </row>
    <row r="61660" spans="1:1">
      <c r="A61660" s="56"/>
    </row>
    <row r="61661" spans="1:1">
      <c r="A61661" s="56"/>
    </row>
    <row r="61662" spans="1:1">
      <c r="A61662" s="56"/>
    </row>
    <row r="61663" spans="1:1">
      <c r="A61663" s="56"/>
    </row>
    <row r="61664" spans="1:1">
      <c r="A61664" s="56"/>
    </row>
    <row r="61665" spans="1:1">
      <c r="A61665" s="56"/>
    </row>
    <row r="61666" spans="1:1">
      <c r="A61666" s="56"/>
    </row>
    <row r="61667" spans="1:1">
      <c r="A61667" s="56"/>
    </row>
    <row r="61668" spans="1:1">
      <c r="A61668" s="56"/>
    </row>
    <row r="61669" spans="1:1">
      <c r="A61669" s="56"/>
    </row>
    <row r="61670" spans="1:1">
      <c r="A61670" s="56"/>
    </row>
    <row r="61671" spans="1:1">
      <c r="A61671" s="56"/>
    </row>
    <row r="61672" spans="1:1">
      <c r="A61672" s="56"/>
    </row>
    <row r="61673" spans="1:1">
      <c r="A61673" s="56"/>
    </row>
    <row r="61674" spans="1:1">
      <c r="A61674" s="56"/>
    </row>
    <row r="61675" spans="1:1">
      <c r="A61675" s="56"/>
    </row>
    <row r="61676" spans="1:1">
      <c r="A61676" s="56"/>
    </row>
    <row r="61677" spans="1:1">
      <c r="A61677" s="56"/>
    </row>
    <row r="61678" spans="1:1">
      <c r="A61678" s="56"/>
    </row>
    <row r="61679" spans="1:1">
      <c r="A61679" s="56"/>
    </row>
    <row r="61680" spans="1:1">
      <c r="A61680" s="56"/>
    </row>
    <row r="61681" spans="1:1">
      <c r="A61681" s="56"/>
    </row>
    <row r="61682" spans="1:1">
      <c r="A61682" s="56"/>
    </row>
    <row r="61683" spans="1:1">
      <c r="A61683" s="56"/>
    </row>
    <row r="61684" spans="1:1">
      <c r="A61684" s="56"/>
    </row>
    <row r="61685" spans="1:1">
      <c r="A61685" s="56"/>
    </row>
    <row r="61686" spans="1:1">
      <c r="A61686" s="56"/>
    </row>
    <row r="61687" spans="1:1">
      <c r="A61687" s="56"/>
    </row>
    <row r="61688" spans="1:1">
      <c r="A61688" s="56"/>
    </row>
    <row r="61689" spans="1:1">
      <c r="A61689" s="56"/>
    </row>
    <row r="61690" spans="1:1">
      <c r="A61690" s="56"/>
    </row>
    <row r="61691" spans="1:1">
      <c r="A61691" s="56"/>
    </row>
    <row r="61692" spans="1:1">
      <c r="A61692" s="56"/>
    </row>
    <row r="61693" spans="1:1">
      <c r="A61693" s="56"/>
    </row>
    <row r="61694" spans="1:1">
      <c r="A61694" s="56"/>
    </row>
    <row r="61695" spans="1:1">
      <c r="A61695" s="56"/>
    </row>
    <row r="61696" spans="1:1">
      <c r="A61696" s="56"/>
    </row>
    <row r="61697" spans="1:1">
      <c r="A61697" s="56"/>
    </row>
    <row r="61698" spans="1:1">
      <c r="A61698" s="56"/>
    </row>
    <row r="61699" spans="1:1">
      <c r="A61699" s="56"/>
    </row>
    <row r="61700" spans="1:1">
      <c r="A61700" s="56"/>
    </row>
    <row r="61701" spans="1:1">
      <c r="A61701" s="56"/>
    </row>
    <row r="61702" spans="1:1">
      <c r="A61702" s="56"/>
    </row>
    <row r="61703" spans="1:1">
      <c r="A61703" s="56"/>
    </row>
    <row r="61704" spans="1:1">
      <c r="A61704" s="56"/>
    </row>
    <row r="61705" spans="1:1">
      <c r="A61705" s="56"/>
    </row>
    <row r="61706" spans="1:1">
      <c r="A61706" s="56"/>
    </row>
    <row r="61707" spans="1:1">
      <c r="A61707" s="56"/>
    </row>
    <row r="61708" spans="1:1">
      <c r="A61708" s="56"/>
    </row>
    <row r="61709" spans="1:1">
      <c r="A61709" s="56"/>
    </row>
    <row r="61710" spans="1:1">
      <c r="A61710" s="56"/>
    </row>
    <row r="61711" spans="1:1">
      <c r="A61711" s="56"/>
    </row>
    <row r="61712" spans="1:1">
      <c r="A61712" s="56"/>
    </row>
    <row r="61713" spans="1:1">
      <c r="A61713" s="56"/>
    </row>
    <row r="61714" spans="1:1">
      <c r="A61714" s="56"/>
    </row>
    <row r="61715" spans="1:1">
      <c r="A61715" s="56"/>
    </row>
    <row r="61716" spans="1:1">
      <c r="A61716" s="56"/>
    </row>
    <row r="61717" spans="1:1">
      <c r="A61717" s="56"/>
    </row>
    <row r="61718" spans="1:1">
      <c r="A61718" s="56"/>
    </row>
    <row r="61719" spans="1:1">
      <c r="A61719" s="56"/>
    </row>
    <row r="61720" spans="1:1">
      <c r="A61720" s="56"/>
    </row>
    <row r="61721" spans="1:1">
      <c r="A61721" s="56"/>
    </row>
    <row r="61722" spans="1:1">
      <c r="A61722" s="56"/>
    </row>
    <row r="61723" spans="1:1">
      <c r="A61723" s="56"/>
    </row>
    <row r="61724" spans="1:1">
      <c r="A61724" s="56"/>
    </row>
    <row r="61725" spans="1:1">
      <c r="A61725" s="56"/>
    </row>
    <row r="61726" spans="1:1">
      <c r="A61726" s="56"/>
    </row>
    <row r="61727" spans="1:1">
      <c r="A61727" s="56"/>
    </row>
    <row r="61728" spans="1:1">
      <c r="A61728" s="56"/>
    </row>
    <row r="61729" spans="1:1">
      <c r="A61729" s="56"/>
    </row>
    <row r="61730" spans="1:1">
      <c r="A61730" s="56"/>
    </row>
    <row r="61731" spans="1:1">
      <c r="A61731" s="56"/>
    </row>
    <row r="61732" spans="1:1">
      <c r="A61732" s="56"/>
    </row>
    <row r="61733" spans="1:1">
      <c r="A61733" s="56"/>
    </row>
    <row r="61734" spans="1:1">
      <c r="A61734" s="56"/>
    </row>
    <row r="61735" spans="1:1">
      <c r="A61735" s="56"/>
    </row>
    <row r="61736" spans="1:1">
      <c r="A61736" s="56"/>
    </row>
    <row r="61737" spans="1:1">
      <c r="A61737" s="56"/>
    </row>
    <row r="61738" spans="1:1">
      <c r="A61738" s="56"/>
    </row>
    <row r="61739" spans="1:1">
      <c r="A61739" s="56"/>
    </row>
    <row r="61740" spans="1:1">
      <c r="A61740" s="56"/>
    </row>
    <row r="61741" spans="1:1">
      <c r="A61741" s="56"/>
    </row>
    <row r="61742" spans="1:1">
      <c r="A61742" s="56"/>
    </row>
    <row r="61743" spans="1:1">
      <c r="A61743" s="56"/>
    </row>
    <row r="61744" spans="1:1">
      <c r="A61744" s="56"/>
    </row>
    <row r="61745" spans="1:1">
      <c r="A61745" s="56"/>
    </row>
    <row r="61746" spans="1:1">
      <c r="A61746" s="56"/>
    </row>
    <row r="61747" spans="1:1">
      <c r="A61747" s="56"/>
    </row>
    <row r="61748" spans="1:1">
      <c r="A61748" s="56"/>
    </row>
    <row r="61749" spans="1:1">
      <c r="A61749" s="56"/>
    </row>
    <row r="61750" spans="1:1">
      <c r="A61750" s="56"/>
    </row>
    <row r="61751" spans="1:1">
      <c r="A61751" s="56"/>
    </row>
    <row r="61752" spans="1:1">
      <c r="A61752" s="56"/>
    </row>
    <row r="61753" spans="1:1">
      <c r="A61753" s="56"/>
    </row>
    <row r="61754" spans="1:1">
      <c r="A61754" s="56"/>
    </row>
    <row r="61755" spans="1:1">
      <c r="A61755" s="56"/>
    </row>
    <row r="61756" spans="1:1">
      <c r="A61756" s="56"/>
    </row>
    <row r="61757" spans="1:1">
      <c r="A61757" s="56"/>
    </row>
    <row r="61758" spans="1:1">
      <c r="A61758" s="56"/>
    </row>
    <row r="61759" spans="1:1">
      <c r="A61759" s="56"/>
    </row>
    <row r="61760" spans="1:1">
      <c r="A61760" s="56"/>
    </row>
    <row r="61761" spans="1:1">
      <c r="A61761" s="56"/>
    </row>
    <row r="61762" spans="1:1">
      <c r="A61762" s="56"/>
    </row>
    <row r="61763" spans="1:1">
      <c r="A61763" s="56"/>
    </row>
    <row r="61764" spans="1:1">
      <c r="A61764" s="56"/>
    </row>
    <row r="61765" spans="1:1">
      <c r="A61765" s="56"/>
    </row>
    <row r="61766" spans="1:1">
      <c r="A61766" s="56"/>
    </row>
    <row r="61767" spans="1:1">
      <c r="A61767" s="56"/>
    </row>
    <row r="61768" spans="1:1">
      <c r="A61768" s="56"/>
    </row>
    <row r="61769" spans="1:1">
      <c r="A61769" s="56"/>
    </row>
    <row r="61770" spans="1:1">
      <c r="A61770" s="56"/>
    </row>
    <row r="61771" spans="1:1">
      <c r="A61771" s="56"/>
    </row>
    <row r="61772" spans="1:1">
      <c r="A61772" s="56"/>
    </row>
    <row r="61773" spans="1:1">
      <c r="A61773" s="56"/>
    </row>
    <row r="61774" spans="1:1">
      <c r="A61774" s="56"/>
    </row>
    <row r="61775" spans="1:1">
      <c r="A61775" s="56"/>
    </row>
    <row r="61776" spans="1:1">
      <c r="A61776" s="56"/>
    </row>
    <row r="61777" spans="1:1">
      <c r="A61777" s="56"/>
    </row>
    <row r="61778" spans="1:1">
      <c r="A61778" s="56"/>
    </row>
    <row r="61779" spans="1:1">
      <c r="A61779" s="56"/>
    </row>
    <row r="61780" spans="1:1">
      <c r="A61780" s="56"/>
    </row>
    <row r="61781" spans="1:1">
      <c r="A61781" s="56"/>
    </row>
    <row r="61782" spans="1:1">
      <c r="A61782" s="56"/>
    </row>
    <row r="61783" spans="1:1">
      <c r="A61783" s="56"/>
    </row>
    <row r="61784" spans="1:1">
      <c r="A61784" s="56"/>
    </row>
    <row r="61785" spans="1:1">
      <c r="A61785" s="56"/>
    </row>
    <row r="61786" spans="1:1">
      <c r="A61786" s="56"/>
    </row>
    <row r="61787" spans="1:1">
      <c r="A61787" s="56"/>
    </row>
    <row r="61788" spans="1:1">
      <c r="A61788" s="56"/>
    </row>
    <row r="61789" spans="1:1">
      <c r="A61789" s="56"/>
    </row>
    <row r="61790" spans="1:1">
      <c r="A61790" s="56"/>
    </row>
    <row r="61791" spans="1:1">
      <c r="A61791" s="56"/>
    </row>
    <row r="61792" spans="1:1">
      <c r="A61792" s="56"/>
    </row>
    <row r="61793" spans="1:1">
      <c r="A61793" s="56"/>
    </row>
    <row r="61794" spans="1:1">
      <c r="A61794" s="56"/>
    </row>
    <row r="61795" spans="1:1">
      <c r="A61795" s="56"/>
    </row>
    <row r="61796" spans="1:1">
      <c r="A61796" s="56"/>
    </row>
    <row r="61797" spans="1:1">
      <c r="A61797" s="56"/>
    </row>
    <row r="61798" spans="1:1">
      <c r="A61798" s="56"/>
    </row>
    <row r="61799" spans="1:1">
      <c r="A61799" s="56"/>
    </row>
    <row r="61800" spans="1:1">
      <c r="A61800" s="56"/>
    </row>
    <row r="61801" spans="1:1">
      <c r="A61801" s="56"/>
    </row>
    <row r="61802" spans="1:1">
      <c r="A61802" s="56"/>
    </row>
    <row r="61803" spans="1:1">
      <c r="A61803" s="56"/>
    </row>
    <row r="61804" spans="1:1">
      <c r="A61804" s="56"/>
    </row>
    <row r="61805" spans="1:1">
      <c r="A61805" s="56"/>
    </row>
    <row r="61806" spans="1:1">
      <c r="A61806" s="56"/>
    </row>
    <row r="61807" spans="1:1">
      <c r="A61807" s="56"/>
    </row>
    <row r="61808" spans="1:1">
      <c r="A61808" s="56"/>
    </row>
    <row r="61809" spans="1:1">
      <c r="A61809" s="56"/>
    </row>
    <row r="61810" spans="1:1">
      <c r="A61810" s="56"/>
    </row>
    <row r="61811" spans="1:1">
      <c r="A61811" s="56"/>
    </row>
    <row r="61812" spans="1:1">
      <c r="A61812" s="56"/>
    </row>
    <row r="61813" spans="1:1">
      <c r="A61813" s="56"/>
    </row>
    <row r="61814" spans="1:1">
      <c r="A61814" s="56"/>
    </row>
    <row r="61815" spans="1:1">
      <c r="A61815" s="56"/>
    </row>
    <row r="61816" spans="1:1">
      <c r="A61816" s="56"/>
    </row>
    <row r="61817" spans="1:1">
      <c r="A61817" s="56"/>
    </row>
    <row r="61818" spans="1:1">
      <c r="A61818" s="56"/>
    </row>
    <row r="61819" spans="1:1">
      <c r="A61819" s="56"/>
    </row>
    <row r="61820" spans="1:1">
      <c r="A61820" s="56"/>
    </row>
    <row r="61821" spans="1:1">
      <c r="A61821" s="56"/>
    </row>
    <row r="61822" spans="1:1">
      <c r="A61822" s="56"/>
    </row>
    <row r="61823" spans="1:1">
      <c r="A61823" s="56"/>
    </row>
    <row r="61824" spans="1:1">
      <c r="A61824" s="56"/>
    </row>
    <row r="61825" spans="1:1">
      <c r="A61825" s="56"/>
    </row>
    <row r="61826" spans="1:1">
      <c r="A61826" s="56"/>
    </row>
    <row r="61827" spans="1:1">
      <c r="A61827" s="56"/>
    </row>
    <row r="61828" spans="1:1">
      <c r="A61828" s="56"/>
    </row>
    <row r="61829" spans="1:1">
      <c r="A61829" s="56"/>
    </row>
    <row r="61830" spans="1:1">
      <c r="A61830" s="56"/>
    </row>
    <row r="61831" spans="1:1">
      <c r="A61831" s="56"/>
    </row>
    <row r="61832" spans="1:1">
      <c r="A61832" s="56"/>
    </row>
    <row r="61833" spans="1:1">
      <c r="A61833" s="56"/>
    </row>
    <row r="61834" spans="1:1">
      <c r="A61834" s="56"/>
    </row>
    <row r="61835" spans="1:1">
      <c r="A61835" s="56"/>
    </row>
    <row r="61836" spans="1:1">
      <c r="A61836" s="56"/>
    </row>
    <row r="61837" spans="1:1">
      <c r="A61837" s="56"/>
    </row>
    <row r="61838" spans="1:1">
      <c r="A61838" s="56"/>
    </row>
    <row r="61839" spans="1:1">
      <c r="A61839" s="56"/>
    </row>
    <row r="61840" spans="1:1">
      <c r="A61840" s="56"/>
    </row>
    <row r="61841" spans="1:1">
      <c r="A61841" s="56"/>
    </row>
    <row r="61842" spans="1:1">
      <c r="A61842" s="56"/>
    </row>
    <row r="61843" spans="1:1">
      <c r="A61843" s="56"/>
    </row>
    <row r="61844" spans="1:1">
      <c r="A61844" s="56"/>
    </row>
    <row r="61845" spans="1:1">
      <c r="A61845" s="56"/>
    </row>
    <row r="61846" spans="1:1">
      <c r="A61846" s="56"/>
    </row>
    <row r="61847" spans="1:1">
      <c r="A61847" s="56"/>
    </row>
    <row r="61848" spans="1:1">
      <c r="A61848" s="56"/>
    </row>
    <row r="61849" spans="1:1">
      <c r="A61849" s="56"/>
    </row>
    <row r="61850" spans="1:1">
      <c r="A61850" s="56"/>
    </row>
    <row r="61851" spans="1:1">
      <c r="A61851" s="56"/>
    </row>
    <row r="61852" spans="1:1">
      <c r="A61852" s="56"/>
    </row>
    <row r="61853" spans="1:1">
      <c r="A61853" s="56"/>
    </row>
    <row r="61854" spans="1:1">
      <c r="A61854" s="56"/>
    </row>
    <row r="61855" spans="1:1">
      <c r="A61855" s="56"/>
    </row>
    <row r="61856" spans="1:1">
      <c r="A61856" s="56"/>
    </row>
    <row r="61857" spans="1:1">
      <c r="A61857" s="56"/>
    </row>
    <row r="61858" spans="1:1">
      <c r="A61858" s="56"/>
    </row>
    <row r="61859" spans="1:1">
      <c r="A61859" s="56"/>
    </row>
    <row r="61860" spans="1:1">
      <c r="A61860" s="56"/>
    </row>
    <row r="61861" spans="1:1">
      <c r="A61861" s="56"/>
    </row>
    <row r="61862" spans="1:1">
      <c r="A61862" s="56"/>
    </row>
    <row r="61863" spans="1:1">
      <c r="A61863" s="56"/>
    </row>
    <row r="61864" spans="1:1">
      <c r="A61864" s="56"/>
    </row>
    <row r="61865" spans="1:1">
      <c r="A61865" s="56"/>
    </row>
    <row r="61866" spans="1:1">
      <c r="A61866" s="56"/>
    </row>
    <row r="61867" spans="1:1">
      <c r="A61867" s="56"/>
    </row>
    <row r="61868" spans="1:1">
      <c r="A61868" s="56"/>
    </row>
    <row r="61869" spans="1:1">
      <c r="A61869" s="56"/>
    </row>
    <row r="61870" spans="1:1">
      <c r="A61870" s="56"/>
    </row>
    <row r="61871" spans="1:1">
      <c r="A61871" s="56"/>
    </row>
    <row r="61872" spans="1:1">
      <c r="A61872" s="56"/>
    </row>
    <row r="61873" spans="1:1">
      <c r="A61873" s="56"/>
    </row>
    <row r="61874" spans="1:1">
      <c r="A61874" s="56"/>
    </row>
    <row r="61875" spans="1:1">
      <c r="A61875" s="56"/>
    </row>
    <row r="61876" spans="1:1">
      <c r="A61876" s="56"/>
    </row>
    <row r="61877" spans="1:1">
      <c r="A61877" s="56"/>
    </row>
    <row r="61878" spans="1:1">
      <c r="A61878" s="56"/>
    </row>
    <row r="61879" spans="1:1">
      <c r="A61879" s="56"/>
    </row>
    <row r="61880" spans="1:1">
      <c r="A61880" s="56"/>
    </row>
    <row r="61881" spans="1:1">
      <c r="A61881" s="56"/>
    </row>
    <row r="61882" spans="1:1">
      <c r="A61882" s="56"/>
    </row>
    <row r="61883" spans="1:1">
      <c r="A61883" s="56"/>
    </row>
    <row r="61884" spans="1:1">
      <c r="A61884" s="56"/>
    </row>
    <row r="61885" spans="1:1">
      <c r="A61885" s="56"/>
    </row>
    <row r="61886" spans="1:1">
      <c r="A61886" s="56"/>
    </row>
    <row r="61887" spans="1:1">
      <c r="A61887" s="56"/>
    </row>
    <row r="61888" spans="1:1">
      <c r="A61888" s="56"/>
    </row>
    <row r="61889" spans="1:1">
      <c r="A61889" s="56"/>
    </row>
    <row r="61890" spans="1:1">
      <c r="A61890" s="56"/>
    </row>
    <row r="61891" spans="1:1">
      <c r="A61891" s="56"/>
    </row>
    <row r="61892" spans="1:1">
      <c r="A61892" s="56"/>
    </row>
    <row r="61893" spans="1:1">
      <c r="A61893" s="56"/>
    </row>
    <row r="61894" spans="1:1">
      <c r="A61894" s="56"/>
    </row>
    <row r="61895" spans="1:1">
      <c r="A61895" s="56"/>
    </row>
    <row r="61896" spans="1:1">
      <c r="A61896" s="56"/>
    </row>
    <row r="61897" spans="1:1">
      <c r="A61897" s="56"/>
    </row>
    <row r="61898" spans="1:1">
      <c r="A61898" s="56"/>
    </row>
    <row r="61899" spans="1:1">
      <c r="A61899" s="56"/>
    </row>
    <row r="61900" spans="1:1">
      <c r="A61900" s="56"/>
    </row>
    <row r="61901" spans="1:1">
      <c r="A61901" s="56"/>
    </row>
    <row r="61902" spans="1:1">
      <c r="A61902" s="56"/>
    </row>
    <row r="61903" spans="1:1">
      <c r="A61903" s="56"/>
    </row>
    <row r="61904" spans="1:1">
      <c r="A61904" s="56"/>
    </row>
    <row r="61905" spans="1:1">
      <c r="A61905" s="56"/>
    </row>
    <row r="61906" spans="1:1">
      <c r="A61906" s="56"/>
    </row>
    <row r="61907" spans="1:1">
      <c r="A61907" s="56"/>
    </row>
    <row r="61908" spans="1:1">
      <c r="A61908" s="56"/>
    </row>
    <row r="61909" spans="1:1">
      <c r="A61909" s="56"/>
    </row>
    <row r="61910" spans="1:1">
      <c r="A61910" s="56"/>
    </row>
    <row r="61911" spans="1:1">
      <c r="A61911" s="56"/>
    </row>
    <row r="61912" spans="1:1">
      <c r="A61912" s="56"/>
    </row>
    <row r="61913" spans="1:1">
      <c r="A61913" s="56"/>
    </row>
    <row r="61914" spans="1:1">
      <c r="A61914" s="56"/>
    </row>
    <row r="61915" spans="1:1">
      <c r="A61915" s="56"/>
    </row>
    <row r="61916" spans="1:1">
      <c r="A61916" s="56"/>
    </row>
    <row r="61917" spans="1:1">
      <c r="A61917" s="56"/>
    </row>
    <row r="61918" spans="1:1">
      <c r="A61918" s="56"/>
    </row>
    <row r="61919" spans="1:1">
      <c r="A61919" s="56"/>
    </row>
    <row r="61920" spans="1:1">
      <c r="A61920" s="56"/>
    </row>
    <row r="61921" spans="1:1">
      <c r="A61921" s="56"/>
    </row>
    <row r="61922" spans="1:1">
      <c r="A61922" s="56"/>
    </row>
    <row r="61923" spans="1:1">
      <c r="A61923" s="56"/>
    </row>
    <row r="61924" spans="1:1">
      <c r="A61924" s="56"/>
    </row>
    <row r="61925" spans="1:1">
      <c r="A61925" s="56"/>
    </row>
    <row r="61926" spans="1:1">
      <c r="A61926" s="56"/>
    </row>
    <row r="61927" spans="1:1">
      <c r="A61927" s="56"/>
    </row>
    <row r="61928" spans="1:1">
      <c r="A61928" s="56"/>
    </row>
    <row r="61929" spans="1:1">
      <c r="A61929" s="56"/>
    </row>
    <row r="61930" spans="1:1">
      <c r="A61930" s="56"/>
    </row>
    <row r="61931" spans="1:1">
      <c r="A61931" s="56"/>
    </row>
    <row r="61932" spans="1:1">
      <c r="A61932" s="56"/>
    </row>
    <row r="61933" spans="1:1">
      <c r="A61933" s="56"/>
    </row>
    <row r="61934" spans="1:1">
      <c r="A61934" s="56"/>
    </row>
    <row r="61935" spans="1:1">
      <c r="A61935" s="56"/>
    </row>
    <row r="61936" spans="1:1">
      <c r="A61936" s="56"/>
    </row>
    <row r="61937" spans="1:1">
      <c r="A61937" s="56"/>
    </row>
    <row r="61938" spans="1:1">
      <c r="A61938" s="56"/>
    </row>
    <row r="61939" spans="1:1">
      <c r="A61939" s="56"/>
    </row>
    <row r="61940" spans="1:1">
      <c r="A61940" s="56"/>
    </row>
    <row r="61941" spans="1:1">
      <c r="A61941" s="56"/>
    </row>
    <row r="61942" spans="1:1">
      <c r="A61942" s="56"/>
    </row>
    <row r="61943" spans="1:1">
      <c r="A61943" s="56"/>
    </row>
    <row r="61944" spans="1:1">
      <c r="A61944" s="56"/>
    </row>
    <row r="61945" spans="1:1">
      <c r="A61945" s="56"/>
    </row>
    <row r="61946" spans="1:1">
      <c r="A61946" s="56"/>
    </row>
    <row r="61947" spans="1:1">
      <c r="A61947" s="56"/>
    </row>
    <row r="61948" spans="1:1">
      <c r="A61948" s="56"/>
    </row>
    <row r="61949" spans="1:1">
      <c r="A61949" s="56"/>
    </row>
    <row r="61950" spans="1:1">
      <c r="A61950" s="56"/>
    </row>
    <row r="61951" spans="1:1">
      <c r="A61951" s="56"/>
    </row>
    <row r="61952" spans="1:1">
      <c r="A61952" s="56"/>
    </row>
    <row r="61953" spans="1:1">
      <c r="A61953" s="56"/>
    </row>
    <row r="61954" spans="1:1">
      <c r="A61954" s="56"/>
    </row>
    <row r="61955" spans="1:1">
      <c r="A61955" s="56"/>
    </row>
    <row r="61956" spans="1:1">
      <c r="A61956" s="56"/>
    </row>
    <row r="61957" spans="1:1">
      <c r="A61957" s="56"/>
    </row>
    <row r="61958" spans="1:1">
      <c r="A61958" s="56"/>
    </row>
    <row r="61959" spans="1:1">
      <c r="A61959" s="56"/>
    </row>
    <row r="61960" spans="1:1">
      <c r="A61960" s="56"/>
    </row>
    <row r="61961" spans="1:1">
      <c r="A61961" s="56"/>
    </row>
    <row r="61962" spans="1:1">
      <c r="A61962" s="56"/>
    </row>
    <row r="61963" spans="1:1">
      <c r="A61963" s="56"/>
    </row>
    <row r="61964" spans="1:1">
      <c r="A61964" s="56"/>
    </row>
    <row r="61965" spans="1:1">
      <c r="A61965" s="56"/>
    </row>
    <row r="61966" spans="1:1">
      <c r="A61966" s="56"/>
    </row>
    <row r="61967" spans="1:1">
      <c r="A61967" s="56"/>
    </row>
    <row r="61968" spans="1:1">
      <c r="A61968" s="56"/>
    </row>
    <row r="61969" spans="1:1">
      <c r="A61969" s="56"/>
    </row>
    <row r="61970" spans="1:1">
      <c r="A61970" s="56"/>
    </row>
    <row r="61971" spans="1:1">
      <c r="A61971" s="56"/>
    </row>
    <row r="61972" spans="1:1">
      <c r="A61972" s="56"/>
    </row>
    <row r="61973" spans="1:1">
      <c r="A61973" s="56"/>
    </row>
    <row r="61974" spans="1:1">
      <c r="A61974" s="56"/>
    </row>
    <row r="61975" spans="1:1">
      <c r="A61975" s="56"/>
    </row>
    <row r="61976" spans="1:1">
      <c r="A61976" s="56"/>
    </row>
    <row r="61977" spans="1:1">
      <c r="A61977" s="56"/>
    </row>
    <row r="61978" spans="1:1">
      <c r="A61978" s="56"/>
    </row>
    <row r="61979" spans="1:1">
      <c r="A61979" s="56"/>
    </row>
    <row r="61980" spans="1:1">
      <c r="A61980" s="56"/>
    </row>
    <row r="61981" spans="1:1">
      <c r="A61981" s="56"/>
    </row>
    <row r="61982" spans="1:1">
      <c r="A61982" s="56"/>
    </row>
    <row r="61983" spans="1:1">
      <c r="A61983" s="56"/>
    </row>
    <row r="61984" spans="1:1">
      <c r="A61984" s="56"/>
    </row>
    <row r="61985" spans="1:1">
      <c r="A61985" s="56"/>
    </row>
    <row r="61986" spans="1:1">
      <c r="A61986" s="56"/>
    </row>
    <row r="61987" spans="1:1">
      <c r="A61987" s="56"/>
    </row>
    <row r="61988" spans="1:1">
      <c r="A61988" s="56"/>
    </row>
    <row r="61989" spans="1:1">
      <c r="A61989" s="56"/>
    </row>
    <row r="61990" spans="1:1">
      <c r="A61990" s="56"/>
    </row>
    <row r="61991" spans="1:1">
      <c r="A61991" s="56"/>
    </row>
    <row r="61992" spans="1:1">
      <c r="A61992" s="56"/>
    </row>
    <row r="61993" spans="1:1">
      <c r="A61993" s="56"/>
    </row>
    <row r="61994" spans="1:1">
      <c r="A61994" s="56"/>
    </row>
    <row r="61995" spans="1:1">
      <c r="A61995" s="56"/>
    </row>
    <row r="61996" spans="1:1">
      <c r="A61996" s="56"/>
    </row>
    <row r="61997" spans="1:1">
      <c r="A61997" s="56"/>
    </row>
    <row r="61998" spans="1:1">
      <c r="A61998" s="56"/>
    </row>
    <row r="61999" spans="1:1">
      <c r="A61999" s="56"/>
    </row>
    <row r="62000" spans="1:1">
      <c r="A62000" s="56"/>
    </row>
    <row r="62001" spans="1:1">
      <c r="A62001" s="56"/>
    </row>
    <row r="62002" spans="1:1">
      <c r="A62002" s="56"/>
    </row>
    <row r="62003" spans="1:1">
      <c r="A62003" s="56"/>
    </row>
    <row r="62004" spans="1:1">
      <c r="A62004" s="56"/>
    </row>
    <row r="62005" spans="1:1">
      <c r="A62005" s="56"/>
    </row>
    <row r="62006" spans="1:1">
      <c r="A62006" s="56"/>
    </row>
    <row r="62007" spans="1:1">
      <c r="A62007" s="56"/>
    </row>
    <row r="62008" spans="1:1">
      <c r="A62008" s="56"/>
    </row>
    <row r="62009" spans="1:1">
      <c r="A62009" s="56"/>
    </row>
    <row r="62010" spans="1:1">
      <c r="A62010" s="56"/>
    </row>
    <row r="62011" spans="1:1">
      <c r="A62011" s="56"/>
    </row>
    <row r="62012" spans="1:1">
      <c r="A62012" s="56"/>
    </row>
    <row r="62013" spans="1:1">
      <c r="A62013" s="56"/>
    </row>
    <row r="62014" spans="1:1">
      <c r="A62014" s="56"/>
    </row>
    <row r="62015" spans="1:1">
      <c r="A62015" s="56"/>
    </row>
    <row r="62016" spans="1:1">
      <c r="A62016" s="56"/>
    </row>
    <row r="62017" spans="1:1">
      <c r="A62017" s="56"/>
    </row>
    <row r="62018" spans="1:1">
      <c r="A62018" s="56"/>
    </row>
    <row r="62019" spans="1:1">
      <c r="A62019" s="56"/>
    </row>
    <row r="62020" spans="1:1">
      <c r="A62020" s="56"/>
    </row>
    <row r="62021" spans="1:1">
      <c r="A62021" s="56"/>
    </row>
    <row r="62022" spans="1:1">
      <c r="A62022" s="56"/>
    </row>
    <row r="62023" spans="1:1">
      <c r="A62023" s="56"/>
    </row>
    <row r="62024" spans="1:1">
      <c r="A62024" s="56"/>
    </row>
    <row r="62025" spans="1:1">
      <c r="A62025" s="56"/>
    </row>
    <row r="62026" spans="1:1">
      <c r="A62026" s="56"/>
    </row>
    <row r="62027" spans="1:1">
      <c r="A62027" s="56"/>
    </row>
    <row r="62028" spans="1:1">
      <c r="A62028" s="56"/>
    </row>
    <row r="62029" spans="1:1">
      <c r="A62029" s="56"/>
    </row>
    <row r="62030" spans="1:1">
      <c r="A62030" s="56"/>
    </row>
    <row r="62031" spans="1:1">
      <c r="A62031" s="56"/>
    </row>
    <row r="62032" spans="1:1">
      <c r="A62032" s="56"/>
    </row>
    <row r="62033" spans="1:1">
      <c r="A62033" s="56"/>
    </row>
    <row r="62034" spans="1:1">
      <c r="A62034" s="56"/>
    </row>
    <row r="62035" spans="1:1">
      <c r="A62035" s="56"/>
    </row>
    <row r="62036" spans="1:1">
      <c r="A62036" s="56"/>
    </row>
    <row r="62037" spans="1:1">
      <c r="A62037" s="56"/>
    </row>
    <row r="62038" spans="1:1">
      <c r="A62038" s="56"/>
    </row>
    <row r="62039" spans="1:1">
      <c r="A62039" s="56"/>
    </row>
    <row r="62040" spans="1:1">
      <c r="A62040" s="56"/>
    </row>
    <row r="62041" spans="1:1">
      <c r="A62041" s="56"/>
    </row>
    <row r="62042" spans="1:1">
      <c r="A62042" s="56"/>
    </row>
    <row r="62043" spans="1:1">
      <c r="A62043" s="56"/>
    </row>
    <row r="62044" spans="1:1">
      <c r="A62044" s="56"/>
    </row>
    <row r="62045" spans="1:1">
      <c r="A62045" s="56"/>
    </row>
    <row r="62046" spans="1:1">
      <c r="A62046" s="56"/>
    </row>
    <row r="62047" spans="1:1">
      <c r="A62047" s="56"/>
    </row>
    <row r="62048" spans="1:1">
      <c r="A62048" s="56"/>
    </row>
    <row r="62049" spans="1:1">
      <c r="A62049" s="56"/>
    </row>
    <row r="62050" spans="1:1">
      <c r="A62050" s="56"/>
    </row>
    <row r="62051" spans="1:1">
      <c r="A62051" s="56"/>
    </row>
    <row r="62052" spans="1:1">
      <c r="A62052" s="56"/>
    </row>
    <row r="62053" spans="1:1">
      <c r="A62053" s="56"/>
    </row>
    <row r="62054" spans="1:1">
      <c r="A62054" s="56"/>
    </row>
    <row r="62055" spans="1:1">
      <c r="A62055" s="56"/>
    </row>
    <row r="62056" spans="1:1">
      <c r="A62056" s="56"/>
    </row>
    <row r="62057" spans="1:1">
      <c r="A62057" s="56"/>
    </row>
    <row r="62058" spans="1:1">
      <c r="A62058" s="56"/>
    </row>
    <row r="62059" spans="1:1">
      <c r="A62059" s="56"/>
    </row>
    <row r="62060" spans="1:1">
      <c r="A62060" s="56"/>
    </row>
    <row r="62061" spans="1:1">
      <c r="A62061" s="56"/>
    </row>
    <row r="62062" spans="1:1">
      <c r="A62062" s="56"/>
    </row>
    <row r="62063" spans="1:1">
      <c r="A62063" s="56"/>
    </row>
    <row r="62064" spans="1:1">
      <c r="A62064" s="56"/>
    </row>
    <row r="62065" spans="1:1">
      <c r="A62065" s="56"/>
    </row>
    <row r="62066" spans="1:1">
      <c r="A62066" s="56"/>
    </row>
    <row r="62067" spans="1:1">
      <c r="A62067" s="56"/>
    </row>
    <row r="62068" spans="1:1">
      <c r="A62068" s="56"/>
    </row>
    <row r="62069" spans="1:1">
      <c r="A62069" s="56"/>
    </row>
    <row r="62070" spans="1:1">
      <c r="A62070" s="56"/>
    </row>
    <row r="62071" spans="1:1">
      <c r="A62071" s="56"/>
    </row>
    <row r="62072" spans="1:1">
      <c r="A62072" s="56"/>
    </row>
    <row r="62073" spans="1:1">
      <c r="A62073" s="56"/>
    </row>
    <row r="62074" spans="1:1">
      <c r="A62074" s="56"/>
    </row>
    <row r="62075" spans="1:1">
      <c r="A62075" s="56"/>
    </row>
    <row r="62076" spans="1:1">
      <c r="A62076" s="56"/>
    </row>
    <row r="62077" spans="1:1">
      <c r="A62077" s="56"/>
    </row>
    <row r="62078" spans="1:1">
      <c r="A62078" s="56"/>
    </row>
    <row r="62079" spans="1:1">
      <c r="A62079" s="56"/>
    </row>
    <row r="62080" spans="1:1">
      <c r="A62080" s="56"/>
    </row>
    <row r="62081" spans="1:1">
      <c r="A62081" s="56"/>
    </row>
    <row r="62082" spans="1:1">
      <c r="A62082" s="56"/>
    </row>
    <row r="62083" spans="1:1">
      <c r="A62083" s="56"/>
    </row>
    <row r="62084" spans="1:1">
      <c r="A62084" s="56"/>
    </row>
    <row r="62085" spans="1:1">
      <c r="A62085" s="56"/>
    </row>
    <row r="62086" spans="1:1">
      <c r="A62086" s="56"/>
    </row>
    <row r="62087" spans="1:1">
      <c r="A62087" s="56"/>
    </row>
    <row r="62088" spans="1:1">
      <c r="A62088" s="56"/>
    </row>
    <row r="62089" spans="1:1">
      <c r="A62089" s="56"/>
    </row>
    <row r="62090" spans="1:1">
      <c r="A62090" s="56"/>
    </row>
    <row r="62091" spans="1:1">
      <c r="A62091" s="56"/>
    </row>
    <row r="62092" spans="1:1">
      <c r="A62092" s="56"/>
    </row>
    <row r="62093" spans="1:1">
      <c r="A62093" s="56"/>
    </row>
    <row r="62094" spans="1:1">
      <c r="A62094" s="56"/>
    </row>
    <row r="62095" spans="1:1">
      <c r="A62095" s="56"/>
    </row>
    <row r="62096" spans="1:1">
      <c r="A62096" s="56"/>
    </row>
    <row r="62097" spans="1:1">
      <c r="A62097" s="56"/>
    </row>
    <row r="62098" spans="1:1">
      <c r="A62098" s="56"/>
    </row>
    <row r="62099" spans="1:1">
      <c r="A62099" s="56"/>
    </row>
    <row r="62100" spans="1:1">
      <c r="A62100" s="56"/>
    </row>
    <row r="62101" spans="1:1">
      <c r="A62101" s="56"/>
    </row>
    <row r="62102" spans="1:1">
      <c r="A62102" s="56"/>
    </row>
    <row r="62103" spans="1:1">
      <c r="A62103" s="56"/>
    </row>
    <row r="62104" spans="1:1">
      <c r="A62104" s="56"/>
    </row>
    <row r="62105" spans="1:1">
      <c r="A62105" s="56"/>
    </row>
    <row r="62106" spans="1:1">
      <c r="A62106" s="56"/>
    </row>
    <row r="62107" spans="1:1">
      <c r="A62107" s="56"/>
    </row>
    <row r="62108" spans="1:1">
      <c r="A62108" s="56"/>
    </row>
    <row r="62109" spans="1:1">
      <c r="A62109" s="56"/>
    </row>
    <row r="62110" spans="1:1">
      <c r="A62110" s="56"/>
    </row>
    <row r="62111" spans="1:1">
      <c r="A62111" s="56"/>
    </row>
    <row r="62112" spans="1:1">
      <c r="A62112" s="56"/>
    </row>
    <row r="62113" spans="1:1">
      <c r="A62113" s="56"/>
    </row>
    <row r="62114" spans="1:1">
      <c r="A62114" s="56"/>
    </row>
    <row r="62115" spans="1:1">
      <c r="A62115" s="56"/>
    </row>
    <row r="62116" spans="1:1">
      <c r="A62116" s="56"/>
    </row>
    <row r="62117" spans="1:1">
      <c r="A62117" s="56"/>
    </row>
    <row r="62118" spans="1:1">
      <c r="A62118" s="56"/>
    </row>
    <row r="62119" spans="1:1">
      <c r="A62119" s="56"/>
    </row>
    <row r="62120" spans="1:1">
      <c r="A62120" s="56"/>
    </row>
    <row r="62121" spans="1:1">
      <c r="A62121" s="56"/>
    </row>
    <row r="62122" spans="1:1">
      <c r="A62122" s="56"/>
    </row>
    <row r="62123" spans="1:1">
      <c r="A62123" s="56"/>
    </row>
    <row r="62124" spans="1:1">
      <c r="A62124" s="56"/>
    </row>
    <row r="62125" spans="1:1">
      <c r="A62125" s="56"/>
    </row>
    <row r="62126" spans="1:1">
      <c r="A62126" s="56"/>
    </row>
    <row r="62127" spans="1:1">
      <c r="A62127" s="56"/>
    </row>
    <row r="62128" spans="1:1">
      <c r="A62128" s="56"/>
    </row>
    <row r="62129" spans="1:1">
      <c r="A62129" s="56"/>
    </row>
    <row r="62130" spans="1:1">
      <c r="A62130" s="56"/>
    </row>
    <row r="62131" spans="1:1">
      <c r="A62131" s="56"/>
    </row>
    <row r="62132" spans="1:1">
      <c r="A62132" s="56"/>
    </row>
    <row r="62133" spans="1:1">
      <c r="A62133" s="56"/>
    </row>
    <row r="62134" spans="1:1">
      <c r="A62134" s="56"/>
    </row>
    <row r="62135" spans="1:1">
      <c r="A62135" s="56"/>
    </row>
    <row r="62136" spans="1:1">
      <c r="A62136" s="56"/>
    </row>
    <row r="62137" spans="1:1">
      <c r="A62137" s="56"/>
    </row>
    <row r="62138" spans="1:1">
      <c r="A62138" s="56"/>
    </row>
    <row r="62139" spans="1:1">
      <c r="A62139" s="56"/>
    </row>
    <row r="62140" spans="1:1">
      <c r="A62140" s="56"/>
    </row>
    <row r="62141" spans="1:1">
      <c r="A62141" s="56"/>
    </row>
    <row r="62142" spans="1:1">
      <c r="A62142" s="56"/>
    </row>
    <row r="62143" spans="1:1">
      <c r="A62143" s="56"/>
    </row>
    <row r="62144" spans="1:1">
      <c r="A62144" s="56"/>
    </row>
    <row r="62145" spans="1:1">
      <c r="A62145" s="56"/>
    </row>
    <row r="62146" spans="1:1">
      <c r="A62146" s="56"/>
    </row>
    <row r="62147" spans="1:1">
      <c r="A62147" s="56"/>
    </row>
    <row r="62148" spans="1:1">
      <c r="A62148" s="56"/>
    </row>
    <row r="62149" spans="1:1">
      <c r="A62149" s="56"/>
    </row>
    <row r="62150" spans="1:1">
      <c r="A62150" s="56"/>
    </row>
    <row r="62151" spans="1:1">
      <c r="A62151" s="56"/>
    </row>
    <row r="62152" spans="1:1">
      <c r="A62152" s="56"/>
    </row>
    <row r="62153" spans="1:1">
      <c r="A62153" s="56"/>
    </row>
    <row r="62154" spans="1:1">
      <c r="A62154" s="56"/>
    </row>
    <row r="62155" spans="1:1">
      <c r="A62155" s="56"/>
    </row>
    <row r="62156" spans="1:1">
      <c r="A62156" s="56"/>
    </row>
    <row r="62157" spans="1:1">
      <c r="A62157" s="56"/>
    </row>
    <row r="62158" spans="1:1">
      <c r="A62158" s="56"/>
    </row>
    <row r="62159" spans="1:1">
      <c r="A62159" s="56"/>
    </row>
    <row r="62160" spans="1:1">
      <c r="A62160" s="56"/>
    </row>
    <row r="62161" spans="1:1">
      <c r="A62161" s="56"/>
    </row>
    <row r="62162" spans="1:1">
      <c r="A62162" s="56"/>
    </row>
    <row r="62163" spans="1:1">
      <c r="A62163" s="56"/>
    </row>
    <row r="62164" spans="1:1">
      <c r="A62164" s="56"/>
    </row>
    <row r="62165" spans="1:1">
      <c r="A62165" s="56"/>
    </row>
    <row r="62166" spans="1:1">
      <c r="A62166" s="56"/>
    </row>
    <row r="62167" spans="1:1">
      <c r="A62167" s="56"/>
    </row>
    <row r="62168" spans="1:1">
      <c r="A62168" s="56"/>
    </row>
    <row r="62169" spans="1:1">
      <c r="A62169" s="56"/>
    </row>
    <row r="62170" spans="1:1">
      <c r="A62170" s="56"/>
    </row>
    <row r="62171" spans="1:1">
      <c r="A62171" s="56"/>
    </row>
    <row r="62172" spans="1:1">
      <c r="A62172" s="56"/>
    </row>
    <row r="62173" spans="1:1">
      <c r="A62173" s="56"/>
    </row>
    <row r="62174" spans="1:1">
      <c r="A62174" s="56"/>
    </row>
    <row r="62175" spans="1:1">
      <c r="A62175" s="56"/>
    </row>
    <row r="62176" spans="1:1">
      <c r="A62176" s="56"/>
    </row>
    <row r="62177" spans="1:1">
      <c r="A62177" s="56"/>
    </row>
    <row r="62178" spans="1:1">
      <c r="A62178" s="56"/>
    </row>
    <row r="62179" spans="1:1">
      <c r="A62179" s="56"/>
    </row>
    <row r="62180" spans="1:1">
      <c r="A62180" s="56"/>
    </row>
    <row r="62181" spans="1:1">
      <c r="A62181" s="56"/>
    </row>
    <row r="62182" spans="1:1">
      <c r="A62182" s="56"/>
    </row>
    <row r="62183" spans="1:1">
      <c r="A62183" s="56"/>
    </row>
    <row r="62184" spans="1:1">
      <c r="A62184" s="56"/>
    </row>
    <row r="62185" spans="1:1">
      <c r="A62185" s="56"/>
    </row>
    <row r="62186" spans="1:1">
      <c r="A62186" s="56"/>
    </row>
    <row r="62187" spans="1:1">
      <c r="A62187" s="56"/>
    </row>
    <row r="62188" spans="1:1">
      <c r="A62188" s="56"/>
    </row>
    <row r="62189" spans="1:1">
      <c r="A62189" s="56"/>
    </row>
    <row r="62190" spans="1:1">
      <c r="A62190" s="56"/>
    </row>
    <row r="62191" spans="1:1">
      <c r="A62191" s="56"/>
    </row>
    <row r="62192" spans="1:1">
      <c r="A62192" s="56"/>
    </row>
    <row r="62193" spans="1:1">
      <c r="A62193" s="56"/>
    </row>
    <row r="62194" spans="1:1">
      <c r="A62194" s="56"/>
    </row>
    <row r="62195" spans="1:1">
      <c r="A62195" s="56"/>
    </row>
    <row r="62196" spans="1:1">
      <c r="A62196" s="56"/>
    </row>
    <row r="62197" spans="1:1">
      <c r="A62197" s="56"/>
    </row>
    <row r="62198" spans="1:1">
      <c r="A62198" s="56"/>
    </row>
    <row r="62199" spans="1:1">
      <c r="A62199" s="56"/>
    </row>
    <row r="62200" spans="1:1">
      <c r="A62200" s="56"/>
    </row>
    <row r="62201" spans="1:1">
      <c r="A62201" s="56"/>
    </row>
    <row r="62202" spans="1:1">
      <c r="A62202" s="56"/>
    </row>
    <row r="62203" spans="1:1">
      <c r="A62203" s="56"/>
    </row>
    <row r="62204" spans="1:1">
      <c r="A62204" s="56"/>
    </row>
    <row r="62205" spans="1:1">
      <c r="A62205" s="56"/>
    </row>
    <row r="62206" spans="1:1">
      <c r="A62206" s="56"/>
    </row>
    <row r="62207" spans="1:1">
      <c r="A62207" s="56"/>
    </row>
    <row r="62208" spans="1:1">
      <c r="A62208" s="56"/>
    </row>
    <row r="62209" spans="1:1">
      <c r="A62209" s="56"/>
    </row>
    <row r="62210" spans="1:1">
      <c r="A62210" s="56"/>
    </row>
    <row r="62211" spans="1:1">
      <c r="A62211" s="56"/>
    </row>
    <row r="62212" spans="1:1">
      <c r="A62212" s="56"/>
    </row>
    <row r="62213" spans="1:1">
      <c r="A62213" s="56"/>
    </row>
    <row r="62214" spans="1:1">
      <c r="A62214" s="56"/>
    </row>
    <row r="62215" spans="1:1">
      <c r="A62215" s="56"/>
    </row>
    <row r="62216" spans="1:1">
      <c r="A62216" s="56"/>
    </row>
    <row r="62217" spans="1:1">
      <c r="A62217" s="56"/>
    </row>
    <row r="62218" spans="1:1">
      <c r="A62218" s="56"/>
    </row>
    <row r="62219" spans="1:1">
      <c r="A62219" s="56"/>
    </row>
    <row r="62220" spans="1:1">
      <c r="A62220" s="56"/>
    </row>
    <row r="62221" spans="1:1">
      <c r="A62221" s="56"/>
    </row>
    <row r="62222" spans="1:1">
      <c r="A62222" s="56"/>
    </row>
    <row r="62223" spans="1:1">
      <c r="A62223" s="56"/>
    </row>
    <row r="62224" spans="1:1">
      <c r="A62224" s="56"/>
    </row>
    <row r="62225" spans="1:1">
      <c r="A62225" s="56"/>
    </row>
    <row r="62226" spans="1:1">
      <c r="A62226" s="56"/>
    </row>
    <row r="62227" spans="1:1">
      <c r="A62227" s="56"/>
    </row>
    <row r="62228" spans="1:1">
      <c r="A62228" s="56"/>
    </row>
    <row r="62229" spans="1:1">
      <c r="A62229" s="56"/>
    </row>
    <row r="62230" spans="1:1">
      <c r="A62230" s="56"/>
    </row>
    <row r="62231" spans="1:1">
      <c r="A62231" s="56"/>
    </row>
    <row r="62232" spans="1:1">
      <c r="A62232" s="56"/>
    </row>
    <row r="62233" spans="1:1">
      <c r="A62233" s="56"/>
    </row>
    <row r="62234" spans="1:1">
      <c r="A62234" s="56"/>
    </row>
    <row r="62235" spans="1:1">
      <c r="A62235" s="56"/>
    </row>
    <row r="62236" spans="1:1">
      <c r="A62236" s="56"/>
    </row>
    <row r="62237" spans="1:1">
      <c r="A62237" s="56"/>
    </row>
    <row r="62238" spans="1:1">
      <c r="A62238" s="56"/>
    </row>
    <row r="62239" spans="1:1">
      <c r="A62239" s="56"/>
    </row>
    <row r="62240" spans="1:1">
      <c r="A62240" s="56"/>
    </row>
    <row r="62241" spans="1:1">
      <c r="A62241" s="56"/>
    </row>
    <row r="62242" spans="1:1">
      <c r="A62242" s="56"/>
    </row>
    <row r="62243" spans="1:1">
      <c r="A62243" s="56"/>
    </row>
    <row r="62244" spans="1:1">
      <c r="A62244" s="56"/>
    </row>
    <row r="62245" spans="1:1">
      <c r="A62245" s="56"/>
    </row>
    <row r="62246" spans="1:1">
      <c r="A62246" s="56"/>
    </row>
    <row r="62247" spans="1:1">
      <c r="A62247" s="56"/>
    </row>
    <row r="62248" spans="1:1">
      <c r="A62248" s="56"/>
    </row>
    <row r="62249" spans="1:1">
      <c r="A62249" s="56"/>
    </row>
    <row r="62250" spans="1:1">
      <c r="A62250" s="56"/>
    </row>
    <row r="62251" spans="1:1">
      <c r="A62251" s="56"/>
    </row>
    <row r="62252" spans="1:1">
      <c r="A62252" s="56"/>
    </row>
    <row r="62253" spans="1:1">
      <c r="A62253" s="56"/>
    </row>
    <row r="62254" spans="1:1">
      <c r="A62254" s="56"/>
    </row>
    <row r="62255" spans="1:1">
      <c r="A62255" s="56"/>
    </row>
    <row r="62256" spans="1:1">
      <c r="A62256" s="56"/>
    </row>
    <row r="62257" spans="1:1">
      <c r="A62257" s="56"/>
    </row>
    <row r="62258" spans="1:1">
      <c r="A62258" s="56"/>
    </row>
    <row r="62259" spans="1:1">
      <c r="A62259" s="56"/>
    </row>
    <row r="62260" spans="1:1">
      <c r="A62260" s="56"/>
    </row>
    <row r="62261" spans="1:1">
      <c r="A62261" s="56"/>
    </row>
    <row r="62262" spans="1:1">
      <c r="A62262" s="56"/>
    </row>
    <row r="62263" spans="1:1">
      <c r="A62263" s="56"/>
    </row>
    <row r="62264" spans="1:1">
      <c r="A62264" s="56"/>
    </row>
    <row r="62265" spans="1:1">
      <c r="A62265" s="56"/>
    </row>
    <row r="62266" spans="1:1">
      <c r="A62266" s="56"/>
    </row>
    <row r="62267" spans="1:1">
      <c r="A62267" s="56"/>
    </row>
    <row r="62268" spans="1:1">
      <c r="A62268" s="56"/>
    </row>
    <row r="62269" spans="1:1">
      <c r="A62269" s="56"/>
    </row>
    <row r="62270" spans="1:1">
      <c r="A62270" s="56"/>
    </row>
    <row r="62271" spans="1:1">
      <c r="A62271" s="56"/>
    </row>
    <row r="62272" spans="1:1">
      <c r="A62272" s="56"/>
    </row>
    <row r="62273" spans="1:1">
      <c r="A62273" s="56"/>
    </row>
    <row r="62274" spans="1:1">
      <c r="A62274" s="56"/>
    </row>
    <row r="62275" spans="1:1">
      <c r="A62275" s="56"/>
    </row>
    <row r="62276" spans="1:1">
      <c r="A62276" s="56"/>
    </row>
    <row r="62277" spans="1:1">
      <c r="A62277" s="56"/>
    </row>
    <row r="62278" spans="1:1">
      <c r="A62278" s="56"/>
    </row>
    <row r="62279" spans="1:1">
      <c r="A62279" s="56"/>
    </row>
    <row r="62280" spans="1:1">
      <c r="A62280" s="56"/>
    </row>
    <row r="62281" spans="1:1">
      <c r="A62281" s="56"/>
    </row>
    <row r="62282" spans="1:1">
      <c r="A62282" s="56"/>
    </row>
    <row r="62283" spans="1:1">
      <c r="A62283" s="56"/>
    </row>
    <row r="62284" spans="1:1">
      <c r="A62284" s="56"/>
    </row>
    <row r="62285" spans="1:1">
      <c r="A62285" s="56"/>
    </row>
    <row r="62286" spans="1:1">
      <c r="A62286" s="56"/>
    </row>
    <row r="62287" spans="1:1">
      <c r="A62287" s="56"/>
    </row>
    <row r="62288" spans="1:1">
      <c r="A62288" s="56"/>
    </row>
    <row r="62289" spans="1:1">
      <c r="A62289" s="56"/>
    </row>
    <row r="62290" spans="1:1">
      <c r="A62290" s="56"/>
    </row>
    <row r="62291" spans="1:1">
      <c r="A62291" s="56"/>
    </row>
    <row r="62292" spans="1:1">
      <c r="A62292" s="56"/>
    </row>
    <row r="62293" spans="1:1">
      <c r="A62293" s="56"/>
    </row>
    <row r="62294" spans="1:1">
      <c r="A62294" s="56"/>
    </row>
    <row r="62295" spans="1:1">
      <c r="A62295" s="56"/>
    </row>
    <row r="62296" spans="1:1">
      <c r="A62296" s="56"/>
    </row>
    <row r="62297" spans="1:1">
      <c r="A62297" s="56"/>
    </row>
    <row r="62298" spans="1:1">
      <c r="A62298" s="56"/>
    </row>
    <row r="62299" spans="1:1">
      <c r="A62299" s="56"/>
    </row>
    <row r="62300" spans="1:1">
      <c r="A62300" s="56"/>
    </row>
    <row r="62301" spans="1:1">
      <c r="A62301" s="56"/>
    </row>
    <row r="62302" spans="1:1">
      <c r="A62302" s="56"/>
    </row>
    <row r="62303" spans="1:1">
      <c r="A62303" s="56"/>
    </row>
    <row r="62304" spans="1:1">
      <c r="A62304" s="56"/>
    </row>
    <row r="62305" spans="1:1">
      <c r="A62305" s="56"/>
    </row>
    <row r="62306" spans="1:1">
      <c r="A62306" s="56"/>
    </row>
    <row r="62307" spans="1:1">
      <c r="A62307" s="56"/>
    </row>
    <row r="62308" spans="1:1">
      <c r="A62308" s="56"/>
    </row>
    <row r="62309" spans="1:1">
      <c r="A62309" s="56"/>
    </row>
    <row r="62310" spans="1:1">
      <c r="A62310" s="56"/>
    </row>
    <row r="62311" spans="1:1">
      <c r="A62311" s="56"/>
    </row>
    <row r="62312" spans="1:1">
      <c r="A62312" s="56"/>
    </row>
    <row r="62313" spans="1:1">
      <c r="A62313" s="56"/>
    </row>
    <row r="62314" spans="1:1">
      <c r="A62314" s="56"/>
    </row>
    <row r="62315" spans="1:1">
      <c r="A62315" s="56"/>
    </row>
    <row r="62316" spans="1:1">
      <c r="A62316" s="56"/>
    </row>
    <row r="62317" spans="1:1">
      <c r="A62317" s="56"/>
    </row>
    <row r="62318" spans="1:1">
      <c r="A62318" s="56"/>
    </row>
    <row r="62319" spans="1:1">
      <c r="A62319" s="56"/>
    </row>
    <row r="62320" spans="1:1">
      <c r="A62320" s="56"/>
    </row>
    <row r="62321" spans="1:1">
      <c r="A62321" s="56"/>
    </row>
    <row r="62322" spans="1:1">
      <c r="A62322" s="56"/>
    </row>
    <row r="62323" spans="1:1">
      <c r="A62323" s="56"/>
    </row>
    <row r="62324" spans="1:1">
      <c r="A62324" s="56"/>
    </row>
    <row r="62325" spans="1:1">
      <c r="A62325" s="56"/>
    </row>
    <row r="62326" spans="1:1">
      <c r="A62326" s="56"/>
    </row>
    <row r="62327" spans="1:1">
      <c r="A62327" s="56"/>
    </row>
    <row r="62328" spans="1:1">
      <c r="A62328" s="56"/>
    </row>
    <row r="62329" spans="1:1">
      <c r="A62329" s="56"/>
    </row>
    <row r="62330" spans="1:1">
      <c r="A62330" s="56"/>
    </row>
    <row r="62331" spans="1:1">
      <c r="A62331" s="56"/>
    </row>
    <row r="62332" spans="1:1">
      <c r="A62332" s="56"/>
    </row>
    <row r="62333" spans="1:1">
      <c r="A62333" s="56"/>
    </row>
    <row r="62334" spans="1:1">
      <c r="A62334" s="56"/>
    </row>
    <row r="62335" spans="1:1">
      <c r="A62335" s="56"/>
    </row>
    <row r="62336" spans="1:1">
      <c r="A62336" s="56"/>
    </row>
    <row r="62337" spans="1:1">
      <c r="A62337" s="56"/>
    </row>
    <row r="62338" spans="1:1">
      <c r="A62338" s="56"/>
    </row>
    <row r="62339" spans="1:1">
      <c r="A62339" s="56"/>
    </row>
    <row r="62340" spans="1:1">
      <c r="A62340" s="56"/>
    </row>
    <row r="62341" spans="1:1">
      <c r="A62341" s="56"/>
    </row>
    <row r="62342" spans="1:1">
      <c r="A62342" s="56"/>
    </row>
    <row r="62343" spans="1:1">
      <c r="A62343" s="56"/>
    </row>
    <row r="62344" spans="1:1">
      <c r="A62344" s="56"/>
    </row>
    <row r="62345" spans="1:1">
      <c r="A62345" s="56"/>
    </row>
    <row r="62346" spans="1:1">
      <c r="A62346" s="56"/>
    </row>
    <row r="62347" spans="1:1">
      <c r="A62347" s="56"/>
    </row>
    <row r="62348" spans="1:1">
      <c r="A62348" s="56"/>
    </row>
    <row r="62349" spans="1:1">
      <c r="A62349" s="56"/>
    </row>
    <row r="62350" spans="1:1">
      <c r="A62350" s="56"/>
    </row>
    <row r="62351" spans="1:1">
      <c r="A62351" s="56"/>
    </row>
    <row r="62352" spans="1:1">
      <c r="A62352" s="56"/>
    </row>
    <row r="62353" spans="1:1">
      <c r="A62353" s="56"/>
    </row>
    <row r="62354" spans="1:1">
      <c r="A62354" s="56"/>
    </row>
    <row r="62355" spans="1:1">
      <c r="A62355" s="56"/>
    </row>
    <row r="62356" spans="1:1">
      <c r="A62356" s="56"/>
    </row>
    <row r="62357" spans="1:1">
      <c r="A62357" s="56"/>
    </row>
    <row r="62358" spans="1:1">
      <c r="A62358" s="56"/>
    </row>
    <row r="62359" spans="1:1">
      <c r="A62359" s="56"/>
    </row>
    <row r="62360" spans="1:1">
      <c r="A62360" s="56"/>
    </row>
    <row r="62361" spans="1:1">
      <c r="A62361" s="56"/>
    </row>
    <row r="62362" spans="1:1">
      <c r="A62362" s="56"/>
    </row>
    <row r="62363" spans="1:1">
      <c r="A62363" s="56"/>
    </row>
    <row r="62364" spans="1:1">
      <c r="A62364" s="56"/>
    </row>
    <row r="62365" spans="1:1">
      <c r="A62365" s="56"/>
    </row>
    <row r="62366" spans="1:1">
      <c r="A62366" s="56"/>
    </row>
    <row r="62367" spans="1:1">
      <c r="A62367" s="56"/>
    </row>
    <row r="62368" spans="1:1">
      <c r="A62368" s="56"/>
    </row>
    <row r="62369" spans="1:1">
      <c r="A62369" s="56"/>
    </row>
    <row r="62370" spans="1:1">
      <c r="A62370" s="56"/>
    </row>
    <row r="62371" spans="1:1">
      <c r="A62371" s="56"/>
    </row>
    <row r="62372" spans="1:1">
      <c r="A62372" s="56"/>
    </row>
    <row r="62373" spans="1:1">
      <c r="A62373" s="56"/>
    </row>
    <row r="62374" spans="1:1">
      <c r="A62374" s="56"/>
    </row>
    <row r="62375" spans="1:1">
      <c r="A62375" s="56"/>
    </row>
    <row r="62376" spans="1:1">
      <c r="A62376" s="56"/>
    </row>
    <row r="62377" spans="1:1">
      <c r="A62377" s="56"/>
    </row>
    <row r="62378" spans="1:1">
      <c r="A62378" s="56"/>
    </row>
    <row r="62379" spans="1:1">
      <c r="A62379" s="56"/>
    </row>
    <row r="62380" spans="1:1">
      <c r="A62380" s="56"/>
    </row>
    <row r="62381" spans="1:1">
      <c r="A62381" s="56"/>
    </row>
    <row r="62382" spans="1:1">
      <c r="A62382" s="56"/>
    </row>
    <row r="62383" spans="1:1">
      <c r="A62383" s="56"/>
    </row>
    <row r="62384" spans="1:1">
      <c r="A62384" s="56"/>
    </row>
    <row r="62385" spans="1:1">
      <c r="A62385" s="56"/>
    </row>
    <row r="62386" spans="1:1">
      <c r="A62386" s="56"/>
    </row>
    <row r="62387" spans="1:1">
      <c r="A62387" s="56"/>
    </row>
    <row r="62388" spans="1:1">
      <c r="A62388" s="56"/>
    </row>
    <row r="62389" spans="1:1">
      <c r="A62389" s="56"/>
    </row>
    <row r="62390" spans="1:1">
      <c r="A62390" s="56"/>
    </row>
    <row r="62391" spans="1:1">
      <c r="A62391" s="56"/>
    </row>
    <row r="62392" spans="1:1">
      <c r="A62392" s="56"/>
    </row>
    <row r="62393" spans="1:1">
      <c r="A62393" s="56"/>
    </row>
    <row r="62394" spans="1:1">
      <c r="A62394" s="56"/>
    </row>
    <row r="62395" spans="1:1">
      <c r="A62395" s="56"/>
    </row>
    <row r="62396" spans="1:1">
      <c r="A62396" s="56"/>
    </row>
    <row r="62397" spans="1:1">
      <c r="A62397" s="56"/>
    </row>
    <row r="62398" spans="1:1">
      <c r="A62398" s="56"/>
    </row>
    <row r="62399" spans="1:1">
      <c r="A62399" s="56"/>
    </row>
    <row r="62400" spans="1:1">
      <c r="A62400" s="56"/>
    </row>
    <row r="62401" spans="1:1">
      <c r="A62401" s="56"/>
    </row>
    <row r="62402" spans="1:1">
      <c r="A62402" s="56"/>
    </row>
    <row r="62403" spans="1:1">
      <c r="A62403" s="56"/>
    </row>
    <row r="62404" spans="1:1">
      <c r="A62404" s="56"/>
    </row>
    <row r="62405" spans="1:1">
      <c r="A62405" s="56"/>
    </row>
    <row r="62406" spans="1:1">
      <c r="A62406" s="56"/>
    </row>
    <row r="62407" spans="1:1">
      <c r="A62407" s="56"/>
    </row>
    <row r="62408" spans="1:1">
      <c r="A62408" s="56"/>
    </row>
    <row r="62409" spans="1:1">
      <c r="A62409" s="56"/>
    </row>
    <row r="62410" spans="1:1">
      <c r="A62410" s="56"/>
    </row>
    <row r="62411" spans="1:1">
      <c r="A62411" s="56"/>
    </row>
    <row r="62412" spans="1:1">
      <c r="A62412" s="56"/>
    </row>
    <row r="62413" spans="1:1">
      <c r="A62413" s="56"/>
    </row>
    <row r="62414" spans="1:1">
      <c r="A62414" s="56"/>
    </row>
    <row r="62415" spans="1:1">
      <c r="A62415" s="56"/>
    </row>
    <row r="62416" spans="1:1">
      <c r="A62416" s="56"/>
    </row>
    <row r="62417" spans="1:1">
      <c r="A62417" s="56"/>
    </row>
    <row r="62418" spans="1:1">
      <c r="A62418" s="56"/>
    </row>
    <row r="62419" spans="1:1">
      <c r="A62419" s="56"/>
    </row>
    <row r="62420" spans="1:1">
      <c r="A62420" s="56"/>
    </row>
    <row r="62421" spans="1:1">
      <c r="A62421" s="56"/>
    </row>
    <row r="62422" spans="1:1">
      <c r="A62422" s="56"/>
    </row>
    <row r="62423" spans="1:1">
      <c r="A62423" s="56"/>
    </row>
    <row r="62424" spans="1:1">
      <c r="A62424" s="56"/>
    </row>
    <row r="62425" spans="1:1">
      <c r="A62425" s="56"/>
    </row>
    <row r="62426" spans="1:1">
      <c r="A62426" s="56"/>
    </row>
    <row r="62427" spans="1:1">
      <c r="A62427" s="56"/>
    </row>
    <row r="62428" spans="1:1">
      <c r="A62428" s="56"/>
    </row>
    <row r="62429" spans="1:1">
      <c r="A62429" s="56"/>
    </row>
    <row r="62430" spans="1:1">
      <c r="A62430" s="56"/>
    </row>
    <row r="62431" spans="1:1">
      <c r="A62431" s="56"/>
    </row>
    <row r="62432" spans="1:1">
      <c r="A62432" s="56"/>
    </row>
    <row r="62433" spans="1:1">
      <c r="A62433" s="56"/>
    </row>
    <row r="62434" spans="1:1">
      <c r="A62434" s="56"/>
    </row>
    <row r="62435" spans="1:1">
      <c r="A62435" s="56"/>
    </row>
    <row r="62436" spans="1:1">
      <c r="A62436" s="56"/>
    </row>
    <row r="62437" spans="1:1">
      <c r="A62437" s="56"/>
    </row>
    <row r="62438" spans="1:1">
      <c r="A62438" s="56"/>
    </row>
    <row r="62439" spans="1:1">
      <c r="A62439" s="56"/>
    </row>
    <row r="62440" spans="1:1">
      <c r="A62440" s="56"/>
    </row>
    <row r="62441" spans="1:1">
      <c r="A62441" s="56"/>
    </row>
    <row r="62442" spans="1:1">
      <c r="A62442" s="56"/>
    </row>
    <row r="62443" spans="1:1">
      <c r="A62443" s="56"/>
    </row>
    <row r="62444" spans="1:1">
      <c r="A62444" s="56"/>
    </row>
    <row r="62445" spans="1:1">
      <c r="A62445" s="56"/>
    </row>
    <row r="62446" spans="1:1">
      <c r="A62446" s="56"/>
    </row>
    <row r="62447" spans="1:1">
      <c r="A62447" s="56"/>
    </row>
    <row r="62448" spans="1:1">
      <c r="A62448" s="56"/>
    </row>
    <row r="62449" spans="1:1">
      <c r="A62449" s="56"/>
    </row>
    <row r="62450" spans="1:1">
      <c r="A62450" s="56"/>
    </row>
    <row r="62451" spans="1:1">
      <c r="A62451" s="56"/>
    </row>
    <row r="62452" spans="1:1">
      <c r="A62452" s="56"/>
    </row>
    <row r="62453" spans="1:1">
      <c r="A62453" s="56"/>
    </row>
    <row r="62454" spans="1:1">
      <c r="A62454" s="56"/>
    </row>
    <row r="62455" spans="1:1">
      <c r="A62455" s="56"/>
    </row>
    <row r="62456" spans="1:1">
      <c r="A62456" s="56"/>
    </row>
    <row r="62457" spans="1:1">
      <c r="A62457" s="56"/>
    </row>
    <row r="62458" spans="1:1">
      <c r="A62458" s="56"/>
    </row>
    <row r="62459" spans="1:1">
      <c r="A62459" s="56"/>
    </row>
    <row r="62460" spans="1:1">
      <c r="A62460" s="56"/>
    </row>
    <row r="62461" spans="1:1">
      <c r="A62461" s="56"/>
    </row>
    <row r="62462" spans="1:1">
      <c r="A62462" s="56"/>
    </row>
    <row r="62463" spans="1:1">
      <c r="A62463" s="56"/>
    </row>
    <row r="62464" spans="1:1">
      <c r="A62464" s="56"/>
    </row>
    <row r="62465" spans="1:1">
      <c r="A62465" s="56"/>
    </row>
    <row r="62466" spans="1:1">
      <c r="A62466" s="56"/>
    </row>
    <row r="62467" spans="1:1">
      <c r="A62467" s="56"/>
    </row>
    <row r="62468" spans="1:1">
      <c r="A62468" s="56"/>
    </row>
    <row r="62469" spans="1:1">
      <c r="A62469" s="56"/>
    </row>
    <row r="62470" spans="1:1">
      <c r="A62470" s="56"/>
    </row>
    <row r="62471" spans="1:1">
      <c r="A62471" s="56"/>
    </row>
    <row r="62472" spans="1:1">
      <c r="A62472" s="56"/>
    </row>
    <row r="62473" spans="1:1">
      <c r="A62473" s="56"/>
    </row>
    <row r="62474" spans="1:1">
      <c r="A62474" s="56"/>
    </row>
    <row r="62475" spans="1:1">
      <c r="A62475" s="56"/>
    </row>
    <row r="62476" spans="1:1">
      <c r="A62476" s="56"/>
    </row>
    <row r="62477" spans="1:1">
      <c r="A62477" s="56"/>
    </row>
    <row r="62478" spans="1:1">
      <c r="A62478" s="56"/>
    </row>
    <row r="62479" spans="1:1">
      <c r="A62479" s="56"/>
    </row>
    <row r="62480" spans="1:1">
      <c r="A62480" s="56"/>
    </row>
    <row r="62481" spans="1:1">
      <c r="A62481" s="56"/>
    </row>
    <row r="62482" spans="1:1">
      <c r="A62482" s="56"/>
    </row>
    <row r="62483" spans="1:1">
      <c r="A62483" s="56"/>
    </row>
    <row r="62484" spans="1:1">
      <c r="A62484" s="56"/>
    </row>
    <row r="62485" spans="1:1">
      <c r="A62485" s="56"/>
    </row>
    <row r="62486" spans="1:1">
      <c r="A62486" s="56"/>
    </row>
    <row r="62487" spans="1:1">
      <c r="A62487" s="56"/>
    </row>
    <row r="62488" spans="1:1">
      <c r="A62488" s="56"/>
    </row>
    <row r="62489" spans="1:1">
      <c r="A62489" s="56"/>
    </row>
    <row r="62490" spans="1:1">
      <c r="A62490" s="56"/>
    </row>
    <row r="62491" spans="1:1">
      <c r="A62491" s="56"/>
    </row>
    <row r="62492" spans="1:1">
      <c r="A62492" s="56"/>
    </row>
    <row r="62493" spans="1:1">
      <c r="A62493" s="56"/>
    </row>
    <row r="62494" spans="1:1">
      <c r="A62494" s="56"/>
    </row>
    <row r="62495" spans="1:1">
      <c r="A62495" s="56"/>
    </row>
    <row r="62496" spans="1:1">
      <c r="A62496" s="56"/>
    </row>
    <row r="62497" spans="1:1">
      <c r="A62497" s="56"/>
    </row>
    <row r="62498" spans="1:1">
      <c r="A62498" s="56"/>
    </row>
    <row r="62499" spans="1:1">
      <c r="A62499" s="56"/>
    </row>
    <row r="62500" spans="1:1">
      <c r="A62500" s="56"/>
    </row>
    <row r="62501" spans="1:1">
      <c r="A62501" s="56"/>
    </row>
    <row r="62502" spans="1:1">
      <c r="A62502" s="56"/>
    </row>
    <row r="62503" spans="1:1">
      <c r="A62503" s="56"/>
    </row>
    <row r="62504" spans="1:1">
      <c r="A62504" s="56"/>
    </row>
    <row r="62505" spans="1:1">
      <c r="A62505" s="56"/>
    </row>
    <row r="62506" spans="1:1">
      <c r="A62506" s="56"/>
    </row>
    <row r="62507" spans="1:1">
      <c r="A62507" s="56"/>
    </row>
    <row r="62508" spans="1:1">
      <c r="A62508" s="56"/>
    </row>
    <row r="62509" spans="1:1">
      <c r="A62509" s="56"/>
    </row>
    <row r="62510" spans="1:1">
      <c r="A62510" s="56"/>
    </row>
    <row r="62511" spans="1:1">
      <c r="A62511" s="56"/>
    </row>
    <row r="62512" spans="1:1">
      <c r="A62512" s="56"/>
    </row>
    <row r="62513" spans="1:1">
      <c r="A62513" s="56"/>
    </row>
    <row r="62514" spans="1:1">
      <c r="A62514" s="56"/>
    </row>
    <row r="62515" spans="1:1">
      <c r="A62515" s="56"/>
    </row>
    <row r="62516" spans="1:1">
      <c r="A62516" s="56"/>
    </row>
    <row r="62517" spans="1:1">
      <c r="A62517" s="56"/>
    </row>
    <row r="62518" spans="1:1">
      <c r="A62518" s="56"/>
    </row>
    <row r="62519" spans="1:1">
      <c r="A62519" s="56"/>
    </row>
    <row r="62520" spans="1:1">
      <c r="A62520" s="56"/>
    </row>
    <row r="62521" spans="1:1">
      <c r="A62521" s="56"/>
    </row>
    <row r="62522" spans="1:1">
      <c r="A62522" s="56"/>
    </row>
    <row r="62523" spans="1:1">
      <c r="A62523" s="56"/>
    </row>
    <row r="62524" spans="1:1">
      <c r="A62524" s="56"/>
    </row>
    <row r="62525" spans="1:1">
      <c r="A62525" s="56"/>
    </row>
    <row r="62526" spans="1:1">
      <c r="A62526" s="56"/>
    </row>
    <row r="62527" spans="1:1">
      <c r="A62527" s="56"/>
    </row>
    <row r="62528" spans="1:1">
      <c r="A62528" s="56"/>
    </row>
    <row r="62529" spans="1:1">
      <c r="A62529" s="56"/>
    </row>
    <row r="62530" spans="1:1">
      <c r="A62530" s="56"/>
    </row>
    <row r="62531" spans="1:1">
      <c r="A62531" s="56"/>
    </row>
    <row r="62532" spans="1:1">
      <c r="A62532" s="56"/>
    </row>
    <row r="62533" spans="1:1">
      <c r="A62533" s="56"/>
    </row>
    <row r="62534" spans="1:1">
      <c r="A62534" s="56"/>
    </row>
    <row r="62535" spans="1:1">
      <c r="A62535" s="56"/>
    </row>
    <row r="62536" spans="1:1">
      <c r="A62536" s="56"/>
    </row>
    <row r="62537" spans="1:1">
      <c r="A62537" s="56"/>
    </row>
    <row r="62538" spans="1:1">
      <c r="A62538" s="56"/>
    </row>
    <row r="62539" spans="1:1">
      <c r="A62539" s="56"/>
    </row>
    <row r="62540" spans="1:1">
      <c r="A62540" s="56"/>
    </row>
    <row r="62541" spans="1:1">
      <c r="A62541" s="56"/>
    </row>
    <row r="62542" spans="1:1">
      <c r="A62542" s="56"/>
    </row>
    <row r="62543" spans="1:1">
      <c r="A62543" s="56"/>
    </row>
    <row r="62544" spans="1:1">
      <c r="A62544" s="56"/>
    </row>
    <row r="62545" spans="1:1">
      <c r="A62545" s="56"/>
    </row>
    <row r="62546" spans="1:1">
      <c r="A62546" s="56"/>
    </row>
    <row r="62547" spans="1:1">
      <c r="A62547" s="56"/>
    </row>
    <row r="62548" spans="1:1">
      <c r="A62548" s="56"/>
    </row>
    <row r="62549" spans="1:1">
      <c r="A62549" s="56"/>
    </row>
    <row r="62550" spans="1:1">
      <c r="A62550" s="56"/>
    </row>
    <row r="62551" spans="1:1">
      <c r="A62551" s="56"/>
    </row>
    <row r="62552" spans="1:1">
      <c r="A62552" s="56"/>
    </row>
    <row r="62553" spans="1:1">
      <c r="A62553" s="56"/>
    </row>
    <row r="62554" spans="1:1">
      <c r="A62554" s="56"/>
    </row>
    <row r="62555" spans="1:1">
      <c r="A62555" s="56"/>
    </row>
    <row r="62556" spans="1:1">
      <c r="A62556" s="56"/>
    </row>
    <row r="62557" spans="1:1">
      <c r="A62557" s="56"/>
    </row>
    <row r="62558" spans="1:1">
      <c r="A62558" s="56"/>
    </row>
    <row r="62559" spans="1:1">
      <c r="A62559" s="56"/>
    </row>
    <row r="62560" spans="1:1">
      <c r="A62560" s="56"/>
    </row>
    <row r="62561" spans="1:1">
      <c r="A62561" s="56"/>
    </row>
    <row r="62562" spans="1:1">
      <c r="A62562" s="56"/>
    </row>
    <row r="62563" spans="1:1">
      <c r="A62563" s="56"/>
    </row>
    <row r="62564" spans="1:1">
      <c r="A62564" s="56"/>
    </row>
    <row r="62565" spans="1:1">
      <c r="A62565" s="56"/>
    </row>
    <row r="62566" spans="1:1">
      <c r="A62566" s="56"/>
    </row>
    <row r="62567" spans="1:1">
      <c r="A62567" s="56"/>
    </row>
    <row r="62568" spans="1:1">
      <c r="A62568" s="56"/>
    </row>
    <row r="62569" spans="1:1">
      <c r="A62569" s="56"/>
    </row>
    <row r="62570" spans="1:1">
      <c r="A62570" s="56"/>
    </row>
    <row r="62571" spans="1:1">
      <c r="A62571" s="56"/>
    </row>
    <row r="62572" spans="1:1">
      <c r="A62572" s="56"/>
    </row>
    <row r="62573" spans="1:1">
      <c r="A62573" s="56"/>
    </row>
    <row r="62574" spans="1:1">
      <c r="A62574" s="56"/>
    </row>
    <row r="62575" spans="1:1">
      <c r="A62575" s="56"/>
    </row>
    <row r="62576" spans="1:1">
      <c r="A62576" s="56"/>
    </row>
    <row r="62577" spans="1:1">
      <c r="A62577" s="56"/>
    </row>
    <row r="62578" spans="1:1">
      <c r="A62578" s="56"/>
    </row>
    <row r="62579" spans="1:1">
      <c r="A62579" s="56"/>
    </row>
    <row r="62580" spans="1:1">
      <c r="A62580" s="56"/>
    </row>
    <row r="62581" spans="1:1">
      <c r="A62581" s="56"/>
    </row>
    <row r="62582" spans="1:1">
      <c r="A62582" s="56"/>
    </row>
    <row r="62583" spans="1:1">
      <c r="A62583" s="56"/>
    </row>
    <row r="62584" spans="1:1">
      <c r="A62584" s="56"/>
    </row>
    <row r="62585" spans="1:1">
      <c r="A62585" s="56"/>
    </row>
    <row r="62586" spans="1:1">
      <c r="A62586" s="56"/>
    </row>
    <row r="62587" spans="1:1">
      <c r="A62587" s="56"/>
    </row>
    <row r="62588" spans="1:1">
      <c r="A62588" s="56"/>
    </row>
    <row r="62589" spans="1:1">
      <c r="A62589" s="56"/>
    </row>
    <row r="62590" spans="1:1">
      <c r="A62590" s="56"/>
    </row>
    <row r="62591" spans="1:1">
      <c r="A62591" s="56"/>
    </row>
    <row r="62592" spans="1:1">
      <c r="A62592" s="56"/>
    </row>
    <row r="62593" spans="1:1">
      <c r="A62593" s="56"/>
    </row>
    <row r="62594" spans="1:1">
      <c r="A62594" s="56"/>
    </row>
    <row r="62595" spans="1:1">
      <c r="A62595" s="56"/>
    </row>
    <row r="62596" spans="1:1">
      <c r="A62596" s="56"/>
    </row>
    <row r="62597" spans="1:1">
      <c r="A62597" s="56"/>
    </row>
    <row r="62598" spans="1:1">
      <c r="A62598" s="56"/>
    </row>
    <row r="62599" spans="1:1">
      <c r="A62599" s="56"/>
    </row>
    <row r="62600" spans="1:1">
      <c r="A62600" s="56"/>
    </row>
    <row r="62601" spans="1:1">
      <c r="A62601" s="56"/>
    </row>
    <row r="62602" spans="1:1">
      <c r="A62602" s="56"/>
    </row>
    <row r="62603" spans="1:1">
      <c r="A62603" s="56"/>
    </row>
    <row r="62604" spans="1:1">
      <c r="A62604" s="56"/>
    </row>
    <row r="62605" spans="1:1">
      <c r="A62605" s="56"/>
    </row>
    <row r="62606" spans="1:1">
      <c r="A62606" s="56"/>
    </row>
    <row r="62607" spans="1:1">
      <c r="A62607" s="56"/>
    </row>
    <row r="62608" spans="1:1">
      <c r="A62608" s="56"/>
    </row>
    <row r="62609" spans="1:1">
      <c r="A62609" s="56"/>
    </row>
    <row r="62610" spans="1:1">
      <c r="A62610" s="56"/>
    </row>
    <row r="62611" spans="1:1">
      <c r="A62611" s="56"/>
    </row>
    <row r="62612" spans="1:1">
      <c r="A62612" s="56"/>
    </row>
    <row r="62613" spans="1:1">
      <c r="A62613" s="56"/>
    </row>
    <row r="62614" spans="1:1">
      <c r="A62614" s="56"/>
    </row>
    <row r="62615" spans="1:1">
      <c r="A62615" s="56"/>
    </row>
    <row r="62616" spans="1:1">
      <c r="A62616" s="56"/>
    </row>
    <row r="62617" spans="1:1">
      <c r="A62617" s="56"/>
    </row>
    <row r="62618" spans="1:1">
      <c r="A62618" s="56"/>
    </row>
    <row r="62619" spans="1:1">
      <c r="A62619" s="56"/>
    </row>
    <row r="62620" spans="1:1">
      <c r="A62620" s="56"/>
    </row>
    <row r="62621" spans="1:1">
      <c r="A62621" s="56"/>
    </row>
    <row r="62622" spans="1:1">
      <c r="A62622" s="56"/>
    </row>
    <row r="62623" spans="1:1">
      <c r="A62623" s="56"/>
    </row>
    <row r="62624" spans="1:1">
      <c r="A62624" s="56"/>
    </row>
    <row r="62625" spans="1:1">
      <c r="A62625" s="56"/>
    </row>
    <row r="62626" spans="1:1">
      <c r="A62626" s="56"/>
    </row>
    <row r="62627" spans="1:1">
      <c r="A62627" s="56"/>
    </row>
    <row r="62628" spans="1:1">
      <c r="A62628" s="56"/>
    </row>
    <row r="62629" spans="1:1">
      <c r="A62629" s="56"/>
    </row>
    <row r="62630" spans="1:1">
      <c r="A62630" s="56"/>
    </row>
    <row r="62631" spans="1:1">
      <c r="A62631" s="56"/>
    </row>
    <row r="62632" spans="1:1">
      <c r="A62632" s="56"/>
    </row>
    <row r="62633" spans="1:1">
      <c r="A62633" s="56"/>
    </row>
    <row r="62634" spans="1:1">
      <c r="A62634" s="56"/>
    </row>
    <row r="62635" spans="1:1">
      <c r="A62635" s="56"/>
    </row>
    <row r="62636" spans="1:1">
      <c r="A62636" s="56"/>
    </row>
    <row r="62637" spans="1:1">
      <c r="A62637" s="56"/>
    </row>
    <row r="62638" spans="1:1">
      <c r="A62638" s="56"/>
    </row>
    <row r="62639" spans="1:1">
      <c r="A62639" s="56"/>
    </row>
    <row r="62640" spans="1:1">
      <c r="A62640" s="56"/>
    </row>
    <row r="62641" spans="1:1">
      <c r="A62641" s="56"/>
    </row>
    <row r="62642" spans="1:1">
      <c r="A62642" s="56"/>
    </row>
    <row r="62643" spans="1:1">
      <c r="A62643" s="56"/>
    </row>
    <row r="62644" spans="1:1">
      <c r="A62644" s="56"/>
    </row>
    <row r="62645" spans="1:1">
      <c r="A62645" s="56"/>
    </row>
    <row r="62646" spans="1:1">
      <c r="A62646" s="56"/>
    </row>
    <row r="62647" spans="1:1">
      <c r="A62647" s="56"/>
    </row>
    <row r="62648" spans="1:1">
      <c r="A62648" s="56"/>
    </row>
    <row r="62649" spans="1:1">
      <c r="A62649" s="56"/>
    </row>
    <row r="62650" spans="1:1">
      <c r="A62650" s="56"/>
    </row>
    <row r="62651" spans="1:1">
      <c r="A62651" s="56"/>
    </row>
    <row r="62652" spans="1:1">
      <c r="A62652" s="56"/>
    </row>
    <row r="62653" spans="1:1">
      <c r="A62653" s="56"/>
    </row>
    <row r="62654" spans="1:1">
      <c r="A62654" s="56"/>
    </row>
    <row r="62655" spans="1:1">
      <c r="A62655" s="56"/>
    </row>
    <row r="62656" spans="1:1">
      <c r="A62656" s="56"/>
    </row>
    <row r="62657" spans="1:1">
      <c r="A62657" s="56"/>
    </row>
    <row r="62658" spans="1:1">
      <c r="A62658" s="56"/>
    </row>
    <row r="62659" spans="1:1">
      <c r="A62659" s="56"/>
    </row>
    <row r="62660" spans="1:1">
      <c r="A62660" s="56"/>
    </row>
    <row r="62661" spans="1:1">
      <c r="A62661" s="56"/>
    </row>
    <row r="62662" spans="1:1">
      <c r="A62662" s="56"/>
    </row>
    <row r="62663" spans="1:1">
      <c r="A62663" s="56"/>
    </row>
    <row r="62664" spans="1:1">
      <c r="A62664" s="56"/>
    </row>
    <row r="62665" spans="1:1">
      <c r="A62665" s="56"/>
    </row>
    <row r="62666" spans="1:1">
      <c r="A62666" s="56"/>
    </row>
    <row r="62667" spans="1:1">
      <c r="A62667" s="56"/>
    </row>
    <row r="62668" spans="1:1">
      <c r="A62668" s="56"/>
    </row>
    <row r="62669" spans="1:1">
      <c r="A62669" s="56"/>
    </row>
    <row r="62670" spans="1:1">
      <c r="A62670" s="56"/>
    </row>
    <row r="62671" spans="1:1">
      <c r="A62671" s="56"/>
    </row>
    <row r="62672" spans="1:1">
      <c r="A62672" s="56"/>
    </row>
    <row r="62673" spans="1:1">
      <c r="A62673" s="56"/>
    </row>
    <row r="62674" spans="1:1">
      <c r="A62674" s="56"/>
    </row>
    <row r="62675" spans="1:1">
      <c r="A62675" s="56"/>
    </row>
    <row r="62676" spans="1:1">
      <c r="A62676" s="56"/>
    </row>
    <row r="62677" spans="1:1">
      <c r="A62677" s="56"/>
    </row>
    <row r="62678" spans="1:1">
      <c r="A62678" s="56"/>
    </row>
    <row r="62679" spans="1:1">
      <c r="A62679" s="56"/>
    </row>
    <row r="62680" spans="1:1">
      <c r="A62680" s="56"/>
    </row>
    <row r="62681" spans="1:1">
      <c r="A62681" s="56"/>
    </row>
    <row r="62682" spans="1:1">
      <c r="A62682" s="56"/>
    </row>
    <row r="62683" spans="1:1">
      <c r="A62683" s="56"/>
    </row>
    <row r="62684" spans="1:1">
      <c r="A62684" s="56"/>
    </row>
    <row r="62685" spans="1:1">
      <c r="A62685" s="56"/>
    </row>
    <row r="62686" spans="1:1">
      <c r="A62686" s="56"/>
    </row>
    <row r="62687" spans="1:1">
      <c r="A62687" s="56"/>
    </row>
    <row r="62688" spans="1:1">
      <c r="A62688" s="56"/>
    </row>
    <row r="62689" spans="1:1">
      <c r="A62689" s="56"/>
    </row>
    <row r="62690" spans="1:1">
      <c r="A62690" s="56"/>
    </row>
    <row r="62691" spans="1:1">
      <c r="A62691" s="56"/>
    </row>
    <row r="62692" spans="1:1">
      <c r="A62692" s="56"/>
    </row>
    <row r="62693" spans="1:1">
      <c r="A62693" s="56"/>
    </row>
    <row r="62694" spans="1:1">
      <c r="A62694" s="56"/>
    </row>
    <row r="62695" spans="1:1">
      <c r="A62695" s="56"/>
    </row>
    <row r="62696" spans="1:1">
      <c r="A62696" s="56"/>
    </row>
    <row r="62697" spans="1:1">
      <c r="A62697" s="56"/>
    </row>
    <row r="62698" spans="1:1">
      <c r="A62698" s="56"/>
    </row>
    <row r="62699" spans="1:1">
      <c r="A62699" s="56"/>
    </row>
    <row r="62700" spans="1:1">
      <c r="A62700" s="56"/>
    </row>
    <row r="62701" spans="1:1">
      <c r="A62701" s="56"/>
    </row>
    <row r="62702" spans="1:1">
      <c r="A62702" s="56"/>
    </row>
    <row r="62703" spans="1:1">
      <c r="A62703" s="56"/>
    </row>
    <row r="62704" spans="1:1">
      <c r="A62704" s="56"/>
    </row>
    <row r="62705" spans="1:1">
      <c r="A62705" s="56"/>
    </row>
    <row r="62706" spans="1:1">
      <c r="A62706" s="56"/>
    </row>
    <row r="62707" spans="1:1">
      <c r="A62707" s="56"/>
    </row>
    <row r="62708" spans="1:1">
      <c r="A62708" s="56"/>
    </row>
    <row r="62709" spans="1:1">
      <c r="A62709" s="56"/>
    </row>
    <row r="62710" spans="1:1">
      <c r="A62710" s="56"/>
    </row>
    <row r="62711" spans="1:1">
      <c r="A62711" s="56"/>
    </row>
    <row r="62712" spans="1:1">
      <c r="A62712" s="56"/>
    </row>
    <row r="62713" spans="1:1">
      <c r="A62713" s="56"/>
    </row>
    <row r="62714" spans="1:1">
      <c r="A62714" s="56"/>
    </row>
    <row r="62715" spans="1:1">
      <c r="A62715" s="56"/>
    </row>
    <row r="62716" spans="1:1">
      <c r="A62716" s="56"/>
    </row>
    <row r="62717" spans="1:1">
      <c r="A62717" s="56"/>
    </row>
    <row r="62718" spans="1:1">
      <c r="A62718" s="56"/>
    </row>
    <row r="62719" spans="1:1">
      <c r="A62719" s="56"/>
    </row>
    <row r="62720" spans="1:1">
      <c r="A62720" s="56"/>
    </row>
    <row r="62721" spans="1:1">
      <c r="A62721" s="56"/>
    </row>
    <row r="62722" spans="1:1">
      <c r="A62722" s="56"/>
    </row>
    <row r="62723" spans="1:1">
      <c r="A62723" s="56"/>
    </row>
    <row r="62724" spans="1:1">
      <c r="A62724" s="56"/>
    </row>
    <row r="62725" spans="1:1">
      <c r="A62725" s="56"/>
    </row>
    <row r="62726" spans="1:1">
      <c r="A62726" s="56"/>
    </row>
    <row r="62727" spans="1:1">
      <c r="A62727" s="56"/>
    </row>
    <row r="62728" spans="1:1">
      <c r="A62728" s="56"/>
    </row>
    <row r="62729" spans="1:1">
      <c r="A62729" s="56"/>
    </row>
    <row r="62730" spans="1:1">
      <c r="A62730" s="56"/>
    </row>
    <row r="62731" spans="1:1">
      <c r="A62731" s="56"/>
    </row>
    <row r="62732" spans="1:1">
      <c r="A62732" s="56"/>
    </row>
    <row r="62733" spans="1:1">
      <c r="A62733" s="56"/>
    </row>
    <row r="62734" spans="1:1">
      <c r="A62734" s="56"/>
    </row>
    <row r="62735" spans="1:1">
      <c r="A62735" s="56"/>
    </row>
    <row r="62736" spans="1:1">
      <c r="A62736" s="56"/>
    </row>
    <row r="62737" spans="1:1">
      <c r="A62737" s="56"/>
    </row>
    <row r="62738" spans="1:1">
      <c r="A62738" s="56"/>
    </row>
    <row r="62739" spans="1:1">
      <c r="A62739" s="56"/>
    </row>
    <row r="62740" spans="1:1">
      <c r="A62740" s="56"/>
    </row>
    <row r="62741" spans="1:1">
      <c r="A62741" s="56"/>
    </row>
    <row r="62742" spans="1:1">
      <c r="A62742" s="56"/>
    </row>
    <row r="62743" spans="1:1">
      <c r="A62743" s="56"/>
    </row>
    <row r="62744" spans="1:1">
      <c r="A62744" s="56"/>
    </row>
    <row r="62745" spans="1:1">
      <c r="A62745" s="56"/>
    </row>
    <row r="62746" spans="1:1">
      <c r="A62746" s="56"/>
    </row>
    <row r="62747" spans="1:1">
      <c r="A62747" s="56"/>
    </row>
    <row r="62748" spans="1:1">
      <c r="A62748" s="56"/>
    </row>
    <row r="62749" spans="1:1">
      <c r="A62749" s="56"/>
    </row>
    <row r="62750" spans="1:1">
      <c r="A62750" s="56"/>
    </row>
    <row r="62751" spans="1:1">
      <c r="A62751" s="56"/>
    </row>
    <row r="62752" spans="1:1">
      <c r="A62752" s="56"/>
    </row>
    <row r="62753" spans="1:1">
      <c r="A62753" s="56"/>
    </row>
    <row r="62754" spans="1:1">
      <c r="A62754" s="56"/>
    </row>
    <row r="62755" spans="1:1">
      <c r="A62755" s="56"/>
    </row>
    <row r="62756" spans="1:1">
      <c r="A62756" s="56"/>
    </row>
    <row r="62757" spans="1:1">
      <c r="A62757" s="56"/>
    </row>
    <row r="62758" spans="1:1">
      <c r="A62758" s="56"/>
    </row>
    <row r="62759" spans="1:1">
      <c r="A62759" s="56"/>
    </row>
    <row r="62760" spans="1:1">
      <c r="A62760" s="56"/>
    </row>
    <row r="62761" spans="1:1">
      <c r="A62761" s="56"/>
    </row>
    <row r="62762" spans="1:1">
      <c r="A62762" s="56"/>
    </row>
    <row r="62763" spans="1:1">
      <c r="A62763" s="56"/>
    </row>
    <row r="62764" spans="1:1">
      <c r="A62764" s="56"/>
    </row>
    <row r="62765" spans="1:1">
      <c r="A62765" s="56"/>
    </row>
    <row r="62766" spans="1:1">
      <c r="A62766" s="56"/>
    </row>
    <row r="62767" spans="1:1">
      <c r="A62767" s="56"/>
    </row>
    <row r="62768" spans="1:1">
      <c r="A62768" s="56"/>
    </row>
    <row r="62769" spans="1:1">
      <c r="A62769" s="56"/>
    </row>
    <row r="62770" spans="1:1">
      <c r="A62770" s="56"/>
    </row>
    <row r="62771" spans="1:1">
      <c r="A62771" s="56"/>
    </row>
    <row r="62772" spans="1:1">
      <c r="A62772" s="56"/>
    </row>
    <row r="62773" spans="1:1">
      <c r="A62773" s="56"/>
    </row>
    <row r="62774" spans="1:1">
      <c r="A62774" s="56"/>
    </row>
    <row r="62775" spans="1:1">
      <c r="A62775" s="56"/>
    </row>
    <row r="62776" spans="1:1">
      <c r="A62776" s="56"/>
    </row>
    <row r="62777" spans="1:1">
      <c r="A62777" s="56"/>
    </row>
    <row r="62778" spans="1:1">
      <c r="A62778" s="56"/>
    </row>
    <row r="62779" spans="1:1">
      <c r="A62779" s="56"/>
    </row>
    <row r="62780" spans="1:1">
      <c r="A62780" s="56"/>
    </row>
    <row r="62781" spans="1:1">
      <c r="A62781" s="56"/>
    </row>
    <row r="62782" spans="1:1">
      <c r="A62782" s="56"/>
    </row>
    <row r="62783" spans="1:1">
      <c r="A62783" s="56"/>
    </row>
    <row r="62784" spans="1:1">
      <c r="A62784" s="56"/>
    </row>
    <row r="62785" spans="1:1">
      <c r="A62785" s="56"/>
    </row>
    <row r="62786" spans="1:1">
      <c r="A62786" s="56"/>
    </row>
    <row r="62787" spans="1:1">
      <c r="A62787" s="56"/>
    </row>
    <row r="62788" spans="1:1">
      <c r="A62788" s="56"/>
    </row>
    <row r="62789" spans="1:1">
      <c r="A62789" s="56"/>
    </row>
    <row r="62790" spans="1:1">
      <c r="A62790" s="56"/>
    </row>
    <row r="62791" spans="1:1">
      <c r="A62791" s="56"/>
    </row>
    <row r="62792" spans="1:1">
      <c r="A62792" s="56"/>
    </row>
    <row r="62793" spans="1:1">
      <c r="A62793" s="56"/>
    </row>
    <row r="62794" spans="1:1">
      <c r="A62794" s="56"/>
    </row>
    <row r="62795" spans="1:1">
      <c r="A62795" s="56"/>
    </row>
    <row r="62796" spans="1:1">
      <c r="A62796" s="56"/>
    </row>
    <row r="62797" spans="1:1">
      <c r="A62797" s="56"/>
    </row>
    <row r="62798" spans="1:1">
      <c r="A62798" s="56"/>
    </row>
    <row r="62799" spans="1:1">
      <c r="A62799" s="56"/>
    </row>
    <row r="62800" spans="1:1">
      <c r="A62800" s="56"/>
    </row>
    <row r="62801" spans="1:1">
      <c r="A62801" s="56"/>
    </row>
    <row r="62802" spans="1:1">
      <c r="A62802" s="56"/>
    </row>
    <row r="62803" spans="1:1">
      <c r="A62803" s="56"/>
    </row>
    <row r="62804" spans="1:1">
      <c r="A62804" s="56"/>
    </row>
    <row r="62805" spans="1:1">
      <c r="A62805" s="56"/>
    </row>
    <row r="62806" spans="1:1">
      <c r="A62806" s="56"/>
    </row>
    <row r="62807" spans="1:1">
      <c r="A62807" s="56"/>
    </row>
    <row r="62808" spans="1:1">
      <c r="A62808" s="56"/>
    </row>
    <row r="62809" spans="1:1">
      <c r="A62809" s="56"/>
    </row>
    <row r="62810" spans="1:1">
      <c r="A62810" s="56"/>
    </row>
    <row r="62811" spans="1:1">
      <c r="A62811" s="56"/>
    </row>
    <row r="62812" spans="1:1">
      <c r="A62812" s="56"/>
    </row>
    <row r="62813" spans="1:1">
      <c r="A62813" s="56"/>
    </row>
    <row r="62814" spans="1:1">
      <c r="A62814" s="56"/>
    </row>
    <row r="62815" spans="1:1">
      <c r="A62815" s="56"/>
    </row>
    <row r="62816" spans="1:1">
      <c r="A62816" s="56"/>
    </row>
    <row r="62817" spans="1:1">
      <c r="A62817" s="56"/>
    </row>
    <row r="62818" spans="1:1">
      <c r="A62818" s="56"/>
    </row>
    <row r="62819" spans="1:1">
      <c r="A62819" s="56"/>
    </row>
    <row r="62820" spans="1:1">
      <c r="A62820" s="56"/>
    </row>
    <row r="62821" spans="1:1">
      <c r="A62821" s="56"/>
    </row>
    <row r="62822" spans="1:1">
      <c r="A62822" s="56"/>
    </row>
    <row r="62823" spans="1:1">
      <c r="A62823" s="56"/>
    </row>
    <row r="62824" spans="1:1">
      <c r="A62824" s="56"/>
    </row>
    <row r="62825" spans="1:1">
      <c r="A62825" s="56"/>
    </row>
    <row r="62826" spans="1:1">
      <c r="A62826" s="56"/>
    </row>
    <row r="62827" spans="1:1">
      <c r="A62827" s="56"/>
    </row>
    <row r="62828" spans="1:1">
      <c r="A62828" s="56"/>
    </row>
    <row r="62829" spans="1:1">
      <c r="A62829" s="56"/>
    </row>
    <row r="62830" spans="1:1">
      <c r="A62830" s="56"/>
    </row>
    <row r="62831" spans="1:1">
      <c r="A62831" s="56"/>
    </row>
    <row r="62832" spans="1:1">
      <c r="A62832" s="56"/>
    </row>
    <row r="62833" spans="1:1">
      <c r="A62833" s="56"/>
    </row>
    <row r="62834" spans="1:1">
      <c r="A62834" s="56"/>
    </row>
    <row r="62835" spans="1:1">
      <c r="A62835" s="56"/>
    </row>
    <row r="62836" spans="1:1">
      <c r="A62836" s="56"/>
    </row>
    <row r="62837" spans="1:1">
      <c r="A62837" s="56"/>
    </row>
    <row r="62838" spans="1:1">
      <c r="A62838" s="56"/>
    </row>
    <row r="62839" spans="1:1">
      <c r="A62839" s="56"/>
    </row>
    <row r="62840" spans="1:1">
      <c r="A62840" s="56"/>
    </row>
    <row r="62841" spans="1:1">
      <c r="A62841" s="56"/>
    </row>
    <row r="62842" spans="1:1">
      <c r="A62842" s="56"/>
    </row>
    <row r="62843" spans="1:1">
      <c r="A62843" s="56"/>
    </row>
    <row r="62844" spans="1:1">
      <c r="A62844" s="56"/>
    </row>
    <row r="62845" spans="1:1">
      <c r="A62845" s="56"/>
    </row>
    <row r="62846" spans="1:1">
      <c r="A62846" s="56"/>
    </row>
    <row r="62847" spans="1:1">
      <c r="A62847" s="56"/>
    </row>
    <row r="62848" spans="1:1">
      <c r="A62848" s="56"/>
    </row>
    <row r="62849" spans="1:1">
      <c r="A62849" s="56"/>
    </row>
    <row r="62850" spans="1:1">
      <c r="A62850" s="56"/>
    </row>
    <row r="62851" spans="1:1">
      <c r="A62851" s="56"/>
    </row>
    <row r="62852" spans="1:1">
      <c r="A62852" s="56"/>
    </row>
    <row r="62853" spans="1:1">
      <c r="A62853" s="56"/>
    </row>
    <row r="62854" spans="1:1">
      <c r="A62854" s="56"/>
    </row>
    <row r="62855" spans="1:1">
      <c r="A62855" s="56"/>
    </row>
    <row r="62856" spans="1:1">
      <c r="A62856" s="56"/>
    </row>
    <row r="62857" spans="1:1">
      <c r="A62857" s="56"/>
    </row>
    <row r="62858" spans="1:1">
      <c r="A62858" s="56"/>
    </row>
    <row r="62859" spans="1:1">
      <c r="A62859" s="56"/>
    </row>
    <row r="62860" spans="1:1">
      <c r="A62860" s="56"/>
    </row>
    <row r="62861" spans="1:1">
      <c r="A62861" s="56"/>
    </row>
    <row r="62862" spans="1:1">
      <c r="A62862" s="56"/>
    </row>
    <row r="62863" spans="1:1">
      <c r="A62863" s="56"/>
    </row>
    <row r="62864" spans="1:1">
      <c r="A62864" s="56"/>
    </row>
    <row r="62865" spans="1:1">
      <c r="A62865" s="56"/>
    </row>
    <row r="62866" spans="1:1">
      <c r="A62866" s="56"/>
    </row>
    <row r="62867" spans="1:1">
      <c r="A62867" s="56"/>
    </row>
    <row r="62868" spans="1:1">
      <c r="A62868" s="56"/>
    </row>
    <row r="62869" spans="1:1">
      <c r="A62869" s="56"/>
    </row>
    <row r="62870" spans="1:1">
      <c r="A62870" s="56"/>
    </row>
    <row r="62871" spans="1:1">
      <c r="A62871" s="56"/>
    </row>
    <row r="62872" spans="1:1">
      <c r="A62872" s="56"/>
    </row>
    <row r="62873" spans="1:1">
      <c r="A62873" s="56"/>
    </row>
    <row r="62874" spans="1:1">
      <c r="A62874" s="56"/>
    </row>
    <row r="62875" spans="1:1">
      <c r="A62875" s="56"/>
    </row>
    <row r="62876" spans="1:1">
      <c r="A62876" s="56"/>
    </row>
    <row r="62877" spans="1:1">
      <c r="A62877" s="56"/>
    </row>
    <row r="62878" spans="1:1">
      <c r="A62878" s="56"/>
    </row>
    <row r="62879" spans="1:1">
      <c r="A62879" s="56"/>
    </row>
    <row r="62880" spans="1:1">
      <c r="A62880" s="56"/>
    </row>
    <row r="62881" spans="1:1">
      <c r="A62881" s="56"/>
    </row>
    <row r="62882" spans="1:1">
      <c r="A62882" s="56"/>
    </row>
    <row r="62883" spans="1:1">
      <c r="A62883" s="56"/>
    </row>
    <row r="62884" spans="1:1">
      <c r="A62884" s="56"/>
    </row>
    <row r="62885" spans="1:1">
      <c r="A62885" s="56"/>
    </row>
    <row r="62886" spans="1:1">
      <c r="A62886" s="56"/>
    </row>
    <row r="62887" spans="1:1">
      <c r="A62887" s="56"/>
    </row>
    <row r="62888" spans="1:1">
      <c r="A62888" s="56"/>
    </row>
    <row r="62889" spans="1:1">
      <c r="A62889" s="56"/>
    </row>
    <row r="62890" spans="1:1">
      <c r="A62890" s="56"/>
    </row>
    <row r="62891" spans="1:1">
      <c r="A62891" s="56"/>
    </row>
    <row r="62892" spans="1:1">
      <c r="A62892" s="56"/>
    </row>
    <row r="62893" spans="1:1">
      <c r="A62893" s="56"/>
    </row>
    <row r="62894" spans="1:1">
      <c r="A62894" s="56"/>
    </row>
    <row r="62895" spans="1:1">
      <c r="A62895" s="56"/>
    </row>
    <row r="62896" spans="1:1">
      <c r="A62896" s="56"/>
    </row>
    <row r="62897" spans="1:1">
      <c r="A62897" s="56"/>
    </row>
    <row r="62898" spans="1:1">
      <c r="A62898" s="56"/>
    </row>
    <row r="62899" spans="1:1">
      <c r="A62899" s="56"/>
    </row>
    <row r="62900" spans="1:1">
      <c r="A62900" s="56"/>
    </row>
    <row r="62901" spans="1:1">
      <c r="A62901" s="56"/>
    </row>
    <row r="62902" spans="1:1">
      <c r="A62902" s="56"/>
    </row>
    <row r="62903" spans="1:1">
      <c r="A62903" s="56"/>
    </row>
    <row r="62904" spans="1:1">
      <c r="A62904" s="56"/>
    </row>
    <row r="62905" spans="1:1">
      <c r="A62905" s="56"/>
    </row>
    <row r="62906" spans="1:1">
      <c r="A62906" s="56"/>
    </row>
    <row r="62907" spans="1:1">
      <c r="A62907" s="56"/>
    </row>
    <row r="62908" spans="1:1">
      <c r="A62908" s="56"/>
    </row>
    <row r="62909" spans="1:1">
      <c r="A62909" s="56"/>
    </row>
    <row r="62910" spans="1:1">
      <c r="A62910" s="56"/>
    </row>
    <row r="62911" spans="1:1">
      <c r="A62911" s="56"/>
    </row>
    <row r="62912" spans="1:1">
      <c r="A62912" s="56"/>
    </row>
    <row r="62913" spans="1:1">
      <c r="A62913" s="56"/>
    </row>
    <row r="62914" spans="1:1">
      <c r="A62914" s="56"/>
    </row>
    <row r="62915" spans="1:1">
      <c r="A62915" s="56"/>
    </row>
    <row r="62916" spans="1:1">
      <c r="A62916" s="56"/>
    </row>
    <row r="62917" spans="1:1">
      <c r="A62917" s="56"/>
    </row>
    <row r="62918" spans="1:1">
      <c r="A62918" s="56"/>
    </row>
    <row r="62919" spans="1:1">
      <c r="A62919" s="56"/>
    </row>
    <row r="62920" spans="1:1">
      <c r="A62920" s="56"/>
    </row>
    <row r="62921" spans="1:1">
      <c r="A62921" s="56"/>
    </row>
    <row r="62922" spans="1:1">
      <c r="A62922" s="56"/>
    </row>
    <row r="62923" spans="1:1">
      <c r="A62923" s="56"/>
    </row>
    <row r="62924" spans="1:1">
      <c r="A62924" s="56"/>
    </row>
    <row r="62925" spans="1:1">
      <c r="A62925" s="56"/>
    </row>
    <row r="62926" spans="1:1">
      <c r="A62926" s="56"/>
    </row>
    <row r="62927" spans="1:1">
      <c r="A62927" s="56"/>
    </row>
    <row r="62928" spans="1:1">
      <c r="A62928" s="56"/>
    </row>
    <row r="62929" spans="1:1">
      <c r="A62929" s="56"/>
    </row>
    <row r="62930" spans="1:1">
      <c r="A62930" s="56"/>
    </row>
    <row r="62931" spans="1:1">
      <c r="A62931" s="56"/>
    </row>
    <row r="62932" spans="1:1">
      <c r="A62932" s="56"/>
    </row>
    <row r="62933" spans="1:1">
      <c r="A62933" s="56"/>
    </row>
    <row r="62934" spans="1:1">
      <c r="A62934" s="56"/>
    </row>
    <row r="62935" spans="1:1">
      <c r="A62935" s="56"/>
    </row>
    <row r="62936" spans="1:1">
      <c r="A62936" s="56"/>
    </row>
    <row r="62937" spans="1:1">
      <c r="A62937" s="56"/>
    </row>
    <row r="62938" spans="1:1">
      <c r="A62938" s="56"/>
    </row>
    <row r="62939" spans="1:1">
      <c r="A62939" s="56"/>
    </row>
    <row r="62940" spans="1:1">
      <c r="A62940" s="56"/>
    </row>
    <row r="62941" spans="1:1">
      <c r="A62941" s="56"/>
    </row>
    <row r="62942" spans="1:1">
      <c r="A62942" s="56"/>
    </row>
    <row r="62943" spans="1:1">
      <c r="A62943" s="56"/>
    </row>
    <row r="62944" spans="1:1">
      <c r="A62944" s="56"/>
    </row>
    <row r="62945" spans="1:1">
      <c r="A62945" s="56"/>
    </row>
    <row r="62946" spans="1:1">
      <c r="A62946" s="56"/>
    </row>
    <row r="62947" spans="1:1">
      <c r="A62947" s="56"/>
    </row>
    <row r="62948" spans="1:1">
      <c r="A62948" s="56"/>
    </row>
    <row r="62949" spans="1:1">
      <c r="A62949" s="56"/>
    </row>
    <row r="62950" spans="1:1">
      <c r="A62950" s="56"/>
    </row>
    <row r="62951" spans="1:1">
      <c r="A62951" s="56"/>
    </row>
    <row r="62952" spans="1:1">
      <c r="A62952" s="56"/>
    </row>
    <row r="62953" spans="1:1">
      <c r="A62953" s="56"/>
    </row>
    <row r="62954" spans="1:1">
      <c r="A62954" s="56"/>
    </row>
    <row r="62955" spans="1:1">
      <c r="A62955" s="56"/>
    </row>
    <row r="62956" spans="1:1">
      <c r="A62956" s="56"/>
    </row>
    <row r="62957" spans="1:1">
      <c r="A62957" s="56"/>
    </row>
    <row r="62958" spans="1:1">
      <c r="A62958" s="56"/>
    </row>
    <row r="62959" spans="1:1">
      <c r="A62959" s="56"/>
    </row>
    <row r="62960" spans="1:1">
      <c r="A62960" s="56"/>
    </row>
    <row r="62961" spans="1:1">
      <c r="A62961" s="56"/>
    </row>
    <row r="62962" spans="1:1">
      <c r="A62962" s="56"/>
    </row>
    <row r="62963" spans="1:1">
      <c r="A62963" s="56"/>
    </row>
    <row r="62964" spans="1:1">
      <c r="A62964" s="56"/>
    </row>
    <row r="62965" spans="1:1">
      <c r="A62965" s="56"/>
    </row>
    <row r="62966" spans="1:1">
      <c r="A62966" s="56"/>
    </row>
    <row r="62967" spans="1:1">
      <c r="A62967" s="56"/>
    </row>
    <row r="62968" spans="1:1">
      <c r="A62968" s="56"/>
    </row>
    <row r="62969" spans="1:1">
      <c r="A62969" s="56"/>
    </row>
    <row r="62970" spans="1:1">
      <c r="A62970" s="56"/>
    </row>
    <row r="62971" spans="1:1">
      <c r="A62971" s="56"/>
    </row>
    <row r="62972" spans="1:1">
      <c r="A62972" s="56"/>
    </row>
    <row r="62973" spans="1:1">
      <c r="A62973" s="56"/>
    </row>
    <row r="62974" spans="1:1">
      <c r="A62974" s="56"/>
    </row>
    <row r="62975" spans="1:1">
      <c r="A62975" s="56"/>
    </row>
    <row r="62976" spans="1:1">
      <c r="A62976" s="56"/>
    </row>
    <row r="62977" spans="1:1">
      <c r="A62977" s="56"/>
    </row>
    <row r="62978" spans="1:1">
      <c r="A62978" s="56"/>
    </row>
    <row r="62979" spans="1:1">
      <c r="A62979" s="56"/>
    </row>
    <row r="62980" spans="1:1">
      <c r="A62980" s="56"/>
    </row>
    <row r="62981" spans="1:1">
      <c r="A62981" s="56"/>
    </row>
    <row r="62982" spans="1:1">
      <c r="A62982" s="56"/>
    </row>
    <row r="62983" spans="1:1">
      <c r="A62983" s="56"/>
    </row>
    <row r="62984" spans="1:1">
      <c r="A62984" s="56"/>
    </row>
    <row r="62985" spans="1:1">
      <c r="A62985" s="56"/>
    </row>
    <row r="62986" spans="1:1">
      <c r="A62986" s="56"/>
    </row>
    <row r="62987" spans="1:1">
      <c r="A62987" s="56"/>
    </row>
    <row r="62988" spans="1:1">
      <c r="A62988" s="56"/>
    </row>
    <row r="62989" spans="1:1">
      <c r="A62989" s="56"/>
    </row>
    <row r="62990" spans="1:1">
      <c r="A62990" s="56"/>
    </row>
    <row r="62991" spans="1:1">
      <c r="A62991" s="56"/>
    </row>
    <row r="62992" spans="1:1">
      <c r="A62992" s="56"/>
    </row>
    <row r="62993" spans="1:1">
      <c r="A62993" s="56"/>
    </row>
    <row r="62994" spans="1:1">
      <c r="A62994" s="56"/>
    </row>
    <row r="62995" spans="1:1">
      <c r="A62995" s="56"/>
    </row>
    <row r="62996" spans="1:1">
      <c r="A62996" s="56"/>
    </row>
    <row r="62997" spans="1:1">
      <c r="A62997" s="56"/>
    </row>
    <row r="62998" spans="1:1">
      <c r="A62998" s="56"/>
    </row>
    <row r="62999" spans="1:1">
      <c r="A62999" s="56"/>
    </row>
    <row r="63000" spans="1:1">
      <c r="A63000" s="56"/>
    </row>
    <row r="63001" spans="1:1">
      <c r="A63001" s="56"/>
    </row>
    <row r="63002" spans="1:1">
      <c r="A63002" s="56"/>
    </row>
    <row r="63003" spans="1:1">
      <c r="A63003" s="56"/>
    </row>
    <row r="63004" spans="1:1">
      <c r="A63004" s="56"/>
    </row>
    <row r="63005" spans="1:1">
      <c r="A63005" s="56"/>
    </row>
    <row r="63006" spans="1:1">
      <c r="A63006" s="56"/>
    </row>
    <row r="63007" spans="1:1">
      <c r="A63007" s="56"/>
    </row>
    <row r="63008" spans="1:1">
      <c r="A63008" s="56"/>
    </row>
    <row r="63009" spans="1:1">
      <c r="A63009" s="56"/>
    </row>
    <row r="63010" spans="1:1">
      <c r="A63010" s="56"/>
    </row>
    <row r="63011" spans="1:1">
      <c r="A63011" s="56"/>
    </row>
    <row r="63012" spans="1:1">
      <c r="A63012" s="56"/>
    </row>
    <row r="63013" spans="1:1">
      <c r="A63013" s="56"/>
    </row>
    <row r="63014" spans="1:1">
      <c r="A63014" s="56"/>
    </row>
    <row r="63015" spans="1:1">
      <c r="A63015" s="56"/>
    </row>
    <row r="63016" spans="1:1">
      <c r="A63016" s="56"/>
    </row>
    <row r="63017" spans="1:1">
      <c r="A63017" s="56"/>
    </row>
    <row r="63018" spans="1:1">
      <c r="A63018" s="56"/>
    </row>
    <row r="63019" spans="1:1">
      <c r="A63019" s="56"/>
    </row>
    <row r="63020" spans="1:1">
      <c r="A63020" s="56"/>
    </row>
    <row r="63021" spans="1:1">
      <c r="A63021" s="56"/>
    </row>
    <row r="63022" spans="1:1">
      <c r="A63022" s="56"/>
    </row>
    <row r="63023" spans="1:1">
      <c r="A63023" s="56"/>
    </row>
    <row r="63024" spans="1:1">
      <c r="A63024" s="56"/>
    </row>
    <row r="63025" spans="1:1">
      <c r="A63025" s="56"/>
    </row>
    <row r="63026" spans="1:1">
      <c r="A63026" s="56"/>
    </row>
    <row r="63027" spans="1:1">
      <c r="A63027" s="56"/>
    </row>
    <row r="63028" spans="1:1">
      <c r="A63028" s="56"/>
    </row>
    <row r="63029" spans="1:1">
      <c r="A63029" s="56"/>
    </row>
    <row r="63030" spans="1:1">
      <c r="A63030" s="56"/>
    </row>
    <row r="63031" spans="1:1">
      <c r="A63031" s="56"/>
    </row>
    <row r="63032" spans="1:1">
      <c r="A63032" s="56"/>
    </row>
    <row r="63033" spans="1:1">
      <c r="A63033" s="56"/>
    </row>
    <row r="63034" spans="1:1">
      <c r="A63034" s="56"/>
    </row>
    <row r="63035" spans="1:1">
      <c r="A63035" s="56"/>
    </row>
    <row r="63036" spans="1:1">
      <c r="A63036" s="56"/>
    </row>
    <row r="63037" spans="1:1">
      <c r="A63037" s="56"/>
    </row>
    <row r="63038" spans="1:1">
      <c r="A63038" s="56"/>
    </row>
    <row r="63039" spans="1:1">
      <c r="A63039" s="56"/>
    </row>
    <row r="63040" spans="1:1">
      <c r="A63040" s="56"/>
    </row>
    <row r="63041" spans="1:1">
      <c r="A63041" s="56"/>
    </row>
    <row r="63042" spans="1:1">
      <c r="A63042" s="56"/>
    </row>
    <row r="63043" spans="1:1">
      <c r="A63043" s="56"/>
    </row>
    <row r="63044" spans="1:1">
      <c r="A63044" s="56"/>
    </row>
    <row r="63045" spans="1:1">
      <c r="A63045" s="56"/>
    </row>
    <row r="63046" spans="1:1">
      <c r="A63046" s="56"/>
    </row>
    <row r="63047" spans="1:1">
      <c r="A63047" s="56"/>
    </row>
    <row r="63048" spans="1:1">
      <c r="A63048" s="56"/>
    </row>
    <row r="63049" spans="1:1">
      <c r="A63049" s="56"/>
    </row>
    <row r="63050" spans="1:1">
      <c r="A63050" s="56"/>
    </row>
    <row r="63051" spans="1:1">
      <c r="A63051" s="56"/>
    </row>
    <row r="63052" spans="1:1">
      <c r="A63052" s="56"/>
    </row>
    <row r="63053" spans="1:1">
      <c r="A63053" s="56"/>
    </row>
    <row r="63054" spans="1:1">
      <c r="A63054" s="56"/>
    </row>
    <row r="63055" spans="1:1">
      <c r="A63055" s="56"/>
    </row>
    <row r="63056" spans="1:1">
      <c r="A63056" s="56"/>
    </row>
    <row r="63057" spans="1:1">
      <c r="A63057" s="56"/>
    </row>
    <row r="63058" spans="1:1">
      <c r="A63058" s="56"/>
    </row>
    <row r="63059" spans="1:1">
      <c r="A63059" s="56"/>
    </row>
    <row r="63060" spans="1:1">
      <c r="A63060" s="56"/>
    </row>
    <row r="63061" spans="1:1">
      <c r="A63061" s="56"/>
    </row>
    <row r="63062" spans="1:1">
      <c r="A63062" s="56"/>
    </row>
    <row r="63063" spans="1:1">
      <c r="A63063" s="56"/>
    </row>
    <row r="63064" spans="1:1">
      <c r="A63064" s="56"/>
    </row>
    <row r="63065" spans="1:1">
      <c r="A63065" s="56"/>
    </row>
    <row r="63066" spans="1:1">
      <c r="A63066" s="56"/>
    </row>
    <row r="63067" spans="1:1">
      <c r="A63067" s="56"/>
    </row>
    <row r="63068" spans="1:1">
      <c r="A63068" s="56"/>
    </row>
    <row r="63069" spans="1:1">
      <c r="A63069" s="56"/>
    </row>
    <row r="63070" spans="1:1">
      <c r="A63070" s="56"/>
    </row>
    <row r="63071" spans="1:1">
      <c r="A63071" s="56"/>
    </row>
    <row r="63072" spans="1:1">
      <c r="A63072" s="56"/>
    </row>
    <row r="63073" spans="1:1">
      <c r="A63073" s="56"/>
    </row>
    <row r="63074" spans="1:1">
      <c r="A63074" s="56"/>
    </row>
    <row r="63075" spans="1:1">
      <c r="A63075" s="56"/>
    </row>
    <row r="63076" spans="1:1">
      <c r="A63076" s="56"/>
    </row>
    <row r="63077" spans="1:1">
      <c r="A63077" s="56"/>
    </row>
    <row r="63078" spans="1:1">
      <c r="A63078" s="56"/>
    </row>
    <row r="63079" spans="1:1">
      <c r="A63079" s="56"/>
    </row>
    <row r="63080" spans="1:1">
      <c r="A63080" s="56"/>
    </row>
    <row r="63081" spans="1:1">
      <c r="A63081" s="56"/>
    </row>
    <row r="63082" spans="1:1">
      <c r="A63082" s="56"/>
    </row>
    <row r="63083" spans="1:1">
      <c r="A63083" s="56"/>
    </row>
    <row r="63084" spans="1:1">
      <c r="A63084" s="56"/>
    </row>
    <row r="63085" spans="1:1">
      <c r="A63085" s="56"/>
    </row>
    <row r="63086" spans="1:1">
      <c r="A63086" s="56"/>
    </row>
    <row r="63087" spans="1:1">
      <c r="A63087" s="56"/>
    </row>
    <row r="63088" spans="1:1">
      <c r="A63088" s="56"/>
    </row>
    <row r="63089" spans="1:1">
      <c r="A63089" s="56"/>
    </row>
    <row r="63090" spans="1:1">
      <c r="A63090" s="56"/>
    </row>
    <row r="63091" spans="1:1">
      <c r="A63091" s="56"/>
    </row>
    <row r="63092" spans="1:1">
      <c r="A63092" s="56"/>
    </row>
    <row r="63093" spans="1:1">
      <c r="A63093" s="56"/>
    </row>
    <row r="63094" spans="1:1">
      <c r="A63094" s="56"/>
    </row>
    <row r="63095" spans="1:1">
      <c r="A63095" s="56"/>
    </row>
    <row r="63096" spans="1:1">
      <c r="A63096" s="56"/>
    </row>
    <row r="63097" spans="1:1">
      <c r="A63097" s="56"/>
    </row>
    <row r="63098" spans="1:1">
      <c r="A63098" s="56"/>
    </row>
    <row r="63099" spans="1:1">
      <c r="A63099" s="56"/>
    </row>
    <row r="63100" spans="1:1">
      <c r="A63100" s="56"/>
    </row>
    <row r="63101" spans="1:1">
      <c r="A63101" s="56"/>
    </row>
    <row r="63102" spans="1:1">
      <c r="A63102" s="56"/>
    </row>
    <row r="63103" spans="1:1">
      <c r="A63103" s="56"/>
    </row>
    <row r="63104" spans="1:1">
      <c r="A63104" s="56"/>
    </row>
    <row r="63105" spans="1:1">
      <c r="A63105" s="56"/>
    </row>
    <row r="63106" spans="1:1">
      <c r="A63106" s="56"/>
    </row>
    <row r="63107" spans="1:1">
      <c r="A63107" s="56"/>
    </row>
    <row r="63108" spans="1:1">
      <c r="A63108" s="56"/>
    </row>
    <row r="63109" spans="1:1">
      <c r="A63109" s="56"/>
    </row>
    <row r="63110" spans="1:1">
      <c r="A63110" s="56"/>
    </row>
    <row r="63111" spans="1:1">
      <c r="A63111" s="56"/>
    </row>
    <row r="63112" spans="1:1">
      <c r="A63112" s="56"/>
    </row>
    <row r="63113" spans="1:1">
      <c r="A63113" s="56"/>
    </row>
    <row r="63114" spans="1:1">
      <c r="A63114" s="56"/>
    </row>
    <row r="63115" spans="1:1">
      <c r="A63115" s="56"/>
    </row>
    <row r="63116" spans="1:1">
      <c r="A63116" s="56"/>
    </row>
    <row r="63117" spans="1:1">
      <c r="A63117" s="56"/>
    </row>
    <row r="63118" spans="1:1">
      <c r="A63118" s="56"/>
    </row>
    <row r="63119" spans="1:1">
      <c r="A63119" s="56"/>
    </row>
    <row r="63120" spans="1:1">
      <c r="A63120" s="56"/>
    </row>
    <row r="63121" spans="1:1">
      <c r="A63121" s="56"/>
    </row>
    <row r="63122" spans="1:1">
      <c r="A63122" s="56"/>
    </row>
    <row r="63123" spans="1:1">
      <c r="A63123" s="56"/>
    </row>
    <row r="63124" spans="1:1">
      <c r="A63124" s="56"/>
    </row>
    <row r="63125" spans="1:1">
      <c r="A63125" s="56"/>
    </row>
    <row r="63126" spans="1:1">
      <c r="A63126" s="56"/>
    </row>
    <row r="63127" spans="1:1">
      <c r="A63127" s="56"/>
    </row>
    <row r="63128" spans="1:1">
      <c r="A63128" s="56"/>
    </row>
    <row r="63129" spans="1:1">
      <c r="A63129" s="56"/>
    </row>
    <row r="63130" spans="1:1">
      <c r="A63130" s="56"/>
    </row>
    <row r="63131" spans="1:1">
      <c r="A63131" s="56"/>
    </row>
    <row r="63132" spans="1:1">
      <c r="A63132" s="56"/>
    </row>
    <row r="63133" spans="1:1">
      <c r="A63133" s="56"/>
    </row>
    <row r="63134" spans="1:1">
      <c r="A63134" s="56"/>
    </row>
    <row r="63135" spans="1:1">
      <c r="A63135" s="56"/>
    </row>
    <row r="63136" spans="1:1">
      <c r="A63136" s="56"/>
    </row>
    <row r="63137" spans="1:1">
      <c r="A63137" s="56"/>
    </row>
    <row r="63138" spans="1:1">
      <c r="A63138" s="56"/>
    </row>
    <row r="63139" spans="1:1">
      <c r="A63139" s="56"/>
    </row>
    <row r="63140" spans="1:1">
      <c r="A63140" s="56"/>
    </row>
    <row r="63141" spans="1:1">
      <c r="A63141" s="56"/>
    </row>
    <row r="63142" spans="1:1">
      <c r="A63142" s="56"/>
    </row>
    <row r="63143" spans="1:1">
      <c r="A63143" s="56"/>
    </row>
    <row r="63144" spans="1:1">
      <c r="A63144" s="56"/>
    </row>
    <row r="63145" spans="1:1">
      <c r="A63145" s="56"/>
    </row>
    <row r="63146" spans="1:1">
      <c r="A63146" s="56"/>
    </row>
    <row r="63147" spans="1:1">
      <c r="A63147" s="56"/>
    </row>
    <row r="63148" spans="1:1">
      <c r="A63148" s="56"/>
    </row>
    <row r="63149" spans="1:1">
      <c r="A63149" s="56"/>
    </row>
    <row r="63150" spans="1:1">
      <c r="A63150" s="56"/>
    </row>
    <row r="63151" spans="1:1">
      <c r="A63151" s="56"/>
    </row>
    <row r="63152" spans="1:1">
      <c r="A63152" s="56"/>
    </row>
    <row r="63153" spans="1:1">
      <c r="A63153" s="56"/>
    </row>
    <row r="63154" spans="1:1">
      <c r="A63154" s="56"/>
    </row>
    <row r="63155" spans="1:1">
      <c r="A63155" s="56"/>
    </row>
    <row r="63156" spans="1:1">
      <c r="A63156" s="56"/>
    </row>
    <row r="63157" spans="1:1">
      <c r="A63157" s="56"/>
    </row>
    <row r="63158" spans="1:1">
      <c r="A63158" s="56"/>
    </row>
    <row r="63159" spans="1:1">
      <c r="A63159" s="56"/>
    </row>
    <row r="63160" spans="1:1">
      <c r="A63160" s="56"/>
    </row>
    <row r="63161" spans="1:1">
      <c r="A63161" s="56"/>
    </row>
    <row r="63162" spans="1:1">
      <c r="A63162" s="56"/>
    </row>
    <row r="63163" spans="1:1">
      <c r="A63163" s="56"/>
    </row>
    <row r="63164" spans="1:1">
      <c r="A63164" s="56"/>
    </row>
    <row r="63165" spans="1:1">
      <c r="A63165" s="56"/>
    </row>
    <row r="63166" spans="1:1">
      <c r="A63166" s="56"/>
    </row>
    <row r="63167" spans="1:1">
      <c r="A63167" s="56"/>
    </row>
    <row r="63168" spans="1:1">
      <c r="A63168" s="56"/>
    </row>
    <row r="63169" spans="1:1">
      <c r="A63169" s="56"/>
    </row>
    <row r="63170" spans="1:1">
      <c r="A63170" s="56"/>
    </row>
    <row r="63171" spans="1:1">
      <c r="A63171" s="56"/>
    </row>
    <row r="63172" spans="1:1">
      <c r="A63172" s="56"/>
    </row>
    <row r="63173" spans="1:1">
      <c r="A63173" s="56"/>
    </row>
    <row r="63174" spans="1:1">
      <c r="A63174" s="56"/>
    </row>
    <row r="63175" spans="1:1">
      <c r="A63175" s="56"/>
    </row>
    <row r="63176" spans="1:1">
      <c r="A63176" s="56"/>
    </row>
    <row r="63177" spans="1:1">
      <c r="A63177" s="56"/>
    </row>
    <row r="63178" spans="1:1">
      <c r="A63178" s="56"/>
    </row>
    <row r="63179" spans="1:1">
      <c r="A63179" s="56"/>
    </row>
    <row r="63180" spans="1:1">
      <c r="A63180" s="56"/>
    </row>
    <row r="63181" spans="1:1">
      <c r="A63181" s="56"/>
    </row>
    <row r="63182" spans="1:1">
      <c r="A63182" s="56"/>
    </row>
    <row r="63183" spans="1:1">
      <c r="A63183" s="56"/>
    </row>
    <row r="63184" spans="1:1">
      <c r="A63184" s="56"/>
    </row>
    <row r="63185" spans="1:1">
      <c r="A63185" s="56"/>
    </row>
    <row r="63186" spans="1:1">
      <c r="A63186" s="56"/>
    </row>
    <row r="63187" spans="1:1">
      <c r="A63187" s="56"/>
    </row>
    <row r="63188" spans="1:1">
      <c r="A63188" s="56"/>
    </row>
    <row r="63189" spans="1:1">
      <c r="A63189" s="56"/>
    </row>
    <row r="63190" spans="1:1">
      <c r="A63190" s="56"/>
    </row>
    <row r="63191" spans="1:1">
      <c r="A63191" s="56"/>
    </row>
    <row r="63192" spans="1:1">
      <c r="A63192" s="56"/>
    </row>
    <row r="63193" spans="1:1">
      <c r="A63193" s="56"/>
    </row>
    <row r="63194" spans="1:1">
      <c r="A63194" s="56"/>
    </row>
    <row r="63195" spans="1:1">
      <c r="A63195" s="56"/>
    </row>
    <row r="63196" spans="1:1">
      <c r="A63196" s="56"/>
    </row>
    <row r="63197" spans="1:1">
      <c r="A63197" s="56"/>
    </row>
    <row r="63198" spans="1:1">
      <c r="A63198" s="56"/>
    </row>
    <row r="63199" spans="1:1">
      <c r="A63199" s="56"/>
    </row>
    <row r="63200" spans="1:1">
      <c r="A63200" s="56"/>
    </row>
    <row r="63201" spans="1:1">
      <c r="A63201" s="56"/>
    </row>
    <row r="63202" spans="1:1">
      <c r="A63202" s="56"/>
    </row>
    <row r="63203" spans="1:1">
      <c r="A63203" s="56"/>
    </row>
    <row r="63204" spans="1:1">
      <c r="A63204" s="56"/>
    </row>
    <row r="63205" spans="1:1">
      <c r="A63205" s="56"/>
    </row>
    <row r="63206" spans="1:1">
      <c r="A63206" s="56"/>
    </row>
    <row r="63207" spans="1:1">
      <c r="A63207" s="56"/>
    </row>
    <row r="63208" spans="1:1">
      <c r="A63208" s="56"/>
    </row>
    <row r="63209" spans="1:1">
      <c r="A63209" s="56"/>
    </row>
    <row r="63210" spans="1:1">
      <c r="A63210" s="56"/>
    </row>
    <row r="63211" spans="1:1">
      <c r="A63211" s="56"/>
    </row>
    <row r="63212" spans="1:1">
      <c r="A63212" s="56"/>
    </row>
    <row r="63213" spans="1:1">
      <c r="A63213" s="56"/>
    </row>
    <row r="63214" spans="1:1">
      <c r="A63214" s="56"/>
    </row>
    <row r="63215" spans="1:1">
      <c r="A63215" s="56"/>
    </row>
    <row r="63216" spans="1:1">
      <c r="A63216" s="56"/>
    </row>
    <row r="63217" spans="1:1">
      <c r="A63217" s="56"/>
    </row>
    <row r="63218" spans="1:1">
      <c r="A63218" s="56"/>
    </row>
    <row r="63219" spans="1:1">
      <c r="A63219" s="56"/>
    </row>
    <row r="63220" spans="1:1">
      <c r="A63220" s="56"/>
    </row>
    <row r="63221" spans="1:1">
      <c r="A63221" s="56"/>
    </row>
    <row r="63222" spans="1:1">
      <c r="A63222" s="56"/>
    </row>
    <row r="63223" spans="1:1">
      <c r="A63223" s="56"/>
    </row>
    <row r="63224" spans="1:1">
      <c r="A63224" s="56"/>
    </row>
    <row r="63225" spans="1:1">
      <c r="A63225" s="56"/>
    </row>
    <row r="63226" spans="1:1">
      <c r="A63226" s="56"/>
    </row>
    <row r="63227" spans="1:1">
      <c r="A63227" s="56"/>
    </row>
    <row r="63228" spans="1:1">
      <c r="A63228" s="56"/>
    </row>
    <row r="63229" spans="1:1">
      <c r="A63229" s="56"/>
    </row>
    <row r="63230" spans="1:1">
      <c r="A63230" s="56"/>
    </row>
    <row r="63231" spans="1:1">
      <c r="A63231" s="56"/>
    </row>
    <row r="63232" spans="1:1">
      <c r="A63232" s="56"/>
    </row>
    <row r="63233" spans="1:1">
      <c r="A63233" s="56"/>
    </row>
    <row r="63234" spans="1:1">
      <c r="A63234" s="56"/>
    </row>
    <row r="63235" spans="1:1">
      <c r="A63235" s="56"/>
    </row>
    <row r="63236" spans="1:1">
      <c r="A63236" s="56"/>
    </row>
    <row r="63237" spans="1:1">
      <c r="A63237" s="56"/>
    </row>
    <row r="63238" spans="1:1">
      <c r="A63238" s="56"/>
    </row>
    <row r="63239" spans="1:1">
      <c r="A63239" s="56"/>
    </row>
    <row r="63240" spans="1:1">
      <c r="A63240" s="56"/>
    </row>
    <row r="63241" spans="1:1">
      <c r="A63241" s="56"/>
    </row>
    <row r="63242" spans="1:1">
      <c r="A63242" s="56"/>
    </row>
    <row r="63243" spans="1:1">
      <c r="A63243" s="56"/>
    </row>
    <row r="63244" spans="1:1">
      <c r="A63244" s="56"/>
    </row>
    <row r="63245" spans="1:1">
      <c r="A63245" s="56"/>
    </row>
    <row r="63246" spans="1:1">
      <c r="A63246" s="56"/>
    </row>
    <row r="63247" spans="1:1">
      <c r="A63247" s="56"/>
    </row>
    <row r="63248" spans="1:1">
      <c r="A63248" s="56"/>
    </row>
    <row r="63249" spans="1:1">
      <c r="A63249" s="56"/>
    </row>
    <row r="63250" spans="1:1">
      <c r="A63250" s="56"/>
    </row>
    <row r="63251" spans="1:1">
      <c r="A63251" s="56"/>
    </row>
    <row r="63252" spans="1:1">
      <c r="A63252" s="56"/>
    </row>
    <row r="63253" spans="1:1">
      <c r="A63253" s="56"/>
    </row>
    <row r="63254" spans="1:1">
      <c r="A63254" s="56"/>
    </row>
    <row r="63255" spans="1:1">
      <c r="A63255" s="56"/>
    </row>
    <row r="63256" spans="1:1">
      <c r="A63256" s="56"/>
    </row>
    <row r="63257" spans="1:1">
      <c r="A63257" s="56"/>
    </row>
    <row r="63258" spans="1:1">
      <c r="A63258" s="56"/>
    </row>
    <row r="63259" spans="1:1">
      <c r="A63259" s="56"/>
    </row>
    <row r="63260" spans="1:1">
      <c r="A63260" s="56"/>
    </row>
    <row r="63261" spans="1:1">
      <c r="A63261" s="56"/>
    </row>
    <row r="63262" spans="1:1">
      <c r="A63262" s="56"/>
    </row>
    <row r="63263" spans="1:1">
      <c r="A63263" s="56"/>
    </row>
    <row r="63264" spans="1:1">
      <c r="A63264" s="56"/>
    </row>
    <row r="63265" spans="1:1">
      <c r="A63265" s="56"/>
    </row>
    <row r="63266" spans="1:1">
      <c r="A63266" s="56"/>
    </row>
    <row r="63267" spans="1:1">
      <c r="A63267" s="56"/>
    </row>
    <row r="63268" spans="1:1">
      <c r="A63268" s="56"/>
    </row>
    <row r="63269" spans="1:1">
      <c r="A63269" s="56"/>
    </row>
    <row r="63270" spans="1:1">
      <c r="A63270" s="56"/>
    </row>
    <row r="63271" spans="1:1">
      <c r="A63271" s="56"/>
    </row>
    <row r="63272" spans="1:1">
      <c r="A63272" s="56"/>
    </row>
    <row r="63273" spans="1:1">
      <c r="A63273" s="56"/>
    </row>
    <row r="63274" spans="1:1">
      <c r="A63274" s="56"/>
    </row>
    <row r="63275" spans="1:1">
      <c r="A63275" s="56"/>
    </row>
    <row r="63276" spans="1:1">
      <c r="A63276" s="56"/>
    </row>
    <row r="63277" spans="1:1">
      <c r="A63277" s="56"/>
    </row>
    <row r="63278" spans="1:1">
      <c r="A63278" s="56"/>
    </row>
    <row r="63279" spans="1:1">
      <c r="A63279" s="56"/>
    </row>
    <row r="63280" spans="1:1">
      <c r="A63280" s="56"/>
    </row>
    <row r="63281" spans="1:1">
      <c r="A63281" s="56"/>
    </row>
    <row r="63282" spans="1:1">
      <c r="A63282" s="56"/>
    </row>
    <row r="63283" spans="1:1">
      <c r="A63283" s="56"/>
    </row>
    <row r="63284" spans="1:1">
      <c r="A63284" s="56"/>
    </row>
    <row r="63285" spans="1:1">
      <c r="A63285" s="56"/>
    </row>
    <row r="63286" spans="1:1">
      <c r="A63286" s="56"/>
    </row>
    <row r="63287" spans="1:1">
      <c r="A63287" s="56"/>
    </row>
    <row r="63288" spans="1:1">
      <c r="A63288" s="56"/>
    </row>
    <row r="63289" spans="1:1">
      <c r="A63289" s="56"/>
    </row>
    <row r="63290" spans="1:1">
      <c r="A63290" s="56"/>
    </row>
    <row r="63291" spans="1:1">
      <c r="A63291" s="56"/>
    </row>
    <row r="63292" spans="1:1">
      <c r="A63292" s="56"/>
    </row>
    <row r="63293" spans="1:1">
      <c r="A63293" s="56"/>
    </row>
    <row r="63294" spans="1:1">
      <c r="A63294" s="56"/>
    </row>
    <row r="63295" spans="1:1">
      <c r="A63295" s="56"/>
    </row>
    <row r="63296" spans="1:1">
      <c r="A63296" s="56"/>
    </row>
    <row r="63297" spans="1:1">
      <c r="A63297" s="56"/>
    </row>
    <row r="63298" spans="1:1">
      <c r="A63298" s="56"/>
    </row>
    <row r="63299" spans="1:1">
      <c r="A63299" s="56"/>
    </row>
    <row r="63300" spans="1:1">
      <c r="A63300" s="56"/>
    </row>
    <row r="63301" spans="1:1">
      <c r="A63301" s="56"/>
    </row>
    <row r="63302" spans="1:1">
      <c r="A63302" s="56"/>
    </row>
    <row r="63303" spans="1:1">
      <c r="A63303" s="56"/>
    </row>
    <row r="63304" spans="1:1">
      <c r="A63304" s="56"/>
    </row>
    <row r="63305" spans="1:1">
      <c r="A63305" s="56"/>
    </row>
    <row r="63306" spans="1:1">
      <c r="A63306" s="56"/>
    </row>
    <row r="63307" spans="1:1">
      <c r="A63307" s="56"/>
    </row>
    <row r="63308" spans="1:1">
      <c r="A63308" s="56"/>
    </row>
    <row r="63309" spans="1:1">
      <c r="A63309" s="56"/>
    </row>
    <row r="63310" spans="1:1">
      <c r="A63310" s="56"/>
    </row>
    <row r="63311" spans="1:1">
      <c r="A63311" s="56"/>
    </row>
    <row r="63312" spans="1:1">
      <c r="A63312" s="56"/>
    </row>
    <row r="63313" spans="1:1">
      <c r="A63313" s="56"/>
    </row>
    <row r="63314" spans="1:1">
      <c r="A63314" s="56"/>
    </row>
    <row r="63315" spans="1:1">
      <c r="A63315" s="56"/>
    </row>
    <row r="63316" spans="1:1">
      <c r="A63316" s="56"/>
    </row>
    <row r="63317" spans="1:1">
      <c r="A63317" s="56"/>
    </row>
    <row r="63318" spans="1:1">
      <c r="A63318" s="56"/>
    </row>
    <row r="63319" spans="1:1">
      <c r="A63319" s="56"/>
    </row>
    <row r="63320" spans="1:1">
      <c r="A63320" s="56"/>
    </row>
    <row r="63321" spans="1:1">
      <c r="A63321" s="56"/>
    </row>
    <row r="63322" spans="1:1">
      <c r="A63322" s="56"/>
    </row>
    <row r="63323" spans="1:1">
      <c r="A63323" s="56"/>
    </row>
    <row r="63324" spans="1:1">
      <c r="A63324" s="56"/>
    </row>
    <row r="63325" spans="1:1">
      <c r="A63325" s="56"/>
    </row>
    <row r="63326" spans="1:1">
      <c r="A63326" s="56"/>
    </row>
    <row r="63327" spans="1:1">
      <c r="A63327" s="56"/>
    </row>
    <row r="63328" spans="1:1">
      <c r="A63328" s="56"/>
    </row>
    <row r="63329" spans="1:1">
      <c r="A63329" s="56"/>
    </row>
    <row r="63330" spans="1:1">
      <c r="A63330" s="56"/>
    </row>
    <row r="63331" spans="1:1">
      <c r="A63331" s="56"/>
    </row>
    <row r="63332" spans="1:1">
      <c r="A63332" s="56"/>
    </row>
    <row r="63333" spans="1:1">
      <c r="A63333" s="56"/>
    </row>
    <row r="63334" spans="1:1">
      <c r="A63334" s="56"/>
    </row>
    <row r="63335" spans="1:1">
      <c r="A63335" s="56"/>
    </row>
    <row r="63336" spans="1:1">
      <c r="A63336" s="56"/>
    </row>
    <row r="63337" spans="1:1">
      <c r="A63337" s="56"/>
    </row>
    <row r="63338" spans="1:1">
      <c r="A63338" s="56"/>
    </row>
    <row r="63339" spans="1:1">
      <c r="A63339" s="56"/>
    </row>
    <row r="63340" spans="1:1">
      <c r="A63340" s="56"/>
    </row>
    <row r="63341" spans="1:1">
      <c r="A63341" s="56"/>
    </row>
    <row r="63342" spans="1:1">
      <c r="A63342" s="56"/>
    </row>
    <row r="63343" spans="1:1">
      <c r="A63343" s="56"/>
    </row>
    <row r="63344" spans="1:1">
      <c r="A63344" s="56"/>
    </row>
    <row r="63345" spans="1:1">
      <c r="A63345" s="56"/>
    </row>
    <row r="63346" spans="1:1">
      <c r="A63346" s="56"/>
    </row>
    <row r="63347" spans="1:1">
      <c r="A63347" s="56"/>
    </row>
    <row r="63348" spans="1:1">
      <c r="A63348" s="56"/>
    </row>
    <row r="63349" spans="1:1">
      <c r="A63349" s="56"/>
    </row>
    <row r="63350" spans="1:1">
      <c r="A63350" s="56"/>
    </row>
    <row r="63351" spans="1:1">
      <c r="A63351" s="56"/>
    </row>
    <row r="63352" spans="1:1">
      <c r="A63352" s="56"/>
    </row>
    <row r="63353" spans="1:1">
      <c r="A63353" s="56"/>
    </row>
    <row r="63354" spans="1:1">
      <c r="A63354" s="56"/>
    </row>
    <row r="63355" spans="1:1">
      <c r="A63355" s="56"/>
    </row>
    <row r="63356" spans="1:1">
      <c r="A63356" s="56"/>
    </row>
    <row r="63357" spans="1:1">
      <c r="A63357" s="56"/>
    </row>
    <row r="63358" spans="1:1">
      <c r="A63358" s="56"/>
    </row>
    <row r="63359" spans="1:1">
      <c r="A63359" s="56"/>
    </row>
    <row r="63360" spans="1:1">
      <c r="A63360" s="56"/>
    </row>
    <row r="63361" spans="1:1">
      <c r="A63361" s="56"/>
    </row>
    <row r="63362" spans="1:1">
      <c r="A63362" s="56"/>
    </row>
    <row r="63363" spans="1:1">
      <c r="A63363" s="56"/>
    </row>
    <row r="63364" spans="1:1">
      <c r="A63364" s="56"/>
    </row>
    <row r="63365" spans="1:1">
      <c r="A63365" s="56"/>
    </row>
    <row r="63366" spans="1:1">
      <c r="A63366" s="56"/>
    </row>
    <row r="63367" spans="1:1">
      <c r="A63367" s="56"/>
    </row>
    <row r="63368" spans="1:1">
      <c r="A63368" s="56"/>
    </row>
    <row r="63369" spans="1:1">
      <c r="A63369" s="56"/>
    </row>
    <row r="63370" spans="1:1">
      <c r="A63370" s="56"/>
    </row>
    <row r="63371" spans="1:1">
      <c r="A63371" s="56"/>
    </row>
    <row r="63372" spans="1:1">
      <c r="A63372" s="56"/>
    </row>
    <row r="63373" spans="1:1">
      <c r="A63373" s="56"/>
    </row>
    <row r="63374" spans="1:1">
      <c r="A63374" s="56"/>
    </row>
    <row r="63375" spans="1:1">
      <c r="A63375" s="56"/>
    </row>
    <row r="63376" spans="1:1">
      <c r="A63376" s="56"/>
    </row>
    <row r="63377" spans="1:1">
      <c r="A63377" s="56"/>
    </row>
    <row r="63378" spans="1:1">
      <c r="A63378" s="56"/>
    </row>
    <row r="63379" spans="1:1">
      <c r="A63379" s="56"/>
    </row>
    <row r="63380" spans="1:1">
      <c r="A63380" s="56"/>
    </row>
    <row r="63381" spans="1:1">
      <c r="A63381" s="56"/>
    </row>
    <row r="63382" spans="1:1">
      <c r="A63382" s="56"/>
    </row>
    <row r="63383" spans="1:1">
      <c r="A63383" s="56"/>
    </row>
    <row r="63384" spans="1:1">
      <c r="A63384" s="56"/>
    </row>
    <row r="63385" spans="1:1">
      <c r="A63385" s="56"/>
    </row>
    <row r="63386" spans="1:1">
      <c r="A63386" s="56"/>
    </row>
    <row r="63387" spans="1:1">
      <c r="A63387" s="56"/>
    </row>
    <row r="63388" spans="1:1">
      <c r="A63388" s="56"/>
    </row>
    <row r="63389" spans="1:1">
      <c r="A63389" s="56"/>
    </row>
    <row r="63390" spans="1:1">
      <c r="A63390" s="56"/>
    </row>
    <row r="63391" spans="1:1">
      <c r="A63391" s="56"/>
    </row>
    <row r="63392" spans="1:1">
      <c r="A63392" s="56"/>
    </row>
    <row r="63393" spans="1:1">
      <c r="A63393" s="56"/>
    </row>
    <row r="63394" spans="1:1">
      <c r="A63394" s="56"/>
    </row>
    <row r="63395" spans="1:1">
      <c r="A63395" s="56"/>
    </row>
    <row r="63396" spans="1:1">
      <c r="A63396" s="56"/>
    </row>
    <row r="63397" spans="1:1">
      <c r="A63397" s="56"/>
    </row>
    <row r="63398" spans="1:1">
      <c r="A63398" s="56"/>
    </row>
    <row r="63399" spans="1:1">
      <c r="A63399" s="56"/>
    </row>
    <row r="63400" spans="1:1">
      <c r="A63400" s="56"/>
    </row>
    <row r="63401" spans="1:1">
      <c r="A63401" s="56"/>
    </row>
    <row r="63402" spans="1:1">
      <c r="A63402" s="56"/>
    </row>
    <row r="63403" spans="1:1">
      <c r="A63403" s="56"/>
    </row>
    <row r="63404" spans="1:1">
      <c r="A63404" s="56"/>
    </row>
    <row r="63405" spans="1:1">
      <c r="A63405" s="56"/>
    </row>
    <row r="63406" spans="1:1">
      <c r="A63406" s="56"/>
    </row>
    <row r="63407" spans="1:1">
      <c r="A63407" s="56"/>
    </row>
    <row r="63408" spans="1:1">
      <c r="A63408" s="56"/>
    </row>
    <row r="63409" spans="1:1">
      <c r="A63409" s="56"/>
    </row>
    <row r="63410" spans="1:1">
      <c r="A63410" s="56"/>
    </row>
    <row r="63411" spans="1:1">
      <c r="A63411" s="56"/>
    </row>
    <row r="63412" spans="1:1">
      <c r="A63412" s="56"/>
    </row>
    <row r="63413" spans="1:1">
      <c r="A63413" s="56"/>
    </row>
    <row r="63414" spans="1:1">
      <c r="A63414" s="56"/>
    </row>
    <row r="63415" spans="1:1">
      <c r="A63415" s="56"/>
    </row>
    <row r="63416" spans="1:1">
      <c r="A63416" s="56"/>
    </row>
    <row r="63417" spans="1:1">
      <c r="A63417" s="56"/>
    </row>
    <row r="63418" spans="1:1">
      <c r="A63418" s="56"/>
    </row>
    <row r="63419" spans="1:1">
      <c r="A63419" s="56"/>
    </row>
    <row r="63420" spans="1:1">
      <c r="A63420" s="56"/>
    </row>
    <row r="63421" spans="1:1">
      <c r="A63421" s="56"/>
    </row>
    <row r="63422" spans="1:1">
      <c r="A63422" s="56"/>
    </row>
    <row r="63423" spans="1:1">
      <c r="A63423" s="56"/>
    </row>
    <row r="63424" spans="1:1">
      <c r="A63424" s="56"/>
    </row>
    <row r="63425" spans="1:1">
      <c r="A63425" s="56"/>
    </row>
    <row r="63426" spans="1:1">
      <c r="A63426" s="56"/>
    </row>
    <row r="63427" spans="1:1">
      <c r="A63427" s="56"/>
    </row>
    <row r="63428" spans="1:1">
      <c r="A63428" s="56"/>
    </row>
    <row r="63429" spans="1:1">
      <c r="A63429" s="56"/>
    </row>
    <row r="63430" spans="1:1">
      <c r="A63430" s="56"/>
    </row>
    <row r="63431" spans="1:1">
      <c r="A63431" s="56"/>
    </row>
    <row r="63432" spans="1:1">
      <c r="A63432" s="56"/>
    </row>
    <row r="63433" spans="1:1">
      <c r="A63433" s="56"/>
    </row>
    <row r="63434" spans="1:1">
      <c r="A63434" s="56"/>
    </row>
    <row r="63435" spans="1:1">
      <c r="A63435" s="56"/>
    </row>
    <row r="63436" spans="1:1">
      <c r="A63436" s="56"/>
    </row>
    <row r="63437" spans="1:1">
      <c r="A63437" s="56"/>
    </row>
    <row r="63438" spans="1:1">
      <c r="A63438" s="56"/>
    </row>
    <row r="63439" spans="1:1">
      <c r="A63439" s="56"/>
    </row>
    <row r="63440" spans="1:1">
      <c r="A63440" s="56"/>
    </row>
    <row r="63441" spans="1:1">
      <c r="A63441" s="56"/>
    </row>
    <row r="63442" spans="1:1">
      <c r="A63442" s="56"/>
    </row>
    <row r="63443" spans="1:1">
      <c r="A63443" s="56"/>
    </row>
    <row r="63444" spans="1:1">
      <c r="A63444" s="56"/>
    </row>
    <row r="63445" spans="1:1">
      <c r="A63445" s="56"/>
    </row>
    <row r="63446" spans="1:1">
      <c r="A63446" s="56"/>
    </row>
    <row r="63447" spans="1:1">
      <c r="A63447" s="56"/>
    </row>
    <row r="63448" spans="1:1">
      <c r="A63448" s="56"/>
    </row>
    <row r="63449" spans="1:1">
      <c r="A63449" s="56"/>
    </row>
    <row r="63450" spans="1:1">
      <c r="A63450" s="56"/>
    </row>
    <row r="63451" spans="1:1">
      <c r="A63451" s="56"/>
    </row>
    <row r="63452" spans="1:1">
      <c r="A63452" s="56"/>
    </row>
    <row r="63453" spans="1:1">
      <c r="A63453" s="56"/>
    </row>
    <row r="63454" spans="1:1">
      <c r="A63454" s="56"/>
    </row>
    <row r="63455" spans="1:1">
      <c r="A63455" s="56"/>
    </row>
    <row r="63456" spans="1:1">
      <c r="A63456" s="56"/>
    </row>
    <row r="63457" spans="1:1">
      <c r="A63457" s="56"/>
    </row>
    <row r="63458" spans="1:1">
      <c r="A63458" s="56"/>
    </row>
    <row r="63459" spans="1:1">
      <c r="A63459" s="56"/>
    </row>
    <row r="63460" spans="1:1">
      <c r="A63460" s="56"/>
    </row>
    <row r="63461" spans="1:1">
      <c r="A63461" s="56"/>
    </row>
    <row r="63462" spans="1:1">
      <c r="A63462" s="56"/>
    </row>
    <row r="63463" spans="1:1">
      <c r="A63463" s="56"/>
    </row>
    <row r="63464" spans="1:1">
      <c r="A63464" s="56"/>
    </row>
    <row r="63465" spans="1:1">
      <c r="A63465" s="56"/>
    </row>
    <row r="63466" spans="1:1">
      <c r="A63466" s="56"/>
    </row>
    <row r="63467" spans="1:1">
      <c r="A63467" s="56"/>
    </row>
    <row r="63468" spans="1:1">
      <c r="A63468" s="56"/>
    </row>
    <row r="63469" spans="1:1">
      <c r="A63469" s="56"/>
    </row>
    <row r="63470" spans="1:1">
      <c r="A63470" s="56"/>
    </row>
    <row r="63471" spans="1:1">
      <c r="A63471" s="56"/>
    </row>
    <row r="63472" spans="1:1">
      <c r="A63472" s="56"/>
    </row>
    <row r="63473" spans="1:1">
      <c r="A63473" s="56"/>
    </row>
    <row r="63474" spans="1:1">
      <c r="A63474" s="56"/>
    </row>
    <row r="63475" spans="1:1">
      <c r="A63475" s="56"/>
    </row>
    <row r="63476" spans="1:1">
      <c r="A63476" s="56"/>
    </row>
    <row r="63477" spans="1:1">
      <c r="A63477" s="56"/>
    </row>
    <row r="63478" spans="1:1">
      <c r="A63478" s="56"/>
    </row>
    <row r="63479" spans="1:1">
      <c r="A63479" s="56"/>
    </row>
    <row r="63480" spans="1:1">
      <c r="A63480" s="56"/>
    </row>
    <row r="63481" spans="1:1">
      <c r="A63481" s="56"/>
    </row>
    <row r="63482" spans="1:1">
      <c r="A63482" s="56"/>
    </row>
    <row r="63483" spans="1:1">
      <c r="A63483" s="56"/>
    </row>
    <row r="63484" spans="1:1">
      <c r="A63484" s="56"/>
    </row>
    <row r="63485" spans="1:1">
      <c r="A63485" s="56"/>
    </row>
    <row r="63486" spans="1:1">
      <c r="A63486" s="56"/>
    </row>
    <row r="63487" spans="1:1">
      <c r="A63487" s="56"/>
    </row>
    <row r="63488" spans="1:1">
      <c r="A63488" s="56"/>
    </row>
    <row r="63489" spans="1:1">
      <c r="A63489" s="56"/>
    </row>
    <row r="63490" spans="1:1">
      <c r="A63490" s="56"/>
    </row>
    <row r="63491" spans="1:1">
      <c r="A63491" s="56"/>
    </row>
    <row r="63492" spans="1:1">
      <c r="A63492" s="56"/>
    </row>
    <row r="63493" spans="1:1">
      <c r="A63493" s="56"/>
    </row>
    <row r="63494" spans="1:1">
      <c r="A63494" s="56"/>
    </row>
    <row r="63495" spans="1:1">
      <c r="A63495" s="56"/>
    </row>
    <row r="63496" spans="1:1">
      <c r="A63496" s="56"/>
    </row>
    <row r="63497" spans="1:1">
      <c r="A63497" s="56"/>
    </row>
    <row r="63498" spans="1:1">
      <c r="A63498" s="56"/>
    </row>
    <row r="63499" spans="1:1">
      <c r="A63499" s="56"/>
    </row>
    <row r="63500" spans="1:1">
      <c r="A63500" s="56"/>
    </row>
    <row r="63501" spans="1:1">
      <c r="A63501" s="56"/>
    </row>
    <row r="63502" spans="1:1">
      <c r="A63502" s="56"/>
    </row>
    <row r="63503" spans="1:1">
      <c r="A63503" s="56"/>
    </row>
    <row r="63504" spans="1:1">
      <c r="A63504" s="56"/>
    </row>
    <row r="63505" spans="1:1">
      <c r="A63505" s="56"/>
    </row>
    <row r="63506" spans="1:1">
      <c r="A63506" s="56"/>
    </row>
    <row r="63507" spans="1:1">
      <c r="A63507" s="56"/>
    </row>
    <row r="63508" spans="1:1">
      <c r="A63508" s="56"/>
    </row>
    <row r="63509" spans="1:1">
      <c r="A63509" s="56"/>
    </row>
    <row r="63510" spans="1:1">
      <c r="A63510" s="56"/>
    </row>
    <row r="63511" spans="1:1">
      <c r="A63511" s="56"/>
    </row>
    <row r="63512" spans="1:1">
      <c r="A63512" s="56"/>
    </row>
    <row r="63513" spans="1:1">
      <c r="A63513" s="56"/>
    </row>
    <row r="63514" spans="1:1">
      <c r="A63514" s="56"/>
    </row>
    <row r="63515" spans="1:1">
      <c r="A63515" s="56"/>
    </row>
    <row r="63516" spans="1:1">
      <c r="A63516" s="56"/>
    </row>
    <row r="63517" spans="1:1">
      <c r="A63517" s="56"/>
    </row>
    <row r="63518" spans="1:1">
      <c r="A63518" s="56"/>
    </row>
    <row r="63519" spans="1:1">
      <c r="A63519" s="56"/>
    </row>
    <row r="63520" spans="1:1">
      <c r="A63520" s="56"/>
    </row>
    <row r="63521" spans="1:1">
      <c r="A63521" s="56"/>
    </row>
    <row r="63522" spans="1:1">
      <c r="A63522" s="56"/>
    </row>
    <row r="63523" spans="1:1">
      <c r="A63523" s="56"/>
    </row>
    <row r="63524" spans="1:1">
      <c r="A63524" s="56"/>
    </row>
    <row r="63525" spans="1:1">
      <c r="A63525" s="56"/>
    </row>
    <row r="63526" spans="1:1">
      <c r="A63526" s="56"/>
    </row>
    <row r="63527" spans="1:1">
      <c r="A63527" s="56"/>
    </row>
    <row r="63528" spans="1:1">
      <c r="A63528" s="56"/>
    </row>
    <row r="63529" spans="1:1">
      <c r="A63529" s="56"/>
    </row>
    <row r="63530" spans="1:1">
      <c r="A63530" s="56"/>
    </row>
    <row r="63531" spans="1:1">
      <c r="A63531" s="56"/>
    </row>
    <row r="63532" spans="1:1">
      <c r="A63532" s="56"/>
    </row>
    <row r="63533" spans="1:1">
      <c r="A63533" s="56"/>
    </row>
    <row r="63534" spans="1:1">
      <c r="A63534" s="56"/>
    </row>
    <row r="63535" spans="1:1">
      <c r="A63535" s="56"/>
    </row>
    <row r="63536" spans="1:1">
      <c r="A63536" s="56"/>
    </row>
    <row r="63537" spans="1:1">
      <c r="A63537" s="56"/>
    </row>
    <row r="63538" spans="1:1">
      <c r="A63538" s="56"/>
    </row>
    <row r="63539" spans="1:1">
      <c r="A63539" s="56"/>
    </row>
    <row r="63540" spans="1:1">
      <c r="A63540" s="56"/>
    </row>
    <row r="63541" spans="1:1">
      <c r="A63541" s="56"/>
    </row>
    <row r="63542" spans="1:1">
      <c r="A63542" s="56"/>
    </row>
    <row r="63543" spans="1:1">
      <c r="A63543" s="56"/>
    </row>
    <row r="63544" spans="1:1">
      <c r="A63544" s="56"/>
    </row>
    <row r="63545" spans="1:1">
      <c r="A63545" s="56"/>
    </row>
    <row r="63546" spans="1:1">
      <c r="A63546" s="56"/>
    </row>
    <row r="63547" spans="1:1">
      <c r="A63547" s="56"/>
    </row>
    <row r="63548" spans="1:1">
      <c r="A63548" s="56"/>
    </row>
    <row r="63549" spans="1:1">
      <c r="A63549" s="56"/>
    </row>
    <row r="63550" spans="1:1">
      <c r="A63550" s="56"/>
    </row>
    <row r="63551" spans="1:1">
      <c r="A63551" s="56"/>
    </row>
    <row r="63552" spans="1:1">
      <c r="A63552" s="56"/>
    </row>
    <row r="63553" spans="1:1">
      <c r="A63553" s="56"/>
    </row>
    <row r="63554" spans="1:1">
      <c r="A63554" s="56"/>
    </row>
    <row r="63555" spans="1:1">
      <c r="A63555" s="56"/>
    </row>
    <row r="63556" spans="1:1">
      <c r="A63556" s="56"/>
    </row>
    <row r="63557" spans="1:1">
      <c r="A63557" s="56"/>
    </row>
    <row r="63558" spans="1:1">
      <c r="A63558" s="56"/>
    </row>
    <row r="63559" spans="1:1">
      <c r="A63559" s="56"/>
    </row>
    <row r="63560" spans="1:1">
      <c r="A63560" s="56"/>
    </row>
    <row r="63561" spans="1:1">
      <c r="A63561" s="56"/>
    </row>
    <row r="63562" spans="1:1">
      <c r="A63562" s="56"/>
    </row>
    <row r="63563" spans="1:1">
      <c r="A63563" s="56"/>
    </row>
    <row r="63564" spans="1:1">
      <c r="A63564" s="56"/>
    </row>
    <row r="63565" spans="1:1">
      <c r="A63565" s="56"/>
    </row>
    <row r="63566" spans="1:1">
      <c r="A63566" s="56"/>
    </row>
    <row r="63567" spans="1:1">
      <c r="A63567" s="56"/>
    </row>
    <row r="63568" spans="1:1">
      <c r="A63568" s="56"/>
    </row>
    <row r="63569" spans="1:1">
      <c r="A63569" s="56"/>
    </row>
    <row r="63570" spans="1:1">
      <c r="A63570" s="56"/>
    </row>
    <row r="63571" spans="1:1">
      <c r="A63571" s="56"/>
    </row>
    <row r="63572" spans="1:1">
      <c r="A63572" s="56"/>
    </row>
    <row r="63573" spans="1:1">
      <c r="A63573" s="56"/>
    </row>
    <row r="63574" spans="1:1">
      <c r="A63574" s="56"/>
    </row>
    <row r="63575" spans="1:1">
      <c r="A63575" s="56"/>
    </row>
    <row r="63576" spans="1:1">
      <c r="A63576" s="56"/>
    </row>
    <row r="63577" spans="1:1">
      <c r="A63577" s="56"/>
    </row>
    <row r="63578" spans="1:1">
      <c r="A63578" s="56"/>
    </row>
    <row r="63579" spans="1:1">
      <c r="A63579" s="56"/>
    </row>
    <row r="63580" spans="1:1">
      <c r="A63580" s="56"/>
    </row>
    <row r="63581" spans="1:1">
      <c r="A63581" s="56"/>
    </row>
    <row r="63582" spans="1:1">
      <c r="A63582" s="56"/>
    </row>
    <row r="63583" spans="1:1">
      <c r="A63583" s="56"/>
    </row>
    <row r="63584" spans="1:1">
      <c r="A63584" s="56"/>
    </row>
    <row r="63585" spans="1:1">
      <c r="A63585" s="56"/>
    </row>
    <row r="63586" spans="1:1">
      <c r="A63586" s="56"/>
    </row>
    <row r="63587" spans="1:1">
      <c r="A63587" s="56"/>
    </row>
    <row r="63588" spans="1:1">
      <c r="A63588" s="56"/>
    </row>
    <row r="63589" spans="1:1">
      <c r="A63589" s="56"/>
    </row>
    <row r="63590" spans="1:1">
      <c r="A63590" s="56"/>
    </row>
    <row r="63591" spans="1:1">
      <c r="A63591" s="56"/>
    </row>
    <row r="63592" spans="1:1">
      <c r="A63592" s="56"/>
    </row>
    <row r="63593" spans="1:1">
      <c r="A63593" s="56"/>
    </row>
    <row r="63594" spans="1:1">
      <c r="A63594" s="56"/>
    </row>
    <row r="63595" spans="1:1">
      <c r="A63595" s="56"/>
    </row>
    <row r="63596" spans="1:1">
      <c r="A63596" s="56"/>
    </row>
    <row r="63597" spans="1:1">
      <c r="A63597" s="56"/>
    </row>
    <row r="63598" spans="1:1">
      <c r="A63598" s="56"/>
    </row>
    <row r="63599" spans="1:1">
      <c r="A63599" s="56"/>
    </row>
    <row r="63600" spans="1:1">
      <c r="A63600" s="56"/>
    </row>
    <row r="63601" spans="1:1">
      <c r="A63601" s="56"/>
    </row>
    <row r="63602" spans="1:1">
      <c r="A63602" s="56"/>
    </row>
    <row r="63603" spans="1:1">
      <c r="A63603" s="56"/>
    </row>
    <row r="63604" spans="1:1">
      <c r="A63604" s="56"/>
    </row>
    <row r="63605" spans="1:1">
      <c r="A63605" s="56"/>
    </row>
    <row r="63606" spans="1:1">
      <c r="A63606" s="56"/>
    </row>
    <row r="63607" spans="1:1">
      <c r="A63607" s="56"/>
    </row>
    <row r="63608" spans="1:1">
      <c r="A63608" s="56"/>
    </row>
    <row r="63609" spans="1:1">
      <c r="A63609" s="56"/>
    </row>
    <row r="63610" spans="1:1">
      <c r="A63610" s="56"/>
    </row>
    <row r="63611" spans="1:1">
      <c r="A63611" s="56"/>
    </row>
    <row r="63612" spans="1:1">
      <c r="A63612" s="56"/>
    </row>
    <row r="63613" spans="1:1">
      <c r="A63613" s="56"/>
    </row>
    <row r="63614" spans="1:1">
      <c r="A63614" s="56"/>
    </row>
    <row r="63615" spans="1:1">
      <c r="A63615" s="56"/>
    </row>
    <row r="63616" spans="1:1">
      <c r="A63616" s="56"/>
    </row>
    <row r="63617" spans="1:1">
      <c r="A63617" s="56"/>
    </row>
    <row r="63618" spans="1:1">
      <c r="A63618" s="56"/>
    </row>
    <row r="63619" spans="1:1">
      <c r="A63619" s="56"/>
    </row>
    <row r="63620" spans="1:1">
      <c r="A63620" s="56"/>
    </row>
    <row r="63621" spans="1:1">
      <c r="A63621" s="56"/>
    </row>
    <row r="63622" spans="1:1">
      <c r="A63622" s="56"/>
    </row>
    <row r="63623" spans="1:1">
      <c r="A63623" s="56"/>
    </row>
    <row r="63624" spans="1:1">
      <c r="A63624" s="56"/>
    </row>
    <row r="63625" spans="1:1">
      <c r="A63625" s="56"/>
    </row>
    <row r="63626" spans="1:1">
      <c r="A63626" s="56"/>
    </row>
    <row r="63627" spans="1:1">
      <c r="A63627" s="56"/>
    </row>
    <row r="63628" spans="1:1">
      <c r="A63628" s="56"/>
    </row>
    <row r="63629" spans="1:1">
      <c r="A63629" s="56"/>
    </row>
    <row r="63630" spans="1:1">
      <c r="A63630" s="56"/>
    </row>
    <row r="63631" spans="1:1">
      <c r="A63631" s="56"/>
    </row>
    <row r="63632" spans="1:1">
      <c r="A63632" s="56"/>
    </row>
    <row r="63633" spans="1:1">
      <c r="A63633" s="56"/>
    </row>
    <row r="63634" spans="1:1">
      <c r="A63634" s="56"/>
    </row>
    <row r="63635" spans="1:1">
      <c r="A63635" s="56"/>
    </row>
    <row r="63636" spans="1:1">
      <c r="A63636" s="56"/>
    </row>
    <row r="63637" spans="1:1">
      <c r="A63637" s="56"/>
    </row>
    <row r="63638" spans="1:1">
      <c r="A63638" s="56"/>
    </row>
    <row r="63639" spans="1:1">
      <c r="A63639" s="56"/>
    </row>
    <row r="63640" spans="1:1">
      <c r="A63640" s="56"/>
    </row>
    <row r="63641" spans="1:1">
      <c r="A63641" s="56"/>
    </row>
    <row r="63642" spans="1:1">
      <c r="A63642" s="56"/>
    </row>
    <row r="63643" spans="1:1">
      <c r="A63643" s="56"/>
    </row>
    <row r="63644" spans="1:1">
      <c r="A63644" s="56"/>
    </row>
    <row r="63645" spans="1:1">
      <c r="A63645" s="56"/>
    </row>
    <row r="63646" spans="1:1">
      <c r="A63646" s="56"/>
    </row>
    <row r="63647" spans="1:1">
      <c r="A63647" s="56"/>
    </row>
    <row r="63648" spans="1:1">
      <c r="A63648" s="56"/>
    </row>
    <row r="63649" spans="1:1">
      <c r="A63649" s="56"/>
    </row>
    <row r="63650" spans="1:1">
      <c r="A63650" s="56"/>
    </row>
    <row r="63651" spans="1:1">
      <c r="A63651" s="56"/>
    </row>
    <row r="63652" spans="1:1">
      <c r="A63652" s="56"/>
    </row>
    <row r="63653" spans="1:1">
      <c r="A63653" s="56"/>
    </row>
    <row r="63654" spans="1:1">
      <c r="A63654" s="56"/>
    </row>
    <row r="63655" spans="1:1">
      <c r="A63655" s="56"/>
    </row>
    <row r="63656" spans="1:1">
      <c r="A63656" s="56"/>
    </row>
    <row r="63657" spans="1:1">
      <c r="A63657" s="56"/>
    </row>
    <row r="63658" spans="1:1">
      <c r="A63658" s="56"/>
    </row>
    <row r="63659" spans="1:1">
      <c r="A63659" s="56"/>
    </row>
    <row r="63660" spans="1:1">
      <c r="A63660" s="56"/>
    </row>
    <row r="63661" spans="1:1">
      <c r="A63661" s="56"/>
    </row>
    <row r="63662" spans="1:1">
      <c r="A63662" s="56"/>
    </row>
    <row r="63663" spans="1:1">
      <c r="A63663" s="56"/>
    </row>
    <row r="63664" spans="1:1">
      <c r="A63664" s="56"/>
    </row>
    <row r="63665" spans="1:1">
      <c r="A63665" s="56"/>
    </row>
    <row r="63666" spans="1:1">
      <c r="A63666" s="56"/>
    </row>
    <row r="63667" spans="1:1">
      <c r="A63667" s="56"/>
    </row>
    <row r="63668" spans="1:1">
      <c r="A63668" s="56"/>
    </row>
    <row r="63669" spans="1:1">
      <c r="A63669" s="56"/>
    </row>
    <row r="63670" spans="1:1">
      <c r="A63670" s="56"/>
    </row>
    <row r="63671" spans="1:1">
      <c r="A63671" s="56"/>
    </row>
    <row r="63672" spans="1:1">
      <c r="A63672" s="56"/>
    </row>
    <row r="63673" spans="1:1">
      <c r="A63673" s="56"/>
    </row>
    <row r="63674" spans="1:1">
      <c r="A63674" s="56"/>
    </row>
    <row r="63675" spans="1:1">
      <c r="A63675" s="56"/>
    </row>
    <row r="63676" spans="1:1">
      <c r="A63676" s="56"/>
    </row>
    <row r="63677" spans="1:1">
      <c r="A63677" s="56"/>
    </row>
    <row r="63678" spans="1:1">
      <c r="A63678" s="56"/>
    </row>
    <row r="63679" spans="1:1">
      <c r="A63679" s="56"/>
    </row>
    <row r="63680" spans="1:1">
      <c r="A63680" s="56"/>
    </row>
    <row r="63681" spans="1:1">
      <c r="A63681" s="56"/>
    </row>
    <row r="63682" spans="1:1">
      <c r="A63682" s="56"/>
    </row>
    <row r="63683" spans="1:1">
      <c r="A63683" s="56"/>
    </row>
    <row r="63684" spans="1:1">
      <c r="A63684" s="56"/>
    </row>
    <row r="63685" spans="1:1">
      <c r="A63685" s="56"/>
    </row>
    <row r="63686" spans="1:1">
      <c r="A63686" s="56"/>
    </row>
    <row r="63687" spans="1:1">
      <c r="A63687" s="56"/>
    </row>
    <row r="63688" spans="1:1">
      <c r="A63688" s="56"/>
    </row>
    <row r="63689" spans="1:1">
      <c r="A63689" s="56"/>
    </row>
    <row r="63690" spans="1:1">
      <c r="A63690" s="56"/>
    </row>
    <row r="63691" spans="1:1">
      <c r="A63691" s="56"/>
    </row>
    <row r="63692" spans="1:1">
      <c r="A63692" s="56"/>
    </row>
    <row r="63693" spans="1:1">
      <c r="A63693" s="56"/>
    </row>
    <row r="63694" spans="1:1">
      <c r="A63694" s="56"/>
    </row>
    <row r="63695" spans="1:1">
      <c r="A63695" s="56"/>
    </row>
    <row r="63696" spans="1:1">
      <c r="A63696" s="56"/>
    </row>
    <row r="63697" spans="1:1">
      <c r="A63697" s="56"/>
    </row>
    <row r="63698" spans="1:1">
      <c r="A63698" s="56"/>
    </row>
    <row r="63699" spans="1:1">
      <c r="A63699" s="56"/>
    </row>
    <row r="63700" spans="1:1">
      <c r="A63700" s="56"/>
    </row>
    <row r="63701" spans="1:1">
      <c r="A63701" s="56"/>
    </row>
    <row r="63702" spans="1:1">
      <c r="A63702" s="56"/>
    </row>
    <row r="63703" spans="1:1">
      <c r="A63703" s="56"/>
    </row>
    <row r="63704" spans="1:1">
      <c r="A63704" s="56"/>
    </row>
    <row r="63705" spans="1:1">
      <c r="A63705" s="56"/>
    </row>
    <row r="63706" spans="1:1">
      <c r="A63706" s="56"/>
    </row>
    <row r="63707" spans="1:1">
      <c r="A63707" s="56"/>
    </row>
    <row r="63708" spans="1:1">
      <c r="A63708" s="56"/>
    </row>
    <row r="63709" spans="1:1">
      <c r="A63709" s="56"/>
    </row>
    <row r="63710" spans="1:1">
      <c r="A63710" s="56"/>
    </row>
    <row r="63711" spans="1:1">
      <c r="A63711" s="56"/>
    </row>
    <row r="63712" spans="1:1">
      <c r="A63712" s="56"/>
    </row>
    <row r="63713" spans="1:1">
      <c r="A63713" s="56"/>
    </row>
    <row r="63714" spans="1:1">
      <c r="A63714" s="56"/>
    </row>
    <row r="63715" spans="1:1">
      <c r="A63715" s="56"/>
    </row>
    <row r="63716" spans="1:1">
      <c r="A63716" s="56"/>
    </row>
    <row r="63717" spans="1:1">
      <c r="A63717" s="56"/>
    </row>
    <row r="63718" spans="1:1">
      <c r="A63718" s="56"/>
    </row>
    <row r="63719" spans="1:1">
      <c r="A63719" s="56"/>
    </row>
    <row r="63720" spans="1:1">
      <c r="A63720" s="56"/>
    </row>
    <row r="63721" spans="1:1">
      <c r="A63721" s="56"/>
    </row>
    <row r="63722" spans="1:1">
      <c r="A63722" s="56"/>
    </row>
    <row r="63723" spans="1:1">
      <c r="A63723" s="56"/>
    </row>
    <row r="63724" spans="1:1">
      <c r="A63724" s="56"/>
    </row>
    <row r="63725" spans="1:1">
      <c r="A63725" s="56"/>
    </row>
    <row r="63726" spans="1:1">
      <c r="A63726" s="56"/>
    </row>
    <row r="63727" spans="1:1">
      <c r="A63727" s="56"/>
    </row>
    <row r="63728" spans="1:1">
      <c r="A63728" s="56"/>
    </row>
    <row r="63729" spans="1:1">
      <c r="A63729" s="56"/>
    </row>
    <row r="63730" spans="1:1">
      <c r="A63730" s="56"/>
    </row>
    <row r="63731" spans="1:1">
      <c r="A63731" s="56"/>
    </row>
    <row r="63732" spans="1:1">
      <c r="A63732" s="56"/>
    </row>
    <row r="63733" spans="1:1">
      <c r="A63733" s="56"/>
    </row>
    <row r="63734" spans="1:1">
      <c r="A63734" s="56"/>
    </row>
    <row r="63735" spans="1:1">
      <c r="A63735" s="56"/>
    </row>
    <row r="63736" spans="1:1">
      <c r="A63736" s="56"/>
    </row>
    <row r="63737" spans="1:1">
      <c r="A63737" s="56"/>
    </row>
    <row r="63738" spans="1:1">
      <c r="A63738" s="56"/>
    </row>
    <row r="63739" spans="1:1">
      <c r="A63739" s="56"/>
    </row>
    <row r="63740" spans="1:1">
      <c r="A63740" s="56"/>
    </row>
    <row r="63741" spans="1:1">
      <c r="A63741" s="56"/>
    </row>
    <row r="63742" spans="1:1">
      <c r="A63742" s="56"/>
    </row>
    <row r="63743" spans="1:1">
      <c r="A63743" s="56"/>
    </row>
    <row r="63744" spans="1:1">
      <c r="A63744" s="56"/>
    </row>
    <row r="63745" spans="1:1">
      <c r="A63745" s="56"/>
    </row>
    <row r="63746" spans="1:1">
      <c r="A63746" s="56"/>
    </row>
    <row r="63747" spans="1:1">
      <c r="A63747" s="56"/>
    </row>
    <row r="63748" spans="1:1">
      <c r="A63748" s="56"/>
    </row>
    <row r="63749" spans="1:1">
      <c r="A63749" s="56"/>
    </row>
    <row r="63750" spans="1:1">
      <c r="A63750" s="56"/>
    </row>
    <row r="63751" spans="1:1">
      <c r="A63751" s="56"/>
    </row>
    <row r="63752" spans="1:1">
      <c r="A63752" s="56"/>
    </row>
    <row r="63753" spans="1:1">
      <c r="A63753" s="56"/>
    </row>
    <row r="63754" spans="1:1">
      <c r="A63754" s="56"/>
    </row>
    <row r="63755" spans="1:1">
      <c r="A63755" s="56"/>
    </row>
    <row r="63756" spans="1:1">
      <c r="A63756" s="56"/>
    </row>
    <row r="63757" spans="1:1">
      <c r="A63757" s="56"/>
    </row>
    <row r="63758" spans="1:1">
      <c r="A63758" s="56"/>
    </row>
    <row r="63759" spans="1:1">
      <c r="A63759" s="56"/>
    </row>
    <row r="63760" spans="1:1">
      <c r="A63760" s="56"/>
    </row>
    <row r="63761" spans="1:1">
      <c r="A63761" s="56"/>
    </row>
    <row r="63762" spans="1:1">
      <c r="A63762" s="56"/>
    </row>
    <row r="63763" spans="1:1">
      <c r="A63763" s="56"/>
    </row>
    <row r="63764" spans="1:1">
      <c r="A63764" s="56"/>
    </row>
    <row r="63765" spans="1:1">
      <c r="A63765" s="56"/>
    </row>
    <row r="63766" spans="1:1">
      <c r="A63766" s="56"/>
    </row>
    <row r="63767" spans="1:1">
      <c r="A63767" s="56"/>
    </row>
    <row r="63768" spans="1:1">
      <c r="A63768" s="56"/>
    </row>
    <row r="63769" spans="1:1">
      <c r="A63769" s="56"/>
    </row>
    <row r="63770" spans="1:1">
      <c r="A63770" s="56"/>
    </row>
    <row r="63771" spans="1:1">
      <c r="A63771" s="56"/>
    </row>
    <row r="63772" spans="1:1">
      <c r="A63772" s="56"/>
    </row>
    <row r="63773" spans="1:1">
      <c r="A63773" s="56"/>
    </row>
    <row r="63774" spans="1:1">
      <c r="A63774" s="56"/>
    </row>
    <row r="63775" spans="1:1">
      <c r="A63775" s="56"/>
    </row>
    <row r="63776" spans="1:1">
      <c r="A63776" s="56"/>
    </row>
    <row r="63777" spans="1:1">
      <c r="A63777" s="56"/>
    </row>
    <row r="63778" spans="1:1">
      <c r="A63778" s="56"/>
    </row>
    <row r="63779" spans="1:1">
      <c r="A63779" s="56"/>
    </row>
    <row r="63780" spans="1:1">
      <c r="A63780" s="56"/>
    </row>
    <row r="63781" spans="1:1">
      <c r="A63781" s="56"/>
    </row>
    <row r="63782" spans="1:1">
      <c r="A63782" s="56"/>
    </row>
    <row r="63783" spans="1:1">
      <c r="A63783" s="56"/>
    </row>
    <row r="63784" spans="1:1">
      <c r="A63784" s="56"/>
    </row>
    <row r="63785" spans="1:1">
      <c r="A63785" s="56"/>
    </row>
    <row r="63786" spans="1:1">
      <c r="A63786" s="56"/>
    </row>
    <row r="63787" spans="1:1">
      <c r="A63787" s="56"/>
    </row>
    <row r="63788" spans="1:1">
      <c r="A63788" s="56"/>
    </row>
    <row r="63789" spans="1:1">
      <c r="A63789" s="56"/>
    </row>
    <row r="63790" spans="1:1">
      <c r="A63790" s="56"/>
    </row>
    <row r="63791" spans="1:1">
      <c r="A63791" s="56"/>
    </row>
    <row r="63792" spans="1:1">
      <c r="A63792" s="56"/>
    </row>
    <row r="63793" spans="1:1">
      <c r="A63793" s="56"/>
    </row>
    <row r="63794" spans="1:1">
      <c r="A63794" s="56"/>
    </row>
    <row r="63795" spans="1:1">
      <c r="A63795" s="56"/>
    </row>
    <row r="63796" spans="1:1">
      <c r="A63796" s="56"/>
    </row>
    <row r="63797" spans="1:1">
      <c r="A63797" s="56"/>
    </row>
    <row r="63798" spans="1:1">
      <c r="A63798" s="56"/>
    </row>
    <row r="63799" spans="1:1">
      <c r="A63799" s="56"/>
    </row>
    <row r="63800" spans="1:1">
      <c r="A63800" s="56"/>
    </row>
    <row r="63801" spans="1:1">
      <c r="A63801" s="56"/>
    </row>
    <row r="63802" spans="1:1">
      <c r="A63802" s="56"/>
    </row>
    <row r="63803" spans="1:1">
      <c r="A63803" s="56"/>
    </row>
    <row r="63804" spans="1:1">
      <c r="A63804" s="56"/>
    </row>
    <row r="63805" spans="1:1">
      <c r="A63805" s="56"/>
    </row>
    <row r="63806" spans="1:1">
      <c r="A63806" s="56"/>
    </row>
    <row r="63807" spans="1:1">
      <c r="A63807" s="56"/>
    </row>
    <row r="63808" spans="1:1">
      <c r="A63808" s="56"/>
    </row>
    <row r="63809" spans="1:1">
      <c r="A63809" s="56"/>
    </row>
    <row r="63810" spans="1:1">
      <c r="A63810" s="56"/>
    </row>
    <row r="63811" spans="1:1">
      <c r="A63811" s="56"/>
    </row>
    <row r="63812" spans="1:1">
      <c r="A63812" s="56"/>
    </row>
    <row r="63813" spans="1:1">
      <c r="A63813" s="56"/>
    </row>
    <row r="63814" spans="1:1">
      <c r="A63814" s="56"/>
    </row>
    <row r="63815" spans="1:1">
      <c r="A63815" s="56"/>
    </row>
    <row r="63816" spans="1:1">
      <c r="A63816" s="56"/>
    </row>
    <row r="63817" spans="1:1">
      <c r="A63817" s="56"/>
    </row>
    <row r="63818" spans="1:1">
      <c r="A63818" s="56"/>
    </row>
    <row r="63819" spans="1:1">
      <c r="A63819" s="56"/>
    </row>
    <row r="63820" spans="1:1">
      <c r="A63820" s="56"/>
    </row>
    <row r="63821" spans="1:1">
      <c r="A63821" s="56"/>
    </row>
    <row r="63822" spans="1:1">
      <c r="A63822" s="56"/>
    </row>
    <row r="63823" spans="1:1">
      <c r="A63823" s="56"/>
    </row>
    <row r="63824" spans="1:1">
      <c r="A63824" s="56"/>
    </row>
    <row r="63825" spans="1:1">
      <c r="A63825" s="56"/>
    </row>
    <row r="63826" spans="1:1">
      <c r="A63826" s="56"/>
    </row>
    <row r="63827" spans="1:1">
      <c r="A63827" s="56"/>
    </row>
    <row r="63828" spans="1:1">
      <c r="A63828" s="56"/>
    </row>
    <row r="63829" spans="1:1">
      <c r="A63829" s="56"/>
    </row>
    <row r="63830" spans="1:1">
      <c r="A63830" s="56"/>
    </row>
    <row r="63831" spans="1:1">
      <c r="A63831" s="56"/>
    </row>
    <row r="63832" spans="1:1">
      <c r="A63832" s="56"/>
    </row>
    <row r="63833" spans="1:1">
      <c r="A63833" s="56"/>
    </row>
    <row r="63834" spans="1:1">
      <c r="A63834" s="56"/>
    </row>
    <row r="63835" spans="1:1">
      <c r="A63835" s="56"/>
    </row>
    <row r="63836" spans="1:1">
      <c r="A63836" s="56"/>
    </row>
    <row r="63837" spans="1:1">
      <c r="A63837" s="56"/>
    </row>
    <row r="63838" spans="1:1">
      <c r="A63838" s="56"/>
    </row>
    <row r="63839" spans="1:1">
      <c r="A63839" s="56"/>
    </row>
    <row r="63840" spans="1:1">
      <c r="A63840" s="56"/>
    </row>
    <row r="63841" spans="1:1">
      <c r="A63841" s="56"/>
    </row>
    <row r="63842" spans="1:1">
      <c r="A63842" s="56"/>
    </row>
    <row r="63843" spans="1:1">
      <c r="A63843" s="56"/>
    </row>
    <row r="63844" spans="1:1">
      <c r="A63844" s="56"/>
    </row>
    <row r="63845" spans="1:1">
      <c r="A63845" s="56"/>
    </row>
    <row r="63846" spans="1:1">
      <c r="A63846" s="56"/>
    </row>
    <row r="63847" spans="1:1">
      <c r="A63847" s="56"/>
    </row>
    <row r="63848" spans="1:1">
      <c r="A63848" s="56"/>
    </row>
    <row r="63849" spans="1:1">
      <c r="A63849" s="56"/>
    </row>
    <row r="63850" spans="1:1">
      <c r="A63850" s="56"/>
    </row>
    <row r="63851" spans="1:1">
      <c r="A63851" s="56"/>
    </row>
    <row r="63852" spans="1:1">
      <c r="A63852" s="56"/>
    </row>
    <row r="63853" spans="1:1">
      <c r="A63853" s="56"/>
    </row>
    <row r="63854" spans="1:1">
      <c r="A63854" s="56"/>
    </row>
    <row r="63855" spans="1:1">
      <c r="A63855" s="56"/>
    </row>
    <row r="63856" spans="1:1">
      <c r="A63856" s="56"/>
    </row>
    <row r="63857" spans="1:1">
      <c r="A63857" s="56"/>
    </row>
    <row r="63858" spans="1:1">
      <c r="A63858" s="56"/>
    </row>
    <row r="63859" spans="1:1">
      <c r="A63859" s="56"/>
    </row>
    <row r="63860" spans="1:1">
      <c r="A63860" s="56"/>
    </row>
    <row r="63861" spans="1:1">
      <c r="A63861" s="56"/>
    </row>
    <row r="63862" spans="1:1">
      <c r="A63862" s="56"/>
    </row>
    <row r="63863" spans="1:1">
      <c r="A63863" s="56"/>
    </row>
    <row r="63864" spans="1:1">
      <c r="A63864" s="56"/>
    </row>
    <row r="63865" spans="1:1">
      <c r="A63865" s="56"/>
    </row>
    <row r="63866" spans="1:1">
      <c r="A63866" s="56"/>
    </row>
    <row r="63867" spans="1:1">
      <c r="A63867" s="56"/>
    </row>
    <row r="63868" spans="1:1">
      <c r="A63868" s="56"/>
    </row>
    <row r="63869" spans="1:1">
      <c r="A63869" s="56"/>
    </row>
    <row r="63870" spans="1:1">
      <c r="A63870" s="56"/>
    </row>
    <row r="63871" spans="1:1">
      <c r="A63871" s="56"/>
    </row>
    <row r="63872" spans="1:1">
      <c r="A63872" s="56"/>
    </row>
    <row r="63873" spans="1:1">
      <c r="A63873" s="56"/>
    </row>
    <row r="63874" spans="1:1">
      <c r="A63874" s="56"/>
    </row>
    <row r="63875" spans="1:1">
      <c r="A63875" s="56"/>
    </row>
    <row r="63876" spans="1:1">
      <c r="A63876" s="56"/>
    </row>
    <row r="63877" spans="1:1">
      <c r="A63877" s="56"/>
    </row>
    <row r="63878" spans="1:1">
      <c r="A63878" s="56"/>
    </row>
    <row r="63879" spans="1:1">
      <c r="A63879" s="56"/>
    </row>
    <row r="63880" spans="1:1">
      <c r="A63880" s="56"/>
    </row>
    <row r="63881" spans="1:1">
      <c r="A63881" s="56"/>
    </row>
    <row r="63882" spans="1:1">
      <c r="A63882" s="56"/>
    </row>
    <row r="63883" spans="1:1">
      <c r="A63883" s="56"/>
    </row>
    <row r="63884" spans="1:1">
      <c r="A63884" s="56"/>
    </row>
    <row r="63885" spans="1:1">
      <c r="A63885" s="56"/>
    </row>
    <row r="63886" spans="1:1">
      <c r="A63886" s="56"/>
    </row>
    <row r="63887" spans="1:1">
      <c r="A63887" s="56"/>
    </row>
    <row r="63888" spans="1:1">
      <c r="A63888" s="56"/>
    </row>
    <row r="63889" spans="1:1">
      <c r="A63889" s="56"/>
    </row>
    <row r="63890" spans="1:1">
      <c r="A63890" s="56"/>
    </row>
    <row r="63891" spans="1:1">
      <c r="A63891" s="56"/>
    </row>
    <row r="63892" spans="1:1">
      <c r="A63892" s="56"/>
    </row>
    <row r="63893" spans="1:1">
      <c r="A63893" s="56"/>
    </row>
    <row r="63894" spans="1:1">
      <c r="A63894" s="56"/>
    </row>
    <row r="63895" spans="1:1">
      <c r="A63895" s="56"/>
    </row>
    <row r="63896" spans="1:1">
      <c r="A63896" s="56"/>
    </row>
    <row r="63897" spans="1:1">
      <c r="A63897" s="56"/>
    </row>
    <row r="63898" spans="1:1">
      <c r="A63898" s="56"/>
    </row>
    <row r="63899" spans="1:1">
      <c r="A63899" s="56"/>
    </row>
    <row r="63900" spans="1:1">
      <c r="A63900" s="56"/>
    </row>
    <row r="63901" spans="1:1">
      <c r="A63901" s="56"/>
    </row>
    <row r="63902" spans="1:1">
      <c r="A63902" s="56"/>
    </row>
    <row r="63903" spans="1:1">
      <c r="A63903" s="56"/>
    </row>
    <row r="63904" spans="1:1">
      <c r="A63904" s="56"/>
    </row>
    <row r="63905" spans="1:1">
      <c r="A63905" s="56"/>
    </row>
    <row r="63906" spans="1:1">
      <c r="A63906" s="56"/>
    </row>
    <row r="63907" spans="1:1">
      <c r="A63907" s="56"/>
    </row>
    <row r="63908" spans="1:1">
      <c r="A63908" s="56"/>
    </row>
    <row r="63909" spans="1:1">
      <c r="A63909" s="56"/>
    </row>
    <row r="63910" spans="1:1">
      <c r="A63910" s="56"/>
    </row>
    <row r="63911" spans="1:1">
      <c r="A63911" s="56"/>
    </row>
    <row r="63912" spans="1:1">
      <c r="A63912" s="56"/>
    </row>
    <row r="63913" spans="1:1">
      <c r="A63913" s="56"/>
    </row>
    <row r="63914" spans="1:1">
      <c r="A63914" s="56"/>
    </row>
    <row r="63915" spans="1:1">
      <c r="A63915" s="56"/>
    </row>
    <row r="63916" spans="1:1">
      <c r="A63916" s="56"/>
    </row>
    <row r="63917" spans="1:1">
      <c r="A63917" s="56"/>
    </row>
    <row r="63918" spans="1:1">
      <c r="A63918" s="56"/>
    </row>
    <row r="63919" spans="1:1">
      <c r="A63919" s="56"/>
    </row>
    <row r="63920" spans="1:1">
      <c r="A63920" s="56"/>
    </row>
    <row r="63921" spans="1:1">
      <c r="A63921" s="56"/>
    </row>
    <row r="63922" spans="1:1">
      <c r="A63922" s="56"/>
    </row>
    <row r="63923" spans="1:1">
      <c r="A63923" s="56"/>
    </row>
    <row r="63924" spans="1:1">
      <c r="A63924" s="56"/>
    </row>
    <row r="63925" spans="1:1">
      <c r="A63925" s="56"/>
    </row>
    <row r="63926" spans="1:1">
      <c r="A63926" s="56"/>
    </row>
    <row r="63927" spans="1:1">
      <c r="A63927" s="56"/>
    </row>
    <row r="63928" spans="1:1">
      <c r="A63928" s="56"/>
    </row>
    <row r="63929" spans="1:1">
      <c r="A63929" s="56"/>
    </row>
    <row r="63930" spans="1:1">
      <c r="A63930" s="56"/>
    </row>
    <row r="63931" spans="1:1">
      <c r="A63931" s="56"/>
    </row>
    <row r="63932" spans="1:1">
      <c r="A63932" s="56"/>
    </row>
    <row r="63933" spans="1:1">
      <c r="A63933" s="56"/>
    </row>
    <row r="63934" spans="1:1">
      <c r="A63934" s="56"/>
    </row>
    <row r="63935" spans="1:1">
      <c r="A63935" s="56"/>
    </row>
    <row r="63936" spans="1:1">
      <c r="A63936" s="56"/>
    </row>
    <row r="63937" spans="1:1">
      <c r="A63937" s="56"/>
    </row>
    <row r="63938" spans="1:1">
      <c r="A63938" s="56"/>
    </row>
    <row r="63939" spans="1:1">
      <c r="A63939" s="56"/>
    </row>
    <row r="63940" spans="1:1">
      <c r="A63940" s="56"/>
    </row>
    <row r="63941" spans="1:1">
      <c r="A63941" s="56"/>
    </row>
    <row r="63942" spans="1:1">
      <c r="A63942" s="56"/>
    </row>
    <row r="63943" spans="1:1">
      <c r="A63943" s="56"/>
    </row>
    <row r="63944" spans="1:1">
      <c r="A63944" s="56"/>
    </row>
    <row r="63945" spans="1:1">
      <c r="A63945" s="56"/>
    </row>
    <row r="63946" spans="1:1">
      <c r="A63946" s="56"/>
    </row>
    <row r="63947" spans="1:1">
      <c r="A63947" s="56"/>
    </row>
    <row r="63948" spans="1:1">
      <c r="A63948" s="56"/>
    </row>
    <row r="63949" spans="1:1">
      <c r="A63949" s="56"/>
    </row>
    <row r="63950" spans="1:1">
      <c r="A63950" s="56"/>
    </row>
    <row r="63951" spans="1:1">
      <c r="A63951" s="56"/>
    </row>
    <row r="63952" spans="1:1">
      <c r="A63952" s="56"/>
    </row>
    <row r="63953" spans="1:1">
      <c r="A63953" s="56"/>
    </row>
    <row r="63954" spans="1:1">
      <c r="A63954" s="56"/>
    </row>
    <row r="63955" spans="1:1">
      <c r="A63955" s="56"/>
    </row>
    <row r="63956" spans="1:1">
      <c r="A63956" s="56"/>
    </row>
    <row r="63957" spans="1:1">
      <c r="A63957" s="56"/>
    </row>
    <row r="63958" spans="1:1">
      <c r="A63958" s="56"/>
    </row>
    <row r="63959" spans="1:1">
      <c r="A63959" s="56"/>
    </row>
    <row r="63960" spans="1:1">
      <c r="A63960" s="56"/>
    </row>
    <row r="63961" spans="1:1">
      <c r="A63961" s="56"/>
    </row>
    <row r="63962" spans="1:1">
      <c r="A63962" s="56"/>
    </row>
    <row r="63963" spans="1:1">
      <c r="A63963" s="56"/>
    </row>
    <row r="63964" spans="1:1">
      <c r="A63964" s="56"/>
    </row>
    <row r="63965" spans="1:1">
      <c r="A63965" s="56"/>
    </row>
    <row r="63966" spans="1:1">
      <c r="A63966" s="56"/>
    </row>
    <row r="63967" spans="1:1">
      <c r="A63967" s="56"/>
    </row>
    <row r="63968" spans="1:1">
      <c r="A63968" s="56"/>
    </row>
    <row r="63969" spans="1:1">
      <c r="A63969" s="56"/>
    </row>
    <row r="63970" spans="1:1">
      <c r="A63970" s="56"/>
    </row>
    <row r="63971" spans="1:1">
      <c r="A63971" s="56"/>
    </row>
    <row r="63972" spans="1:1">
      <c r="A63972" s="56"/>
    </row>
    <row r="63973" spans="1:1">
      <c r="A63973" s="56"/>
    </row>
    <row r="63974" spans="1:1">
      <c r="A63974" s="56"/>
    </row>
    <row r="63975" spans="1:1">
      <c r="A63975" s="56"/>
    </row>
    <row r="63976" spans="1:1">
      <c r="A63976" s="56"/>
    </row>
    <row r="63977" spans="1:1">
      <c r="A63977" s="56"/>
    </row>
    <row r="63978" spans="1:1">
      <c r="A63978" s="56"/>
    </row>
    <row r="63979" spans="1:1">
      <c r="A63979" s="56"/>
    </row>
    <row r="63980" spans="1:1">
      <c r="A63980" s="56"/>
    </row>
    <row r="63981" spans="1:1">
      <c r="A63981" s="56"/>
    </row>
    <row r="63982" spans="1:1">
      <c r="A63982" s="56"/>
    </row>
    <row r="63983" spans="1:1">
      <c r="A63983" s="56"/>
    </row>
    <row r="63984" spans="1:1">
      <c r="A63984" s="56"/>
    </row>
    <row r="63985" spans="1:1">
      <c r="A63985" s="56"/>
    </row>
    <row r="63986" spans="1:1">
      <c r="A63986" s="56"/>
    </row>
    <row r="63987" spans="1:1">
      <c r="A63987" s="56"/>
    </row>
    <row r="63988" spans="1:1">
      <c r="A63988" s="56"/>
    </row>
    <row r="63989" spans="1:1">
      <c r="A63989" s="56"/>
    </row>
    <row r="63990" spans="1:1">
      <c r="A63990" s="56"/>
    </row>
    <row r="63991" spans="1:1">
      <c r="A63991" s="56"/>
    </row>
    <row r="63992" spans="1:1">
      <c r="A63992" s="56"/>
    </row>
    <row r="63993" spans="1:1">
      <c r="A63993" s="56"/>
    </row>
    <row r="63994" spans="1:1">
      <c r="A63994" s="56"/>
    </row>
    <row r="63995" spans="1:1">
      <c r="A63995" s="56"/>
    </row>
    <row r="63996" spans="1:1">
      <c r="A63996" s="56"/>
    </row>
    <row r="63997" spans="1:1">
      <c r="A63997" s="56"/>
    </row>
    <row r="63998" spans="1:1">
      <c r="A63998" s="56"/>
    </row>
    <row r="63999" spans="1:1">
      <c r="A63999" s="56"/>
    </row>
    <row r="64000" spans="1:1">
      <c r="A64000" s="56"/>
    </row>
    <row r="64001" spans="1:1">
      <c r="A64001" s="56"/>
    </row>
    <row r="64002" spans="1:1">
      <c r="A64002" s="56"/>
    </row>
    <row r="64003" spans="1:1">
      <c r="A64003" s="56"/>
    </row>
    <row r="64004" spans="1:1">
      <c r="A64004" s="56"/>
    </row>
    <row r="64005" spans="1:1">
      <c r="A64005" s="56"/>
    </row>
    <row r="64006" spans="1:1">
      <c r="A64006" s="56"/>
    </row>
    <row r="64007" spans="1:1">
      <c r="A64007" s="56"/>
    </row>
    <row r="64008" spans="1:1">
      <c r="A64008" s="56"/>
    </row>
    <row r="64009" spans="1:1">
      <c r="A64009" s="56"/>
    </row>
    <row r="64010" spans="1:1">
      <c r="A64010" s="56"/>
    </row>
    <row r="64011" spans="1:1">
      <c r="A64011" s="56"/>
    </row>
    <row r="64012" spans="1:1">
      <c r="A64012" s="56"/>
    </row>
    <row r="64013" spans="1:1">
      <c r="A64013" s="56"/>
    </row>
    <row r="64014" spans="1:1">
      <c r="A64014" s="56"/>
    </row>
    <row r="64015" spans="1:1">
      <c r="A64015" s="56"/>
    </row>
    <row r="64016" spans="1:1">
      <c r="A64016" s="56"/>
    </row>
    <row r="64017" spans="1:1">
      <c r="A64017" s="56"/>
    </row>
    <row r="64018" spans="1:1">
      <c r="A64018" s="56"/>
    </row>
    <row r="64019" spans="1:1">
      <c r="A64019" s="56"/>
    </row>
    <row r="64020" spans="1:1">
      <c r="A64020" s="56"/>
    </row>
    <row r="64021" spans="1:1">
      <c r="A64021" s="56"/>
    </row>
    <row r="64022" spans="1:1">
      <c r="A64022" s="56"/>
    </row>
    <row r="64023" spans="1:1">
      <c r="A64023" s="56"/>
    </row>
    <row r="64024" spans="1:1">
      <c r="A64024" s="56"/>
    </row>
    <row r="64025" spans="1:1">
      <c r="A64025" s="56"/>
    </row>
    <row r="64026" spans="1:1">
      <c r="A64026" s="56"/>
    </row>
    <row r="64027" spans="1:1">
      <c r="A64027" s="56"/>
    </row>
    <row r="64028" spans="1:1">
      <c r="A64028" s="56"/>
    </row>
    <row r="64029" spans="1:1">
      <c r="A64029" s="56"/>
    </row>
    <row r="64030" spans="1:1">
      <c r="A64030" s="56"/>
    </row>
    <row r="64031" spans="1:1">
      <c r="A64031" s="56"/>
    </row>
    <row r="64032" spans="1:1">
      <c r="A64032" s="56"/>
    </row>
    <row r="64033" spans="1:1">
      <c r="A64033" s="56"/>
    </row>
    <row r="64034" spans="1:1">
      <c r="A64034" s="56"/>
    </row>
    <row r="64035" spans="1:1">
      <c r="A64035" s="56"/>
    </row>
    <row r="64036" spans="1:1">
      <c r="A64036" s="56"/>
    </row>
    <row r="64037" spans="1:1">
      <c r="A64037" s="56"/>
    </row>
    <row r="64038" spans="1:1">
      <c r="A64038" s="56"/>
    </row>
    <row r="64039" spans="1:1">
      <c r="A64039" s="56"/>
    </row>
    <row r="64040" spans="1:1">
      <c r="A64040" s="56"/>
    </row>
    <row r="64041" spans="1:1">
      <c r="A64041" s="56"/>
    </row>
    <row r="64042" spans="1:1">
      <c r="A64042" s="56"/>
    </row>
    <row r="64043" spans="1:1">
      <c r="A64043" s="56"/>
    </row>
    <row r="64044" spans="1:1">
      <c r="A64044" s="56"/>
    </row>
    <row r="64045" spans="1:1">
      <c r="A64045" s="56"/>
    </row>
    <row r="64046" spans="1:1">
      <c r="A64046" s="56"/>
    </row>
    <row r="64047" spans="1:1">
      <c r="A64047" s="56"/>
    </row>
    <row r="64048" spans="1:1">
      <c r="A64048" s="56"/>
    </row>
    <row r="64049" spans="1:1">
      <c r="A64049" s="56"/>
    </row>
    <row r="64050" spans="1:1">
      <c r="A64050" s="56"/>
    </row>
    <row r="64051" spans="1:1">
      <c r="A64051" s="56"/>
    </row>
    <row r="64052" spans="1:1">
      <c r="A64052" s="56"/>
    </row>
    <row r="64053" spans="1:1">
      <c r="A64053" s="56"/>
    </row>
    <row r="64054" spans="1:1">
      <c r="A64054" s="56"/>
    </row>
    <row r="64055" spans="1:1">
      <c r="A64055" s="56"/>
    </row>
    <row r="64056" spans="1:1">
      <c r="A64056" s="56"/>
    </row>
    <row r="64057" spans="1:1">
      <c r="A64057" s="56"/>
    </row>
    <row r="64058" spans="1:1">
      <c r="A64058" s="56"/>
    </row>
    <row r="64059" spans="1:1">
      <c r="A64059" s="56"/>
    </row>
    <row r="64060" spans="1:1">
      <c r="A64060" s="56"/>
    </row>
    <row r="64061" spans="1:1">
      <c r="A64061" s="56"/>
    </row>
    <row r="64062" spans="1:1">
      <c r="A64062" s="56"/>
    </row>
    <row r="64063" spans="1:1">
      <c r="A64063" s="56"/>
    </row>
    <row r="64064" spans="1:1">
      <c r="A64064" s="56"/>
    </row>
    <row r="64065" spans="1:1">
      <c r="A64065" s="56"/>
    </row>
    <row r="64066" spans="1:1">
      <c r="A64066" s="56"/>
    </row>
    <row r="64067" spans="1:1">
      <c r="A64067" s="56"/>
    </row>
    <row r="64068" spans="1:1">
      <c r="A64068" s="56"/>
    </row>
    <row r="64069" spans="1:1">
      <c r="A64069" s="56"/>
    </row>
    <row r="64070" spans="1:1">
      <c r="A64070" s="56"/>
    </row>
    <row r="64071" spans="1:1">
      <c r="A64071" s="56"/>
    </row>
    <row r="64072" spans="1:1">
      <c r="A64072" s="56"/>
    </row>
    <row r="64073" spans="1:1">
      <c r="A64073" s="56"/>
    </row>
    <row r="64074" spans="1:1">
      <c r="A64074" s="56"/>
    </row>
    <row r="64075" spans="1:1">
      <c r="A64075" s="56"/>
    </row>
    <row r="64076" spans="1:1">
      <c r="A64076" s="56"/>
    </row>
    <row r="64077" spans="1:1">
      <c r="A64077" s="56"/>
    </row>
    <row r="64078" spans="1:1">
      <c r="A64078" s="56"/>
    </row>
    <row r="64079" spans="1:1">
      <c r="A64079" s="56"/>
    </row>
    <row r="64080" spans="1:1">
      <c r="A64080" s="56"/>
    </row>
    <row r="64081" spans="1:1">
      <c r="A64081" s="56"/>
    </row>
    <row r="64082" spans="1:1">
      <c r="A64082" s="56"/>
    </row>
    <row r="64083" spans="1:1">
      <c r="A64083" s="56"/>
    </row>
    <row r="64084" spans="1:1">
      <c r="A64084" s="56"/>
    </row>
    <row r="64085" spans="1:1">
      <c r="A64085" s="56"/>
    </row>
    <row r="64086" spans="1:1">
      <c r="A64086" s="56"/>
    </row>
    <row r="64087" spans="1:1">
      <c r="A64087" s="56"/>
    </row>
    <row r="64088" spans="1:1">
      <c r="A64088" s="56"/>
    </row>
    <row r="64089" spans="1:1">
      <c r="A64089" s="56"/>
    </row>
    <row r="64090" spans="1:1">
      <c r="A64090" s="56"/>
    </row>
    <row r="64091" spans="1:1">
      <c r="A64091" s="56"/>
    </row>
    <row r="64092" spans="1:1">
      <c r="A64092" s="56"/>
    </row>
    <row r="64093" spans="1:1">
      <c r="A64093" s="56"/>
    </row>
    <row r="64094" spans="1:1">
      <c r="A64094" s="56"/>
    </row>
    <row r="64095" spans="1:1">
      <c r="A64095" s="56"/>
    </row>
    <row r="64096" spans="1:1">
      <c r="A64096" s="56"/>
    </row>
    <row r="64097" spans="1:1">
      <c r="A64097" s="56"/>
    </row>
    <row r="64098" spans="1:1">
      <c r="A64098" s="56"/>
    </row>
    <row r="64099" spans="1:1">
      <c r="A64099" s="56"/>
    </row>
    <row r="64100" spans="1:1">
      <c r="A64100" s="56"/>
    </row>
    <row r="64101" spans="1:1">
      <c r="A64101" s="56"/>
    </row>
    <row r="64102" spans="1:1">
      <c r="A64102" s="56"/>
    </row>
    <row r="64103" spans="1:1">
      <c r="A64103" s="56"/>
    </row>
    <row r="64104" spans="1:1">
      <c r="A64104" s="56"/>
    </row>
    <row r="64105" spans="1:1">
      <c r="A64105" s="56"/>
    </row>
    <row r="64106" spans="1:1">
      <c r="A64106" s="56"/>
    </row>
    <row r="64107" spans="1:1">
      <c r="A64107" s="56"/>
    </row>
    <row r="64108" spans="1:1">
      <c r="A64108" s="56"/>
    </row>
    <row r="64109" spans="1:1">
      <c r="A64109" s="56"/>
    </row>
    <row r="64110" spans="1:1">
      <c r="A64110" s="56"/>
    </row>
    <row r="64111" spans="1:1">
      <c r="A64111" s="56"/>
    </row>
    <row r="64112" spans="1:1">
      <c r="A64112" s="56"/>
    </row>
    <row r="64113" spans="1:1">
      <c r="A64113" s="56"/>
    </row>
    <row r="64114" spans="1:1">
      <c r="A64114" s="56"/>
    </row>
    <row r="64115" spans="1:1">
      <c r="A64115" s="56"/>
    </row>
    <row r="64116" spans="1:1">
      <c r="A64116" s="56"/>
    </row>
    <row r="64117" spans="1:1">
      <c r="A64117" s="56"/>
    </row>
    <row r="64118" spans="1:1">
      <c r="A64118" s="56"/>
    </row>
    <row r="64119" spans="1:1">
      <c r="A64119" s="56"/>
    </row>
    <row r="64120" spans="1:1">
      <c r="A64120" s="56"/>
    </row>
    <row r="64121" spans="1:1">
      <c r="A64121" s="56"/>
    </row>
    <row r="64122" spans="1:1">
      <c r="A64122" s="56"/>
    </row>
    <row r="64123" spans="1:1">
      <c r="A64123" s="56"/>
    </row>
    <row r="64124" spans="1:1">
      <c r="A64124" s="56"/>
    </row>
    <row r="64125" spans="1:1">
      <c r="A64125" s="56"/>
    </row>
    <row r="64126" spans="1:1">
      <c r="A64126" s="56"/>
    </row>
    <row r="64127" spans="1:1">
      <c r="A64127" s="56"/>
    </row>
    <row r="64128" spans="1:1">
      <c r="A64128" s="56"/>
    </row>
    <row r="64129" spans="1:1">
      <c r="A64129" s="56"/>
    </row>
    <row r="64130" spans="1:1">
      <c r="A64130" s="56"/>
    </row>
    <row r="64131" spans="1:1">
      <c r="A64131" s="56"/>
    </row>
    <row r="64132" spans="1:1">
      <c r="A64132" s="56"/>
    </row>
    <row r="64133" spans="1:1">
      <c r="A64133" s="56"/>
    </row>
    <row r="64134" spans="1:1">
      <c r="A64134" s="56"/>
    </row>
    <row r="64135" spans="1:1">
      <c r="A64135" s="56"/>
    </row>
    <row r="64136" spans="1:1">
      <c r="A64136" s="56"/>
    </row>
    <row r="64137" spans="1:1">
      <c r="A64137" s="56"/>
    </row>
    <row r="64138" spans="1:1">
      <c r="A64138" s="56"/>
    </row>
    <row r="64139" spans="1:1">
      <c r="A64139" s="56"/>
    </row>
    <row r="64140" spans="1:1">
      <c r="A64140" s="56"/>
    </row>
    <row r="64141" spans="1:1">
      <c r="A64141" s="56"/>
    </row>
    <row r="64142" spans="1:1">
      <c r="A64142" s="56"/>
    </row>
    <row r="64143" spans="1:1">
      <c r="A64143" s="56"/>
    </row>
    <row r="64144" spans="1:1">
      <c r="A64144" s="56"/>
    </row>
    <row r="64145" spans="1:1">
      <c r="A64145" s="56"/>
    </row>
    <row r="64146" spans="1:1">
      <c r="A64146" s="56"/>
    </row>
    <row r="64147" spans="1:1">
      <c r="A64147" s="56"/>
    </row>
    <row r="64148" spans="1:1">
      <c r="A64148" s="56"/>
    </row>
    <row r="64149" spans="1:1">
      <c r="A64149" s="56"/>
    </row>
    <row r="64150" spans="1:1">
      <c r="A64150" s="56"/>
    </row>
    <row r="64151" spans="1:1">
      <c r="A64151" s="56"/>
    </row>
    <row r="64152" spans="1:1">
      <c r="A64152" s="56"/>
    </row>
    <row r="64153" spans="1:1">
      <c r="A64153" s="56"/>
    </row>
    <row r="64154" spans="1:1">
      <c r="A64154" s="56"/>
    </row>
    <row r="64155" spans="1:1">
      <c r="A64155" s="56"/>
    </row>
    <row r="64156" spans="1:1">
      <c r="A64156" s="56"/>
    </row>
    <row r="64157" spans="1:1">
      <c r="A64157" s="56"/>
    </row>
    <row r="64158" spans="1:1">
      <c r="A64158" s="56"/>
    </row>
    <row r="64159" spans="1:1">
      <c r="A64159" s="56"/>
    </row>
    <row r="64160" spans="1:1">
      <c r="A64160" s="56"/>
    </row>
    <row r="64161" spans="1:1">
      <c r="A64161" s="56"/>
    </row>
    <row r="64162" spans="1:1">
      <c r="A64162" s="56"/>
    </row>
    <row r="64163" spans="1:1">
      <c r="A64163" s="56"/>
    </row>
    <row r="64164" spans="1:1">
      <c r="A64164" s="56"/>
    </row>
    <row r="64165" spans="1:1">
      <c r="A64165" s="56"/>
    </row>
    <row r="64166" spans="1:1">
      <c r="A64166" s="56"/>
    </row>
    <row r="64167" spans="1:1">
      <c r="A64167" s="56"/>
    </row>
    <row r="64168" spans="1:1">
      <c r="A64168" s="56"/>
    </row>
    <row r="64169" spans="1:1">
      <c r="A64169" s="56"/>
    </row>
    <row r="64170" spans="1:1">
      <c r="A64170" s="56"/>
    </row>
    <row r="64171" spans="1:1">
      <c r="A64171" s="56"/>
    </row>
    <row r="64172" spans="1:1">
      <c r="A64172" s="56"/>
    </row>
    <row r="64173" spans="1:1">
      <c r="A64173" s="56"/>
    </row>
    <row r="64174" spans="1:1">
      <c r="A64174" s="56"/>
    </row>
    <row r="64175" spans="1:1">
      <c r="A64175" s="56"/>
    </row>
    <row r="64176" spans="1:1">
      <c r="A64176" s="56"/>
    </row>
    <row r="64177" spans="1:1">
      <c r="A64177" s="56"/>
    </row>
    <row r="64178" spans="1:1">
      <c r="A64178" s="56"/>
    </row>
    <row r="64179" spans="1:1">
      <c r="A64179" s="56"/>
    </row>
    <row r="64180" spans="1:1">
      <c r="A64180" s="56"/>
    </row>
    <row r="64181" spans="1:1">
      <c r="A64181" s="56"/>
    </row>
    <row r="64182" spans="1:1">
      <c r="A64182" s="56"/>
    </row>
    <row r="64183" spans="1:1">
      <c r="A64183" s="56"/>
    </row>
    <row r="64184" spans="1:1">
      <c r="A64184" s="56"/>
    </row>
    <row r="64185" spans="1:1">
      <c r="A64185" s="56"/>
    </row>
    <row r="64186" spans="1:1">
      <c r="A64186" s="56"/>
    </row>
    <row r="64187" spans="1:1">
      <c r="A64187" s="56"/>
    </row>
    <row r="64188" spans="1:1">
      <c r="A64188" s="56"/>
    </row>
    <row r="64189" spans="1:1">
      <c r="A64189" s="56"/>
    </row>
    <row r="64190" spans="1:1">
      <c r="A64190" s="56"/>
    </row>
    <row r="64191" spans="1:1">
      <c r="A64191" s="56"/>
    </row>
    <row r="64192" spans="1:1">
      <c r="A64192" s="56"/>
    </row>
    <row r="64193" spans="1:1">
      <c r="A64193" s="56"/>
    </row>
    <row r="64194" spans="1:1">
      <c r="A64194" s="56"/>
    </row>
    <row r="64195" spans="1:1">
      <c r="A64195" s="56"/>
    </row>
    <row r="64196" spans="1:1">
      <c r="A64196" s="56"/>
    </row>
    <row r="64197" spans="1:1">
      <c r="A64197" s="56"/>
    </row>
    <row r="64198" spans="1:1">
      <c r="A64198" s="56"/>
    </row>
    <row r="64199" spans="1:1">
      <c r="A64199" s="56"/>
    </row>
    <row r="64200" spans="1:1">
      <c r="A64200" s="56"/>
    </row>
    <row r="64201" spans="1:1">
      <c r="A64201" s="56"/>
    </row>
    <row r="64202" spans="1:1">
      <c r="A64202" s="56"/>
    </row>
    <row r="64203" spans="1:1">
      <c r="A64203" s="56"/>
    </row>
    <row r="64204" spans="1:1">
      <c r="A64204" s="56"/>
    </row>
    <row r="64205" spans="1:1">
      <c r="A64205" s="56"/>
    </row>
    <row r="64206" spans="1:1">
      <c r="A64206" s="56"/>
    </row>
    <row r="64207" spans="1:1">
      <c r="A64207" s="56"/>
    </row>
    <row r="64208" spans="1:1">
      <c r="A64208" s="56"/>
    </row>
    <row r="64209" spans="1:1">
      <c r="A64209" s="56"/>
    </row>
    <row r="64210" spans="1:1">
      <c r="A64210" s="56"/>
    </row>
    <row r="64211" spans="1:1">
      <c r="A64211" s="56"/>
    </row>
    <row r="64212" spans="1:1">
      <c r="A64212" s="56"/>
    </row>
    <row r="64213" spans="1:1">
      <c r="A64213" s="56"/>
    </row>
    <row r="64214" spans="1:1">
      <c r="A64214" s="56"/>
    </row>
    <row r="64215" spans="1:1">
      <c r="A64215" s="56"/>
    </row>
    <row r="64216" spans="1:1">
      <c r="A64216" s="56"/>
    </row>
    <row r="64217" spans="1:1">
      <c r="A64217" s="56"/>
    </row>
    <row r="64218" spans="1:1">
      <c r="A64218" s="56"/>
    </row>
    <row r="64219" spans="1:1">
      <c r="A64219" s="56"/>
    </row>
    <row r="64220" spans="1:1">
      <c r="A64220" s="56"/>
    </row>
    <row r="64221" spans="1:1">
      <c r="A64221" s="56"/>
    </row>
    <row r="64222" spans="1:1">
      <c r="A64222" s="56"/>
    </row>
    <row r="64223" spans="1:1">
      <c r="A64223" s="56"/>
    </row>
    <row r="64224" spans="1:1">
      <c r="A64224" s="56"/>
    </row>
    <row r="64225" spans="1:1">
      <c r="A64225" s="56"/>
    </row>
    <row r="64226" spans="1:1">
      <c r="A64226" s="56"/>
    </row>
    <row r="64227" spans="1:1">
      <c r="A64227" s="56"/>
    </row>
    <row r="64228" spans="1:1">
      <c r="A64228" s="56"/>
    </row>
    <row r="64229" spans="1:1">
      <c r="A64229" s="56"/>
    </row>
    <row r="64230" spans="1:1">
      <c r="A64230" s="56"/>
    </row>
    <row r="64231" spans="1:1">
      <c r="A64231" s="56"/>
    </row>
    <row r="64232" spans="1:1">
      <c r="A64232" s="56"/>
    </row>
    <row r="64233" spans="1:1">
      <c r="A64233" s="56"/>
    </row>
    <row r="64234" spans="1:1">
      <c r="A64234" s="56"/>
    </row>
    <row r="64235" spans="1:1">
      <c r="A64235" s="56"/>
    </row>
    <row r="64236" spans="1:1">
      <c r="A64236" s="56"/>
    </row>
    <row r="64237" spans="1:1">
      <c r="A64237" s="56"/>
    </row>
    <row r="64238" spans="1:1">
      <c r="A64238" s="56"/>
    </row>
    <row r="64239" spans="1:1">
      <c r="A64239" s="56"/>
    </row>
    <row r="64240" spans="1:1">
      <c r="A64240" s="56"/>
    </row>
    <row r="64241" spans="1:1">
      <c r="A64241" s="56"/>
    </row>
    <row r="64242" spans="1:1">
      <c r="A64242" s="56"/>
    </row>
    <row r="64243" spans="1:1">
      <c r="A64243" s="56"/>
    </row>
    <row r="64244" spans="1:1">
      <c r="A64244" s="56"/>
    </row>
    <row r="64245" spans="1:1">
      <c r="A64245" s="56"/>
    </row>
    <row r="64246" spans="1:1">
      <c r="A64246" s="56"/>
    </row>
    <row r="64247" spans="1:1">
      <c r="A64247" s="56"/>
    </row>
    <row r="64248" spans="1:1">
      <c r="A64248" s="56"/>
    </row>
    <row r="64249" spans="1:1">
      <c r="A64249" s="56"/>
    </row>
    <row r="64250" spans="1:1">
      <c r="A64250" s="56"/>
    </row>
    <row r="64251" spans="1:1">
      <c r="A64251" s="56"/>
    </row>
    <row r="64252" spans="1:1">
      <c r="A64252" s="56"/>
    </row>
    <row r="64253" spans="1:1">
      <c r="A64253" s="56"/>
    </row>
    <row r="64254" spans="1:1">
      <c r="A64254" s="56"/>
    </row>
    <row r="64255" spans="1:1">
      <c r="A64255" s="56"/>
    </row>
    <row r="64256" spans="1:1">
      <c r="A64256" s="56"/>
    </row>
    <row r="64257" spans="1:1">
      <c r="A64257" s="56"/>
    </row>
    <row r="64258" spans="1:1">
      <c r="A64258" s="56"/>
    </row>
    <row r="64259" spans="1:1">
      <c r="A64259" s="56"/>
    </row>
    <row r="64260" spans="1:1">
      <c r="A64260" s="56"/>
    </row>
    <row r="64261" spans="1:1">
      <c r="A64261" s="56"/>
    </row>
    <row r="64262" spans="1:1">
      <c r="A64262" s="56"/>
    </row>
    <row r="64263" spans="1:1">
      <c r="A64263" s="56"/>
    </row>
    <row r="64264" spans="1:1">
      <c r="A64264" s="56"/>
    </row>
    <row r="64265" spans="1:1">
      <c r="A64265" s="56"/>
    </row>
    <row r="64266" spans="1:1">
      <c r="A64266" s="56"/>
    </row>
    <row r="64267" spans="1:1">
      <c r="A64267" s="56"/>
    </row>
    <row r="64268" spans="1:1">
      <c r="A64268" s="56"/>
    </row>
    <row r="64269" spans="1:1">
      <c r="A64269" s="56"/>
    </row>
    <row r="64270" spans="1:1">
      <c r="A64270" s="56"/>
    </row>
    <row r="64271" spans="1:1">
      <c r="A64271" s="56"/>
    </row>
    <row r="64272" spans="1:1">
      <c r="A64272" s="56"/>
    </row>
    <row r="64273" spans="1:1">
      <c r="A64273" s="56"/>
    </row>
    <row r="64274" spans="1:1">
      <c r="A64274" s="56"/>
    </row>
    <row r="64275" spans="1:1">
      <c r="A64275" s="56"/>
    </row>
    <row r="64276" spans="1:1">
      <c r="A64276" s="56"/>
    </row>
    <row r="64277" spans="1:1">
      <c r="A64277" s="56"/>
    </row>
    <row r="64278" spans="1:1">
      <c r="A64278" s="56"/>
    </row>
    <row r="64279" spans="1:1">
      <c r="A64279" s="56"/>
    </row>
    <row r="64280" spans="1:1">
      <c r="A64280" s="56"/>
    </row>
    <row r="64281" spans="1:1">
      <c r="A64281" s="56"/>
    </row>
    <row r="64282" spans="1:1">
      <c r="A64282" s="56"/>
    </row>
    <row r="64283" spans="1:1">
      <c r="A64283" s="56"/>
    </row>
    <row r="64284" spans="1:1">
      <c r="A64284" s="56"/>
    </row>
    <row r="64285" spans="1:1">
      <c r="A64285" s="56"/>
    </row>
    <row r="64286" spans="1:1">
      <c r="A64286" s="56"/>
    </row>
    <row r="64287" spans="1:1">
      <c r="A64287" s="56"/>
    </row>
    <row r="64288" spans="1:1">
      <c r="A64288" s="56"/>
    </row>
    <row r="64289" spans="1:1">
      <c r="A64289" s="56"/>
    </row>
    <row r="64290" spans="1:1">
      <c r="A64290" s="56"/>
    </row>
    <row r="64291" spans="1:1">
      <c r="A64291" s="56"/>
    </row>
    <row r="64292" spans="1:1">
      <c r="A64292" s="56"/>
    </row>
    <row r="64293" spans="1:1">
      <c r="A64293" s="56"/>
    </row>
    <row r="64294" spans="1:1">
      <c r="A64294" s="56"/>
    </row>
    <row r="64295" spans="1:1">
      <c r="A64295" s="56"/>
    </row>
    <row r="64296" spans="1:1">
      <c r="A64296" s="56"/>
    </row>
    <row r="64297" spans="1:1">
      <c r="A64297" s="56"/>
    </row>
    <row r="64298" spans="1:1">
      <c r="A64298" s="56"/>
    </row>
    <row r="64299" spans="1:1">
      <c r="A64299" s="56"/>
    </row>
    <row r="64300" spans="1:1">
      <c r="A64300" s="56"/>
    </row>
    <row r="64301" spans="1:1">
      <c r="A64301" s="56"/>
    </row>
    <row r="64302" spans="1:1">
      <c r="A64302" s="56"/>
    </row>
    <row r="64303" spans="1:1">
      <c r="A64303" s="56"/>
    </row>
    <row r="64304" spans="1:1">
      <c r="A64304" s="56"/>
    </row>
    <row r="64305" spans="1:1">
      <c r="A64305" s="56"/>
    </row>
    <row r="64306" spans="1:1">
      <c r="A64306" s="56"/>
    </row>
    <row r="64307" spans="1:1">
      <c r="A64307" s="56"/>
    </row>
    <row r="64308" spans="1:1">
      <c r="A64308" s="56"/>
    </row>
    <row r="64309" spans="1:1">
      <c r="A64309" s="56"/>
    </row>
    <row r="64310" spans="1:1">
      <c r="A64310" s="56"/>
    </row>
    <row r="64311" spans="1:1">
      <c r="A64311" s="56"/>
    </row>
    <row r="64312" spans="1:1">
      <c r="A64312" s="56"/>
    </row>
    <row r="64313" spans="1:1">
      <c r="A64313" s="56"/>
    </row>
    <row r="64314" spans="1:1">
      <c r="A64314" s="56"/>
    </row>
    <row r="64315" spans="1:1">
      <c r="A64315" s="56"/>
    </row>
    <row r="64316" spans="1:1">
      <c r="A64316" s="56"/>
    </row>
    <row r="64317" spans="1:1">
      <c r="A64317" s="56"/>
    </row>
    <row r="64318" spans="1:1">
      <c r="A64318" s="56"/>
    </row>
    <row r="64319" spans="1:1">
      <c r="A64319" s="56"/>
    </row>
    <row r="64320" spans="1:1">
      <c r="A64320" s="56"/>
    </row>
    <row r="64321" spans="1:1">
      <c r="A64321" s="56"/>
    </row>
    <row r="64322" spans="1:1">
      <c r="A64322" s="56"/>
    </row>
    <row r="64323" spans="1:1">
      <c r="A64323" s="56"/>
    </row>
    <row r="64324" spans="1:1">
      <c r="A64324" s="56"/>
    </row>
    <row r="64325" spans="1:1">
      <c r="A64325" s="56"/>
    </row>
    <row r="64326" spans="1:1">
      <c r="A64326" s="56"/>
    </row>
    <row r="64327" spans="1:1">
      <c r="A64327" s="56"/>
    </row>
    <row r="64328" spans="1:1">
      <c r="A64328" s="56"/>
    </row>
    <row r="64329" spans="1:1">
      <c r="A64329" s="56"/>
    </row>
    <row r="64330" spans="1:1">
      <c r="A64330" s="56"/>
    </row>
    <row r="64331" spans="1:1">
      <c r="A64331" s="56"/>
    </row>
    <row r="64332" spans="1:1">
      <c r="A64332" s="56"/>
    </row>
    <row r="64333" spans="1:1">
      <c r="A64333" s="56"/>
    </row>
    <row r="64334" spans="1:1">
      <c r="A64334" s="56"/>
    </row>
    <row r="64335" spans="1:1">
      <c r="A64335" s="56"/>
    </row>
    <row r="64336" spans="1:1">
      <c r="A64336" s="56"/>
    </row>
    <row r="64337" spans="1:1">
      <c r="A64337" s="56"/>
    </row>
    <row r="64338" spans="1:1">
      <c r="A64338" s="56"/>
    </row>
    <row r="64339" spans="1:1">
      <c r="A64339" s="56"/>
    </row>
    <row r="64340" spans="1:1">
      <c r="A64340" s="56"/>
    </row>
    <row r="64341" spans="1:1">
      <c r="A64341" s="56"/>
    </row>
    <row r="64342" spans="1:1">
      <c r="A64342" s="56"/>
    </row>
    <row r="64343" spans="1:1">
      <c r="A64343" s="56"/>
    </row>
    <row r="64344" spans="1:1">
      <c r="A64344" s="56"/>
    </row>
    <row r="64345" spans="1:1">
      <c r="A64345" s="56"/>
    </row>
    <row r="64346" spans="1:1">
      <c r="A64346" s="56"/>
    </row>
    <row r="64347" spans="1:1">
      <c r="A64347" s="56"/>
    </row>
    <row r="64348" spans="1:1">
      <c r="A64348" s="56"/>
    </row>
    <row r="64349" spans="1:1">
      <c r="A64349" s="56"/>
    </row>
    <row r="64350" spans="1:1">
      <c r="A64350" s="56"/>
    </row>
    <row r="64351" spans="1:1">
      <c r="A64351" s="56"/>
    </row>
    <row r="64352" spans="1:1">
      <c r="A64352" s="56"/>
    </row>
    <row r="64353" spans="1:1">
      <c r="A64353" s="56"/>
    </row>
    <row r="64354" spans="1:1">
      <c r="A64354" s="56"/>
    </row>
    <row r="64355" spans="1:1">
      <c r="A64355" s="56"/>
    </row>
    <row r="64356" spans="1:1">
      <c r="A64356" s="56"/>
    </row>
    <row r="64357" spans="1:1">
      <c r="A64357" s="56"/>
    </row>
    <row r="64358" spans="1:1">
      <c r="A64358" s="56"/>
    </row>
    <row r="64359" spans="1:1">
      <c r="A64359" s="56"/>
    </row>
    <row r="64360" spans="1:1">
      <c r="A64360" s="56"/>
    </row>
    <row r="64361" spans="1:1">
      <c r="A64361" s="56"/>
    </row>
    <row r="64362" spans="1:1">
      <c r="A64362" s="56"/>
    </row>
    <row r="64363" spans="1:1">
      <c r="A64363" s="56"/>
    </row>
    <row r="64364" spans="1:1">
      <c r="A64364" s="56"/>
    </row>
    <row r="64365" spans="1:1">
      <c r="A64365" s="56"/>
    </row>
    <row r="64366" spans="1:1">
      <c r="A64366" s="56"/>
    </row>
    <row r="64367" spans="1:1">
      <c r="A64367" s="56"/>
    </row>
    <row r="64368" spans="1:1">
      <c r="A64368" s="56"/>
    </row>
    <row r="64369" spans="1:1">
      <c r="A64369" s="56"/>
    </row>
    <row r="64370" spans="1:1">
      <c r="A64370" s="56"/>
    </row>
    <row r="64371" spans="1:1">
      <c r="A64371" s="56"/>
    </row>
    <row r="64372" spans="1:1">
      <c r="A64372" s="56"/>
    </row>
    <row r="64373" spans="1:1">
      <c r="A64373" s="56"/>
    </row>
    <row r="64374" spans="1:1">
      <c r="A64374" s="56"/>
    </row>
    <row r="64375" spans="1:1">
      <c r="A64375" s="56"/>
    </row>
    <row r="64376" spans="1:1">
      <c r="A64376" s="56"/>
    </row>
    <row r="64377" spans="1:1">
      <c r="A64377" s="56"/>
    </row>
    <row r="64378" spans="1:1">
      <c r="A64378" s="56"/>
    </row>
    <row r="64379" spans="1:1">
      <c r="A64379" s="56"/>
    </row>
    <row r="64380" spans="1:1">
      <c r="A64380" s="56"/>
    </row>
    <row r="64381" spans="1:1">
      <c r="A64381" s="56"/>
    </row>
    <row r="64382" spans="1:1">
      <c r="A64382" s="56"/>
    </row>
    <row r="64383" spans="1:1">
      <c r="A64383" s="56"/>
    </row>
    <row r="64384" spans="1:1">
      <c r="A64384" s="56"/>
    </row>
    <row r="64385" spans="1:1">
      <c r="A64385" s="56"/>
    </row>
    <row r="64386" spans="1:1">
      <c r="A64386" s="56"/>
    </row>
    <row r="64387" spans="1:1">
      <c r="A64387" s="56"/>
    </row>
    <row r="64388" spans="1:1">
      <c r="A64388" s="56"/>
    </row>
    <row r="64389" spans="1:1">
      <c r="A64389" s="56"/>
    </row>
    <row r="64390" spans="1:1">
      <c r="A64390" s="56"/>
    </row>
    <row r="64391" spans="1:1">
      <c r="A64391" s="56"/>
    </row>
    <row r="64392" spans="1:1">
      <c r="A64392" s="56"/>
    </row>
    <row r="64393" spans="1:1">
      <c r="A64393" s="56"/>
    </row>
    <row r="64394" spans="1:1">
      <c r="A64394" s="56"/>
    </row>
    <row r="64395" spans="1:1">
      <c r="A64395" s="56"/>
    </row>
    <row r="64396" spans="1:1">
      <c r="A64396" s="56"/>
    </row>
    <row r="64397" spans="1:1">
      <c r="A64397" s="56"/>
    </row>
    <row r="64398" spans="1:1">
      <c r="A64398" s="56"/>
    </row>
    <row r="64399" spans="1:1">
      <c r="A64399" s="56"/>
    </row>
    <row r="64400" spans="1:1">
      <c r="A64400" s="56"/>
    </row>
    <row r="64401" spans="1:1">
      <c r="A64401" s="56"/>
    </row>
    <row r="64402" spans="1:1">
      <c r="A64402" s="56"/>
    </row>
    <row r="64403" spans="1:1">
      <c r="A64403" s="56"/>
    </row>
    <row r="64404" spans="1:1">
      <c r="A64404" s="56"/>
    </row>
    <row r="64405" spans="1:1">
      <c r="A64405" s="56"/>
    </row>
    <row r="64406" spans="1:1">
      <c r="A64406" s="56"/>
    </row>
    <row r="64407" spans="1:1">
      <c r="A64407" s="56"/>
    </row>
    <row r="64408" spans="1:1">
      <c r="A64408" s="56"/>
    </row>
    <row r="64409" spans="1:1">
      <c r="A64409" s="56"/>
    </row>
    <row r="64410" spans="1:1">
      <c r="A64410" s="56"/>
    </row>
    <row r="64411" spans="1:1">
      <c r="A64411" s="56"/>
    </row>
    <row r="64412" spans="1:1">
      <c r="A64412" s="56"/>
    </row>
    <row r="64413" spans="1:1">
      <c r="A64413" s="56"/>
    </row>
    <row r="64414" spans="1:1">
      <c r="A64414" s="56"/>
    </row>
    <row r="64415" spans="1:1">
      <c r="A64415" s="56"/>
    </row>
    <row r="64416" spans="1:1">
      <c r="A64416" s="56"/>
    </row>
    <row r="64417" spans="1:1">
      <c r="A64417" s="56"/>
    </row>
    <row r="64418" spans="1:1">
      <c r="A64418" s="56"/>
    </row>
    <row r="64419" spans="1:1">
      <c r="A64419" s="56"/>
    </row>
    <row r="64420" spans="1:1">
      <c r="A64420" s="56"/>
    </row>
    <row r="64421" spans="1:1">
      <c r="A64421" s="56"/>
    </row>
    <row r="64422" spans="1:1">
      <c r="A64422" s="56"/>
    </row>
    <row r="64423" spans="1:1">
      <c r="A64423" s="56"/>
    </row>
    <row r="64424" spans="1:1">
      <c r="A64424" s="56"/>
    </row>
    <row r="64425" spans="1:1">
      <c r="A64425" s="56"/>
    </row>
    <row r="64426" spans="1:1">
      <c r="A64426" s="56"/>
    </row>
    <row r="64427" spans="1:1">
      <c r="A64427" s="56"/>
    </row>
    <row r="64428" spans="1:1">
      <c r="A64428" s="56"/>
    </row>
    <row r="64429" spans="1:1">
      <c r="A64429" s="56"/>
    </row>
    <row r="64430" spans="1:1">
      <c r="A64430" s="56"/>
    </row>
    <row r="64431" spans="1:1">
      <c r="A64431" s="56"/>
    </row>
    <row r="64432" spans="1:1">
      <c r="A64432" s="56"/>
    </row>
    <row r="64433" spans="1:1">
      <c r="A64433" s="56"/>
    </row>
    <row r="64434" spans="1:1">
      <c r="A64434" s="56"/>
    </row>
    <row r="64435" spans="1:1">
      <c r="A64435" s="56"/>
    </row>
    <row r="64436" spans="1:1">
      <c r="A64436" s="56"/>
    </row>
    <row r="64437" spans="1:1">
      <c r="A64437" s="56"/>
    </row>
    <row r="64438" spans="1:1">
      <c r="A64438" s="56"/>
    </row>
    <row r="64439" spans="1:1">
      <c r="A64439" s="56"/>
    </row>
    <row r="64440" spans="1:1">
      <c r="A64440" s="56"/>
    </row>
    <row r="64441" spans="1:1">
      <c r="A64441" s="56"/>
    </row>
    <row r="64442" spans="1:1">
      <c r="A64442" s="56"/>
    </row>
    <row r="64443" spans="1:1">
      <c r="A64443" s="56"/>
    </row>
    <row r="64444" spans="1:1">
      <c r="A64444" s="56"/>
    </row>
    <row r="64445" spans="1:1">
      <c r="A64445" s="56"/>
    </row>
    <row r="64446" spans="1:1">
      <c r="A64446" s="56"/>
    </row>
    <row r="64447" spans="1:1">
      <c r="A64447" s="56"/>
    </row>
    <row r="64448" spans="1:1">
      <c r="A64448" s="56"/>
    </row>
    <row r="64449" spans="1:1">
      <c r="A64449" s="56"/>
    </row>
    <row r="64450" spans="1:1">
      <c r="A64450" s="56"/>
    </row>
    <row r="64451" spans="1:1">
      <c r="A64451" s="56"/>
    </row>
    <row r="64452" spans="1:1">
      <c r="A64452" s="56"/>
    </row>
    <row r="64453" spans="1:1">
      <c r="A64453" s="56"/>
    </row>
    <row r="64454" spans="1:1">
      <c r="A64454" s="56"/>
    </row>
    <row r="64455" spans="1:1">
      <c r="A64455" s="56"/>
    </row>
    <row r="64456" spans="1:1">
      <c r="A64456" s="56"/>
    </row>
    <row r="64457" spans="1:1">
      <c r="A64457" s="56"/>
    </row>
    <row r="64458" spans="1:1">
      <c r="A64458" s="56"/>
    </row>
    <row r="64459" spans="1:1">
      <c r="A64459" s="56"/>
    </row>
    <row r="64460" spans="1:1">
      <c r="A64460" s="56"/>
    </row>
    <row r="64461" spans="1:1">
      <c r="A64461" s="56"/>
    </row>
    <row r="64462" spans="1:1">
      <c r="A64462" s="56"/>
    </row>
    <row r="64463" spans="1:1">
      <c r="A64463" s="56"/>
    </row>
    <row r="64464" spans="1:1">
      <c r="A64464" s="56"/>
    </row>
    <row r="64465" spans="1:1">
      <c r="A64465" s="56"/>
    </row>
    <row r="64466" spans="1:1">
      <c r="A64466" s="56"/>
    </row>
    <row r="64467" spans="1:1">
      <c r="A64467" s="56"/>
    </row>
    <row r="64468" spans="1:1">
      <c r="A64468" s="56"/>
    </row>
    <row r="64469" spans="1:1">
      <c r="A64469" s="56"/>
    </row>
    <row r="64470" spans="1:1">
      <c r="A64470" s="56"/>
    </row>
    <row r="64471" spans="1:1">
      <c r="A64471" s="56"/>
    </row>
    <row r="64472" spans="1:1">
      <c r="A64472" s="56"/>
    </row>
    <row r="64473" spans="1:1">
      <c r="A64473" s="56"/>
    </row>
    <row r="64474" spans="1:1">
      <c r="A64474" s="56"/>
    </row>
    <row r="64475" spans="1:1">
      <c r="A64475" s="56"/>
    </row>
    <row r="64476" spans="1:1">
      <c r="A64476" s="56"/>
    </row>
    <row r="64477" spans="1:1">
      <c r="A64477" s="56"/>
    </row>
    <row r="64478" spans="1:1">
      <c r="A64478" s="56"/>
    </row>
    <row r="64479" spans="1:1">
      <c r="A64479" s="56"/>
    </row>
    <row r="64480" spans="1:1">
      <c r="A64480" s="56"/>
    </row>
    <row r="64481" spans="1:1">
      <c r="A64481" s="56"/>
    </row>
    <row r="64482" spans="1:1">
      <c r="A64482" s="56"/>
    </row>
    <row r="64483" spans="1:1">
      <c r="A64483" s="56"/>
    </row>
    <row r="64484" spans="1:1">
      <c r="A64484" s="56"/>
    </row>
    <row r="64485" spans="1:1">
      <c r="A64485" s="56"/>
    </row>
    <row r="64486" spans="1:1">
      <c r="A64486" s="56"/>
    </row>
    <row r="64487" spans="1:1">
      <c r="A64487" s="56"/>
    </row>
    <row r="64488" spans="1:1">
      <c r="A64488" s="56"/>
    </row>
    <row r="64489" spans="1:1">
      <c r="A64489" s="56"/>
    </row>
    <row r="64490" spans="1:1">
      <c r="A64490" s="56"/>
    </row>
    <row r="64491" spans="1:1">
      <c r="A64491" s="56"/>
    </row>
    <row r="64492" spans="1:1">
      <c r="A64492" s="56"/>
    </row>
    <row r="64493" spans="1:1">
      <c r="A64493" s="56"/>
    </row>
    <row r="64494" spans="1:1">
      <c r="A64494" s="56"/>
    </row>
    <row r="64495" spans="1:1">
      <c r="A64495" s="56"/>
    </row>
    <row r="64496" spans="1:1">
      <c r="A64496" s="56"/>
    </row>
    <row r="64497" spans="1:1">
      <c r="A64497" s="56"/>
    </row>
    <row r="64498" spans="1:1">
      <c r="A64498" s="56"/>
    </row>
    <row r="64499" spans="1:1">
      <c r="A64499" s="56"/>
    </row>
    <row r="64500" spans="1:1">
      <c r="A64500" s="56"/>
    </row>
    <row r="64501" spans="1:1">
      <c r="A64501" s="56"/>
    </row>
    <row r="64502" spans="1:1">
      <c r="A64502" s="56"/>
    </row>
    <row r="64503" spans="1:1">
      <c r="A64503" s="56"/>
    </row>
    <row r="64504" spans="1:1">
      <c r="A64504" s="56"/>
    </row>
    <row r="64505" spans="1:1">
      <c r="A64505" s="56"/>
    </row>
    <row r="64506" spans="1:1">
      <c r="A64506" s="56"/>
    </row>
    <row r="64507" spans="1:1">
      <c r="A64507" s="56"/>
    </row>
    <row r="64508" spans="1:1">
      <c r="A64508" s="56"/>
    </row>
    <row r="64509" spans="1:1">
      <c r="A64509" s="56"/>
    </row>
    <row r="64510" spans="1:1">
      <c r="A64510" s="56"/>
    </row>
    <row r="64511" spans="1:1">
      <c r="A64511" s="56"/>
    </row>
    <row r="64512" spans="1:1">
      <c r="A64512" s="56"/>
    </row>
    <row r="64513" spans="1:1">
      <c r="A64513" s="56"/>
    </row>
    <row r="64514" spans="1:1">
      <c r="A64514" s="56"/>
    </row>
    <row r="64515" spans="1:1">
      <c r="A64515" s="56"/>
    </row>
    <row r="64516" spans="1:1">
      <c r="A64516" s="56"/>
    </row>
    <row r="64517" spans="1:1">
      <c r="A64517" s="56"/>
    </row>
    <row r="64518" spans="1:1">
      <c r="A64518" s="56"/>
    </row>
    <row r="64519" spans="1:1">
      <c r="A64519" s="56"/>
    </row>
    <row r="64520" spans="1:1">
      <c r="A64520" s="56"/>
    </row>
    <row r="64521" spans="1:1">
      <c r="A64521" s="56"/>
    </row>
    <row r="64522" spans="1:1">
      <c r="A64522" s="56"/>
    </row>
    <row r="64523" spans="1:1">
      <c r="A64523" s="56"/>
    </row>
    <row r="64524" spans="1:1">
      <c r="A64524" s="56"/>
    </row>
    <row r="64525" spans="1:1">
      <c r="A64525" s="56"/>
    </row>
    <row r="64526" spans="1:1">
      <c r="A64526" s="56"/>
    </row>
    <row r="64527" spans="1:1">
      <c r="A64527" s="56"/>
    </row>
    <row r="64528" spans="1:1">
      <c r="A64528" s="56"/>
    </row>
    <row r="64529" spans="1:1">
      <c r="A64529" s="56"/>
    </row>
    <row r="64530" spans="1:1">
      <c r="A64530" s="56"/>
    </row>
    <row r="64531" spans="1:1">
      <c r="A64531" s="56"/>
    </row>
    <row r="64532" spans="1:1">
      <c r="A64532" s="56"/>
    </row>
    <row r="64533" spans="1:1">
      <c r="A64533" s="56"/>
    </row>
    <row r="64534" spans="1:1">
      <c r="A64534" s="56"/>
    </row>
    <row r="64535" spans="1:1">
      <c r="A64535" s="56"/>
    </row>
    <row r="64536" spans="1:1">
      <c r="A64536" s="56"/>
    </row>
    <row r="64537" spans="1:1">
      <c r="A64537" s="56"/>
    </row>
    <row r="64538" spans="1:1">
      <c r="A64538" s="56"/>
    </row>
    <row r="64539" spans="1:1">
      <c r="A64539" s="56"/>
    </row>
    <row r="64540" spans="1:1">
      <c r="A64540" s="56"/>
    </row>
    <row r="64541" spans="1:1">
      <c r="A64541" s="56"/>
    </row>
    <row r="64542" spans="1:1">
      <c r="A64542" s="56"/>
    </row>
    <row r="64543" spans="1:1">
      <c r="A64543" s="56"/>
    </row>
    <row r="64544" spans="1:1">
      <c r="A64544" s="56"/>
    </row>
    <row r="64545" spans="1:1">
      <c r="A64545" s="56"/>
    </row>
    <row r="64546" spans="1:1">
      <c r="A64546" s="56"/>
    </row>
    <row r="64547" spans="1:1">
      <c r="A64547" s="56"/>
    </row>
    <row r="64548" spans="1:1">
      <c r="A64548" s="56"/>
    </row>
    <row r="64549" spans="1:1">
      <c r="A64549" s="56"/>
    </row>
    <row r="64550" spans="1:1">
      <c r="A64550" s="56"/>
    </row>
    <row r="64551" spans="1:1">
      <c r="A64551" s="56"/>
    </row>
    <row r="64552" spans="1:1">
      <c r="A64552" s="56"/>
    </row>
    <row r="64553" spans="1:1">
      <c r="A64553" s="56"/>
    </row>
    <row r="64554" spans="1:1">
      <c r="A64554" s="56"/>
    </row>
    <row r="64555" spans="1:1">
      <c r="A64555" s="56"/>
    </row>
    <row r="64556" spans="1:1">
      <c r="A64556" s="56"/>
    </row>
    <row r="64557" spans="1:1">
      <c r="A64557" s="56"/>
    </row>
    <row r="64558" spans="1:1">
      <c r="A64558" s="56"/>
    </row>
    <row r="64559" spans="1:1">
      <c r="A64559" s="56"/>
    </row>
    <row r="64560" spans="1:1">
      <c r="A64560" s="56"/>
    </row>
    <row r="64561" spans="1:1">
      <c r="A64561" s="56"/>
    </row>
    <row r="64562" spans="1:1">
      <c r="A64562" s="56"/>
    </row>
    <row r="64563" spans="1:1">
      <c r="A64563" s="56"/>
    </row>
    <row r="64564" spans="1:1">
      <c r="A64564" s="56"/>
    </row>
    <row r="64565" spans="1:1">
      <c r="A64565" s="56"/>
    </row>
    <row r="64566" spans="1:1">
      <c r="A64566" s="56"/>
    </row>
    <row r="64567" spans="1:1">
      <c r="A64567" s="56"/>
    </row>
    <row r="64568" spans="1:1">
      <c r="A64568" s="56"/>
    </row>
    <row r="64569" spans="1:1">
      <c r="A64569" s="56"/>
    </row>
    <row r="64570" spans="1:1">
      <c r="A64570" s="56"/>
    </row>
    <row r="64571" spans="1:1">
      <c r="A64571" s="56"/>
    </row>
    <row r="64572" spans="1:1">
      <c r="A64572" s="56"/>
    </row>
    <row r="64573" spans="1:1">
      <c r="A64573" s="56"/>
    </row>
    <row r="64574" spans="1:1">
      <c r="A64574" s="56"/>
    </row>
    <row r="64575" spans="1:1">
      <c r="A64575" s="56"/>
    </row>
    <row r="64576" spans="1:1">
      <c r="A64576" s="56"/>
    </row>
    <row r="64577" spans="1:1">
      <c r="A64577" s="56"/>
    </row>
    <row r="64578" spans="1:1">
      <c r="A64578" s="56"/>
    </row>
    <row r="64579" spans="1:1">
      <c r="A64579" s="56"/>
    </row>
    <row r="64580" spans="1:1">
      <c r="A64580" s="56"/>
    </row>
    <row r="64581" spans="1:1">
      <c r="A64581" s="56"/>
    </row>
    <row r="64582" spans="1:1">
      <c r="A64582" s="56"/>
    </row>
    <row r="64583" spans="1:1">
      <c r="A64583" s="56"/>
    </row>
    <row r="64584" spans="1:1">
      <c r="A64584" s="56"/>
    </row>
    <row r="64585" spans="1:1">
      <c r="A64585" s="56"/>
    </row>
    <row r="64586" spans="1:1">
      <c r="A64586" s="56"/>
    </row>
    <row r="64587" spans="1:1">
      <c r="A64587" s="56"/>
    </row>
    <row r="64588" spans="1:1">
      <c r="A64588" s="56"/>
    </row>
    <row r="64589" spans="1:1">
      <c r="A64589" s="56"/>
    </row>
    <row r="64590" spans="1:1">
      <c r="A64590" s="56"/>
    </row>
    <row r="64591" spans="1:1">
      <c r="A64591" s="56"/>
    </row>
    <row r="64592" spans="1:1">
      <c r="A64592" s="56"/>
    </row>
    <row r="64593" spans="1:1">
      <c r="A64593" s="56"/>
    </row>
    <row r="64594" spans="1:1">
      <c r="A64594" s="56"/>
    </row>
    <row r="64595" spans="1:1">
      <c r="A64595" s="56"/>
    </row>
    <row r="64596" spans="1:1">
      <c r="A64596" s="56"/>
    </row>
    <row r="64597" spans="1:1">
      <c r="A64597" s="56"/>
    </row>
    <row r="64598" spans="1:1">
      <c r="A64598" s="56"/>
    </row>
    <row r="64599" spans="1:1">
      <c r="A64599" s="56"/>
    </row>
    <row r="64600" spans="1:1">
      <c r="A64600" s="56"/>
    </row>
    <row r="64601" spans="1:1">
      <c r="A64601" s="56"/>
    </row>
    <row r="64602" spans="1:1">
      <c r="A64602" s="56"/>
    </row>
    <row r="64603" spans="1:1">
      <c r="A64603" s="56"/>
    </row>
    <row r="64604" spans="1:1">
      <c r="A64604" s="56"/>
    </row>
    <row r="64605" spans="1:1">
      <c r="A64605" s="56"/>
    </row>
    <row r="64606" spans="1:1">
      <c r="A64606" s="56"/>
    </row>
    <row r="64607" spans="1:1">
      <c r="A64607" s="56"/>
    </row>
    <row r="64608" spans="1:1">
      <c r="A64608" s="56"/>
    </row>
    <row r="64609" spans="1:1">
      <c r="A64609" s="56"/>
    </row>
    <row r="64610" spans="1:1">
      <c r="A64610" s="56"/>
    </row>
    <row r="64611" spans="1:1">
      <c r="A64611" s="56"/>
    </row>
    <row r="64612" spans="1:1">
      <c r="A64612" s="56"/>
    </row>
    <row r="64613" spans="1:1">
      <c r="A64613" s="56"/>
    </row>
    <row r="64614" spans="1:1">
      <c r="A64614" s="56"/>
    </row>
    <row r="64615" spans="1:1">
      <c r="A64615" s="56"/>
    </row>
    <row r="64616" spans="1:1">
      <c r="A64616" s="56"/>
    </row>
    <row r="64617" spans="1:1">
      <c r="A64617" s="56"/>
    </row>
    <row r="64618" spans="1:1">
      <c r="A64618" s="56"/>
    </row>
    <row r="64619" spans="1:1">
      <c r="A64619" s="56"/>
    </row>
    <row r="64620" spans="1:1">
      <c r="A64620" s="56"/>
    </row>
    <row r="64621" spans="1:1">
      <c r="A64621" s="56"/>
    </row>
    <row r="64622" spans="1:1">
      <c r="A64622" s="56"/>
    </row>
    <row r="64623" spans="1:1">
      <c r="A64623" s="56"/>
    </row>
    <row r="64624" spans="1:1">
      <c r="A64624" s="56"/>
    </row>
    <row r="64625" spans="1:1">
      <c r="A64625" s="56"/>
    </row>
    <row r="64626" spans="1:1">
      <c r="A64626" s="56"/>
    </row>
    <row r="64627" spans="1:1">
      <c r="A64627" s="56"/>
    </row>
    <row r="64628" spans="1:1">
      <c r="A64628" s="56"/>
    </row>
    <row r="64629" spans="1:1">
      <c r="A64629" s="56"/>
    </row>
    <row r="64630" spans="1:1">
      <c r="A64630" s="56"/>
    </row>
    <row r="64631" spans="1:1">
      <c r="A64631" s="56"/>
    </row>
    <row r="64632" spans="1:1">
      <c r="A64632" s="56"/>
    </row>
    <row r="64633" spans="1:1">
      <c r="A64633" s="56"/>
    </row>
    <row r="64634" spans="1:1">
      <c r="A64634" s="56"/>
    </row>
    <row r="64635" spans="1:1">
      <c r="A64635" s="56"/>
    </row>
    <row r="64636" spans="1:1">
      <c r="A64636" s="56"/>
    </row>
    <row r="64637" spans="1:1">
      <c r="A64637" s="56"/>
    </row>
    <row r="64638" spans="1:1">
      <c r="A64638" s="56"/>
    </row>
    <row r="64639" spans="1:1">
      <c r="A64639" s="56"/>
    </row>
    <row r="64640" spans="1:1">
      <c r="A64640" s="56"/>
    </row>
    <row r="64641" spans="1:1">
      <c r="A64641" s="56"/>
    </row>
    <row r="64642" spans="1:1">
      <c r="A64642" s="56"/>
    </row>
    <row r="64643" spans="1:1">
      <c r="A64643" s="56"/>
    </row>
    <row r="64644" spans="1:1">
      <c r="A64644" s="56"/>
    </row>
    <row r="64645" spans="1:1">
      <c r="A64645" s="56"/>
    </row>
    <row r="64646" spans="1:1">
      <c r="A64646" s="56"/>
    </row>
    <row r="64647" spans="1:1">
      <c r="A64647" s="56"/>
    </row>
    <row r="64648" spans="1:1">
      <c r="A64648" s="56"/>
    </row>
    <row r="64649" spans="1:1">
      <c r="A64649" s="56"/>
    </row>
    <row r="64650" spans="1:1">
      <c r="A64650" s="56"/>
    </row>
    <row r="64651" spans="1:1">
      <c r="A64651" s="56"/>
    </row>
    <row r="64652" spans="1:1">
      <c r="A64652" s="56"/>
    </row>
    <row r="64653" spans="1:1">
      <c r="A64653" s="56"/>
    </row>
    <row r="64654" spans="1:1">
      <c r="A64654" s="56"/>
    </row>
    <row r="64655" spans="1:1">
      <c r="A64655" s="56"/>
    </row>
    <row r="64656" spans="1:1">
      <c r="A64656" s="56"/>
    </row>
    <row r="64657" spans="1:1">
      <c r="A64657" s="56"/>
    </row>
    <row r="64658" spans="1:1">
      <c r="A64658" s="56"/>
    </row>
    <row r="64659" spans="1:1">
      <c r="A64659" s="56"/>
    </row>
    <row r="64660" spans="1:1">
      <c r="A64660" s="56"/>
    </row>
    <row r="64661" spans="1:1">
      <c r="A64661" s="56"/>
    </row>
    <row r="64662" spans="1:1">
      <c r="A64662" s="56"/>
    </row>
    <row r="64663" spans="1:1">
      <c r="A64663" s="56"/>
    </row>
    <row r="64664" spans="1:1">
      <c r="A64664" s="56"/>
    </row>
    <row r="64665" spans="1:1">
      <c r="A64665" s="56"/>
    </row>
    <row r="64666" spans="1:1">
      <c r="A64666" s="56"/>
    </row>
    <row r="64667" spans="1:1">
      <c r="A64667" s="56"/>
    </row>
    <row r="64668" spans="1:1">
      <c r="A64668" s="56"/>
    </row>
    <row r="64669" spans="1:1">
      <c r="A64669" s="56"/>
    </row>
    <row r="64670" spans="1:1">
      <c r="A64670" s="56"/>
    </row>
    <row r="64671" spans="1:1">
      <c r="A64671" s="56"/>
    </row>
    <row r="64672" spans="1:1">
      <c r="A64672" s="56"/>
    </row>
    <row r="64673" spans="1:1">
      <c r="A64673" s="56"/>
    </row>
    <row r="64674" spans="1:1">
      <c r="A64674" s="56"/>
    </row>
    <row r="64675" spans="1:1">
      <c r="A64675" s="56"/>
    </row>
    <row r="64676" spans="1:1">
      <c r="A64676" s="56"/>
    </row>
    <row r="64677" spans="1:1">
      <c r="A64677" s="56"/>
    </row>
    <row r="64678" spans="1:1">
      <c r="A64678" s="56"/>
    </row>
    <row r="64679" spans="1:1">
      <c r="A64679" s="56"/>
    </row>
    <row r="64680" spans="1:1">
      <c r="A64680" s="56"/>
    </row>
    <row r="64681" spans="1:1">
      <c r="A64681" s="56"/>
    </row>
    <row r="64682" spans="1:1">
      <c r="A64682" s="56"/>
    </row>
    <row r="64683" spans="1:1">
      <c r="A64683" s="56"/>
    </row>
    <row r="64684" spans="1:1">
      <c r="A64684" s="56"/>
    </row>
    <row r="64685" spans="1:1">
      <c r="A64685" s="56"/>
    </row>
    <row r="64686" spans="1:1">
      <c r="A64686" s="56"/>
    </row>
    <row r="64687" spans="1:1">
      <c r="A64687" s="56"/>
    </row>
    <row r="64688" spans="1:1">
      <c r="A64688" s="56"/>
    </row>
    <row r="64689" spans="1:1">
      <c r="A64689" s="56"/>
    </row>
    <row r="64690" spans="1:1">
      <c r="A64690" s="56"/>
    </row>
    <row r="64691" spans="1:1">
      <c r="A64691" s="56"/>
    </row>
    <row r="64692" spans="1:1">
      <c r="A64692" s="56"/>
    </row>
    <row r="64693" spans="1:1">
      <c r="A64693" s="56"/>
    </row>
    <row r="64694" spans="1:1">
      <c r="A64694" s="56"/>
    </row>
    <row r="64695" spans="1:1">
      <c r="A64695" s="56"/>
    </row>
    <row r="64696" spans="1:1">
      <c r="A64696" s="56"/>
    </row>
    <row r="64697" spans="1:1">
      <c r="A64697" s="56"/>
    </row>
    <row r="64698" spans="1:1">
      <c r="A64698" s="56"/>
    </row>
    <row r="64699" spans="1:1">
      <c r="A64699" s="56"/>
    </row>
    <row r="64700" spans="1:1">
      <c r="A64700" s="56"/>
    </row>
    <row r="64701" spans="1:1">
      <c r="A64701" s="56"/>
    </row>
    <row r="64702" spans="1:1">
      <c r="A64702" s="56"/>
    </row>
    <row r="64703" spans="1:1">
      <c r="A64703" s="56"/>
    </row>
    <row r="64704" spans="1:1">
      <c r="A64704" s="56"/>
    </row>
    <row r="64705" spans="1:1">
      <c r="A64705" s="56"/>
    </row>
    <row r="64706" spans="1:1">
      <c r="A64706" s="56"/>
    </row>
    <row r="64707" spans="1:1">
      <c r="A64707" s="56"/>
    </row>
    <row r="64708" spans="1:1">
      <c r="A64708" s="56"/>
    </row>
    <row r="64709" spans="1:1">
      <c r="A64709" s="56"/>
    </row>
    <row r="64710" spans="1:1">
      <c r="A64710" s="56"/>
    </row>
    <row r="64711" spans="1:1">
      <c r="A64711" s="56"/>
    </row>
    <row r="64712" spans="1:1">
      <c r="A64712" s="56"/>
    </row>
    <row r="64713" spans="1:1">
      <c r="A64713" s="56"/>
    </row>
    <row r="64714" spans="1:1">
      <c r="A64714" s="56"/>
    </row>
    <row r="64715" spans="1:1">
      <c r="A64715" s="56"/>
    </row>
    <row r="64716" spans="1:1">
      <c r="A64716" s="56"/>
    </row>
    <row r="64717" spans="1:1">
      <c r="A64717" s="56"/>
    </row>
    <row r="64718" spans="1:1">
      <c r="A64718" s="56"/>
    </row>
    <row r="64719" spans="1:1">
      <c r="A64719" s="56"/>
    </row>
    <row r="64720" spans="1:1">
      <c r="A64720" s="56"/>
    </row>
    <row r="64721" spans="1:1">
      <c r="A64721" s="56"/>
    </row>
    <row r="64722" spans="1:1">
      <c r="A64722" s="56"/>
    </row>
    <row r="64723" spans="1:1">
      <c r="A64723" s="56"/>
    </row>
    <row r="64724" spans="1:1">
      <c r="A64724" s="56"/>
    </row>
    <row r="64725" spans="1:1">
      <c r="A64725" s="56"/>
    </row>
    <row r="64726" spans="1:1">
      <c r="A64726" s="56"/>
    </row>
    <row r="64727" spans="1:1">
      <c r="A64727" s="56"/>
    </row>
    <row r="64728" spans="1:1">
      <c r="A64728" s="56"/>
    </row>
    <row r="64729" spans="1:1">
      <c r="A64729" s="56"/>
    </row>
    <row r="64730" spans="1:1">
      <c r="A64730" s="56"/>
    </row>
    <row r="64731" spans="1:1">
      <c r="A64731" s="56"/>
    </row>
    <row r="64732" spans="1:1">
      <c r="A64732" s="56"/>
    </row>
    <row r="64733" spans="1:1">
      <c r="A64733" s="56"/>
    </row>
    <row r="64734" spans="1:1">
      <c r="A64734" s="56"/>
    </row>
    <row r="64735" spans="1:1">
      <c r="A64735" s="56"/>
    </row>
    <row r="64736" spans="1:1">
      <c r="A64736" s="56"/>
    </row>
    <row r="64737" spans="1:1">
      <c r="A64737" s="56"/>
    </row>
    <row r="64738" spans="1:1">
      <c r="A64738" s="56"/>
    </row>
    <row r="64739" spans="1:1">
      <c r="A64739" s="56"/>
    </row>
    <row r="64740" spans="1:1">
      <c r="A64740" s="56"/>
    </row>
    <row r="64741" spans="1:1">
      <c r="A64741" s="56"/>
    </row>
    <row r="64742" spans="1:1">
      <c r="A64742" s="56"/>
    </row>
    <row r="64743" spans="1:1">
      <c r="A64743" s="56"/>
    </row>
    <row r="64744" spans="1:1">
      <c r="A64744" s="56"/>
    </row>
    <row r="64745" spans="1:1">
      <c r="A64745" s="56"/>
    </row>
    <row r="64746" spans="1:1">
      <c r="A64746" s="56"/>
    </row>
    <row r="64747" spans="1:1">
      <c r="A64747" s="56"/>
    </row>
    <row r="64748" spans="1:1">
      <c r="A64748" s="56"/>
    </row>
    <row r="64749" spans="1:1">
      <c r="A64749" s="56"/>
    </row>
    <row r="64750" spans="1:1">
      <c r="A64750" s="56"/>
    </row>
    <row r="64751" spans="1:1">
      <c r="A64751" s="56"/>
    </row>
    <row r="64752" spans="1:1">
      <c r="A64752" s="56"/>
    </row>
    <row r="64753" spans="1:1">
      <c r="A64753" s="56"/>
    </row>
    <row r="64754" spans="1:1">
      <c r="A64754" s="56"/>
    </row>
    <row r="64755" spans="1:1">
      <c r="A64755" s="56"/>
    </row>
    <row r="64756" spans="1:1">
      <c r="A64756" s="56"/>
    </row>
    <row r="64757" spans="1:1">
      <c r="A64757" s="56"/>
    </row>
    <row r="64758" spans="1:1">
      <c r="A64758" s="56"/>
    </row>
    <row r="64759" spans="1:1">
      <c r="A64759" s="56"/>
    </row>
    <row r="64760" spans="1:1">
      <c r="A64760" s="56"/>
    </row>
    <row r="64761" spans="1:1">
      <c r="A64761" s="56"/>
    </row>
    <row r="64762" spans="1:1">
      <c r="A64762" s="56"/>
    </row>
    <row r="64763" spans="1:1">
      <c r="A64763" s="56"/>
    </row>
    <row r="64764" spans="1:1">
      <c r="A64764" s="56"/>
    </row>
    <row r="64765" spans="1:1">
      <c r="A64765" s="56"/>
    </row>
    <row r="64766" spans="1:1">
      <c r="A64766" s="56"/>
    </row>
    <row r="64767" spans="1:1">
      <c r="A64767" s="56"/>
    </row>
    <row r="64768" spans="1:1">
      <c r="A64768" s="56"/>
    </row>
    <row r="64769" spans="1:1">
      <c r="A64769" s="56"/>
    </row>
    <row r="64770" spans="1:1">
      <c r="A64770" s="56"/>
    </row>
    <row r="64771" spans="1:1">
      <c r="A64771" s="56"/>
    </row>
    <row r="64772" spans="1:1">
      <c r="A64772" s="56"/>
    </row>
    <row r="64773" spans="1:1">
      <c r="A64773" s="56"/>
    </row>
    <row r="64774" spans="1:1">
      <c r="A64774" s="56"/>
    </row>
    <row r="64775" spans="1:1">
      <c r="A64775" s="56"/>
    </row>
    <row r="64776" spans="1:1">
      <c r="A64776" s="56"/>
    </row>
    <row r="64777" spans="1:1">
      <c r="A64777" s="56"/>
    </row>
    <row r="64778" spans="1:1">
      <c r="A64778" s="56"/>
    </row>
    <row r="64779" spans="1:1">
      <c r="A64779" s="56"/>
    </row>
    <row r="64780" spans="1:1">
      <c r="A64780" s="56"/>
    </row>
    <row r="64781" spans="1:1">
      <c r="A64781" s="56"/>
    </row>
    <row r="64782" spans="1:1">
      <c r="A64782" s="56"/>
    </row>
    <row r="64783" spans="1:1">
      <c r="A64783" s="56"/>
    </row>
    <row r="64784" spans="1:1">
      <c r="A64784" s="56"/>
    </row>
    <row r="64785" spans="1:1">
      <c r="A64785" s="56"/>
    </row>
    <row r="64786" spans="1:1">
      <c r="A64786" s="56"/>
    </row>
    <row r="64787" spans="1:1">
      <c r="A64787" s="56"/>
    </row>
    <row r="64788" spans="1:1">
      <c r="A64788" s="56"/>
    </row>
    <row r="64789" spans="1:1">
      <c r="A64789" s="56"/>
    </row>
    <row r="64790" spans="1:1">
      <c r="A64790" s="56"/>
    </row>
    <row r="64791" spans="1:1">
      <c r="A64791" s="56"/>
    </row>
    <row r="64792" spans="1:1">
      <c r="A64792" s="56"/>
    </row>
    <row r="64793" spans="1:1">
      <c r="A64793" s="56"/>
    </row>
    <row r="64794" spans="1:1">
      <c r="A64794" s="56"/>
    </row>
    <row r="64795" spans="1:1">
      <c r="A64795" s="56"/>
    </row>
    <row r="64796" spans="1:1">
      <c r="A64796" s="56"/>
    </row>
    <row r="64797" spans="1:1">
      <c r="A64797" s="56"/>
    </row>
    <row r="64798" spans="1:1">
      <c r="A64798" s="56"/>
    </row>
    <row r="64799" spans="1:1">
      <c r="A64799" s="56"/>
    </row>
    <row r="64800" spans="1:1">
      <c r="A64800" s="56"/>
    </row>
    <row r="64801" spans="1:1">
      <c r="A64801" s="56"/>
    </row>
    <row r="64802" spans="1:1">
      <c r="A64802" s="56"/>
    </row>
    <row r="64803" spans="1:1">
      <c r="A64803" s="56"/>
    </row>
    <row r="64804" spans="1:1">
      <c r="A64804" s="56"/>
    </row>
    <row r="64805" spans="1:1">
      <c r="A64805" s="56"/>
    </row>
    <row r="64806" spans="1:1">
      <c r="A64806" s="56"/>
    </row>
    <row r="64807" spans="1:1">
      <c r="A64807" s="56"/>
    </row>
    <row r="64808" spans="1:1">
      <c r="A64808" s="56"/>
    </row>
    <row r="64809" spans="1:1">
      <c r="A64809" s="56"/>
    </row>
    <row r="64810" spans="1:1">
      <c r="A64810" s="56"/>
    </row>
    <row r="64811" spans="1:1">
      <c r="A64811" s="56"/>
    </row>
    <row r="64812" spans="1:1">
      <c r="A64812" s="56"/>
    </row>
    <row r="64813" spans="1:1">
      <c r="A64813" s="56"/>
    </row>
    <row r="64814" spans="1:1">
      <c r="A64814" s="56"/>
    </row>
    <row r="64815" spans="1:1">
      <c r="A64815" s="56"/>
    </row>
    <row r="64816" spans="1:1">
      <c r="A64816" s="56"/>
    </row>
    <row r="64817" spans="1:1">
      <c r="A64817" s="56"/>
    </row>
    <row r="64818" spans="1:1">
      <c r="A64818" s="56"/>
    </row>
    <row r="64819" spans="1:1">
      <c r="A64819" s="56"/>
    </row>
    <row r="64820" spans="1:1">
      <c r="A64820" s="56"/>
    </row>
    <row r="64821" spans="1:1">
      <c r="A64821" s="56"/>
    </row>
    <row r="64822" spans="1:1">
      <c r="A64822" s="56"/>
    </row>
    <row r="64823" spans="1:1">
      <c r="A64823" s="56"/>
    </row>
    <row r="64824" spans="1:1">
      <c r="A64824" s="56"/>
    </row>
    <row r="64825" spans="1:1">
      <c r="A64825" s="56"/>
    </row>
    <row r="64826" spans="1:1">
      <c r="A64826" s="56"/>
    </row>
    <row r="64827" spans="1:1">
      <c r="A64827" s="56"/>
    </row>
    <row r="64828" spans="1:1">
      <c r="A64828" s="56"/>
    </row>
    <row r="64829" spans="1:1">
      <c r="A64829" s="56"/>
    </row>
    <row r="64830" spans="1:1">
      <c r="A64830" s="56"/>
    </row>
    <row r="64831" spans="1:1">
      <c r="A64831" s="56"/>
    </row>
    <row r="64832" spans="1:1">
      <c r="A64832" s="56"/>
    </row>
    <row r="64833" spans="1:1">
      <c r="A64833" s="56"/>
    </row>
    <row r="64834" spans="1:1">
      <c r="A64834" s="56"/>
    </row>
    <row r="64835" spans="1:1">
      <c r="A64835" s="56"/>
    </row>
    <row r="64836" spans="1:1">
      <c r="A64836" s="56"/>
    </row>
    <row r="64837" spans="1:1">
      <c r="A64837" s="56"/>
    </row>
    <row r="64838" spans="1:1">
      <c r="A64838" s="56"/>
    </row>
    <row r="64839" spans="1:1">
      <c r="A64839" s="56"/>
    </row>
    <row r="64840" spans="1:1">
      <c r="A64840" s="56"/>
    </row>
    <row r="64841" spans="1:1">
      <c r="A64841" s="56"/>
    </row>
    <row r="64842" spans="1:1">
      <c r="A64842" s="56"/>
    </row>
    <row r="64843" spans="1:1">
      <c r="A64843" s="56"/>
    </row>
    <row r="64844" spans="1:1">
      <c r="A64844" s="56"/>
    </row>
    <row r="64845" spans="1:1">
      <c r="A64845" s="56"/>
    </row>
    <row r="64846" spans="1:1">
      <c r="A64846" s="56"/>
    </row>
    <row r="64847" spans="1:1">
      <c r="A64847" s="56"/>
    </row>
    <row r="64848" spans="1:1">
      <c r="A64848" s="56"/>
    </row>
    <row r="64849" spans="1:1">
      <c r="A64849" s="56"/>
    </row>
    <row r="64850" spans="1:1">
      <c r="A64850" s="56"/>
    </row>
    <row r="64851" spans="1:1">
      <c r="A64851" s="56"/>
    </row>
    <row r="64852" spans="1:1">
      <c r="A64852" s="56"/>
    </row>
    <row r="64853" spans="1:1">
      <c r="A64853" s="56"/>
    </row>
    <row r="64854" spans="1:1">
      <c r="A64854" s="56"/>
    </row>
    <row r="64855" spans="1:1">
      <c r="A64855" s="56"/>
    </row>
    <row r="64856" spans="1:1">
      <c r="A64856" s="56"/>
    </row>
    <row r="64857" spans="1:1">
      <c r="A64857" s="56"/>
    </row>
    <row r="64858" spans="1:1">
      <c r="A64858" s="56"/>
    </row>
    <row r="64859" spans="1:1">
      <c r="A64859" s="56"/>
    </row>
    <row r="64860" spans="1:1">
      <c r="A64860" s="56"/>
    </row>
    <row r="64861" spans="1:1">
      <c r="A64861" s="56"/>
    </row>
    <row r="64862" spans="1:1">
      <c r="A64862" s="56"/>
    </row>
    <row r="64863" spans="1:1">
      <c r="A64863" s="56"/>
    </row>
    <row r="64864" spans="1:1">
      <c r="A64864" s="56"/>
    </row>
    <row r="64865" spans="1:1">
      <c r="A64865" s="56"/>
    </row>
    <row r="64866" spans="1:1">
      <c r="A64866" s="56"/>
    </row>
    <row r="64867" spans="1:1">
      <c r="A64867" s="56"/>
    </row>
    <row r="64868" spans="1:1">
      <c r="A64868" s="56"/>
    </row>
    <row r="64869" spans="1:1">
      <c r="A64869" s="56"/>
    </row>
    <row r="64870" spans="1:1">
      <c r="A64870" s="56"/>
    </row>
    <row r="64871" spans="1:1">
      <c r="A64871" s="56"/>
    </row>
    <row r="64872" spans="1:1">
      <c r="A64872" s="56"/>
    </row>
    <row r="64873" spans="1:1">
      <c r="A64873" s="56"/>
    </row>
    <row r="64874" spans="1:1">
      <c r="A64874" s="56"/>
    </row>
    <row r="64875" spans="1:1">
      <c r="A64875" s="56"/>
    </row>
    <row r="64876" spans="1:1">
      <c r="A64876" s="56"/>
    </row>
    <row r="64877" spans="1:1">
      <c r="A64877" s="56"/>
    </row>
    <row r="64878" spans="1:1">
      <c r="A64878" s="56"/>
    </row>
    <row r="64879" spans="1:1">
      <c r="A64879" s="56"/>
    </row>
    <row r="64880" spans="1:1">
      <c r="A64880" s="56"/>
    </row>
    <row r="64881" spans="1:1">
      <c r="A64881" s="56"/>
    </row>
    <row r="64882" spans="1:1">
      <c r="A64882" s="56"/>
    </row>
    <row r="64883" spans="1:1">
      <c r="A64883" s="56"/>
    </row>
    <row r="64884" spans="1:1">
      <c r="A64884" s="56"/>
    </row>
    <row r="64885" spans="1:1">
      <c r="A64885" s="56"/>
    </row>
    <row r="64886" spans="1:1">
      <c r="A64886" s="56"/>
    </row>
    <row r="64887" spans="1:1">
      <c r="A64887" s="56"/>
    </row>
    <row r="64888" spans="1:1">
      <c r="A64888" s="56"/>
    </row>
    <row r="64889" spans="1:1">
      <c r="A64889" s="56"/>
    </row>
    <row r="64890" spans="1:1">
      <c r="A64890" s="56"/>
    </row>
    <row r="64891" spans="1:1">
      <c r="A64891" s="56"/>
    </row>
    <row r="64892" spans="1:1">
      <c r="A64892" s="56"/>
    </row>
    <row r="64893" spans="1:1">
      <c r="A64893" s="56"/>
    </row>
    <row r="64894" spans="1:1">
      <c r="A64894" s="56"/>
    </row>
    <row r="64895" spans="1:1">
      <c r="A64895" s="56"/>
    </row>
    <row r="64896" spans="1:1">
      <c r="A64896" s="56"/>
    </row>
    <row r="64897" spans="1:1">
      <c r="A64897" s="56"/>
    </row>
    <row r="64898" spans="1:1">
      <c r="A64898" s="56"/>
    </row>
    <row r="64899" spans="1:1">
      <c r="A64899" s="56"/>
    </row>
    <row r="64900" spans="1:1">
      <c r="A64900" s="56"/>
    </row>
    <row r="64901" spans="1:1">
      <c r="A64901" s="56"/>
    </row>
    <row r="64902" spans="1:1">
      <c r="A64902" s="56"/>
    </row>
    <row r="64903" spans="1:1">
      <c r="A64903" s="56"/>
    </row>
    <row r="64904" spans="1:1">
      <c r="A64904" s="56"/>
    </row>
    <row r="64905" spans="1:1">
      <c r="A64905" s="56"/>
    </row>
    <row r="64906" spans="1:1">
      <c r="A64906" s="56"/>
    </row>
    <row r="64907" spans="1:1">
      <c r="A64907" s="56"/>
    </row>
    <row r="64908" spans="1:1">
      <c r="A64908" s="56"/>
    </row>
    <row r="64909" spans="1:1">
      <c r="A64909" s="56"/>
    </row>
    <row r="64910" spans="1:1">
      <c r="A64910" s="56"/>
    </row>
    <row r="64911" spans="1:1">
      <c r="A64911" s="56"/>
    </row>
    <row r="64912" spans="1:1">
      <c r="A64912" s="56"/>
    </row>
    <row r="64913" spans="1:1">
      <c r="A64913" s="56"/>
    </row>
    <row r="64914" spans="1:1">
      <c r="A64914" s="56"/>
    </row>
    <row r="64915" spans="1:1">
      <c r="A64915" s="56"/>
    </row>
    <row r="64916" spans="1:1">
      <c r="A64916" s="56"/>
    </row>
    <row r="64917" spans="1:1">
      <c r="A64917" s="56"/>
    </row>
    <row r="64918" spans="1:1">
      <c r="A64918" s="56"/>
    </row>
    <row r="64919" spans="1:1">
      <c r="A64919" s="56"/>
    </row>
    <row r="64920" spans="1:1">
      <c r="A64920" s="56"/>
    </row>
    <row r="64921" spans="1:1">
      <c r="A64921" s="56"/>
    </row>
    <row r="64922" spans="1:1">
      <c r="A64922" s="56"/>
    </row>
    <row r="64923" spans="1:1">
      <c r="A64923" s="56"/>
    </row>
    <row r="64924" spans="1:1">
      <c r="A64924" s="56"/>
    </row>
    <row r="64925" spans="1:1">
      <c r="A64925" s="56"/>
    </row>
    <row r="64926" spans="1:1">
      <c r="A64926" s="56"/>
    </row>
    <row r="64927" spans="1:1">
      <c r="A64927" s="56"/>
    </row>
    <row r="64928" spans="1:1">
      <c r="A64928" s="56"/>
    </row>
    <row r="64929" spans="1:1">
      <c r="A64929" s="56"/>
    </row>
    <row r="64930" spans="1:1">
      <c r="A64930" s="56"/>
    </row>
    <row r="64931" spans="1:1">
      <c r="A64931" s="56"/>
    </row>
    <row r="64932" spans="1:1">
      <c r="A64932" s="56"/>
    </row>
    <row r="64933" spans="1:1">
      <c r="A64933" s="56"/>
    </row>
    <row r="64934" spans="1:1">
      <c r="A64934" s="56"/>
    </row>
    <row r="64935" spans="1:1">
      <c r="A64935" s="56"/>
    </row>
    <row r="64936" spans="1:1">
      <c r="A64936" s="56"/>
    </row>
    <row r="64937" spans="1:1">
      <c r="A64937" s="56"/>
    </row>
    <row r="64938" spans="1:1">
      <c r="A64938" s="56"/>
    </row>
    <row r="64939" spans="1:1">
      <c r="A64939" s="56"/>
    </row>
    <row r="64940" spans="1:1">
      <c r="A64940" s="56"/>
    </row>
    <row r="64941" spans="1:1">
      <c r="A64941" s="56"/>
    </row>
    <row r="64942" spans="1:1">
      <c r="A64942" s="56"/>
    </row>
    <row r="64943" spans="1:1">
      <c r="A64943" s="56"/>
    </row>
    <row r="64944" spans="1:1">
      <c r="A64944" s="56"/>
    </row>
    <row r="64945" spans="1:1">
      <c r="A64945" s="56"/>
    </row>
    <row r="64946" spans="1:1">
      <c r="A64946" s="56"/>
    </row>
    <row r="64947" spans="1:1">
      <c r="A64947" s="56"/>
    </row>
    <row r="64948" spans="1:1">
      <c r="A64948" s="56"/>
    </row>
    <row r="64949" spans="1:1">
      <c r="A64949" s="56"/>
    </row>
    <row r="64950" spans="1:1">
      <c r="A64950" s="56"/>
    </row>
    <row r="64951" spans="1:1">
      <c r="A64951" s="56"/>
    </row>
    <row r="64952" spans="1:1">
      <c r="A64952" s="56"/>
    </row>
    <row r="64953" spans="1:1">
      <c r="A64953" s="56"/>
    </row>
    <row r="64954" spans="1:1">
      <c r="A64954" s="56"/>
    </row>
    <row r="64955" spans="1:1">
      <c r="A64955" s="56"/>
    </row>
    <row r="64956" spans="1:1">
      <c r="A64956" s="56"/>
    </row>
    <row r="64957" spans="1:1">
      <c r="A64957" s="56"/>
    </row>
    <row r="64958" spans="1:1">
      <c r="A64958" s="56"/>
    </row>
    <row r="64959" spans="1:1">
      <c r="A64959" s="56"/>
    </row>
    <row r="64960" spans="1:1">
      <c r="A64960" s="56"/>
    </row>
    <row r="64961" spans="1:1">
      <c r="A64961" s="56"/>
    </row>
    <row r="64962" spans="1:1">
      <c r="A64962" s="56"/>
    </row>
    <row r="64963" spans="1:1">
      <c r="A64963" s="56"/>
    </row>
    <row r="64964" spans="1:1">
      <c r="A64964" s="56"/>
    </row>
    <row r="64965" spans="1:1">
      <c r="A64965" s="56"/>
    </row>
    <row r="64966" spans="1:1">
      <c r="A64966" s="56"/>
    </row>
    <row r="64967" spans="1:1">
      <c r="A64967" s="56"/>
    </row>
    <row r="64968" spans="1:1">
      <c r="A64968" s="56"/>
    </row>
    <row r="64969" spans="1:1">
      <c r="A64969" s="56"/>
    </row>
    <row r="64970" spans="1:1">
      <c r="A64970" s="56"/>
    </row>
    <row r="64971" spans="1:1">
      <c r="A64971" s="56"/>
    </row>
    <row r="64972" spans="1:1">
      <c r="A64972" s="56"/>
    </row>
    <row r="64973" spans="1:1">
      <c r="A64973" s="56"/>
    </row>
    <row r="64974" spans="1:1">
      <c r="A64974" s="56"/>
    </row>
    <row r="64975" spans="1:1">
      <c r="A64975" s="56"/>
    </row>
    <row r="64976" spans="1:1">
      <c r="A64976" s="56"/>
    </row>
    <row r="64977" spans="1:1">
      <c r="A64977" s="56"/>
    </row>
    <row r="64978" spans="1:1">
      <c r="A64978" s="56"/>
    </row>
    <row r="64979" spans="1:1">
      <c r="A64979" s="56"/>
    </row>
    <row r="64980" spans="1:1">
      <c r="A64980" s="56"/>
    </row>
    <row r="64981" spans="1:1">
      <c r="A64981" s="56"/>
    </row>
    <row r="64982" spans="1:1">
      <c r="A64982" s="56"/>
    </row>
    <row r="64983" spans="1:1">
      <c r="A64983" s="56"/>
    </row>
    <row r="64984" spans="1:1">
      <c r="A64984" s="56"/>
    </row>
    <row r="64985" spans="1:1">
      <c r="A64985" s="56"/>
    </row>
    <row r="64986" spans="1:1">
      <c r="A64986" s="56"/>
    </row>
    <row r="64987" spans="1:1">
      <c r="A64987" s="56"/>
    </row>
    <row r="64988" spans="1:1">
      <c r="A64988" s="56"/>
    </row>
    <row r="64989" spans="1:1">
      <c r="A64989" s="56"/>
    </row>
    <row r="64990" spans="1:1">
      <c r="A64990" s="56"/>
    </row>
    <row r="64991" spans="1:1">
      <c r="A64991" s="56"/>
    </row>
    <row r="64992" spans="1:1">
      <c r="A64992" s="56"/>
    </row>
    <row r="64993" spans="1:1">
      <c r="A64993" s="56"/>
    </row>
    <row r="64994" spans="1:1">
      <c r="A64994" s="56"/>
    </row>
    <row r="64995" spans="1:1">
      <c r="A64995" s="56"/>
    </row>
    <row r="64996" spans="1:1">
      <c r="A64996" s="56"/>
    </row>
    <row r="64997" spans="1:1">
      <c r="A64997" s="56"/>
    </row>
    <row r="64998" spans="1:1">
      <c r="A64998" s="56"/>
    </row>
    <row r="64999" spans="1:1">
      <c r="A64999" s="56"/>
    </row>
    <row r="65000" spans="1:1">
      <c r="A65000" s="56"/>
    </row>
    <row r="65001" spans="1:1">
      <c r="A65001" s="56"/>
    </row>
    <row r="65002" spans="1:1">
      <c r="A65002" s="56"/>
    </row>
    <row r="65003" spans="1:1">
      <c r="A65003" s="56"/>
    </row>
    <row r="65004" spans="1:1">
      <c r="A65004" s="56"/>
    </row>
    <row r="65005" spans="1:1">
      <c r="A65005" s="56"/>
    </row>
    <row r="65006" spans="1:1">
      <c r="A65006" s="56"/>
    </row>
    <row r="65007" spans="1:1">
      <c r="A65007" s="56"/>
    </row>
    <row r="65008" spans="1:1">
      <c r="A65008" s="56"/>
    </row>
    <row r="65009" spans="1:1">
      <c r="A65009" s="56"/>
    </row>
    <row r="65010" spans="1:1">
      <c r="A65010" s="56"/>
    </row>
    <row r="65011" spans="1:1">
      <c r="A65011" s="56"/>
    </row>
    <row r="65012" spans="1:1">
      <c r="A65012" s="56"/>
    </row>
    <row r="65013" spans="1:1">
      <c r="A65013" s="56"/>
    </row>
    <row r="65014" spans="1:1">
      <c r="A65014" s="56"/>
    </row>
    <row r="65015" spans="1:1">
      <c r="A65015" s="56"/>
    </row>
    <row r="65016" spans="1:1">
      <c r="A65016" s="56"/>
    </row>
    <row r="65017" spans="1:1">
      <c r="A65017" s="56"/>
    </row>
    <row r="65018" spans="1:1">
      <c r="A65018" s="56"/>
    </row>
    <row r="65019" spans="1:1">
      <c r="A65019" s="56"/>
    </row>
    <row r="65020" spans="1:1">
      <c r="A65020" s="56"/>
    </row>
    <row r="65021" spans="1:1">
      <c r="A65021" s="56"/>
    </row>
    <row r="65022" spans="1:1">
      <c r="A65022" s="56"/>
    </row>
    <row r="65023" spans="1:1">
      <c r="A65023" s="56"/>
    </row>
    <row r="65024" spans="1:1">
      <c r="A65024" s="56"/>
    </row>
    <row r="65025" spans="1:1">
      <c r="A65025" s="56"/>
    </row>
    <row r="65026" spans="1:1">
      <c r="A65026" s="56"/>
    </row>
    <row r="65027" spans="1:1">
      <c r="A65027" s="56"/>
    </row>
    <row r="65028" spans="1:1">
      <c r="A65028" s="56"/>
    </row>
    <row r="65029" spans="1:1">
      <c r="A65029" s="56"/>
    </row>
    <row r="65030" spans="1:1">
      <c r="A65030" s="56"/>
    </row>
    <row r="65031" spans="1:1">
      <c r="A65031" s="56"/>
    </row>
    <row r="65032" spans="1:1">
      <c r="A65032" s="56"/>
    </row>
    <row r="65033" spans="1:1">
      <c r="A65033" s="56"/>
    </row>
    <row r="65034" spans="1:1">
      <c r="A65034" s="56"/>
    </row>
    <row r="65035" spans="1:1">
      <c r="A65035" s="56"/>
    </row>
    <row r="65036" spans="1:1">
      <c r="A65036" s="56"/>
    </row>
    <row r="65037" spans="1:1">
      <c r="A65037" s="56"/>
    </row>
    <row r="65038" spans="1:1">
      <c r="A65038" s="56"/>
    </row>
    <row r="65039" spans="1:1">
      <c r="A65039" s="56"/>
    </row>
    <row r="65040" spans="1:1">
      <c r="A65040" s="56"/>
    </row>
    <row r="65041" spans="1:1">
      <c r="A65041" s="56"/>
    </row>
    <row r="65042" spans="1:1">
      <c r="A65042" s="56"/>
    </row>
    <row r="65043" spans="1:1">
      <c r="A65043" s="56"/>
    </row>
    <row r="65044" spans="1:1">
      <c r="A65044" s="56"/>
    </row>
    <row r="65045" spans="1:1">
      <c r="A65045" s="56"/>
    </row>
    <row r="65046" spans="1:1">
      <c r="A65046" s="56"/>
    </row>
    <row r="65047" spans="1:1">
      <c r="A65047" s="56"/>
    </row>
    <row r="65048" spans="1:1">
      <c r="A65048" s="56"/>
    </row>
    <row r="65049" spans="1:1">
      <c r="A65049" s="56"/>
    </row>
    <row r="65050" spans="1:1">
      <c r="A65050" s="56"/>
    </row>
    <row r="65051" spans="1:1">
      <c r="A65051" s="56"/>
    </row>
    <row r="65052" spans="1:1">
      <c r="A65052" s="56"/>
    </row>
    <row r="65053" spans="1:1">
      <c r="A65053" s="56"/>
    </row>
    <row r="65054" spans="1:1">
      <c r="A65054" s="56"/>
    </row>
    <row r="65055" spans="1:1">
      <c r="A65055" s="56"/>
    </row>
    <row r="65056" spans="1:1">
      <c r="A65056" s="56"/>
    </row>
    <row r="65057" spans="1:1">
      <c r="A65057" s="56"/>
    </row>
    <row r="65058" spans="1:1">
      <c r="A65058" s="56"/>
    </row>
    <row r="65059" spans="1:1">
      <c r="A65059" s="56"/>
    </row>
    <row r="65060" spans="1:1">
      <c r="A65060" s="56"/>
    </row>
    <row r="65061" spans="1:1">
      <c r="A65061" s="56"/>
    </row>
    <row r="65062" spans="1:1">
      <c r="A65062" s="56"/>
    </row>
    <row r="65063" spans="1:1">
      <c r="A65063" s="56"/>
    </row>
    <row r="65064" spans="1:1">
      <c r="A65064" s="56"/>
    </row>
    <row r="65065" spans="1:1">
      <c r="A65065" s="56"/>
    </row>
    <row r="65066" spans="1:1">
      <c r="A65066" s="56"/>
    </row>
    <row r="65067" spans="1:1">
      <c r="A65067" s="56"/>
    </row>
    <row r="65068" spans="1:1">
      <c r="A65068" s="56"/>
    </row>
    <row r="65069" spans="1:1">
      <c r="A65069" s="56"/>
    </row>
    <row r="65070" spans="1:1">
      <c r="A65070" s="56"/>
    </row>
    <row r="65071" spans="1:1">
      <c r="A65071" s="56"/>
    </row>
    <row r="65072" spans="1:1">
      <c r="A65072" s="56"/>
    </row>
    <row r="65073" spans="1:1">
      <c r="A65073" s="56"/>
    </row>
    <row r="65074" spans="1:1">
      <c r="A65074" s="56"/>
    </row>
    <row r="65075" spans="1:1">
      <c r="A65075" s="56"/>
    </row>
    <row r="65076" spans="1:1">
      <c r="A65076" s="56"/>
    </row>
    <row r="65077" spans="1:1">
      <c r="A65077" s="56"/>
    </row>
    <row r="65078" spans="1:1">
      <c r="A65078" s="56"/>
    </row>
    <row r="65079" spans="1:1">
      <c r="A65079" s="56"/>
    </row>
    <row r="65080" spans="1:1">
      <c r="A65080" s="56"/>
    </row>
    <row r="65081" spans="1:1">
      <c r="A65081" s="56"/>
    </row>
    <row r="65082" spans="1:1">
      <c r="A65082" s="56"/>
    </row>
    <row r="65083" spans="1:1">
      <c r="A65083" s="56"/>
    </row>
    <row r="65084" spans="1:1">
      <c r="A65084" s="56"/>
    </row>
    <row r="65085" spans="1:1">
      <c r="A65085" s="56"/>
    </row>
    <row r="65086" spans="1:1">
      <c r="A65086" s="56"/>
    </row>
    <row r="65087" spans="1:1">
      <c r="A65087" s="56"/>
    </row>
    <row r="65088" spans="1:1">
      <c r="A65088" s="56"/>
    </row>
    <row r="65089" spans="1:1">
      <c r="A65089" s="56"/>
    </row>
    <row r="65090" spans="1:1">
      <c r="A65090" s="56"/>
    </row>
    <row r="65091" spans="1:1">
      <c r="A65091" s="56"/>
    </row>
    <row r="65092" spans="1:1">
      <c r="A65092" s="56"/>
    </row>
    <row r="65093" spans="1:1">
      <c r="A65093" s="56"/>
    </row>
    <row r="65094" spans="1:1">
      <c r="A65094" s="56"/>
    </row>
    <row r="65095" spans="1:1">
      <c r="A65095" s="56"/>
    </row>
    <row r="65096" spans="1:1">
      <c r="A65096" s="56"/>
    </row>
    <row r="65097" spans="1:1">
      <c r="A65097" s="56"/>
    </row>
    <row r="65098" spans="1:1">
      <c r="A65098" s="56"/>
    </row>
    <row r="65099" spans="1:1">
      <c r="A65099" s="56"/>
    </row>
    <row r="65100" spans="1:1">
      <c r="A65100" s="56"/>
    </row>
    <row r="65101" spans="1:1">
      <c r="A65101" s="56"/>
    </row>
    <row r="65102" spans="1:1">
      <c r="A65102" s="56"/>
    </row>
    <row r="65103" spans="1:1">
      <c r="A65103" s="56"/>
    </row>
    <row r="65104" spans="1:1">
      <c r="A65104" s="56"/>
    </row>
    <row r="65105" spans="1:1">
      <c r="A65105" s="56"/>
    </row>
    <row r="65106" spans="1:1">
      <c r="A65106" s="56"/>
    </row>
    <row r="65107" spans="1:1">
      <c r="A65107" s="56"/>
    </row>
    <row r="65108" spans="1:1">
      <c r="A65108" s="56"/>
    </row>
    <row r="65109" spans="1:1">
      <c r="A65109" s="56"/>
    </row>
    <row r="65110" spans="1:1">
      <c r="A65110" s="56"/>
    </row>
    <row r="65111" spans="1:1">
      <c r="A65111" s="56"/>
    </row>
    <row r="65112" spans="1:1">
      <c r="A65112" s="56"/>
    </row>
    <row r="65113" spans="1:1">
      <c r="A65113" s="56"/>
    </row>
    <row r="65114" spans="1:1">
      <c r="A65114" s="56"/>
    </row>
    <row r="65115" spans="1:1">
      <c r="A65115" s="56"/>
    </row>
    <row r="65116" spans="1:1">
      <c r="A65116" s="56"/>
    </row>
    <row r="65117" spans="1:1">
      <c r="A65117" s="56"/>
    </row>
    <row r="65118" spans="1:1">
      <c r="A65118" s="56"/>
    </row>
    <row r="65119" spans="1:1">
      <c r="A65119" s="56"/>
    </row>
    <row r="65120" spans="1:1">
      <c r="A65120" s="56"/>
    </row>
    <row r="65121" spans="1:1">
      <c r="A65121" s="56"/>
    </row>
    <row r="65122" spans="1:1">
      <c r="A65122" s="56"/>
    </row>
    <row r="65123" spans="1:1">
      <c r="A65123" s="56"/>
    </row>
    <row r="65124" spans="1:1">
      <c r="A65124" s="56"/>
    </row>
    <row r="65125" spans="1:1">
      <c r="A65125" s="56"/>
    </row>
    <row r="65126" spans="1:1">
      <c r="A65126" s="56"/>
    </row>
    <row r="65127" spans="1:1">
      <c r="A65127" s="56"/>
    </row>
    <row r="65128" spans="1:1">
      <c r="A65128" s="56"/>
    </row>
    <row r="65129" spans="1:1">
      <c r="A65129" s="56"/>
    </row>
    <row r="65130" spans="1:1">
      <c r="A65130" s="56"/>
    </row>
    <row r="65131" spans="1:1">
      <c r="A65131" s="56"/>
    </row>
    <row r="65132" spans="1:1">
      <c r="A65132" s="56"/>
    </row>
    <row r="65133" spans="1:1">
      <c r="A65133" s="56"/>
    </row>
    <row r="65134" spans="1:1">
      <c r="A65134" s="56"/>
    </row>
    <row r="65135" spans="1:1">
      <c r="A65135" s="56"/>
    </row>
    <row r="65136" spans="1:1">
      <c r="A65136" s="56"/>
    </row>
    <row r="65137" spans="1:1">
      <c r="A65137" s="56"/>
    </row>
    <row r="65138" spans="1:1">
      <c r="A65138" s="56"/>
    </row>
    <row r="65139" spans="1:1">
      <c r="A65139" s="56"/>
    </row>
    <row r="65140" spans="1:1">
      <c r="A65140" s="56"/>
    </row>
    <row r="65141" spans="1:1">
      <c r="A65141" s="56"/>
    </row>
    <row r="65142" spans="1:1">
      <c r="A65142" s="56"/>
    </row>
    <row r="65143" spans="1:1">
      <c r="A65143" s="56"/>
    </row>
    <row r="65144" spans="1:1">
      <c r="A65144" s="56"/>
    </row>
    <row r="65145" spans="1:1">
      <c r="A65145" s="56"/>
    </row>
    <row r="65146" spans="1:1">
      <c r="A65146" s="56"/>
    </row>
    <row r="65147" spans="1:1">
      <c r="A65147" s="56"/>
    </row>
    <row r="65148" spans="1:1">
      <c r="A65148" s="56"/>
    </row>
    <row r="65149" spans="1:1">
      <c r="A65149" s="56"/>
    </row>
    <row r="65150" spans="1:1">
      <c r="A65150" s="56"/>
    </row>
    <row r="65151" spans="1:1">
      <c r="A65151" s="56"/>
    </row>
    <row r="65152" spans="1:1">
      <c r="A65152" s="56"/>
    </row>
    <row r="65153" spans="1:1">
      <c r="A65153" s="56"/>
    </row>
    <row r="65154" spans="1:1">
      <c r="A65154" s="56"/>
    </row>
    <row r="65155" spans="1:1">
      <c r="A65155" s="56"/>
    </row>
    <row r="65156" spans="1:1">
      <c r="A65156" s="56"/>
    </row>
    <row r="65157" spans="1:1">
      <c r="A65157" s="56"/>
    </row>
    <row r="65158" spans="1:1">
      <c r="A65158" s="56"/>
    </row>
    <row r="65159" spans="1:1">
      <c r="A65159" s="56"/>
    </row>
    <row r="65160" spans="1:1">
      <c r="A65160" s="56"/>
    </row>
    <row r="65161" spans="1:1">
      <c r="A65161" s="56"/>
    </row>
    <row r="65162" spans="1:1">
      <c r="A65162" s="56"/>
    </row>
    <row r="65163" spans="1:1">
      <c r="A65163" s="56"/>
    </row>
    <row r="65164" spans="1:1">
      <c r="A65164" s="56"/>
    </row>
    <row r="65165" spans="1:1">
      <c r="A65165" s="56"/>
    </row>
    <row r="65166" spans="1:1">
      <c r="A65166" s="56"/>
    </row>
    <row r="65167" spans="1:1">
      <c r="A65167" s="56"/>
    </row>
    <row r="65168" spans="1:1">
      <c r="A65168" s="56"/>
    </row>
    <row r="65169" spans="1:1">
      <c r="A65169" s="56"/>
    </row>
    <row r="65170" spans="1:1">
      <c r="A65170" s="56"/>
    </row>
    <row r="65171" spans="1:1">
      <c r="A65171" s="56"/>
    </row>
    <row r="65172" spans="1:1">
      <c r="A65172" s="56"/>
    </row>
    <row r="65173" spans="1:1">
      <c r="A65173" s="56"/>
    </row>
    <row r="65174" spans="1:1">
      <c r="A65174" s="56"/>
    </row>
    <row r="65175" spans="1:1">
      <c r="A65175" s="56"/>
    </row>
    <row r="65176" spans="1:1">
      <c r="A65176" s="56"/>
    </row>
    <row r="65177" spans="1:1">
      <c r="A65177" s="56"/>
    </row>
    <row r="65178" spans="1:1">
      <c r="A65178" s="56"/>
    </row>
    <row r="65179" spans="1:1">
      <c r="A65179" s="56"/>
    </row>
    <row r="65180" spans="1:1">
      <c r="A65180" s="56"/>
    </row>
    <row r="65181" spans="1:1">
      <c r="A65181" s="56"/>
    </row>
    <row r="65182" spans="1:1">
      <c r="A65182" s="56"/>
    </row>
    <row r="65183" spans="1:1">
      <c r="A65183" s="56"/>
    </row>
    <row r="65184" spans="1:1">
      <c r="A65184" s="56"/>
    </row>
    <row r="65185" spans="1:1">
      <c r="A65185" s="56"/>
    </row>
    <row r="65186" spans="1:1">
      <c r="A65186" s="56"/>
    </row>
    <row r="65187" spans="1:1">
      <c r="A65187" s="56"/>
    </row>
    <row r="65188" spans="1:1">
      <c r="A65188" s="56"/>
    </row>
    <row r="65189" spans="1:1">
      <c r="A65189" s="56"/>
    </row>
    <row r="65190" spans="1:1">
      <c r="A65190" s="56"/>
    </row>
    <row r="65191" spans="1:1">
      <c r="A65191" s="56"/>
    </row>
    <row r="65192" spans="1:1">
      <c r="A65192" s="56"/>
    </row>
    <row r="65193" spans="1:1">
      <c r="A65193" s="56"/>
    </row>
    <row r="65194" spans="1:1">
      <c r="A65194" s="56"/>
    </row>
    <row r="65195" spans="1:1">
      <c r="A65195" s="56"/>
    </row>
    <row r="65196" spans="1:1">
      <c r="A65196" s="56"/>
    </row>
    <row r="65197" spans="1:1">
      <c r="A65197" s="56"/>
    </row>
    <row r="65198" spans="1:1">
      <c r="A65198" s="56"/>
    </row>
    <row r="65199" spans="1:1">
      <c r="A65199" s="56"/>
    </row>
    <row r="65200" spans="1:1">
      <c r="A65200" s="56"/>
    </row>
    <row r="65201" spans="1:1">
      <c r="A65201" s="56"/>
    </row>
    <row r="65202" spans="1:1">
      <c r="A65202" s="56"/>
    </row>
    <row r="65203" spans="1:1">
      <c r="A65203" s="56"/>
    </row>
    <row r="65204" spans="1:1">
      <c r="A65204" s="56"/>
    </row>
    <row r="65205" spans="1:1">
      <c r="A65205" s="56"/>
    </row>
    <row r="65206" spans="1:1">
      <c r="A65206" s="56"/>
    </row>
    <row r="65207" spans="1:1">
      <c r="A65207" s="56"/>
    </row>
    <row r="65208" spans="1:1">
      <c r="A65208" s="56"/>
    </row>
    <row r="65209" spans="1:1">
      <c r="A65209" s="56"/>
    </row>
    <row r="65210" spans="1:1">
      <c r="A65210" s="56"/>
    </row>
    <row r="65211" spans="1:1">
      <c r="A65211" s="56"/>
    </row>
    <row r="65212" spans="1:1">
      <c r="A65212" s="56"/>
    </row>
    <row r="65213" spans="1:1">
      <c r="A65213" s="56"/>
    </row>
    <row r="65214" spans="1:1">
      <c r="A65214" s="56"/>
    </row>
    <row r="65215" spans="1:1">
      <c r="A65215" s="56"/>
    </row>
    <row r="65216" spans="1:1">
      <c r="A65216" s="56"/>
    </row>
    <row r="65217" spans="1:1">
      <c r="A65217" s="56"/>
    </row>
    <row r="65218" spans="1:1">
      <c r="A65218" s="56"/>
    </row>
    <row r="65219" spans="1:1">
      <c r="A65219" s="56"/>
    </row>
    <row r="65220" spans="1:1">
      <c r="A65220" s="56"/>
    </row>
    <row r="65221" spans="1:1">
      <c r="A65221" s="56"/>
    </row>
    <row r="65222" spans="1:1">
      <c r="A65222" s="56"/>
    </row>
    <row r="65223" spans="1:1">
      <c r="A65223" s="56"/>
    </row>
    <row r="65224" spans="1:1">
      <c r="A65224" s="56"/>
    </row>
    <row r="65225" spans="1:1">
      <c r="A65225" s="56"/>
    </row>
    <row r="65226" spans="1:1">
      <c r="A65226" s="56"/>
    </row>
    <row r="65227" spans="1:1">
      <c r="A65227" s="56"/>
    </row>
    <row r="65228" spans="1:1">
      <c r="A65228" s="56"/>
    </row>
    <row r="65229" spans="1:1">
      <c r="A65229" s="56"/>
    </row>
    <row r="65230" spans="1:1">
      <c r="A65230" s="56"/>
    </row>
    <row r="65231" spans="1:1">
      <c r="A65231" s="56"/>
    </row>
    <row r="65232" spans="1:1">
      <c r="A65232" s="56"/>
    </row>
    <row r="65233" spans="1:1">
      <c r="A65233" s="56"/>
    </row>
    <row r="65234" spans="1:1">
      <c r="A65234" s="56"/>
    </row>
    <row r="65235" spans="1:1">
      <c r="A65235" s="56"/>
    </row>
    <row r="65236" spans="1:1">
      <c r="A65236" s="56"/>
    </row>
    <row r="65237" spans="1:1">
      <c r="A65237" s="56"/>
    </row>
    <row r="65238" spans="1:1">
      <c r="A65238" s="56"/>
    </row>
    <row r="65239" spans="1:1">
      <c r="A65239" s="56"/>
    </row>
    <row r="65240" spans="1:1">
      <c r="A65240" s="56"/>
    </row>
    <row r="65241" spans="1:1">
      <c r="A65241" s="56"/>
    </row>
    <row r="65242" spans="1:1">
      <c r="A65242" s="56"/>
    </row>
    <row r="65243" spans="1:1">
      <c r="A65243" s="56"/>
    </row>
    <row r="65244" spans="1:1">
      <c r="A65244" s="56"/>
    </row>
    <row r="65245" spans="1:1">
      <c r="A65245" s="56"/>
    </row>
    <row r="65246" spans="1:1">
      <c r="A65246" s="56"/>
    </row>
    <row r="65247" spans="1:1">
      <c r="A65247" s="56"/>
    </row>
    <row r="65248" spans="1:1">
      <c r="A65248" s="56"/>
    </row>
    <row r="65249" spans="1:1">
      <c r="A65249" s="56"/>
    </row>
    <row r="65250" spans="1:1">
      <c r="A65250" s="56"/>
    </row>
    <row r="65251" spans="1:1">
      <c r="A65251" s="56"/>
    </row>
    <row r="65252" spans="1:1">
      <c r="A65252" s="56"/>
    </row>
    <row r="65253" spans="1:1">
      <c r="A65253" s="56"/>
    </row>
    <row r="65254" spans="1:1">
      <c r="A65254" s="56"/>
    </row>
    <row r="65255" spans="1:1">
      <c r="A65255" s="56"/>
    </row>
    <row r="65256" spans="1:1">
      <c r="A65256" s="56"/>
    </row>
    <row r="65257" spans="1:1">
      <c r="A65257" s="56"/>
    </row>
    <row r="65258" spans="1:1">
      <c r="A65258" s="56"/>
    </row>
    <row r="65259" spans="1:1">
      <c r="A65259" s="56"/>
    </row>
    <row r="65260" spans="1:1">
      <c r="A65260" s="56"/>
    </row>
    <row r="65261" spans="1:1">
      <c r="A65261" s="56"/>
    </row>
    <row r="65262" spans="1:1">
      <c r="A65262" s="56"/>
    </row>
    <row r="65263" spans="1:1">
      <c r="A65263" s="56"/>
    </row>
    <row r="65264" spans="1:1">
      <c r="A65264" s="56"/>
    </row>
    <row r="65265" spans="1:1">
      <c r="A65265" s="56"/>
    </row>
    <row r="65266" spans="1:1">
      <c r="A65266" s="56"/>
    </row>
    <row r="65267" spans="1:1">
      <c r="A65267" s="56"/>
    </row>
    <row r="65268" spans="1:1">
      <c r="A65268" s="56"/>
    </row>
    <row r="65269" spans="1:1">
      <c r="A65269" s="56"/>
    </row>
    <row r="65270" spans="1:1">
      <c r="A65270" s="56"/>
    </row>
    <row r="65271" spans="1:1">
      <c r="A65271" s="56"/>
    </row>
    <row r="65272" spans="1:1">
      <c r="A65272" s="56"/>
    </row>
    <row r="65273" spans="1:1">
      <c r="A65273" s="56"/>
    </row>
    <row r="65274" spans="1:1">
      <c r="A65274" s="56"/>
    </row>
    <row r="65275" spans="1:1">
      <c r="A65275" s="56"/>
    </row>
    <row r="65276" spans="1:1">
      <c r="A65276" s="56"/>
    </row>
    <row r="65277" spans="1:1">
      <c r="A65277" s="56"/>
    </row>
    <row r="65278" spans="1:1">
      <c r="A65278" s="56"/>
    </row>
    <row r="65279" spans="1:1">
      <c r="A65279" s="56"/>
    </row>
    <row r="65280" spans="1:1">
      <c r="A65280" s="56"/>
    </row>
    <row r="65281" spans="1:1">
      <c r="A65281" s="56"/>
    </row>
    <row r="65282" spans="1:1">
      <c r="A65282" s="56"/>
    </row>
    <row r="65283" spans="1:1">
      <c r="A65283" s="56"/>
    </row>
    <row r="65284" spans="1:1">
      <c r="A65284" s="56"/>
    </row>
    <row r="65285" spans="1:1">
      <c r="A65285" s="56"/>
    </row>
    <row r="65286" spans="1:1">
      <c r="A65286" s="56"/>
    </row>
    <row r="65287" spans="1:1">
      <c r="A65287" s="56"/>
    </row>
    <row r="65288" spans="1:1">
      <c r="A65288" s="56"/>
    </row>
    <row r="65289" spans="1:1">
      <c r="A65289" s="56"/>
    </row>
    <row r="65290" spans="1:1">
      <c r="A65290" s="56"/>
    </row>
    <row r="65291" spans="1:1">
      <c r="A65291" s="56"/>
    </row>
    <row r="65292" spans="1:1">
      <c r="A65292" s="56"/>
    </row>
    <row r="65293" spans="1:1">
      <c r="A65293" s="56"/>
    </row>
    <row r="65294" spans="1:1">
      <c r="A65294" s="56"/>
    </row>
    <row r="65295" spans="1:1">
      <c r="A65295" s="56"/>
    </row>
    <row r="65296" spans="1:1">
      <c r="A65296" s="56"/>
    </row>
    <row r="65297" spans="1:1">
      <c r="A65297" s="56"/>
    </row>
    <row r="65298" spans="1:1">
      <c r="A65298" s="56"/>
    </row>
    <row r="65299" spans="1:1">
      <c r="A65299" s="56"/>
    </row>
    <row r="65300" spans="1:1">
      <c r="A65300" s="56"/>
    </row>
    <row r="65301" spans="1:1">
      <c r="A65301" s="56"/>
    </row>
    <row r="65302" spans="1:1">
      <c r="A65302" s="56"/>
    </row>
    <row r="65303" spans="1:1">
      <c r="A65303" s="56"/>
    </row>
    <row r="65304" spans="1:1">
      <c r="A65304" s="56"/>
    </row>
    <row r="65305" spans="1:1">
      <c r="A65305" s="56"/>
    </row>
    <row r="65306" spans="1:1">
      <c r="A65306" s="56"/>
    </row>
    <row r="65307" spans="1:1">
      <c r="A65307" s="56"/>
    </row>
    <row r="65308" spans="1:1">
      <c r="A65308" s="56"/>
    </row>
    <row r="65309" spans="1:1">
      <c r="A65309" s="56"/>
    </row>
    <row r="65310" spans="1:1">
      <c r="A65310" s="56"/>
    </row>
    <row r="65311" spans="1:1">
      <c r="A65311" s="56"/>
    </row>
    <row r="65312" spans="1:1">
      <c r="A65312" s="56"/>
    </row>
    <row r="65313" spans="1:1">
      <c r="A65313" s="56"/>
    </row>
    <row r="65314" spans="1:1">
      <c r="A65314" s="56"/>
    </row>
    <row r="65315" spans="1:1">
      <c r="A65315" s="56"/>
    </row>
    <row r="65316" spans="1:1">
      <c r="A65316" s="56"/>
    </row>
    <row r="65317" spans="1:1">
      <c r="A65317" s="56"/>
    </row>
    <row r="65318" spans="1:1">
      <c r="A65318" s="56"/>
    </row>
    <row r="65319" spans="1:1">
      <c r="A65319" s="56"/>
    </row>
    <row r="65320" spans="1:1">
      <c r="A65320" s="56"/>
    </row>
    <row r="65321" spans="1:1">
      <c r="A65321" s="56"/>
    </row>
    <row r="65322" spans="1:1">
      <c r="A65322" s="56"/>
    </row>
    <row r="65323" spans="1:1">
      <c r="A65323" s="56"/>
    </row>
    <row r="65324" spans="1:1">
      <c r="A65324" s="56"/>
    </row>
    <row r="65325" spans="1:1">
      <c r="A65325" s="56"/>
    </row>
    <row r="65326" spans="1:1">
      <c r="A65326" s="56"/>
    </row>
    <row r="65327" spans="1:1">
      <c r="A65327" s="56"/>
    </row>
    <row r="65328" spans="1:1">
      <c r="A65328" s="56"/>
    </row>
    <row r="65329" spans="1:1">
      <c r="A65329" s="56"/>
    </row>
    <row r="65330" spans="1:1">
      <c r="A65330" s="56"/>
    </row>
    <row r="65331" spans="1:1">
      <c r="A65331" s="56"/>
    </row>
    <row r="65332" spans="1:1">
      <c r="A65332" s="56"/>
    </row>
    <row r="65333" spans="1:1">
      <c r="A65333" s="56"/>
    </row>
    <row r="65334" spans="1:1">
      <c r="A65334" s="56"/>
    </row>
    <row r="65335" spans="1:1">
      <c r="A65335" s="56"/>
    </row>
    <row r="65336" spans="1:1">
      <c r="A65336" s="56"/>
    </row>
    <row r="65337" spans="1:1">
      <c r="A65337" s="56"/>
    </row>
    <row r="65338" spans="1:1">
      <c r="A65338" s="56"/>
    </row>
    <row r="65339" spans="1:1">
      <c r="A65339" s="56"/>
    </row>
    <row r="65340" spans="1:1">
      <c r="A65340" s="56"/>
    </row>
    <row r="65341" spans="1:1">
      <c r="A65341" s="56"/>
    </row>
    <row r="65342" spans="1:1">
      <c r="A65342" s="56"/>
    </row>
    <row r="65343" spans="1:1">
      <c r="A65343" s="56"/>
    </row>
    <row r="65344" spans="1:1">
      <c r="A65344" s="56"/>
    </row>
    <row r="65345" spans="1:1">
      <c r="A65345" s="56"/>
    </row>
    <row r="65346" spans="1:1">
      <c r="A65346" s="56"/>
    </row>
    <row r="65347" spans="1:1">
      <c r="A65347" s="56"/>
    </row>
    <row r="65348" spans="1:1">
      <c r="A65348" s="56"/>
    </row>
    <row r="65349" spans="1:1">
      <c r="A65349" s="56"/>
    </row>
    <row r="65350" spans="1:1">
      <c r="A65350" s="56"/>
    </row>
    <row r="65351" spans="1:1">
      <c r="A65351" s="56"/>
    </row>
    <row r="65352" spans="1:1">
      <c r="A65352" s="56"/>
    </row>
    <row r="65353" spans="1:1">
      <c r="A65353" s="56"/>
    </row>
    <row r="65354" spans="1:1">
      <c r="A65354" s="56"/>
    </row>
    <row r="65355" spans="1:1">
      <c r="A65355" s="56"/>
    </row>
    <row r="65356" spans="1:1">
      <c r="A65356" s="56"/>
    </row>
    <row r="65357" spans="1:1">
      <c r="A65357" s="56"/>
    </row>
    <row r="65358" spans="1:1">
      <c r="A65358" s="56"/>
    </row>
    <row r="65359" spans="1:1">
      <c r="A65359" s="56"/>
    </row>
    <row r="65360" spans="1:1">
      <c r="A65360" s="56"/>
    </row>
    <row r="65361" spans="1:1">
      <c r="A65361" s="56"/>
    </row>
    <row r="65362" spans="1:1">
      <c r="A65362" s="56"/>
    </row>
    <row r="65363" spans="1:1">
      <c r="A65363" s="56"/>
    </row>
    <row r="65364" spans="1:1">
      <c r="A65364" s="56"/>
    </row>
    <row r="65365" spans="1:1">
      <c r="A65365" s="56"/>
    </row>
    <row r="65366" spans="1:1">
      <c r="A65366" s="56"/>
    </row>
    <row r="65367" spans="1:1">
      <c r="A65367" s="56"/>
    </row>
    <row r="65368" spans="1:1">
      <c r="A65368" s="56"/>
    </row>
    <row r="65369" spans="1:1">
      <c r="A65369" s="56"/>
    </row>
    <row r="65370" spans="1:1">
      <c r="A65370" s="56"/>
    </row>
    <row r="65371" spans="1:1">
      <c r="A65371" s="56"/>
    </row>
    <row r="65372" spans="1:1">
      <c r="A65372" s="56"/>
    </row>
    <row r="65373" spans="1:1">
      <c r="A65373" s="56"/>
    </row>
    <row r="65374" spans="1:1">
      <c r="A65374" s="56"/>
    </row>
    <row r="65375" spans="1:1">
      <c r="A65375" s="56"/>
    </row>
    <row r="65376" spans="1:1">
      <c r="A65376" s="56"/>
    </row>
    <row r="65377" spans="1:1">
      <c r="A65377" s="56"/>
    </row>
    <row r="65378" spans="1:1">
      <c r="A65378" s="56"/>
    </row>
    <row r="65379" spans="1:1">
      <c r="A65379" s="56"/>
    </row>
    <row r="65380" spans="1:1">
      <c r="A65380" s="56"/>
    </row>
    <row r="65381" spans="1:1">
      <c r="A65381" s="56"/>
    </row>
    <row r="65382" spans="1:1">
      <c r="A65382" s="56"/>
    </row>
    <row r="65383" spans="1:1">
      <c r="A65383" s="56"/>
    </row>
    <row r="65384" spans="1:1">
      <c r="A65384" s="56"/>
    </row>
    <row r="65385" spans="1:1">
      <c r="A65385" s="56"/>
    </row>
    <row r="65386" spans="1:1">
      <c r="A65386" s="56"/>
    </row>
    <row r="65387" spans="1:1">
      <c r="A65387" s="56"/>
    </row>
    <row r="65388" spans="1:1">
      <c r="A65388" s="56"/>
    </row>
    <row r="65389" spans="1:1">
      <c r="A65389" s="56"/>
    </row>
    <row r="65390" spans="1:1">
      <c r="A65390" s="56"/>
    </row>
    <row r="65391" spans="1:1">
      <c r="A65391" s="56"/>
    </row>
    <row r="65392" spans="1:1">
      <c r="A65392" s="56"/>
    </row>
    <row r="65393" spans="1:1">
      <c r="A65393" s="56"/>
    </row>
    <row r="65394" spans="1:1">
      <c r="A65394" s="56"/>
    </row>
    <row r="65395" spans="1:1">
      <c r="A65395" s="56"/>
    </row>
    <row r="65396" spans="1:1">
      <c r="A65396" s="56"/>
    </row>
    <row r="65397" spans="1:1">
      <c r="A65397" s="56"/>
    </row>
    <row r="65398" spans="1:1">
      <c r="A65398" s="56"/>
    </row>
    <row r="65399" spans="1:1">
      <c r="A65399" s="56"/>
    </row>
    <row r="65400" spans="1:1">
      <c r="A65400" s="56"/>
    </row>
    <row r="65401" spans="1:1">
      <c r="A65401" s="56"/>
    </row>
    <row r="65402" spans="1:1">
      <c r="A65402" s="56"/>
    </row>
    <row r="65403" spans="1:1">
      <c r="A65403" s="56"/>
    </row>
    <row r="65404" spans="1:1">
      <c r="A65404" s="56"/>
    </row>
    <row r="65405" spans="1:1">
      <c r="A65405" s="56"/>
    </row>
    <row r="65406" spans="1:1">
      <c r="A65406" s="56"/>
    </row>
    <row r="65407" spans="1:1">
      <c r="A65407" s="56"/>
    </row>
    <row r="65408" spans="1:1">
      <c r="A65408" s="56"/>
    </row>
    <row r="65409" spans="1:1">
      <c r="A65409" s="56"/>
    </row>
    <row r="65410" spans="1:1">
      <c r="A65410" s="56"/>
    </row>
    <row r="65411" spans="1:1">
      <c r="A65411" s="56"/>
    </row>
    <row r="65412" spans="1:1">
      <c r="A65412" s="56"/>
    </row>
    <row r="65413" spans="1:1">
      <c r="A65413" s="56"/>
    </row>
    <row r="65414" spans="1:1">
      <c r="A65414" s="56"/>
    </row>
    <row r="65415" spans="1:1">
      <c r="A65415" s="56"/>
    </row>
    <row r="65416" spans="1:1">
      <c r="A65416" s="56"/>
    </row>
    <row r="65417" spans="1:1">
      <c r="A65417" s="56"/>
    </row>
    <row r="65418" spans="1:1">
      <c r="A65418" s="56"/>
    </row>
    <row r="65419" spans="1:1">
      <c r="A65419" s="56"/>
    </row>
    <row r="65420" spans="1:1">
      <c r="A65420" s="56"/>
    </row>
    <row r="65421" spans="1:1">
      <c r="A65421" s="56"/>
    </row>
    <row r="65422" spans="1:1">
      <c r="A65422" s="56"/>
    </row>
    <row r="65423" spans="1:1">
      <c r="A65423" s="56"/>
    </row>
    <row r="65424" spans="1:1">
      <c r="A65424" s="56"/>
    </row>
    <row r="65425" spans="1:1">
      <c r="A65425" s="56"/>
    </row>
    <row r="65426" spans="1:1">
      <c r="A65426" s="56"/>
    </row>
    <row r="65427" spans="1:1">
      <c r="A65427" s="56"/>
    </row>
    <row r="65428" spans="1:1">
      <c r="A65428" s="56"/>
    </row>
    <row r="65429" spans="1:1">
      <c r="A65429" s="56"/>
    </row>
    <row r="65430" spans="1:1">
      <c r="A65430" s="56"/>
    </row>
    <row r="65431" spans="1:1">
      <c r="A65431" s="56"/>
    </row>
    <row r="65432" spans="1:1">
      <c r="A65432" s="56"/>
    </row>
    <row r="65433" spans="1:1">
      <c r="A65433" s="56"/>
    </row>
    <row r="65434" spans="1:1">
      <c r="A65434" s="56"/>
    </row>
    <row r="65435" spans="1:1">
      <c r="A65435" s="56"/>
    </row>
    <row r="65436" spans="1:1">
      <c r="A65436" s="56"/>
    </row>
    <row r="65437" spans="1:1">
      <c r="A65437" s="56"/>
    </row>
    <row r="65438" spans="1:1">
      <c r="A65438" s="56"/>
    </row>
    <row r="65439" spans="1:1">
      <c r="A65439" s="56"/>
    </row>
    <row r="65440" spans="1:1">
      <c r="A65440" s="56"/>
    </row>
    <row r="65441" spans="1:1">
      <c r="A65441" s="56"/>
    </row>
    <row r="65442" spans="1:1">
      <c r="A65442" s="56"/>
    </row>
    <row r="65443" spans="1:1">
      <c r="A65443" s="56"/>
    </row>
    <row r="65444" spans="1:1">
      <c r="A65444" s="56"/>
    </row>
    <row r="65445" spans="1:1">
      <c r="A65445" s="56"/>
    </row>
    <row r="65446" spans="1:1">
      <c r="A65446" s="56"/>
    </row>
    <row r="65447" spans="1:1">
      <c r="A65447" s="56"/>
    </row>
    <row r="65448" spans="1:1">
      <c r="A65448" s="56"/>
    </row>
    <row r="65449" spans="1:1">
      <c r="A65449" s="56"/>
    </row>
    <row r="65450" spans="1:1">
      <c r="A65450" s="56"/>
    </row>
    <row r="65451" spans="1:1">
      <c r="A65451" s="56"/>
    </row>
    <row r="65452" spans="1:1">
      <c r="A65452" s="56"/>
    </row>
    <row r="65453" spans="1:1">
      <c r="A65453" s="56"/>
    </row>
    <row r="65454" spans="1:1">
      <c r="A65454" s="56"/>
    </row>
    <row r="65455" spans="1:1">
      <c r="A65455" s="56"/>
    </row>
    <row r="65456" spans="1:1">
      <c r="A65456" s="56"/>
    </row>
    <row r="65457" spans="1:1">
      <c r="A65457" s="56"/>
    </row>
    <row r="65458" spans="1:1">
      <c r="A65458" s="56"/>
    </row>
    <row r="65459" spans="1:1">
      <c r="A65459" s="56"/>
    </row>
    <row r="65460" spans="1:1">
      <c r="A65460" s="56"/>
    </row>
    <row r="65461" spans="1:1">
      <c r="A65461" s="56"/>
    </row>
    <row r="65462" spans="1:1">
      <c r="A65462" s="56"/>
    </row>
    <row r="65463" spans="1:1">
      <c r="A65463" s="56"/>
    </row>
    <row r="65464" spans="1:1">
      <c r="A65464" s="56"/>
    </row>
    <row r="65465" spans="1:1">
      <c r="A65465" s="56"/>
    </row>
    <row r="65466" spans="1:1">
      <c r="A65466" s="56"/>
    </row>
    <row r="65467" spans="1:1">
      <c r="A65467" s="56"/>
    </row>
    <row r="65468" spans="1:1">
      <c r="A65468" s="56"/>
    </row>
    <row r="65469" spans="1:1">
      <c r="A65469" s="56"/>
    </row>
    <row r="65470" spans="1:1">
      <c r="A65470" s="56"/>
    </row>
    <row r="65471" spans="1:1">
      <c r="A65471" s="56"/>
    </row>
    <row r="65472" spans="1:1">
      <c r="A65472" s="56"/>
    </row>
    <row r="65473" spans="1:1">
      <c r="A65473" s="56"/>
    </row>
    <row r="65474" spans="1:1">
      <c r="A65474" s="56"/>
    </row>
    <row r="65475" spans="1:1">
      <c r="A65475" s="56"/>
    </row>
    <row r="65476" spans="1:1">
      <c r="A65476" s="56"/>
    </row>
    <row r="65477" spans="1:1">
      <c r="A65477" s="56"/>
    </row>
    <row r="65478" spans="1:1">
      <c r="A65478" s="56"/>
    </row>
    <row r="65479" spans="1:1">
      <c r="A65479" s="56"/>
    </row>
    <row r="65480" spans="1:1">
      <c r="A65480" s="56"/>
    </row>
    <row r="65481" spans="1:1">
      <c r="A65481" s="56"/>
    </row>
    <row r="65482" spans="1:1">
      <c r="A65482" s="56"/>
    </row>
    <row r="65483" spans="1:1">
      <c r="A65483" s="56"/>
    </row>
    <row r="65484" spans="1:1">
      <c r="A65484" s="56"/>
    </row>
    <row r="65485" spans="1:1">
      <c r="A65485" s="56"/>
    </row>
    <row r="65486" spans="1:1">
      <c r="A65486" s="56"/>
    </row>
    <row r="65487" spans="1:1">
      <c r="A65487" s="56"/>
    </row>
    <row r="65488" spans="1:1">
      <c r="A65488" s="56"/>
    </row>
    <row r="65489" spans="1:1">
      <c r="A65489" s="56"/>
    </row>
    <row r="65490" spans="1:1">
      <c r="A65490" s="56"/>
    </row>
    <row r="65491" spans="1:1">
      <c r="A65491" s="56"/>
    </row>
    <row r="65492" spans="1:1">
      <c r="A65492" s="56"/>
    </row>
    <row r="65493" spans="1:1">
      <c r="A65493" s="56"/>
    </row>
    <row r="65494" spans="1:1">
      <c r="A65494" s="56"/>
    </row>
    <row r="65495" spans="1:1">
      <c r="A65495" s="56"/>
    </row>
    <row r="65496" spans="1:1">
      <c r="A65496" s="56"/>
    </row>
    <row r="65497" spans="1:1">
      <c r="A65497" s="56"/>
    </row>
    <row r="65498" spans="1:1">
      <c r="A65498" s="56"/>
    </row>
    <row r="65499" spans="1:1">
      <c r="A65499" s="56"/>
    </row>
    <row r="65500" spans="1:1">
      <c r="A65500" s="56"/>
    </row>
    <row r="65501" spans="1:1">
      <c r="A65501" s="56"/>
    </row>
    <row r="65502" spans="1:1">
      <c r="A65502" s="56"/>
    </row>
    <row r="65503" spans="1:1">
      <c r="A65503" s="56"/>
    </row>
    <row r="65504" spans="1:1">
      <c r="A65504" s="56"/>
    </row>
    <row r="65505" spans="1:1">
      <c r="A65505" s="56"/>
    </row>
  </sheetData>
  <sheetProtection formatCells="0" formatColumns="0" formatRows="0" insertRows="0" deleteRows="0"/>
  <mergeCells count="67">
    <mergeCell ref="CH6:CH7"/>
    <mergeCell ref="CD6:CD7"/>
    <mergeCell ref="BS6:BS7"/>
    <mergeCell ref="BT6:BT7"/>
    <mergeCell ref="CA6:CA7"/>
    <mergeCell ref="CB6:CB7"/>
    <mergeCell ref="CC6:CC7"/>
    <mergeCell ref="BY6:BY7"/>
    <mergeCell ref="CE6:CE7"/>
    <mergeCell ref="AK5:AP5"/>
    <mergeCell ref="AQ5:AV5"/>
    <mergeCell ref="BC5:BH5"/>
    <mergeCell ref="CF6:CF7"/>
    <mergeCell ref="CG6:CG7"/>
    <mergeCell ref="BR6:BR7"/>
    <mergeCell ref="BV6:BV7"/>
    <mergeCell ref="BZ6:BZ7"/>
    <mergeCell ref="BW6:BW7"/>
    <mergeCell ref="BX6:BX7"/>
    <mergeCell ref="BU6:BU7"/>
    <mergeCell ref="AW5:BB5"/>
    <mergeCell ref="AW6:AZ6"/>
    <mergeCell ref="BA6:BB6"/>
    <mergeCell ref="A6:B7"/>
    <mergeCell ref="K6:K7"/>
    <mergeCell ref="L6:L7"/>
    <mergeCell ref="M6:M7"/>
    <mergeCell ref="C6:C7"/>
    <mergeCell ref="F6:F7"/>
    <mergeCell ref="E6:E7"/>
    <mergeCell ref="G6:J6"/>
    <mergeCell ref="D6:D7"/>
    <mergeCell ref="Z6:Z7"/>
    <mergeCell ref="AE6:AF6"/>
    <mergeCell ref="AG6:AH6"/>
    <mergeCell ref="AC6:AD6"/>
    <mergeCell ref="N6:N7"/>
    <mergeCell ref="P6:P7"/>
    <mergeCell ref="T5:T7"/>
    <mergeCell ref="R5:R7"/>
    <mergeCell ref="K5:P5"/>
    <mergeCell ref="O6:O7"/>
    <mergeCell ref="S5:S7"/>
    <mergeCell ref="AG5:AJ5"/>
    <mergeCell ref="AI6:AJ6"/>
    <mergeCell ref="X6:X7"/>
    <mergeCell ref="CN6:CN7"/>
    <mergeCell ref="CO6:CO7"/>
    <mergeCell ref="CP6:CP7"/>
    <mergeCell ref="CQ6:CQ7"/>
    <mergeCell ref="D1:E1"/>
    <mergeCell ref="BK6:BK7"/>
    <mergeCell ref="AO6:AP6"/>
    <mergeCell ref="AU6:AV6"/>
    <mergeCell ref="BG6:BH6"/>
    <mergeCell ref="AQ6:AT6"/>
    <mergeCell ref="AK6:AN6"/>
    <mergeCell ref="Q5:Q7"/>
    <mergeCell ref="AA6:AB6"/>
    <mergeCell ref="U5:U7"/>
    <mergeCell ref="V6:W6"/>
    <mergeCell ref="BC6:BF6"/>
    <mergeCell ref="CI6:CI7"/>
    <mergeCell ref="CJ6:CJ7"/>
    <mergeCell ref="CK6:CK7"/>
    <mergeCell ref="CL6:CL7"/>
    <mergeCell ref="CM6:CM7"/>
  </mergeCells>
  <hyperlinks>
    <hyperlink ref="K2" r:id="rId1" xr:uid="{AF4DA31B-8986-48A7-8EAA-732DAE1BC517}"/>
    <hyperlink ref="BO11" r:id="rId2" display="mailto:mark.marquez@espire.com" xr:uid="{455D94B5-FD17-42BB-BB4F-4A753049D79D}"/>
    <hyperlink ref="BO13" r:id="rId3" display="james.colongan@espire.com'" xr:uid="{1A2A96BA-EA7B-49F6-8B77-447EF6815A05}"/>
    <hyperlink ref="BO14" r:id="rId4" xr:uid="{9C80E5E0-B50A-4086-9EB0-EF4A09C80F8A}"/>
    <hyperlink ref="BO15" r:id="rId5" xr:uid="{64BCFC10-1FAF-4DFE-A557-34489438F09A}"/>
    <hyperlink ref="BO16" r:id="rId6" xr:uid="{A99B2116-D09A-479A-ABDD-2D7FECC1183B}"/>
    <hyperlink ref="BO17" r:id="rId7" xr:uid="{4EE82DE2-58E8-4555-A6D9-BA5C5156C099}"/>
    <hyperlink ref="BO18" r:id="rId8" xr:uid="{1D218D84-C54B-4909-887E-A883C467F202}"/>
    <hyperlink ref="BO19" r:id="rId9" xr:uid="{884280D1-E6E0-4DB9-861D-BFEBEA877056}"/>
    <hyperlink ref="BO20" r:id="rId10" xr:uid="{8539A24A-286D-4FAC-A713-D0E6CC435B87}"/>
    <hyperlink ref="BO21" r:id="rId11" xr:uid="{B56F2639-4033-4BA7-B68C-E37354621357}"/>
    <hyperlink ref="BO22" r:id="rId12" xr:uid="{A68627CB-A6AB-42BA-94D7-DF7B53382393}"/>
    <hyperlink ref="BO23" r:id="rId13" xr:uid="{6CCCE48D-273C-40B6-8A0E-71A23B75E11F}"/>
    <hyperlink ref="BO24" r:id="rId14" xr:uid="{31347696-2AEE-4526-BE02-0A0785F50B6B}"/>
    <hyperlink ref="BO25" r:id="rId15" xr:uid="{52FDB7CB-5F00-49C5-A799-87E670ADC106}"/>
    <hyperlink ref="BO26" r:id="rId16" xr:uid="{BBD8AAE8-3D89-4987-AD4E-259EC64E5383}"/>
    <hyperlink ref="BO27" r:id="rId17" xr:uid="{BA722384-B75E-494C-B550-4FD5D688764D}"/>
    <hyperlink ref="BO28" r:id="rId18" xr:uid="{5AA0FA69-6187-42AB-9BC0-B7A3A4D236BE}"/>
  </hyperlinks>
  <pageMargins left="0.7" right="0.01" top="0.75" bottom="0.75" header="0.3" footer="0.3"/>
  <pageSetup paperSize="5" scale="15" orientation="landscape" r:id="rId19"/>
  <ignoredErrors>
    <ignoredError sqref="H8:J8" unlockedFormula="1"/>
    <ignoredError sqref="BN8 BN13 BN10:BN12 BN9 BN14" numberStoredAsText="1"/>
  </ignoredErrors>
  <legacy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2AD4-2376-4A86-A54E-9AD1933CDB48}">
  <sheetPr>
    <tabColor theme="4" tint="0.39997558519241921"/>
  </sheetPr>
  <dimension ref="A2:R65"/>
  <sheetViews>
    <sheetView zoomScale="96" zoomScaleNormal="80" zoomScaleSheetLayoutView="100" workbookViewId="0">
      <pane ySplit="4" topLeftCell="A5" activePane="bottomLeft" state="frozen"/>
      <selection pane="bottomLeft" activeCell="E5" sqref="E5"/>
      <selection activeCell="H27" sqref="H27"/>
    </sheetView>
  </sheetViews>
  <sheetFormatPr defaultColWidth="9.42578125" defaultRowHeight="12.95"/>
  <cols>
    <col min="1" max="1" width="10.42578125" style="384" bestFit="1" customWidth="1"/>
    <col min="2" max="2" width="10.42578125" style="199" bestFit="1" customWidth="1"/>
    <col min="3" max="3" width="15.42578125" style="384" bestFit="1" customWidth="1"/>
    <col min="4" max="4" width="15.42578125" style="387" bestFit="1" customWidth="1"/>
    <col min="5" max="5" width="10.42578125" style="199" bestFit="1" customWidth="1"/>
    <col min="6" max="8" width="9.42578125" style="199" bestFit="1" customWidth="1"/>
    <col min="9" max="9" width="6.5703125" style="384" bestFit="1" customWidth="1"/>
    <col min="10" max="10" width="4.5703125" style="387" customWidth="1"/>
    <col min="11" max="11" width="6.5703125" style="384" bestFit="1" customWidth="1"/>
    <col min="12" max="12" width="9.42578125" style="384" bestFit="1" customWidth="1"/>
    <col min="13" max="13" width="7.5703125" style="384" bestFit="1" customWidth="1"/>
    <col min="14" max="15" width="9.42578125" style="384" bestFit="1" customWidth="1"/>
    <col min="16" max="16" width="9.5703125" style="387" bestFit="1" customWidth="1"/>
    <col min="17" max="17" width="9.42578125" style="199" bestFit="1" customWidth="1"/>
    <col min="18" max="16384" width="9.42578125" style="199"/>
  </cols>
  <sheetData>
    <row r="2" spans="1:17" ht="15" customHeight="1">
      <c r="A2" s="703" t="s">
        <v>246</v>
      </c>
      <c r="B2" s="703"/>
      <c r="C2" s="705" t="s">
        <v>247</v>
      </c>
      <c r="D2" s="705"/>
      <c r="E2" s="705"/>
      <c r="F2" s="703" t="s">
        <v>248</v>
      </c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ht="27.75" customHeight="1">
      <c r="A3" s="703"/>
      <c r="B3" s="703"/>
      <c r="C3" s="376" t="s">
        <v>249</v>
      </c>
      <c r="D3" s="706" t="s">
        <v>250</v>
      </c>
      <c r="E3" s="707" t="s">
        <v>72</v>
      </c>
      <c r="F3" s="703" t="s">
        <v>249</v>
      </c>
      <c r="G3" s="703"/>
      <c r="H3" s="703"/>
      <c r="I3" s="703" t="s">
        <v>251</v>
      </c>
      <c r="J3" s="703"/>
      <c r="K3" s="703"/>
      <c r="L3" s="703" t="s">
        <v>250</v>
      </c>
      <c r="M3" s="703"/>
      <c r="N3" s="703"/>
      <c r="O3" s="703" t="s">
        <v>72</v>
      </c>
      <c r="P3" s="703"/>
      <c r="Q3" s="703"/>
    </row>
    <row r="4" spans="1:17" ht="30" customHeight="1">
      <c r="A4" s="704"/>
      <c r="B4" s="703"/>
      <c r="C4" s="376" t="s">
        <v>252</v>
      </c>
      <c r="D4" s="706"/>
      <c r="E4" s="707"/>
      <c r="F4" s="376" t="s">
        <v>253</v>
      </c>
      <c r="G4" s="376" t="s">
        <v>254</v>
      </c>
      <c r="H4" s="376" t="s">
        <v>72</v>
      </c>
      <c r="I4" s="376" t="s">
        <v>253</v>
      </c>
      <c r="J4" s="377" t="s">
        <v>254</v>
      </c>
      <c r="K4" s="376" t="s">
        <v>72</v>
      </c>
      <c r="L4" s="376" t="s">
        <v>253</v>
      </c>
      <c r="M4" s="376" t="s">
        <v>254</v>
      </c>
      <c r="N4" s="376" t="s">
        <v>72</v>
      </c>
      <c r="O4" s="376" t="s">
        <v>253</v>
      </c>
      <c r="P4" s="377" t="s">
        <v>254</v>
      </c>
      <c r="Q4" s="376" t="s">
        <v>72</v>
      </c>
    </row>
    <row r="5" spans="1:17" ht="14.1" customHeight="1">
      <c r="A5" s="390">
        <v>0</v>
      </c>
      <c r="B5" s="388">
        <f>A6-0.01</f>
        <v>5249.99</v>
      </c>
      <c r="C5" s="378">
        <v>5000</v>
      </c>
      <c r="D5" s="379">
        <v>0</v>
      </c>
      <c r="E5" s="378">
        <v>5000</v>
      </c>
      <c r="F5" s="378">
        <f>E5*0.1</f>
        <v>500</v>
      </c>
      <c r="G5" s="378">
        <f>E5*0.05</f>
        <v>250</v>
      </c>
      <c r="H5" s="378">
        <f t="shared" ref="H5:H65" si="0">F5+G5</f>
        <v>750</v>
      </c>
      <c r="I5" s="378">
        <v>10</v>
      </c>
      <c r="J5" s="379">
        <v>0</v>
      </c>
      <c r="K5" s="378">
        <f t="shared" ref="K5:K65" si="1">I5+J5</f>
        <v>10</v>
      </c>
      <c r="L5" s="378">
        <v>0</v>
      </c>
      <c r="M5" s="378">
        <v>0</v>
      </c>
      <c r="N5" s="378">
        <f t="shared" ref="N5:N37" si="2">SUM(L5:M5)</f>
        <v>0</v>
      </c>
      <c r="O5" s="378">
        <f t="shared" ref="O5:P36" si="3">F5+I5+L5</f>
        <v>510</v>
      </c>
      <c r="P5" s="378">
        <f t="shared" si="3"/>
        <v>250</v>
      </c>
      <c r="Q5" s="378">
        <f t="shared" ref="Q5:Q64" si="4">SUM(O5:P5)</f>
        <v>760</v>
      </c>
    </row>
    <row r="6" spans="1:17" ht="14.1" customHeight="1">
      <c r="A6" s="389">
        <v>5250</v>
      </c>
      <c r="B6" s="380">
        <f t="shared" ref="B6:B64" si="5">A7-0.01</f>
        <v>5749.99</v>
      </c>
      <c r="C6" s="380">
        <f t="shared" ref="C6:C35" si="6">C5+500</f>
        <v>5500</v>
      </c>
      <c r="D6" s="381">
        <v>0</v>
      </c>
      <c r="E6" s="380">
        <f t="shared" ref="E6:E65" si="7">E5+500</f>
        <v>5500</v>
      </c>
      <c r="F6" s="380">
        <f t="shared" ref="F6:F35" si="8">E6*0.1</f>
        <v>550</v>
      </c>
      <c r="G6" s="380">
        <f t="shared" ref="G6:G36" si="9">E6*0.05</f>
        <v>275</v>
      </c>
      <c r="H6" s="380">
        <f t="shared" si="0"/>
        <v>825</v>
      </c>
      <c r="I6" s="380">
        <v>10</v>
      </c>
      <c r="J6" s="381">
        <v>0</v>
      </c>
      <c r="K6" s="380">
        <f t="shared" si="1"/>
        <v>10</v>
      </c>
      <c r="L6" s="380">
        <v>0</v>
      </c>
      <c r="M6" s="380">
        <v>0</v>
      </c>
      <c r="N6" s="380">
        <f t="shared" si="2"/>
        <v>0</v>
      </c>
      <c r="O6" s="380">
        <f t="shared" si="3"/>
        <v>560</v>
      </c>
      <c r="P6" s="380">
        <f t="shared" si="3"/>
        <v>275</v>
      </c>
      <c r="Q6" s="380">
        <f t="shared" si="4"/>
        <v>835</v>
      </c>
    </row>
    <row r="7" spans="1:17" ht="14.1" customHeight="1">
      <c r="A7" s="382">
        <f t="shared" ref="A7:A65" si="10">A6+500</f>
        <v>5750</v>
      </c>
      <c r="B7" s="382">
        <f t="shared" si="5"/>
        <v>6249.99</v>
      </c>
      <c r="C7" s="382">
        <f t="shared" si="6"/>
        <v>6000</v>
      </c>
      <c r="D7" s="383">
        <v>0</v>
      </c>
      <c r="E7" s="382">
        <f t="shared" si="7"/>
        <v>6000</v>
      </c>
      <c r="F7" s="382">
        <f t="shared" si="8"/>
        <v>600</v>
      </c>
      <c r="G7" s="382">
        <f t="shared" si="9"/>
        <v>300</v>
      </c>
      <c r="H7" s="382">
        <f t="shared" si="0"/>
        <v>900</v>
      </c>
      <c r="I7" s="382">
        <v>10</v>
      </c>
      <c r="J7" s="383">
        <v>0</v>
      </c>
      <c r="K7" s="382">
        <f t="shared" si="1"/>
        <v>10</v>
      </c>
      <c r="L7" s="382">
        <v>0</v>
      </c>
      <c r="M7" s="382">
        <v>0</v>
      </c>
      <c r="N7" s="382">
        <f t="shared" si="2"/>
        <v>0</v>
      </c>
      <c r="O7" s="382">
        <f t="shared" si="3"/>
        <v>610</v>
      </c>
      <c r="P7" s="382">
        <f t="shared" si="3"/>
        <v>300</v>
      </c>
      <c r="Q7" s="382">
        <f t="shared" si="4"/>
        <v>910</v>
      </c>
    </row>
    <row r="8" spans="1:17" ht="14.1" customHeight="1">
      <c r="A8" s="378">
        <f t="shared" si="10"/>
        <v>6250</v>
      </c>
      <c r="B8" s="378">
        <f t="shared" si="5"/>
        <v>6749.99</v>
      </c>
      <c r="C8" s="378">
        <f t="shared" si="6"/>
        <v>6500</v>
      </c>
      <c r="D8" s="379">
        <v>0</v>
      </c>
      <c r="E8" s="378">
        <f t="shared" si="7"/>
        <v>6500</v>
      </c>
      <c r="F8" s="378">
        <f t="shared" si="8"/>
        <v>650</v>
      </c>
      <c r="G8" s="378">
        <f t="shared" si="9"/>
        <v>325</v>
      </c>
      <c r="H8" s="378">
        <f t="shared" si="0"/>
        <v>975</v>
      </c>
      <c r="I8" s="378">
        <v>10</v>
      </c>
      <c r="J8" s="379">
        <v>0</v>
      </c>
      <c r="K8" s="378">
        <f t="shared" si="1"/>
        <v>10</v>
      </c>
      <c r="L8" s="378">
        <v>0</v>
      </c>
      <c r="M8" s="378">
        <v>0</v>
      </c>
      <c r="N8" s="378">
        <f t="shared" si="2"/>
        <v>0</v>
      </c>
      <c r="O8" s="378">
        <f t="shared" si="3"/>
        <v>660</v>
      </c>
      <c r="P8" s="378">
        <f t="shared" si="3"/>
        <v>325</v>
      </c>
      <c r="Q8" s="378">
        <f t="shared" si="4"/>
        <v>985</v>
      </c>
    </row>
    <row r="9" spans="1:17" ht="14.1" customHeight="1">
      <c r="A9" s="380">
        <f t="shared" si="10"/>
        <v>6750</v>
      </c>
      <c r="B9" s="380">
        <f t="shared" si="5"/>
        <v>7249.99</v>
      </c>
      <c r="C9" s="380">
        <f t="shared" si="6"/>
        <v>7000</v>
      </c>
      <c r="D9" s="381">
        <v>0</v>
      </c>
      <c r="E9" s="380">
        <f t="shared" si="7"/>
        <v>7000</v>
      </c>
      <c r="F9" s="380">
        <f t="shared" si="8"/>
        <v>700</v>
      </c>
      <c r="G9" s="380">
        <f t="shared" si="9"/>
        <v>350</v>
      </c>
      <c r="H9" s="380">
        <f t="shared" si="0"/>
        <v>1050</v>
      </c>
      <c r="I9" s="380">
        <v>10</v>
      </c>
      <c r="J9" s="381">
        <v>0</v>
      </c>
      <c r="K9" s="380">
        <f t="shared" si="1"/>
        <v>10</v>
      </c>
      <c r="L9" s="380">
        <v>0</v>
      </c>
      <c r="M9" s="380">
        <v>0</v>
      </c>
      <c r="N9" s="380">
        <f t="shared" si="2"/>
        <v>0</v>
      </c>
      <c r="O9" s="380">
        <f t="shared" si="3"/>
        <v>710</v>
      </c>
      <c r="P9" s="380">
        <f t="shared" si="3"/>
        <v>350</v>
      </c>
      <c r="Q9" s="380">
        <f t="shared" si="4"/>
        <v>1060</v>
      </c>
    </row>
    <row r="10" spans="1:17" ht="14.1" customHeight="1">
      <c r="A10" s="382">
        <f t="shared" si="10"/>
        <v>7250</v>
      </c>
      <c r="B10" s="382">
        <f t="shared" si="5"/>
        <v>7749.99</v>
      </c>
      <c r="C10" s="382">
        <f t="shared" si="6"/>
        <v>7500</v>
      </c>
      <c r="D10" s="383">
        <v>0</v>
      </c>
      <c r="E10" s="382">
        <f t="shared" si="7"/>
        <v>7500</v>
      </c>
      <c r="F10" s="382">
        <f t="shared" si="8"/>
        <v>750</v>
      </c>
      <c r="G10" s="382">
        <f t="shared" si="9"/>
        <v>375</v>
      </c>
      <c r="H10" s="382">
        <f t="shared" si="0"/>
        <v>1125</v>
      </c>
      <c r="I10" s="382">
        <v>10</v>
      </c>
      <c r="J10" s="383">
        <v>0</v>
      </c>
      <c r="K10" s="382">
        <f t="shared" si="1"/>
        <v>10</v>
      </c>
      <c r="L10" s="382">
        <v>0</v>
      </c>
      <c r="M10" s="382">
        <v>0</v>
      </c>
      <c r="N10" s="382">
        <f t="shared" si="2"/>
        <v>0</v>
      </c>
      <c r="O10" s="382">
        <f t="shared" si="3"/>
        <v>760</v>
      </c>
      <c r="P10" s="382">
        <f t="shared" si="3"/>
        <v>375</v>
      </c>
      <c r="Q10" s="382">
        <f t="shared" si="4"/>
        <v>1135</v>
      </c>
    </row>
    <row r="11" spans="1:17" ht="14.1" customHeight="1">
      <c r="A11" s="378">
        <f t="shared" si="10"/>
        <v>7750</v>
      </c>
      <c r="B11" s="378">
        <f t="shared" si="5"/>
        <v>8249.99</v>
      </c>
      <c r="C11" s="378">
        <f t="shared" si="6"/>
        <v>8000</v>
      </c>
      <c r="D11" s="379">
        <v>0</v>
      </c>
      <c r="E11" s="378">
        <f t="shared" si="7"/>
        <v>8000</v>
      </c>
      <c r="F11" s="378">
        <f t="shared" si="8"/>
        <v>800</v>
      </c>
      <c r="G11" s="378">
        <f t="shared" si="9"/>
        <v>400</v>
      </c>
      <c r="H11" s="378">
        <f t="shared" si="0"/>
        <v>1200</v>
      </c>
      <c r="I11" s="378">
        <v>10</v>
      </c>
      <c r="J11" s="379">
        <v>0</v>
      </c>
      <c r="K11" s="378">
        <f t="shared" si="1"/>
        <v>10</v>
      </c>
      <c r="L11" s="378">
        <v>0</v>
      </c>
      <c r="M11" s="378">
        <v>0</v>
      </c>
      <c r="N11" s="378">
        <f t="shared" si="2"/>
        <v>0</v>
      </c>
      <c r="O11" s="378">
        <f t="shared" si="3"/>
        <v>810</v>
      </c>
      <c r="P11" s="378">
        <f t="shared" si="3"/>
        <v>400</v>
      </c>
      <c r="Q11" s="378">
        <f t="shared" si="4"/>
        <v>1210</v>
      </c>
    </row>
    <row r="12" spans="1:17" ht="14.1" customHeight="1">
      <c r="A12" s="380">
        <f t="shared" si="10"/>
        <v>8250</v>
      </c>
      <c r="B12" s="380">
        <f t="shared" si="5"/>
        <v>8749.99</v>
      </c>
      <c r="C12" s="380">
        <f t="shared" si="6"/>
        <v>8500</v>
      </c>
      <c r="D12" s="381">
        <v>0</v>
      </c>
      <c r="E12" s="380">
        <f t="shared" si="7"/>
        <v>8500</v>
      </c>
      <c r="F12" s="380">
        <f t="shared" si="8"/>
        <v>850</v>
      </c>
      <c r="G12" s="380">
        <f t="shared" si="9"/>
        <v>425</v>
      </c>
      <c r="H12" s="380">
        <f t="shared" si="0"/>
        <v>1275</v>
      </c>
      <c r="I12" s="380">
        <v>10</v>
      </c>
      <c r="J12" s="381">
        <v>0</v>
      </c>
      <c r="K12" s="380">
        <f t="shared" si="1"/>
        <v>10</v>
      </c>
      <c r="L12" s="380">
        <v>0</v>
      </c>
      <c r="M12" s="380">
        <v>0</v>
      </c>
      <c r="N12" s="380">
        <f t="shared" si="2"/>
        <v>0</v>
      </c>
      <c r="O12" s="380">
        <f t="shared" si="3"/>
        <v>860</v>
      </c>
      <c r="P12" s="380">
        <f t="shared" si="3"/>
        <v>425</v>
      </c>
      <c r="Q12" s="380">
        <f t="shared" si="4"/>
        <v>1285</v>
      </c>
    </row>
    <row r="13" spans="1:17" ht="14.1" customHeight="1">
      <c r="A13" s="382">
        <f t="shared" si="10"/>
        <v>8750</v>
      </c>
      <c r="B13" s="382">
        <f t="shared" si="5"/>
        <v>9249.99</v>
      </c>
      <c r="C13" s="382">
        <f t="shared" si="6"/>
        <v>9000</v>
      </c>
      <c r="D13" s="383">
        <v>0</v>
      </c>
      <c r="E13" s="382">
        <f t="shared" si="7"/>
        <v>9000</v>
      </c>
      <c r="F13" s="382">
        <f t="shared" si="8"/>
        <v>900</v>
      </c>
      <c r="G13" s="382">
        <f t="shared" si="9"/>
        <v>450</v>
      </c>
      <c r="H13" s="382">
        <f t="shared" si="0"/>
        <v>1350</v>
      </c>
      <c r="I13" s="382">
        <v>10</v>
      </c>
      <c r="J13" s="383">
        <v>0</v>
      </c>
      <c r="K13" s="382">
        <f t="shared" si="1"/>
        <v>10</v>
      </c>
      <c r="L13" s="382">
        <v>0</v>
      </c>
      <c r="M13" s="382">
        <v>0</v>
      </c>
      <c r="N13" s="382">
        <f t="shared" si="2"/>
        <v>0</v>
      </c>
      <c r="O13" s="382">
        <f t="shared" si="3"/>
        <v>910</v>
      </c>
      <c r="P13" s="382">
        <f t="shared" si="3"/>
        <v>450</v>
      </c>
      <c r="Q13" s="382">
        <f t="shared" si="4"/>
        <v>1360</v>
      </c>
    </row>
    <row r="14" spans="1:17" ht="14.1" customHeight="1">
      <c r="A14" s="378">
        <f t="shared" si="10"/>
        <v>9250</v>
      </c>
      <c r="B14" s="378">
        <f t="shared" si="5"/>
        <v>9749.99</v>
      </c>
      <c r="C14" s="378">
        <f t="shared" si="6"/>
        <v>9500</v>
      </c>
      <c r="D14" s="379">
        <v>0</v>
      </c>
      <c r="E14" s="378">
        <f t="shared" si="7"/>
        <v>9500</v>
      </c>
      <c r="F14" s="378">
        <f t="shared" si="8"/>
        <v>950</v>
      </c>
      <c r="G14" s="378">
        <f t="shared" si="9"/>
        <v>475</v>
      </c>
      <c r="H14" s="378">
        <f t="shared" si="0"/>
        <v>1425</v>
      </c>
      <c r="I14" s="378">
        <v>10</v>
      </c>
      <c r="J14" s="379">
        <v>0</v>
      </c>
      <c r="K14" s="378">
        <f t="shared" si="1"/>
        <v>10</v>
      </c>
      <c r="L14" s="378">
        <v>0</v>
      </c>
      <c r="M14" s="378">
        <v>0</v>
      </c>
      <c r="N14" s="378">
        <f t="shared" si="2"/>
        <v>0</v>
      </c>
      <c r="O14" s="378">
        <f t="shared" si="3"/>
        <v>960</v>
      </c>
      <c r="P14" s="378">
        <f t="shared" si="3"/>
        <v>475</v>
      </c>
      <c r="Q14" s="378">
        <f t="shared" si="4"/>
        <v>1435</v>
      </c>
    </row>
    <row r="15" spans="1:17" ht="14.1" customHeight="1">
      <c r="A15" s="380">
        <f t="shared" si="10"/>
        <v>9750</v>
      </c>
      <c r="B15" s="380">
        <f t="shared" si="5"/>
        <v>10249.99</v>
      </c>
      <c r="C15" s="380">
        <f t="shared" si="6"/>
        <v>10000</v>
      </c>
      <c r="D15" s="381">
        <v>0</v>
      </c>
      <c r="E15" s="380">
        <f t="shared" si="7"/>
        <v>10000</v>
      </c>
      <c r="F15" s="380">
        <f t="shared" si="8"/>
        <v>1000</v>
      </c>
      <c r="G15" s="380">
        <f t="shared" si="9"/>
        <v>500</v>
      </c>
      <c r="H15" s="380">
        <f t="shared" si="0"/>
        <v>1500</v>
      </c>
      <c r="I15" s="380">
        <v>10</v>
      </c>
      <c r="J15" s="381">
        <v>0</v>
      </c>
      <c r="K15" s="380">
        <f t="shared" si="1"/>
        <v>10</v>
      </c>
      <c r="L15" s="380">
        <v>0</v>
      </c>
      <c r="M15" s="380">
        <v>0</v>
      </c>
      <c r="N15" s="380">
        <f t="shared" si="2"/>
        <v>0</v>
      </c>
      <c r="O15" s="380">
        <f t="shared" si="3"/>
        <v>1010</v>
      </c>
      <c r="P15" s="380">
        <f t="shared" si="3"/>
        <v>500</v>
      </c>
      <c r="Q15" s="380">
        <f t="shared" si="4"/>
        <v>1510</v>
      </c>
    </row>
    <row r="16" spans="1:17" ht="14.1" customHeight="1">
      <c r="A16" s="382">
        <f t="shared" si="10"/>
        <v>10250</v>
      </c>
      <c r="B16" s="382">
        <f t="shared" si="5"/>
        <v>10749.99</v>
      </c>
      <c r="C16" s="382">
        <f t="shared" si="6"/>
        <v>10500</v>
      </c>
      <c r="D16" s="383">
        <v>0</v>
      </c>
      <c r="E16" s="382">
        <f t="shared" si="7"/>
        <v>10500</v>
      </c>
      <c r="F16" s="382">
        <f t="shared" si="8"/>
        <v>1050</v>
      </c>
      <c r="G16" s="382">
        <f t="shared" si="9"/>
        <v>525</v>
      </c>
      <c r="H16" s="382">
        <f t="shared" si="0"/>
        <v>1575</v>
      </c>
      <c r="I16" s="382">
        <v>10</v>
      </c>
      <c r="J16" s="383">
        <v>0</v>
      </c>
      <c r="K16" s="382">
        <f t="shared" si="1"/>
        <v>10</v>
      </c>
      <c r="L16" s="382">
        <v>0</v>
      </c>
      <c r="M16" s="382">
        <v>0</v>
      </c>
      <c r="N16" s="382">
        <f t="shared" si="2"/>
        <v>0</v>
      </c>
      <c r="O16" s="382">
        <f t="shared" si="3"/>
        <v>1060</v>
      </c>
      <c r="P16" s="382">
        <f t="shared" si="3"/>
        <v>525</v>
      </c>
      <c r="Q16" s="382">
        <f t="shared" si="4"/>
        <v>1585</v>
      </c>
    </row>
    <row r="17" spans="1:18" ht="14.1" customHeight="1">
      <c r="A17" s="378">
        <f t="shared" si="10"/>
        <v>10750</v>
      </c>
      <c r="B17" s="378">
        <f t="shared" si="5"/>
        <v>11249.99</v>
      </c>
      <c r="C17" s="378">
        <f t="shared" si="6"/>
        <v>11000</v>
      </c>
      <c r="D17" s="379">
        <v>0</v>
      </c>
      <c r="E17" s="378">
        <f t="shared" si="7"/>
        <v>11000</v>
      </c>
      <c r="F17" s="378">
        <f t="shared" si="8"/>
        <v>1100</v>
      </c>
      <c r="G17" s="378">
        <f t="shared" si="9"/>
        <v>550</v>
      </c>
      <c r="H17" s="378">
        <f t="shared" si="0"/>
        <v>1650</v>
      </c>
      <c r="I17" s="378">
        <v>10</v>
      </c>
      <c r="J17" s="379">
        <v>0</v>
      </c>
      <c r="K17" s="378">
        <f t="shared" si="1"/>
        <v>10</v>
      </c>
      <c r="L17" s="378">
        <v>0</v>
      </c>
      <c r="M17" s="378">
        <v>0</v>
      </c>
      <c r="N17" s="378">
        <f t="shared" si="2"/>
        <v>0</v>
      </c>
      <c r="O17" s="378">
        <f t="shared" si="3"/>
        <v>1110</v>
      </c>
      <c r="P17" s="378">
        <f t="shared" si="3"/>
        <v>550</v>
      </c>
      <c r="Q17" s="378">
        <f t="shared" si="4"/>
        <v>1660</v>
      </c>
    </row>
    <row r="18" spans="1:18" ht="14.1" customHeight="1">
      <c r="A18" s="380">
        <f t="shared" si="10"/>
        <v>11250</v>
      </c>
      <c r="B18" s="380">
        <f t="shared" si="5"/>
        <v>11749.99</v>
      </c>
      <c r="C18" s="380">
        <f t="shared" si="6"/>
        <v>11500</v>
      </c>
      <c r="D18" s="381">
        <v>0</v>
      </c>
      <c r="E18" s="380">
        <f t="shared" si="7"/>
        <v>11500</v>
      </c>
      <c r="F18" s="380">
        <f t="shared" si="8"/>
        <v>1150</v>
      </c>
      <c r="G18" s="380">
        <f t="shared" si="9"/>
        <v>575</v>
      </c>
      <c r="H18" s="380">
        <f t="shared" si="0"/>
        <v>1725</v>
      </c>
      <c r="I18" s="380">
        <v>10</v>
      </c>
      <c r="J18" s="381">
        <v>0</v>
      </c>
      <c r="K18" s="380">
        <f t="shared" si="1"/>
        <v>10</v>
      </c>
      <c r="L18" s="380">
        <v>0</v>
      </c>
      <c r="M18" s="380">
        <v>0</v>
      </c>
      <c r="N18" s="380">
        <f t="shared" si="2"/>
        <v>0</v>
      </c>
      <c r="O18" s="380">
        <f t="shared" si="3"/>
        <v>1160</v>
      </c>
      <c r="P18" s="380">
        <f t="shared" si="3"/>
        <v>575</v>
      </c>
      <c r="Q18" s="380">
        <f t="shared" si="4"/>
        <v>1735</v>
      </c>
    </row>
    <row r="19" spans="1:18" ht="14.1" customHeight="1">
      <c r="A19" s="382">
        <f t="shared" si="10"/>
        <v>11750</v>
      </c>
      <c r="B19" s="382">
        <f t="shared" si="5"/>
        <v>12249.99</v>
      </c>
      <c r="C19" s="382">
        <f t="shared" si="6"/>
        <v>12000</v>
      </c>
      <c r="D19" s="383">
        <v>0</v>
      </c>
      <c r="E19" s="382">
        <f t="shared" si="7"/>
        <v>12000</v>
      </c>
      <c r="F19" s="382">
        <f t="shared" si="8"/>
        <v>1200</v>
      </c>
      <c r="G19" s="382">
        <f t="shared" si="9"/>
        <v>600</v>
      </c>
      <c r="H19" s="382">
        <f t="shared" si="0"/>
        <v>1800</v>
      </c>
      <c r="I19" s="382">
        <v>10</v>
      </c>
      <c r="J19" s="383">
        <v>0</v>
      </c>
      <c r="K19" s="382">
        <f t="shared" si="1"/>
        <v>10</v>
      </c>
      <c r="L19" s="382">
        <v>0</v>
      </c>
      <c r="M19" s="382">
        <v>0</v>
      </c>
      <c r="N19" s="382">
        <f t="shared" si="2"/>
        <v>0</v>
      </c>
      <c r="O19" s="382">
        <f t="shared" si="3"/>
        <v>1210</v>
      </c>
      <c r="P19" s="382">
        <f t="shared" si="3"/>
        <v>600</v>
      </c>
      <c r="Q19" s="382">
        <f t="shared" si="4"/>
        <v>1810</v>
      </c>
    </row>
    <row r="20" spans="1:18" ht="14.1" customHeight="1">
      <c r="A20" s="378">
        <f t="shared" si="10"/>
        <v>12250</v>
      </c>
      <c r="B20" s="378">
        <f t="shared" si="5"/>
        <v>12749.99</v>
      </c>
      <c r="C20" s="378">
        <f t="shared" si="6"/>
        <v>12500</v>
      </c>
      <c r="D20" s="379">
        <v>0</v>
      </c>
      <c r="E20" s="378">
        <f t="shared" si="7"/>
        <v>12500</v>
      </c>
      <c r="F20" s="378">
        <f t="shared" si="8"/>
        <v>1250</v>
      </c>
      <c r="G20" s="378">
        <f t="shared" si="9"/>
        <v>625</v>
      </c>
      <c r="H20" s="378">
        <f t="shared" si="0"/>
        <v>1875</v>
      </c>
      <c r="I20" s="378">
        <v>10</v>
      </c>
      <c r="J20" s="379">
        <v>0</v>
      </c>
      <c r="K20" s="378">
        <f t="shared" si="1"/>
        <v>10</v>
      </c>
      <c r="L20" s="378">
        <v>0</v>
      </c>
      <c r="M20" s="378">
        <v>0</v>
      </c>
      <c r="N20" s="378">
        <f t="shared" si="2"/>
        <v>0</v>
      </c>
      <c r="O20" s="378">
        <f t="shared" si="3"/>
        <v>1260</v>
      </c>
      <c r="P20" s="378">
        <f t="shared" si="3"/>
        <v>625</v>
      </c>
      <c r="Q20" s="378">
        <f t="shared" si="4"/>
        <v>1885</v>
      </c>
    </row>
    <row r="21" spans="1:18" ht="14.1" customHeight="1">
      <c r="A21" s="380">
        <f t="shared" si="10"/>
        <v>12750</v>
      </c>
      <c r="B21" s="380">
        <f t="shared" si="5"/>
        <v>13249.99</v>
      </c>
      <c r="C21" s="380">
        <f t="shared" si="6"/>
        <v>13000</v>
      </c>
      <c r="D21" s="381">
        <v>0</v>
      </c>
      <c r="E21" s="380">
        <f t="shared" si="7"/>
        <v>13000</v>
      </c>
      <c r="F21" s="380">
        <f t="shared" si="8"/>
        <v>1300</v>
      </c>
      <c r="G21" s="380">
        <f t="shared" si="9"/>
        <v>650</v>
      </c>
      <c r="H21" s="380">
        <f t="shared" si="0"/>
        <v>1950</v>
      </c>
      <c r="I21" s="380">
        <v>10</v>
      </c>
      <c r="J21" s="381">
        <v>0</v>
      </c>
      <c r="K21" s="380">
        <f t="shared" si="1"/>
        <v>10</v>
      </c>
      <c r="L21" s="380">
        <v>0</v>
      </c>
      <c r="M21" s="380">
        <v>0</v>
      </c>
      <c r="N21" s="380">
        <f t="shared" si="2"/>
        <v>0</v>
      </c>
      <c r="O21" s="380">
        <f t="shared" si="3"/>
        <v>1310</v>
      </c>
      <c r="P21" s="380">
        <f t="shared" si="3"/>
        <v>650</v>
      </c>
      <c r="Q21" s="380">
        <f t="shared" si="4"/>
        <v>1960</v>
      </c>
    </row>
    <row r="22" spans="1:18" ht="14.1" customHeight="1">
      <c r="A22" s="382">
        <f t="shared" si="10"/>
        <v>13250</v>
      </c>
      <c r="B22" s="382">
        <f t="shared" si="5"/>
        <v>13749.99</v>
      </c>
      <c r="C22" s="382">
        <f t="shared" si="6"/>
        <v>13500</v>
      </c>
      <c r="D22" s="383">
        <v>0</v>
      </c>
      <c r="E22" s="382">
        <f t="shared" si="7"/>
        <v>13500</v>
      </c>
      <c r="F22" s="382">
        <f t="shared" si="8"/>
        <v>1350</v>
      </c>
      <c r="G22" s="382">
        <f t="shared" si="9"/>
        <v>675</v>
      </c>
      <c r="H22" s="382">
        <f t="shared" si="0"/>
        <v>2025</v>
      </c>
      <c r="I22" s="382">
        <v>10</v>
      </c>
      <c r="J22" s="383">
        <v>0</v>
      </c>
      <c r="K22" s="382">
        <f t="shared" si="1"/>
        <v>10</v>
      </c>
      <c r="L22" s="382">
        <v>0</v>
      </c>
      <c r="M22" s="382">
        <v>0</v>
      </c>
      <c r="N22" s="382">
        <f t="shared" si="2"/>
        <v>0</v>
      </c>
      <c r="O22" s="382">
        <f t="shared" si="3"/>
        <v>1360</v>
      </c>
      <c r="P22" s="382">
        <f t="shared" si="3"/>
        <v>675</v>
      </c>
      <c r="Q22" s="382">
        <f t="shared" si="4"/>
        <v>2035</v>
      </c>
    </row>
    <row r="23" spans="1:18" ht="14.1" customHeight="1">
      <c r="A23" s="378">
        <f t="shared" si="10"/>
        <v>13750</v>
      </c>
      <c r="B23" s="378">
        <f t="shared" si="5"/>
        <v>14249.99</v>
      </c>
      <c r="C23" s="378">
        <f t="shared" si="6"/>
        <v>14000</v>
      </c>
      <c r="D23" s="379">
        <v>0</v>
      </c>
      <c r="E23" s="378">
        <f t="shared" si="7"/>
        <v>14000</v>
      </c>
      <c r="F23" s="378">
        <f t="shared" si="8"/>
        <v>1400</v>
      </c>
      <c r="G23" s="378">
        <f t="shared" si="9"/>
        <v>700</v>
      </c>
      <c r="H23" s="378">
        <f t="shared" si="0"/>
        <v>2100</v>
      </c>
      <c r="I23" s="378">
        <v>10</v>
      </c>
      <c r="J23" s="379">
        <v>0</v>
      </c>
      <c r="K23" s="378">
        <f t="shared" si="1"/>
        <v>10</v>
      </c>
      <c r="L23" s="378">
        <v>0</v>
      </c>
      <c r="M23" s="378">
        <v>0</v>
      </c>
      <c r="N23" s="378">
        <f t="shared" si="2"/>
        <v>0</v>
      </c>
      <c r="O23" s="378">
        <f t="shared" si="3"/>
        <v>1410</v>
      </c>
      <c r="P23" s="378">
        <f t="shared" si="3"/>
        <v>700</v>
      </c>
      <c r="Q23" s="378">
        <f t="shared" si="4"/>
        <v>2110</v>
      </c>
    </row>
    <row r="24" spans="1:18" ht="14.1" customHeight="1">
      <c r="A24" s="380">
        <f t="shared" si="10"/>
        <v>14250</v>
      </c>
      <c r="B24" s="380">
        <f t="shared" si="5"/>
        <v>14749.99</v>
      </c>
      <c r="C24" s="380">
        <f t="shared" si="6"/>
        <v>14500</v>
      </c>
      <c r="D24" s="381">
        <v>0</v>
      </c>
      <c r="E24" s="380">
        <f t="shared" si="7"/>
        <v>14500</v>
      </c>
      <c r="F24" s="380">
        <f t="shared" si="8"/>
        <v>1450</v>
      </c>
      <c r="G24" s="380">
        <f t="shared" si="9"/>
        <v>725</v>
      </c>
      <c r="H24" s="380">
        <f t="shared" si="0"/>
        <v>2175</v>
      </c>
      <c r="I24" s="380">
        <v>10</v>
      </c>
      <c r="J24" s="381">
        <v>0</v>
      </c>
      <c r="K24" s="380">
        <f t="shared" si="1"/>
        <v>10</v>
      </c>
      <c r="L24" s="380">
        <v>0</v>
      </c>
      <c r="M24" s="380">
        <v>0</v>
      </c>
      <c r="N24" s="380">
        <f t="shared" si="2"/>
        <v>0</v>
      </c>
      <c r="O24" s="380">
        <f t="shared" si="3"/>
        <v>1460</v>
      </c>
      <c r="P24" s="380">
        <f t="shared" si="3"/>
        <v>725</v>
      </c>
      <c r="Q24" s="380">
        <f t="shared" si="4"/>
        <v>2185</v>
      </c>
      <c r="R24" s="384"/>
    </row>
    <row r="25" spans="1:18" ht="14.1" customHeight="1">
      <c r="A25" s="410">
        <f t="shared" si="10"/>
        <v>14750</v>
      </c>
      <c r="B25" s="410">
        <f t="shared" si="5"/>
        <v>15249.99</v>
      </c>
      <c r="C25" s="410">
        <f t="shared" si="6"/>
        <v>15000</v>
      </c>
      <c r="D25" s="411">
        <v>0</v>
      </c>
      <c r="E25" s="410">
        <f t="shared" si="7"/>
        <v>15000</v>
      </c>
      <c r="F25" s="410">
        <f t="shared" si="8"/>
        <v>1500</v>
      </c>
      <c r="G25" s="410">
        <f t="shared" si="9"/>
        <v>750</v>
      </c>
      <c r="H25" s="410">
        <f t="shared" si="0"/>
        <v>2250</v>
      </c>
      <c r="I25" s="410">
        <v>30</v>
      </c>
      <c r="J25" s="411">
        <v>0</v>
      </c>
      <c r="K25" s="410">
        <f t="shared" si="1"/>
        <v>30</v>
      </c>
      <c r="L25" s="410">
        <v>0</v>
      </c>
      <c r="M25" s="410">
        <v>0</v>
      </c>
      <c r="N25" s="410">
        <f t="shared" si="2"/>
        <v>0</v>
      </c>
      <c r="O25" s="410">
        <f t="shared" si="3"/>
        <v>1530</v>
      </c>
      <c r="P25" s="410">
        <f t="shared" si="3"/>
        <v>750</v>
      </c>
      <c r="Q25" s="410">
        <f t="shared" si="4"/>
        <v>2280</v>
      </c>
    </row>
    <row r="26" spans="1:18" ht="14.1" customHeight="1">
      <c r="A26" s="410">
        <f t="shared" si="10"/>
        <v>15250</v>
      </c>
      <c r="B26" s="410">
        <f t="shared" si="5"/>
        <v>15749.99</v>
      </c>
      <c r="C26" s="410">
        <f t="shared" si="6"/>
        <v>15500</v>
      </c>
      <c r="D26" s="411">
        <v>0</v>
      </c>
      <c r="E26" s="410">
        <f t="shared" si="7"/>
        <v>15500</v>
      </c>
      <c r="F26" s="410">
        <f t="shared" si="8"/>
        <v>1550</v>
      </c>
      <c r="G26" s="410">
        <f t="shared" si="9"/>
        <v>775</v>
      </c>
      <c r="H26" s="410">
        <f t="shared" si="0"/>
        <v>2325</v>
      </c>
      <c r="I26" s="410">
        <v>30</v>
      </c>
      <c r="J26" s="411">
        <v>0</v>
      </c>
      <c r="K26" s="410">
        <f t="shared" si="1"/>
        <v>30</v>
      </c>
      <c r="L26" s="410">
        <v>0</v>
      </c>
      <c r="M26" s="410">
        <v>0</v>
      </c>
      <c r="N26" s="410">
        <f t="shared" si="2"/>
        <v>0</v>
      </c>
      <c r="O26" s="410">
        <f t="shared" si="3"/>
        <v>1580</v>
      </c>
      <c r="P26" s="410">
        <f t="shared" si="3"/>
        <v>775</v>
      </c>
      <c r="Q26" s="410">
        <f t="shared" si="4"/>
        <v>2355</v>
      </c>
    </row>
    <row r="27" spans="1:18" ht="14.1" customHeight="1">
      <c r="A27" s="380">
        <f t="shared" si="10"/>
        <v>15750</v>
      </c>
      <c r="B27" s="380">
        <f t="shared" si="5"/>
        <v>16249.99</v>
      </c>
      <c r="C27" s="380">
        <f t="shared" si="6"/>
        <v>16000</v>
      </c>
      <c r="D27" s="381">
        <v>0</v>
      </c>
      <c r="E27" s="380">
        <f t="shared" si="7"/>
        <v>16000</v>
      </c>
      <c r="F27" s="380">
        <f t="shared" si="8"/>
        <v>1600</v>
      </c>
      <c r="G27" s="380">
        <f t="shared" si="9"/>
        <v>800</v>
      </c>
      <c r="H27" s="380">
        <f t="shared" si="0"/>
        <v>2400</v>
      </c>
      <c r="I27" s="380">
        <v>30</v>
      </c>
      <c r="J27" s="381">
        <v>0</v>
      </c>
      <c r="K27" s="380">
        <f t="shared" si="1"/>
        <v>30</v>
      </c>
      <c r="L27" s="380">
        <v>0</v>
      </c>
      <c r="M27" s="380">
        <v>0</v>
      </c>
      <c r="N27" s="380">
        <f t="shared" si="2"/>
        <v>0</v>
      </c>
      <c r="O27" s="380">
        <f t="shared" si="3"/>
        <v>1630</v>
      </c>
      <c r="P27" s="380">
        <f t="shared" si="3"/>
        <v>800</v>
      </c>
      <c r="Q27" s="380">
        <f t="shared" si="4"/>
        <v>2430</v>
      </c>
      <c r="R27" s="384"/>
    </row>
    <row r="28" spans="1:18" ht="14.1" customHeight="1">
      <c r="A28" s="382">
        <f t="shared" si="10"/>
        <v>16250</v>
      </c>
      <c r="B28" s="382">
        <f t="shared" si="5"/>
        <v>16749.990000000002</v>
      </c>
      <c r="C28" s="382">
        <f t="shared" si="6"/>
        <v>16500</v>
      </c>
      <c r="D28" s="383">
        <v>0</v>
      </c>
      <c r="E28" s="382">
        <f t="shared" si="7"/>
        <v>16500</v>
      </c>
      <c r="F28" s="382">
        <f t="shared" si="8"/>
        <v>1650</v>
      </c>
      <c r="G28" s="382">
        <f t="shared" si="9"/>
        <v>825</v>
      </c>
      <c r="H28" s="382">
        <f t="shared" si="0"/>
        <v>2475</v>
      </c>
      <c r="I28" s="382">
        <v>30</v>
      </c>
      <c r="J28" s="383">
        <v>0</v>
      </c>
      <c r="K28" s="382">
        <f t="shared" si="1"/>
        <v>30</v>
      </c>
      <c r="L28" s="382">
        <v>0</v>
      </c>
      <c r="M28" s="382">
        <v>0</v>
      </c>
      <c r="N28" s="382">
        <f t="shared" si="2"/>
        <v>0</v>
      </c>
      <c r="O28" s="382">
        <f t="shared" si="3"/>
        <v>1680</v>
      </c>
      <c r="P28" s="382">
        <f t="shared" si="3"/>
        <v>825</v>
      </c>
      <c r="Q28" s="382">
        <f t="shared" si="4"/>
        <v>2505</v>
      </c>
    </row>
    <row r="29" spans="1:18" ht="14.1" customHeight="1">
      <c r="A29" s="378">
        <f t="shared" si="10"/>
        <v>16750</v>
      </c>
      <c r="B29" s="378">
        <f t="shared" si="5"/>
        <v>17249.990000000002</v>
      </c>
      <c r="C29" s="378">
        <f t="shared" si="6"/>
        <v>17000</v>
      </c>
      <c r="D29" s="379">
        <v>0</v>
      </c>
      <c r="E29" s="378">
        <f t="shared" si="7"/>
        <v>17000</v>
      </c>
      <c r="F29" s="378">
        <f t="shared" si="8"/>
        <v>1700</v>
      </c>
      <c r="G29" s="378">
        <f t="shared" si="9"/>
        <v>850</v>
      </c>
      <c r="H29" s="378">
        <f t="shared" si="0"/>
        <v>2550</v>
      </c>
      <c r="I29" s="378">
        <v>30</v>
      </c>
      <c r="J29" s="379">
        <v>0</v>
      </c>
      <c r="K29" s="378">
        <f t="shared" si="1"/>
        <v>30</v>
      </c>
      <c r="L29" s="378">
        <v>0</v>
      </c>
      <c r="M29" s="378">
        <v>0</v>
      </c>
      <c r="N29" s="378">
        <f t="shared" si="2"/>
        <v>0</v>
      </c>
      <c r="O29" s="378">
        <f t="shared" si="3"/>
        <v>1730</v>
      </c>
      <c r="P29" s="378">
        <f t="shared" si="3"/>
        <v>850</v>
      </c>
      <c r="Q29" s="378">
        <f t="shared" si="4"/>
        <v>2580</v>
      </c>
    </row>
    <row r="30" spans="1:18">
      <c r="A30" s="380">
        <f t="shared" si="10"/>
        <v>17250</v>
      </c>
      <c r="B30" s="380">
        <f t="shared" si="5"/>
        <v>17749.990000000002</v>
      </c>
      <c r="C30" s="380">
        <f t="shared" si="6"/>
        <v>17500</v>
      </c>
      <c r="D30" s="381">
        <v>0</v>
      </c>
      <c r="E30" s="380">
        <f t="shared" si="7"/>
        <v>17500</v>
      </c>
      <c r="F30" s="380">
        <f t="shared" si="8"/>
        <v>1750</v>
      </c>
      <c r="G30" s="380">
        <f t="shared" si="9"/>
        <v>875</v>
      </c>
      <c r="H30" s="380">
        <f t="shared" si="0"/>
        <v>2625</v>
      </c>
      <c r="I30" s="380">
        <v>30</v>
      </c>
      <c r="J30" s="381">
        <v>0</v>
      </c>
      <c r="K30" s="380">
        <f t="shared" si="1"/>
        <v>30</v>
      </c>
      <c r="L30" s="380">
        <v>0</v>
      </c>
      <c r="M30" s="380">
        <v>0</v>
      </c>
      <c r="N30" s="380">
        <f t="shared" si="2"/>
        <v>0</v>
      </c>
      <c r="O30" s="380">
        <f t="shared" si="3"/>
        <v>1780</v>
      </c>
      <c r="P30" s="380">
        <f t="shared" si="3"/>
        <v>875</v>
      </c>
      <c r="Q30" s="380">
        <f t="shared" si="4"/>
        <v>2655</v>
      </c>
    </row>
    <row r="31" spans="1:18">
      <c r="A31" s="382">
        <f t="shared" si="10"/>
        <v>17750</v>
      </c>
      <c r="B31" s="382">
        <f t="shared" si="5"/>
        <v>18249.990000000002</v>
      </c>
      <c r="C31" s="382">
        <f t="shared" si="6"/>
        <v>18000</v>
      </c>
      <c r="D31" s="383">
        <v>0</v>
      </c>
      <c r="E31" s="382">
        <f t="shared" si="7"/>
        <v>18000</v>
      </c>
      <c r="F31" s="382">
        <f t="shared" si="8"/>
        <v>1800</v>
      </c>
      <c r="G31" s="382">
        <f t="shared" si="9"/>
        <v>900</v>
      </c>
      <c r="H31" s="382">
        <f t="shared" si="0"/>
        <v>2700</v>
      </c>
      <c r="I31" s="382">
        <v>30</v>
      </c>
      <c r="J31" s="383">
        <v>0</v>
      </c>
      <c r="K31" s="382">
        <f t="shared" si="1"/>
        <v>30</v>
      </c>
      <c r="L31" s="382">
        <v>0</v>
      </c>
      <c r="M31" s="382">
        <v>0</v>
      </c>
      <c r="N31" s="382">
        <f t="shared" si="2"/>
        <v>0</v>
      </c>
      <c r="O31" s="382">
        <f t="shared" si="3"/>
        <v>1830</v>
      </c>
      <c r="P31" s="382">
        <f t="shared" si="3"/>
        <v>900</v>
      </c>
      <c r="Q31" s="382">
        <f t="shared" si="4"/>
        <v>2730</v>
      </c>
    </row>
    <row r="32" spans="1:18">
      <c r="A32" s="378">
        <f t="shared" si="10"/>
        <v>18250</v>
      </c>
      <c r="B32" s="378">
        <f t="shared" si="5"/>
        <v>18749.990000000002</v>
      </c>
      <c r="C32" s="378">
        <f t="shared" si="6"/>
        <v>18500</v>
      </c>
      <c r="D32" s="379">
        <v>0</v>
      </c>
      <c r="E32" s="378">
        <f t="shared" si="7"/>
        <v>18500</v>
      </c>
      <c r="F32" s="378">
        <f t="shared" si="8"/>
        <v>1850</v>
      </c>
      <c r="G32" s="378">
        <f t="shared" si="9"/>
        <v>925</v>
      </c>
      <c r="H32" s="378">
        <f t="shared" si="0"/>
        <v>2775</v>
      </c>
      <c r="I32" s="378">
        <v>30</v>
      </c>
      <c r="J32" s="379">
        <v>0</v>
      </c>
      <c r="K32" s="378">
        <f t="shared" si="1"/>
        <v>30</v>
      </c>
      <c r="L32" s="378">
        <v>0</v>
      </c>
      <c r="M32" s="378">
        <v>0</v>
      </c>
      <c r="N32" s="378">
        <f t="shared" si="2"/>
        <v>0</v>
      </c>
      <c r="O32" s="378">
        <f t="shared" si="3"/>
        <v>1880</v>
      </c>
      <c r="P32" s="378">
        <f t="shared" si="3"/>
        <v>925</v>
      </c>
      <c r="Q32" s="378">
        <f t="shared" si="4"/>
        <v>2805</v>
      </c>
    </row>
    <row r="33" spans="1:17">
      <c r="A33" s="380">
        <f t="shared" si="10"/>
        <v>18750</v>
      </c>
      <c r="B33" s="380">
        <f t="shared" si="5"/>
        <v>19249.990000000002</v>
      </c>
      <c r="C33" s="380">
        <f t="shared" si="6"/>
        <v>19000</v>
      </c>
      <c r="D33" s="381">
        <v>0</v>
      </c>
      <c r="E33" s="380">
        <f t="shared" si="7"/>
        <v>19000</v>
      </c>
      <c r="F33" s="380">
        <f t="shared" si="8"/>
        <v>1900</v>
      </c>
      <c r="G33" s="380">
        <f t="shared" si="9"/>
        <v>950</v>
      </c>
      <c r="H33" s="380">
        <f t="shared" si="0"/>
        <v>2850</v>
      </c>
      <c r="I33" s="380">
        <v>30</v>
      </c>
      <c r="J33" s="381">
        <v>0</v>
      </c>
      <c r="K33" s="380">
        <f t="shared" si="1"/>
        <v>30</v>
      </c>
      <c r="L33" s="380">
        <v>0</v>
      </c>
      <c r="M33" s="380">
        <v>0</v>
      </c>
      <c r="N33" s="380">
        <f t="shared" si="2"/>
        <v>0</v>
      </c>
      <c r="O33" s="380">
        <f t="shared" si="3"/>
        <v>1930</v>
      </c>
      <c r="P33" s="380">
        <f t="shared" si="3"/>
        <v>950</v>
      </c>
      <c r="Q33" s="380">
        <f t="shared" si="4"/>
        <v>2880</v>
      </c>
    </row>
    <row r="34" spans="1:17">
      <c r="A34" s="382">
        <f t="shared" si="10"/>
        <v>19250</v>
      </c>
      <c r="B34" s="382">
        <f t="shared" si="5"/>
        <v>19749.990000000002</v>
      </c>
      <c r="C34" s="382">
        <f t="shared" si="6"/>
        <v>19500</v>
      </c>
      <c r="D34" s="383">
        <v>0</v>
      </c>
      <c r="E34" s="382">
        <f t="shared" si="7"/>
        <v>19500</v>
      </c>
      <c r="F34" s="382">
        <f t="shared" si="8"/>
        <v>1950</v>
      </c>
      <c r="G34" s="382">
        <f t="shared" si="9"/>
        <v>975</v>
      </c>
      <c r="H34" s="382">
        <f t="shared" si="0"/>
        <v>2925</v>
      </c>
      <c r="I34" s="382">
        <v>30</v>
      </c>
      <c r="J34" s="383">
        <v>0</v>
      </c>
      <c r="K34" s="382">
        <f t="shared" si="1"/>
        <v>30</v>
      </c>
      <c r="L34" s="382">
        <v>0</v>
      </c>
      <c r="M34" s="382">
        <v>0</v>
      </c>
      <c r="N34" s="382">
        <f t="shared" si="2"/>
        <v>0</v>
      </c>
      <c r="O34" s="382">
        <f t="shared" si="3"/>
        <v>1980</v>
      </c>
      <c r="P34" s="382">
        <f t="shared" si="3"/>
        <v>975</v>
      </c>
      <c r="Q34" s="382">
        <f t="shared" si="4"/>
        <v>2955</v>
      </c>
    </row>
    <row r="35" spans="1:17">
      <c r="A35" s="378">
        <f t="shared" si="10"/>
        <v>19750</v>
      </c>
      <c r="B35" s="378">
        <f t="shared" si="5"/>
        <v>20249.990000000002</v>
      </c>
      <c r="C35" s="378">
        <f t="shared" si="6"/>
        <v>20000</v>
      </c>
      <c r="D35" s="379">
        <v>0</v>
      </c>
      <c r="E35" s="378">
        <f t="shared" si="7"/>
        <v>20000</v>
      </c>
      <c r="F35" s="378">
        <f t="shared" si="8"/>
        <v>2000</v>
      </c>
      <c r="G35" s="378">
        <f t="shared" si="9"/>
        <v>1000</v>
      </c>
      <c r="H35" s="378">
        <f t="shared" si="0"/>
        <v>3000</v>
      </c>
      <c r="I35" s="378">
        <v>30</v>
      </c>
      <c r="J35" s="379">
        <v>0</v>
      </c>
      <c r="K35" s="378">
        <f t="shared" si="1"/>
        <v>30</v>
      </c>
      <c r="L35" s="378">
        <v>0</v>
      </c>
      <c r="M35" s="378">
        <v>0</v>
      </c>
      <c r="N35" s="378">
        <f t="shared" si="2"/>
        <v>0</v>
      </c>
      <c r="O35" s="378">
        <f t="shared" si="3"/>
        <v>2030</v>
      </c>
      <c r="P35" s="378">
        <f t="shared" si="3"/>
        <v>1000</v>
      </c>
      <c r="Q35" s="378">
        <f t="shared" si="4"/>
        <v>3030</v>
      </c>
    </row>
    <row r="36" spans="1:17">
      <c r="A36" s="380">
        <f t="shared" si="10"/>
        <v>20250</v>
      </c>
      <c r="B36" s="380">
        <f t="shared" si="5"/>
        <v>20749.990000000002</v>
      </c>
      <c r="C36" s="380">
        <f>C35</f>
        <v>20000</v>
      </c>
      <c r="D36" s="381">
        <v>500</v>
      </c>
      <c r="E36" s="380">
        <f t="shared" si="7"/>
        <v>20500</v>
      </c>
      <c r="F36" s="380">
        <f>F35</f>
        <v>2000</v>
      </c>
      <c r="G36" s="380">
        <f t="shared" si="9"/>
        <v>1025</v>
      </c>
      <c r="H36" s="380">
        <f t="shared" si="0"/>
        <v>3025</v>
      </c>
      <c r="I36" s="380">
        <v>30</v>
      </c>
      <c r="J36" s="381">
        <v>0</v>
      </c>
      <c r="K36" s="380">
        <f t="shared" si="1"/>
        <v>30</v>
      </c>
      <c r="L36" s="380">
        <v>50</v>
      </c>
      <c r="M36" s="380">
        <v>25</v>
      </c>
      <c r="N36" s="380">
        <f t="shared" si="2"/>
        <v>75</v>
      </c>
      <c r="O36" s="380">
        <f t="shared" si="3"/>
        <v>2080</v>
      </c>
      <c r="P36" s="380">
        <f t="shared" si="3"/>
        <v>1050</v>
      </c>
      <c r="Q36" s="380">
        <f t="shared" si="4"/>
        <v>3130</v>
      </c>
    </row>
    <row r="37" spans="1:17">
      <c r="A37" s="382">
        <f t="shared" si="10"/>
        <v>20750</v>
      </c>
      <c r="B37" s="382">
        <f t="shared" si="5"/>
        <v>21249.99</v>
      </c>
      <c r="C37" s="382">
        <f t="shared" ref="C37:C65" si="11">C36</f>
        <v>20000</v>
      </c>
      <c r="D37" s="383">
        <f>D36+500</f>
        <v>1000</v>
      </c>
      <c r="E37" s="382">
        <f t="shared" si="7"/>
        <v>21000</v>
      </c>
      <c r="F37" s="382">
        <f t="shared" ref="F37:G52" si="12">F36</f>
        <v>2000</v>
      </c>
      <c r="G37" s="382">
        <v>1000</v>
      </c>
      <c r="H37" s="382">
        <f t="shared" si="0"/>
        <v>3000</v>
      </c>
      <c r="I37" s="382">
        <v>30</v>
      </c>
      <c r="J37" s="383">
        <v>0</v>
      </c>
      <c r="K37" s="382">
        <f t="shared" si="1"/>
        <v>30</v>
      </c>
      <c r="L37" s="382">
        <f>L36+50</f>
        <v>100</v>
      </c>
      <c r="M37" s="382">
        <f>M36+25</f>
        <v>50</v>
      </c>
      <c r="N37" s="382">
        <f t="shared" si="2"/>
        <v>150</v>
      </c>
      <c r="O37" s="382">
        <f t="shared" ref="O37:P57" si="13">F37+I37+L37</f>
        <v>2130</v>
      </c>
      <c r="P37" s="382">
        <f t="shared" si="13"/>
        <v>1050</v>
      </c>
      <c r="Q37" s="382">
        <f t="shared" si="4"/>
        <v>3180</v>
      </c>
    </row>
    <row r="38" spans="1:17">
      <c r="A38" s="378">
        <f t="shared" si="10"/>
        <v>21250</v>
      </c>
      <c r="B38" s="378">
        <f t="shared" si="5"/>
        <v>21749.99</v>
      </c>
      <c r="C38" s="378">
        <f t="shared" si="11"/>
        <v>20000</v>
      </c>
      <c r="D38" s="379">
        <f t="shared" ref="D38:D65" si="14">D37+500</f>
        <v>1500</v>
      </c>
      <c r="E38" s="378">
        <f t="shared" si="7"/>
        <v>21500</v>
      </c>
      <c r="F38" s="378">
        <f t="shared" si="12"/>
        <v>2000</v>
      </c>
      <c r="G38" s="378">
        <f t="shared" si="12"/>
        <v>1000</v>
      </c>
      <c r="H38" s="378">
        <f t="shared" si="0"/>
        <v>3000</v>
      </c>
      <c r="I38" s="378">
        <v>30</v>
      </c>
      <c r="J38" s="379">
        <v>0</v>
      </c>
      <c r="K38" s="378">
        <f t="shared" si="1"/>
        <v>30</v>
      </c>
      <c r="L38" s="378">
        <f>L37+50</f>
        <v>150</v>
      </c>
      <c r="M38" s="378">
        <f>M37+25</f>
        <v>75</v>
      </c>
      <c r="N38" s="378">
        <v>70</v>
      </c>
      <c r="O38" s="378">
        <f t="shared" si="13"/>
        <v>2180</v>
      </c>
      <c r="P38" s="378">
        <f t="shared" si="13"/>
        <v>1075</v>
      </c>
      <c r="Q38" s="378">
        <f t="shared" si="4"/>
        <v>3255</v>
      </c>
    </row>
    <row r="39" spans="1:17">
      <c r="A39" s="380">
        <f t="shared" si="10"/>
        <v>21750</v>
      </c>
      <c r="B39" s="380">
        <f t="shared" si="5"/>
        <v>22249.99</v>
      </c>
      <c r="C39" s="380">
        <f t="shared" si="11"/>
        <v>20000</v>
      </c>
      <c r="D39" s="381">
        <f t="shared" si="14"/>
        <v>2000</v>
      </c>
      <c r="E39" s="380">
        <f t="shared" si="7"/>
        <v>22000</v>
      </c>
      <c r="F39" s="380">
        <f t="shared" si="12"/>
        <v>2000</v>
      </c>
      <c r="G39" s="380">
        <f t="shared" si="12"/>
        <v>1000</v>
      </c>
      <c r="H39" s="380">
        <f t="shared" si="0"/>
        <v>3000</v>
      </c>
      <c r="I39" s="380">
        <v>30</v>
      </c>
      <c r="J39" s="381">
        <v>0</v>
      </c>
      <c r="K39" s="380">
        <f t="shared" si="1"/>
        <v>30</v>
      </c>
      <c r="L39" s="380">
        <f>L38+50</f>
        <v>200</v>
      </c>
      <c r="M39" s="380">
        <f>M38+25</f>
        <v>100</v>
      </c>
      <c r="N39" s="380">
        <f t="shared" ref="N39:N65" si="15">N38+70</f>
        <v>140</v>
      </c>
      <c r="O39" s="380">
        <f t="shared" si="13"/>
        <v>2230</v>
      </c>
      <c r="P39" s="380">
        <f t="shared" si="13"/>
        <v>1100</v>
      </c>
      <c r="Q39" s="380">
        <f t="shared" si="4"/>
        <v>3330</v>
      </c>
    </row>
    <row r="40" spans="1:17">
      <c r="A40" s="382">
        <f t="shared" si="10"/>
        <v>22250</v>
      </c>
      <c r="B40" s="382">
        <f t="shared" si="5"/>
        <v>22749.99</v>
      </c>
      <c r="C40" s="382">
        <f t="shared" si="11"/>
        <v>20000</v>
      </c>
      <c r="D40" s="382">
        <f t="shared" si="14"/>
        <v>2500</v>
      </c>
      <c r="E40" s="382">
        <f t="shared" si="7"/>
        <v>22500</v>
      </c>
      <c r="F40" s="382">
        <f t="shared" si="12"/>
        <v>2000</v>
      </c>
      <c r="G40" s="382">
        <f t="shared" si="12"/>
        <v>1000</v>
      </c>
      <c r="H40" s="382">
        <f t="shared" si="0"/>
        <v>3000</v>
      </c>
      <c r="I40" s="382">
        <v>30</v>
      </c>
      <c r="J40" s="383">
        <v>0</v>
      </c>
      <c r="K40" s="382">
        <f t="shared" si="1"/>
        <v>30</v>
      </c>
      <c r="L40" s="382">
        <f t="shared" ref="L40:L65" si="16">L39+50</f>
        <v>250</v>
      </c>
      <c r="M40" s="382">
        <f t="shared" ref="M40:M65" si="17">M39+25</f>
        <v>125</v>
      </c>
      <c r="N40" s="382">
        <f t="shared" si="15"/>
        <v>210</v>
      </c>
      <c r="O40" s="382">
        <f t="shared" si="13"/>
        <v>2280</v>
      </c>
      <c r="P40" s="382">
        <f t="shared" si="13"/>
        <v>1125</v>
      </c>
      <c r="Q40" s="382">
        <f t="shared" si="4"/>
        <v>3405</v>
      </c>
    </row>
    <row r="41" spans="1:17">
      <c r="A41" s="378">
        <f t="shared" si="10"/>
        <v>22750</v>
      </c>
      <c r="B41" s="378">
        <f t="shared" si="5"/>
        <v>23249.99</v>
      </c>
      <c r="C41" s="378">
        <f t="shared" si="11"/>
        <v>20000</v>
      </c>
      <c r="D41" s="378">
        <f t="shared" si="14"/>
        <v>3000</v>
      </c>
      <c r="E41" s="378">
        <f t="shared" si="7"/>
        <v>23000</v>
      </c>
      <c r="F41" s="378">
        <f t="shared" si="12"/>
        <v>2000</v>
      </c>
      <c r="G41" s="378">
        <f t="shared" si="12"/>
        <v>1000</v>
      </c>
      <c r="H41" s="378">
        <f t="shared" si="0"/>
        <v>3000</v>
      </c>
      <c r="I41" s="378">
        <v>30</v>
      </c>
      <c r="J41" s="379">
        <v>0</v>
      </c>
      <c r="K41" s="378">
        <f t="shared" si="1"/>
        <v>30</v>
      </c>
      <c r="L41" s="378">
        <f t="shared" si="16"/>
        <v>300</v>
      </c>
      <c r="M41" s="378">
        <f t="shared" si="17"/>
        <v>150</v>
      </c>
      <c r="N41" s="378">
        <f t="shared" si="15"/>
        <v>280</v>
      </c>
      <c r="O41" s="378">
        <f t="shared" si="13"/>
        <v>2330</v>
      </c>
      <c r="P41" s="378">
        <f t="shared" si="13"/>
        <v>1150</v>
      </c>
      <c r="Q41" s="378">
        <f t="shared" si="4"/>
        <v>3480</v>
      </c>
    </row>
    <row r="42" spans="1:17">
      <c r="A42" s="380">
        <f t="shared" si="10"/>
        <v>23250</v>
      </c>
      <c r="B42" s="380">
        <f t="shared" si="5"/>
        <v>23749.99</v>
      </c>
      <c r="C42" s="380">
        <f t="shared" si="11"/>
        <v>20000</v>
      </c>
      <c r="D42" s="380">
        <f t="shared" si="14"/>
        <v>3500</v>
      </c>
      <c r="E42" s="380">
        <f t="shared" si="7"/>
        <v>23500</v>
      </c>
      <c r="F42" s="380">
        <f t="shared" si="12"/>
        <v>2000</v>
      </c>
      <c r="G42" s="380">
        <f t="shared" si="12"/>
        <v>1000</v>
      </c>
      <c r="H42" s="380">
        <f t="shared" si="0"/>
        <v>3000</v>
      </c>
      <c r="I42" s="380">
        <v>30</v>
      </c>
      <c r="J42" s="381">
        <v>0</v>
      </c>
      <c r="K42" s="380">
        <f t="shared" si="1"/>
        <v>30</v>
      </c>
      <c r="L42" s="380">
        <f t="shared" si="16"/>
        <v>350</v>
      </c>
      <c r="M42" s="380">
        <f t="shared" si="17"/>
        <v>175</v>
      </c>
      <c r="N42" s="380">
        <f t="shared" si="15"/>
        <v>350</v>
      </c>
      <c r="O42" s="380">
        <f t="shared" si="13"/>
        <v>2380</v>
      </c>
      <c r="P42" s="380">
        <f t="shared" si="13"/>
        <v>1175</v>
      </c>
      <c r="Q42" s="380">
        <f t="shared" si="4"/>
        <v>3555</v>
      </c>
    </row>
    <row r="43" spans="1:17">
      <c r="A43" s="382">
        <f t="shared" si="10"/>
        <v>23750</v>
      </c>
      <c r="B43" s="382">
        <f t="shared" si="5"/>
        <v>24249.99</v>
      </c>
      <c r="C43" s="382">
        <f t="shared" si="11"/>
        <v>20000</v>
      </c>
      <c r="D43" s="382">
        <f t="shared" si="14"/>
        <v>4000</v>
      </c>
      <c r="E43" s="382">
        <f t="shared" si="7"/>
        <v>24000</v>
      </c>
      <c r="F43" s="382">
        <f t="shared" si="12"/>
        <v>2000</v>
      </c>
      <c r="G43" s="382">
        <f t="shared" si="12"/>
        <v>1000</v>
      </c>
      <c r="H43" s="382">
        <f t="shared" si="0"/>
        <v>3000</v>
      </c>
      <c r="I43" s="382">
        <v>30</v>
      </c>
      <c r="J43" s="383">
        <v>0</v>
      </c>
      <c r="K43" s="382">
        <f t="shared" si="1"/>
        <v>30</v>
      </c>
      <c r="L43" s="382">
        <f t="shared" si="16"/>
        <v>400</v>
      </c>
      <c r="M43" s="382">
        <f t="shared" si="17"/>
        <v>200</v>
      </c>
      <c r="N43" s="382">
        <f t="shared" si="15"/>
        <v>420</v>
      </c>
      <c r="O43" s="382">
        <f t="shared" si="13"/>
        <v>2430</v>
      </c>
      <c r="P43" s="382">
        <f t="shared" si="13"/>
        <v>1200</v>
      </c>
      <c r="Q43" s="382">
        <f t="shared" si="4"/>
        <v>3630</v>
      </c>
    </row>
    <row r="44" spans="1:17">
      <c r="A44" s="378">
        <f t="shared" si="10"/>
        <v>24250</v>
      </c>
      <c r="B44" s="378">
        <f t="shared" si="5"/>
        <v>24749.99</v>
      </c>
      <c r="C44" s="378">
        <f t="shared" si="11"/>
        <v>20000</v>
      </c>
      <c r="D44" s="378">
        <f t="shared" si="14"/>
        <v>4500</v>
      </c>
      <c r="E44" s="378">
        <f t="shared" si="7"/>
        <v>24500</v>
      </c>
      <c r="F44" s="378">
        <f t="shared" si="12"/>
        <v>2000</v>
      </c>
      <c r="G44" s="378">
        <f t="shared" si="12"/>
        <v>1000</v>
      </c>
      <c r="H44" s="378">
        <f t="shared" si="0"/>
        <v>3000</v>
      </c>
      <c r="I44" s="378">
        <v>30</v>
      </c>
      <c r="J44" s="379">
        <v>0</v>
      </c>
      <c r="K44" s="378">
        <f t="shared" si="1"/>
        <v>30</v>
      </c>
      <c r="L44" s="378">
        <f t="shared" si="16"/>
        <v>450</v>
      </c>
      <c r="M44" s="378">
        <f t="shared" si="17"/>
        <v>225</v>
      </c>
      <c r="N44" s="378">
        <f t="shared" si="15"/>
        <v>490</v>
      </c>
      <c r="O44" s="378">
        <f t="shared" si="13"/>
        <v>2480</v>
      </c>
      <c r="P44" s="378">
        <f t="shared" si="13"/>
        <v>1225</v>
      </c>
      <c r="Q44" s="378">
        <f t="shared" si="4"/>
        <v>3705</v>
      </c>
    </row>
    <row r="45" spans="1:17">
      <c r="A45" s="380">
        <f t="shared" si="10"/>
        <v>24750</v>
      </c>
      <c r="B45" s="380">
        <f t="shared" si="5"/>
        <v>25249.99</v>
      </c>
      <c r="C45" s="380">
        <f t="shared" si="11"/>
        <v>20000</v>
      </c>
      <c r="D45" s="380">
        <f t="shared" si="14"/>
        <v>5000</v>
      </c>
      <c r="E45" s="380">
        <f t="shared" si="7"/>
        <v>25000</v>
      </c>
      <c r="F45" s="380">
        <f t="shared" si="12"/>
        <v>2000</v>
      </c>
      <c r="G45" s="380">
        <f t="shared" si="12"/>
        <v>1000</v>
      </c>
      <c r="H45" s="380">
        <f t="shared" si="0"/>
        <v>3000</v>
      </c>
      <c r="I45" s="380">
        <v>30</v>
      </c>
      <c r="J45" s="381">
        <v>0</v>
      </c>
      <c r="K45" s="380">
        <f t="shared" si="1"/>
        <v>30</v>
      </c>
      <c r="L45" s="380">
        <f t="shared" si="16"/>
        <v>500</v>
      </c>
      <c r="M45" s="380">
        <f t="shared" si="17"/>
        <v>250</v>
      </c>
      <c r="N45" s="380">
        <f t="shared" si="15"/>
        <v>560</v>
      </c>
      <c r="O45" s="380">
        <f t="shared" si="13"/>
        <v>2530</v>
      </c>
      <c r="P45" s="380">
        <f t="shared" si="13"/>
        <v>1250</v>
      </c>
      <c r="Q45" s="380">
        <f t="shared" si="4"/>
        <v>3780</v>
      </c>
    </row>
    <row r="46" spans="1:17">
      <c r="A46" s="382">
        <f t="shared" si="10"/>
        <v>25250</v>
      </c>
      <c r="B46" s="382">
        <f t="shared" si="5"/>
        <v>25749.99</v>
      </c>
      <c r="C46" s="382">
        <f t="shared" si="11"/>
        <v>20000</v>
      </c>
      <c r="D46" s="382">
        <f t="shared" si="14"/>
        <v>5500</v>
      </c>
      <c r="E46" s="382">
        <f t="shared" si="7"/>
        <v>25500</v>
      </c>
      <c r="F46" s="382">
        <f t="shared" si="12"/>
        <v>2000</v>
      </c>
      <c r="G46" s="382">
        <f t="shared" si="12"/>
        <v>1000</v>
      </c>
      <c r="H46" s="382">
        <f t="shared" si="0"/>
        <v>3000</v>
      </c>
      <c r="I46" s="382">
        <v>30</v>
      </c>
      <c r="J46" s="383">
        <v>0</v>
      </c>
      <c r="K46" s="382">
        <f t="shared" si="1"/>
        <v>30</v>
      </c>
      <c r="L46" s="382">
        <f t="shared" si="16"/>
        <v>550</v>
      </c>
      <c r="M46" s="382">
        <f t="shared" si="17"/>
        <v>275</v>
      </c>
      <c r="N46" s="382">
        <f t="shared" si="15"/>
        <v>630</v>
      </c>
      <c r="O46" s="382">
        <f t="shared" si="13"/>
        <v>2580</v>
      </c>
      <c r="P46" s="382">
        <f t="shared" si="13"/>
        <v>1275</v>
      </c>
      <c r="Q46" s="382">
        <f t="shared" si="4"/>
        <v>3855</v>
      </c>
    </row>
    <row r="47" spans="1:17">
      <c r="A47" s="378">
        <f t="shared" si="10"/>
        <v>25750</v>
      </c>
      <c r="B47" s="378">
        <f t="shared" si="5"/>
        <v>26249.99</v>
      </c>
      <c r="C47" s="378">
        <f t="shared" si="11"/>
        <v>20000</v>
      </c>
      <c r="D47" s="378">
        <f t="shared" si="14"/>
        <v>6000</v>
      </c>
      <c r="E47" s="378">
        <f t="shared" si="7"/>
        <v>26000</v>
      </c>
      <c r="F47" s="378">
        <f t="shared" si="12"/>
        <v>2000</v>
      </c>
      <c r="G47" s="378">
        <f t="shared" si="12"/>
        <v>1000</v>
      </c>
      <c r="H47" s="378">
        <f t="shared" si="0"/>
        <v>3000</v>
      </c>
      <c r="I47" s="378">
        <v>30</v>
      </c>
      <c r="J47" s="379">
        <v>0</v>
      </c>
      <c r="K47" s="378">
        <f t="shared" si="1"/>
        <v>30</v>
      </c>
      <c r="L47" s="378">
        <f t="shared" si="16"/>
        <v>600</v>
      </c>
      <c r="M47" s="378">
        <f t="shared" si="17"/>
        <v>300</v>
      </c>
      <c r="N47" s="378">
        <f t="shared" si="15"/>
        <v>700</v>
      </c>
      <c r="O47" s="378">
        <f t="shared" si="13"/>
        <v>2630</v>
      </c>
      <c r="P47" s="378">
        <f t="shared" si="13"/>
        <v>1300</v>
      </c>
      <c r="Q47" s="378">
        <f t="shared" si="4"/>
        <v>3930</v>
      </c>
    </row>
    <row r="48" spans="1:17">
      <c r="A48" s="380">
        <f t="shared" si="10"/>
        <v>26250</v>
      </c>
      <c r="B48" s="380">
        <f t="shared" si="5"/>
        <v>26749.99</v>
      </c>
      <c r="C48" s="380">
        <f t="shared" si="11"/>
        <v>20000</v>
      </c>
      <c r="D48" s="380">
        <f t="shared" si="14"/>
        <v>6500</v>
      </c>
      <c r="E48" s="380">
        <f t="shared" si="7"/>
        <v>26500</v>
      </c>
      <c r="F48" s="380">
        <f t="shared" si="12"/>
        <v>2000</v>
      </c>
      <c r="G48" s="380">
        <f t="shared" si="12"/>
        <v>1000</v>
      </c>
      <c r="H48" s="380">
        <f t="shared" si="0"/>
        <v>3000</v>
      </c>
      <c r="I48" s="380">
        <v>30</v>
      </c>
      <c r="J48" s="381">
        <v>0</v>
      </c>
      <c r="K48" s="380">
        <f t="shared" si="1"/>
        <v>30</v>
      </c>
      <c r="L48" s="380">
        <f t="shared" si="16"/>
        <v>650</v>
      </c>
      <c r="M48" s="380">
        <f t="shared" si="17"/>
        <v>325</v>
      </c>
      <c r="N48" s="380">
        <f t="shared" si="15"/>
        <v>770</v>
      </c>
      <c r="O48" s="380">
        <f t="shared" si="13"/>
        <v>2680</v>
      </c>
      <c r="P48" s="380">
        <f t="shared" si="13"/>
        <v>1325</v>
      </c>
      <c r="Q48" s="380">
        <f t="shared" si="4"/>
        <v>4005</v>
      </c>
    </row>
    <row r="49" spans="1:18">
      <c r="A49" s="382">
        <f t="shared" si="10"/>
        <v>26750</v>
      </c>
      <c r="B49" s="383">
        <f t="shared" si="5"/>
        <v>27249.99</v>
      </c>
      <c r="C49" s="382">
        <f t="shared" si="11"/>
        <v>20000</v>
      </c>
      <c r="D49" s="382">
        <f t="shared" si="14"/>
        <v>7000</v>
      </c>
      <c r="E49" s="382">
        <f t="shared" si="7"/>
        <v>27000</v>
      </c>
      <c r="F49" s="382">
        <f t="shared" si="12"/>
        <v>2000</v>
      </c>
      <c r="G49" s="382">
        <f t="shared" si="12"/>
        <v>1000</v>
      </c>
      <c r="H49" s="382">
        <f t="shared" si="0"/>
        <v>3000</v>
      </c>
      <c r="I49" s="382">
        <v>30</v>
      </c>
      <c r="J49" s="383">
        <v>0</v>
      </c>
      <c r="K49" s="382">
        <f t="shared" si="1"/>
        <v>30</v>
      </c>
      <c r="L49" s="382">
        <f t="shared" si="16"/>
        <v>700</v>
      </c>
      <c r="M49" s="382">
        <f t="shared" si="17"/>
        <v>350</v>
      </c>
      <c r="N49" s="382">
        <f t="shared" si="15"/>
        <v>840</v>
      </c>
      <c r="O49" s="382">
        <f t="shared" si="13"/>
        <v>2730</v>
      </c>
      <c r="P49" s="382">
        <f t="shared" si="13"/>
        <v>1350</v>
      </c>
      <c r="Q49" s="382">
        <f t="shared" si="4"/>
        <v>4080</v>
      </c>
    </row>
    <row r="50" spans="1:18">
      <c r="A50" s="378">
        <f t="shared" si="10"/>
        <v>27250</v>
      </c>
      <c r="B50" s="378">
        <f t="shared" si="5"/>
        <v>27749.99</v>
      </c>
      <c r="C50" s="378">
        <f t="shared" si="11"/>
        <v>20000</v>
      </c>
      <c r="D50" s="378">
        <f t="shared" si="14"/>
        <v>7500</v>
      </c>
      <c r="E50" s="378">
        <f t="shared" si="7"/>
        <v>27500</v>
      </c>
      <c r="F50" s="378">
        <f t="shared" si="12"/>
        <v>2000</v>
      </c>
      <c r="G50" s="378">
        <f t="shared" si="12"/>
        <v>1000</v>
      </c>
      <c r="H50" s="378">
        <f t="shared" si="0"/>
        <v>3000</v>
      </c>
      <c r="I50" s="378">
        <v>30</v>
      </c>
      <c r="J50" s="379">
        <v>0</v>
      </c>
      <c r="K50" s="378">
        <f t="shared" si="1"/>
        <v>30</v>
      </c>
      <c r="L50" s="378">
        <f t="shared" si="16"/>
        <v>750</v>
      </c>
      <c r="M50" s="378">
        <f t="shared" si="17"/>
        <v>375</v>
      </c>
      <c r="N50" s="378">
        <f t="shared" si="15"/>
        <v>910</v>
      </c>
      <c r="O50" s="378">
        <f t="shared" si="13"/>
        <v>2780</v>
      </c>
      <c r="P50" s="378">
        <f t="shared" si="13"/>
        <v>1375</v>
      </c>
      <c r="Q50" s="378">
        <f t="shared" si="4"/>
        <v>4155</v>
      </c>
    </row>
    <row r="51" spans="1:18">
      <c r="A51" s="380">
        <f t="shared" si="10"/>
        <v>27750</v>
      </c>
      <c r="B51" s="380">
        <f t="shared" si="5"/>
        <v>28249.99</v>
      </c>
      <c r="C51" s="380">
        <f t="shared" si="11"/>
        <v>20000</v>
      </c>
      <c r="D51" s="380">
        <f t="shared" si="14"/>
        <v>8000</v>
      </c>
      <c r="E51" s="380">
        <f t="shared" si="7"/>
        <v>28000</v>
      </c>
      <c r="F51" s="380">
        <f t="shared" si="12"/>
        <v>2000</v>
      </c>
      <c r="G51" s="380">
        <f t="shared" si="12"/>
        <v>1000</v>
      </c>
      <c r="H51" s="380">
        <f t="shared" si="0"/>
        <v>3000</v>
      </c>
      <c r="I51" s="380">
        <v>30</v>
      </c>
      <c r="J51" s="381">
        <v>0</v>
      </c>
      <c r="K51" s="380">
        <f t="shared" si="1"/>
        <v>30</v>
      </c>
      <c r="L51" s="380">
        <f t="shared" si="16"/>
        <v>800</v>
      </c>
      <c r="M51" s="380">
        <f t="shared" si="17"/>
        <v>400</v>
      </c>
      <c r="N51" s="380">
        <f t="shared" si="15"/>
        <v>980</v>
      </c>
      <c r="O51" s="380">
        <f t="shared" si="13"/>
        <v>2830</v>
      </c>
      <c r="P51" s="380">
        <f t="shared" si="13"/>
        <v>1400</v>
      </c>
      <c r="Q51" s="380">
        <f t="shared" si="4"/>
        <v>4230</v>
      </c>
    </row>
    <row r="52" spans="1:18">
      <c r="A52" s="382">
        <f t="shared" si="10"/>
        <v>28250</v>
      </c>
      <c r="B52" s="382">
        <f t="shared" si="5"/>
        <v>28749.99</v>
      </c>
      <c r="C52" s="382">
        <f t="shared" si="11"/>
        <v>20000</v>
      </c>
      <c r="D52" s="382">
        <f t="shared" si="14"/>
        <v>8500</v>
      </c>
      <c r="E52" s="382">
        <f t="shared" si="7"/>
        <v>28500</v>
      </c>
      <c r="F52" s="382">
        <f t="shared" si="12"/>
        <v>2000</v>
      </c>
      <c r="G52" s="382">
        <f t="shared" si="12"/>
        <v>1000</v>
      </c>
      <c r="H52" s="382">
        <f t="shared" si="0"/>
        <v>3000</v>
      </c>
      <c r="I52" s="382">
        <v>30</v>
      </c>
      <c r="J52" s="383">
        <v>0</v>
      </c>
      <c r="K52" s="382">
        <f t="shared" si="1"/>
        <v>30</v>
      </c>
      <c r="L52" s="382">
        <f t="shared" si="16"/>
        <v>850</v>
      </c>
      <c r="M52" s="382">
        <f t="shared" si="17"/>
        <v>425</v>
      </c>
      <c r="N52" s="382">
        <f t="shared" si="15"/>
        <v>1050</v>
      </c>
      <c r="O52" s="382">
        <f t="shared" si="13"/>
        <v>2880</v>
      </c>
      <c r="P52" s="382">
        <f t="shared" si="13"/>
        <v>1425</v>
      </c>
      <c r="Q52" s="382">
        <f t="shared" si="4"/>
        <v>4305</v>
      </c>
    </row>
    <row r="53" spans="1:18">
      <c r="A53" s="378">
        <f t="shared" si="10"/>
        <v>28750</v>
      </c>
      <c r="B53" s="378">
        <f t="shared" si="5"/>
        <v>29249.99</v>
      </c>
      <c r="C53" s="378">
        <f t="shared" si="11"/>
        <v>20000</v>
      </c>
      <c r="D53" s="378">
        <f t="shared" si="14"/>
        <v>9000</v>
      </c>
      <c r="E53" s="378">
        <f t="shared" si="7"/>
        <v>29000</v>
      </c>
      <c r="F53" s="378">
        <f t="shared" ref="F53:G65" si="18">F52</f>
        <v>2000</v>
      </c>
      <c r="G53" s="378">
        <f t="shared" si="18"/>
        <v>1000</v>
      </c>
      <c r="H53" s="378">
        <f t="shared" si="0"/>
        <v>3000</v>
      </c>
      <c r="I53" s="378">
        <v>30</v>
      </c>
      <c r="J53" s="379">
        <v>0</v>
      </c>
      <c r="K53" s="378">
        <f t="shared" si="1"/>
        <v>30</v>
      </c>
      <c r="L53" s="378">
        <f t="shared" si="16"/>
        <v>900</v>
      </c>
      <c r="M53" s="378">
        <f t="shared" si="17"/>
        <v>450</v>
      </c>
      <c r="N53" s="378">
        <f t="shared" si="15"/>
        <v>1120</v>
      </c>
      <c r="O53" s="378">
        <f t="shared" si="13"/>
        <v>2930</v>
      </c>
      <c r="P53" s="378">
        <f t="shared" si="13"/>
        <v>1450</v>
      </c>
      <c r="Q53" s="378">
        <f t="shared" si="4"/>
        <v>4380</v>
      </c>
    </row>
    <row r="54" spans="1:18">
      <c r="A54" s="380">
        <f t="shared" si="10"/>
        <v>29250</v>
      </c>
      <c r="B54" s="380">
        <f t="shared" si="5"/>
        <v>29749.99</v>
      </c>
      <c r="C54" s="380">
        <f t="shared" si="11"/>
        <v>20000</v>
      </c>
      <c r="D54" s="380">
        <f t="shared" si="14"/>
        <v>9500</v>
      </c>
      <c r="E54" s="380">
        <f t="shared" si="7"/>
        <v>29500</v>
      </c>
      <c r="F54" s="380">
        <f t="shared" si="18"/>
        <v>2000</v>
      </c>
      <c r="G54" s="380">
        <f t="shared" si="18"/>
        <v>1000</v>
      </c>
      <c r="H54" s="380">
        <f t="shared" si="0"/>
        <v>3000</v>
      </c>
      <c r="I54" s="380">
        <v>30</v>
      </c>
      <c r="J54" s="381">
        <v>0</v>
      </c>
      <c r="K54" s="380">
        <f t="shared" si="1"/>
        <v>30</v>
      </c>
      <c r="L54" s="380">
        <f t="shared" si="16"/>
        <v>950</v>
      </c>
      <c r="M54" s="380">
        <f t="shared" si="17"/>
        <v>475</v>
      </c>
      <c r="N54" s="380">
        <f t="shared" si="15"/>
        <v>1190</v>
      </c>
      <c r="O54" s="380">
        <f t="shared" si="13"/>
        <v>2980</v>
      </c>
      <c r="P54" s="380">
        <f t="shared" si="13"/>
        <v>1475</v>
      </c>
      <c r="Q54" s="380">
        <f t="shared" si="4"/>
        <v>4455</v>
      </c>
    </row>
    <row r="55" spans="1:18">
      <c r="A55" s="382">
        <f>A54+500</f>
        <v>29750</v>
      </c>
      <c r="B55" s="382">
        <f t="shared" si="5"/>
        <v>30249.99</v>
      </c>
      <c r="C55" s="382">
        <f t="shared" si="11"/>
        <v>20000</v>
      </c>
      <c r="D55" s="382">
        <f t="shared" si="14"/>
        <v>10000</v>
      </c>
      <c r="E55" s="382">
        <f>E54+500</f>
        <v>30000</v>
      </c>
      <c r="F55" s="382">
        <f t="shared" si="18"/>
        <v>2000</v>
      </c>
      <c r="G55" s="382">
        <f>G54</f>
        <v>1000</v>
      </c>
      <c r="H55" s="382">
        <f t="shared" si="0"/>
        <v>3000</v>
      </c>
      <c r="I55" s="382">
        <v>30</v>
      </c>
      <c r="J55" s="383">
        <v>0</v>
      </c>
      <c r="K55" s="382">
        <f t="shared" si="1"/>
        <v>30</v>
      </c>
      <c r="L55" s="382">
        <f t="shared" si="16"/>
        <v>1000</v>
      </c>
      <c r="M55" s="382">
        <f t="shared" si="17"/>
        <v>500</v>
      </c>
      <c r="N55" s="382">
        <f>N54+70</f>
        <v>1260</v>
      </c>
      <c r="O55" s="382">
        <f t="shared" si="13"/>
        <v>3030</v>
      </c>
      <c r="P55" s="382">
        <f t="shared" si="13"/>
        <v>1500</v>
      </c>
      <c r="Q55" s="382">
        <f t="shared" si="4"/>
        <v>4530</v>
      </c>
    </row>
    <row r="56" spans="1:18">
      <c r="A56" s="378">
        <f t="shared" si="10"/>
        <v>30250</v>
      </c>
      <c r="B56" s="378">
        <f t="shared" si="5"/>
        <v>30749.99</v>
      </c>
      <c r="C56" s="378">
        <f t="shared" si="11"/>
        <v>20000</v>
      </c>
      <c r="D56" s="378">
        <f t="shared" si="14"/>
        <v>10500</v>
      </c>
      <c r="E56" s="378">
        <f t="shared" si="7"/>
        <v>30500</v>
      </c>
      <c r="F56" s="378">
        <f t="shared" si="18"/>
        <v>2000</v>
      </c>
      <c r="G56" s="378">
        <f t="shared" si="18"/>
        <v>1000</v>
      </c>
      <c r="H56" s="378">
        <f t="shared" si="0"/>
        <v>3000</v>
      </c>
      <c r="I56" s="378">
        <v>30</v>
      </c>
      <c r="J56" s="379">
        <v>0</v>
      </c>
      <c r="K56" s="378">
        <f t="shared" si="1"/>
        <v>30</v>
      </c>
      <c r="L56" s="378">
        <f t="shared" si="16"/>
        <v>1050</v>
      </c>
      <c r="M56" s="378">
        <f t="shared" si="17"/>
        <v>525</v>
      </c>
      <c r="N56" s="378">
        <f t="shared" si="15"/>
        <v>1330</v>
      </c>
      <c r="O56" s="378">
        <f t="shared" si="13"/>
        <v>3080</v>
      </c>
      <c r="P56" s="378">
        <f t="shared" si="13"/>
        <v>1525</v>
      </c>
      <c r="Q56" s="378">
        <f t="shared" si="4"/>
        <v>4605</v>
      </c>
    </row>
    <row r="57" spans="1:18">
      <c r="A57" s="380">
        <f t="shared" si="10"/>
        <v>30750</v>
      </c>
      <c r="B57" s="385">
        <f t="shared" si="5"/>
        <v>31249.99</v>
      </c>
      <c r="C57" s="380">
        <f t="shared" si="11"/>
        <v>20000</v>
      </c>
      <c r="D57" s="380">
        <f t="shared" si="14"/>
        <v>11000</v>
      </c>
      <c r="E57" s="380">
        <f t="shared" si="7"/>
        <v>31000</v>
      </c>
      <c r="F57" s="380">
        <f t="shared" si="18"/>
        <v>2000</v>
      </c>
      <c r="G57" s="380">
        <f t="shared" si="18"/>
        <v>1000</v>
      </c>
      <c r="H57" s="380">
        <f t="shared" si="0"/>
        <v>3000</v>
      </c>
      <c r="I57" s="380">
        <v>30</v>
      </c>
      <c r="J57" s="381">
        <v>0</v>
      </c>
      <c r="K57" s="380">
        <f t="shared" si="1"/>
        <v>30</v>
      </c>
      <c r="L57" s="380">
        <f t="shared" si="16"/>
        <v>1100</v>
      </c>
      <c r="M57" s="380">
        <f t="shared" si="17"/>
        <v>550</v>
      </c>
      <c r="N57" s="380">
        <f t="shared" si="15"/>
        <v>1400</v>
      </c>
      <c r="O57" s="380">
        <f t="shared" si="13"/>
        <v>3130</v>
      </c>
      <c r="P57" s="380">
        <f t="shared" si="13"/>
        <v>1550</v>
      </c>
      <c r="Q57" s="380">
        <f t="shared" si="4"/>
        <v>4680</v>
      </c>
      <c r="R57" s="384"/>
    </row>
    <row r="58" spans="1:18">
      <c r="A58" s="382">
        <f>A57+500</f>
        <v>31250</v>
      </c>
      <c r="B58" s="382">
        <f t="shared" si="5"/>
        <v>31749.99</v>
      </c>
      <c r="C58" s="382">
        <f t="shared" si="11"/>
        <v>20000</v>
      </c>
      <c r="D58" s="382">
        <f t="shared" si="14"/>
        <v>11500</v>
      </c>
      <c r="E58" s="382">
        <f>E57+500</f>
        <v>31500</v>
      </c>
      <c r="F58" s="382">
        <f t="shared" si="18"/>
        <v>2000</v>
      </c>
      <c r="G58" s="382">
        <f>G57</f>
        <v>1000</v>
      </c>
      <c r="H58" s="382">
        <f t="shared" si="0"/>
        <v>3000</v>
      </c>
      <c r="I58" s="382">
        <v>30</v>
      </c>
      <c r="J58" s="383">
        <v>0</v>
      </c>
      <c r="K58" s="382">
        <f t="shared" si="1"/>
        <v>30</v>
      </c>
      <c r="L58" s="382">
        <f t="shared" si="16"/>
        <v>1150</v>
      </c>
      <c r="M58" s="382">
        <f t="shared" si="17"/>
        <v>575</v>
      </c>
      <c r="N58" s="382">
        <f>N57+70</f>
        <v>1470</v>
      </c>
      <c r="O58" s="382">
        <f t="shared" ref="O58:P65" si="19">F58+I58+L58</f>
        <v>3180</v>
      </c>
      <c r="P58" s="382">
        <f t="shared" si="19"/>
        <v>1575</v>
      </c>
      <c r="Q58" s="382">
        <f t="shared" si="4"/>
        <v>4755</v>
      </c>
    </row>
    <row r="59" spans="1:18">
      <c r="A59" s="378">
        <f t="shared" si="10"/>
        <v>31750</v>
      </c>
      <c r="B59" s="378">
        <f t="shared" si="5"/>
        <v>32249.99</v>
      </c>
      <c r="C59" s="378">
        <f t="shared" si="11"/>
        <v>20000</v>
      </c>
      <c r="D59" s="378">
        <f t="shared" si="14"/>
        <v>12000</v>
      </c>
      <c r="E59" s="378">
        <f t="shared" si="7"/>
        <v>32000</v>
      </c>
      <c r="F59" s="378">
        <f t="shared" si="18"/>
        <v>2000</v>
      </c>
      <c r="G59" s="378">
        <f t="shared" si="18"/>
        <v>1000</v>
      </c>
      <c r="H59" s="378">
        <f t="shared" si="0"/>
        <v>3000</v>
      </c>
      <c r="I59" s="378">
        <v>30</v>
      </c>
      <c r="J59" s="379">
        <v>0</v>
      </c>
      <c r="K59" s="378">
        <f t="shared" si="1"/>
        <v>30</v>
      </c>
      <c r="L59" s="378">
        <f t="shared" si="16"/>
        <v>1200</v>
      </c>
      <c r="M59" s="378">
        <f t="shared" si="17"/>
        <v>600</v>
      </c>
      <c r="N59" s="378">
        <f t="shared" si="15"/>
        <v>1540</v>
      </c>
      <c r="O59" s="378">
        <f t="shared" si="19"/>
        <v>3230</v>
      </c>
      <c r="P59" s="378">
        <f t="shared" si="19"/>
        <v>1600</v>
      </c>
      <c r="Q59" s="378">
        <f t="shared" si="4"/>
        <v>4830</v>
      </c>
    </row>
    <row r="60" spans="1:18">
      <c r="A60" s="380">
        <f t="shared" si="10"/>
        <v>32250</v>
      </c>
      <c r="B60" s="385">
        <f t="shared" si="5"/>
        <v>32749.99</v>
      </c>
      <c r="C60" s="380">
        <f t="shared" si="11"/>
        <v>20000</v>
      </c>
      <c r="D60" s="380">
        <f t="shared" si="14"/>
        <v>12500</v>
      </c>
      <c r="E60" s="380">
        <f t="shared" si="7"/>
        <v>32500</v>
      </c>
      <c r="F60" s="380">
        <f t="shared" si="18"/>
        <v>2000</v>
      </c>
      <c r="G60" s="380">
        <f t="shared" si="18"/>
        <v>1000</v>
      </c>
      <c r="H60" s="380">
        <f t="shared" si="0"/>
        <v>3000</v>
      </c>
      <c r="I60" s="380">
        <v>30</v>
      </c>
      <c r="J60" s="381">
        <v>0</v>
      </c>
      <c r="K60" s="380">
        <f t="shared" si="1"/>
        <v>30</v>
      </c>
      <c r="L60" s="380">
        <f t="shared" si="16"/>
        <v>1250</v>
      </c>
      <c r="M60" s="380">
        <f t="shared" si="17"/>
        <v>625</v>
      </c>
      <c r="N60" s="380">
        <f t="shared" si="15"/>
        <v>1610</v>
      </c>
      <c r="O60" s="380">
        <f t="shared" si="19"/>
        <v>3280</v>
      </c>
      <c r="P60" s="380">
        <f t="shared" si="19"/>
        <v>1625</v>
      </c>
      <c r="Q60" s="380">
        <f t="shared" si="4"/>
        <v>4905</v>
      </c>
      <c r="R60" s="384"/>
    </row>
    <row r="61" spans="1:18">
      <c r="A61" s="382">
        <f>A60+500</f>
        <v>32750</v>
      </c>
      <c r="B61" s="382">
        <f t="shared" si="5"/>
        <v>33249.99</v>
      </c>
      <c r="C61" s="382">
        <f t="shared" si="11"/>
        <v>20000</v>
      </c>
      <c r="D61" s="382">
        <f t="shared" si="14"/>
        <v>13000</v>
      </c>
      <c r="E61" s="382">
        <f>E60+500</f>
        <v>33000</v>
      </c>
      <c r="F61" s="382">
        <f t="shared" si="18"/>
        <v>2000</v>
      </c>
      <c r="G61" s="382">
        <f>G60</f>
        <v>1000</v>
      </c>
      <c r="H61" s="382">
        <f t="shared" si="0"/>
        <v>3000</v>
      </c>
      <c r="I61" s="382">
        <v>30</v>
      </c>
      <c r="J61" s="383">
        <v>0</v>
      </c>
      <c r="K61" s="382">
        <f t="shared" si="1"/>
        <v>30</v>
      </c>
      <c r="L61" s="382">
        <f t="shared" si="16"/>
        <v>1300</v>
      </c>
      <c r="M61" s="382">
        <f t="shared" si="17"/>
        <v>650</v>
      </c>
      <c r="N61" s="382">
        <f>N60+70</f>
        <v>1680</v>
      </c>
      <c r="O61" s="382">
        <f t="shared" si="19"/>
        <v>3330</v>
      </c>
      <c r="P61" s="382">
        <f t="shared" si="19"/>
        <v>1650</v>
      </c>
      <c r="Q61" s="382">
        <f t="shared" si="4"/>
        <v>4980</v>
      </c>
    </row>
    <row r="62" spans="1:18">
      <c r="A62" s="378">
        <f t="shared" si="10"/>
        <v>33250</v>
      </c>
      <c r="B62" s="378">
        <f t="shared" si="5"/>
        <v>33749.99</v>
      </c>
      <c r="C62" s="378">
        <f t="shared" si="11"/>
        <v>20000</v>
      </c>
      <c r="D62" s="378">
        <f t="shared" si="14"/>
        <v>13500</v>
      </c>
      <c r="E62" s="378">
        <f t="shared" si="7"/>
        <v>33500</v>
      </c>
      <c r="F62" s="378">
        <f t="shared" si="18"/>
        <v>2000</v>
      </c>
      <c r="G62" s="378">
        <f t="shared" si="18"/>
        <v>1000</v>
      </c>
      <c r="H62" s="378">
        <f t="shared" si="0"/>
        <v>3000</v>
      </c>
      <c r="I62" s="378">
        <v>30</v>
      </c>
      <c r="J62" s="379">
        <v>0</v>
      </c>
      <c r="K62" s="378">
        <f t="shared" si="1"/>
        <v>30</v>
      </c>
      <c r="L62" s="378">
        <f t="shared" si="16"/>
        <v>1350</v>
      </c>
      <c r="M62" s="378">
        <f t="shared" si="17"/>
        <v>675</v>
      </c>
      <c r="N62" s="378">
        <f t="shared" si="15"/>
        <v>1750</v>
      </c>
      <c r="O62" s="378">
        <f t="shared" si="19"/>
        <v>3380</v>
      </c>
      <c r="P62" s="378">
        <f t="shared" si="19"/>
        <v>1675</v>
      </c>
      <c r="Q62" s="378">
        <f t="shared" si="4"/>
        <v>5055</v>
      </c>
    </row>
    <row r="63" spans="1:18">
      <c r="A63" s="380">
        <f t="shared" si="10"/>
        <v>33750</v>
      </c>
      <c r="B63" s="385">
        <f t="shared" si="5"/>
        <v>34249.99</v>
      </c>
      <c r="C63" s="380">
        <f t="shared" si="11"/>
        <v>20000</v>
      </c>
      <c r="D63" s="380">
        <f t="shared" si="14"/>
        <v>14000</v>
      </c>
      <c r="E63" s="380">
        <f t="shared" si="7"/>
        <v>34000</v>
      </c>
      <c r="F63" s="380">
        <f t="shared" si="18"/>
        <v>2000</v>
      </c>
      <c r="G63" s="380">
        <f t="shared" si="18"/>
        <v>1000</v>
      </c>
      <c r="H63" s="380">
        <f t="shared" si="0"/>
        <v>3000</v>
      </c>
      <c r="I63" s="380">
        <v>30</v>
      </c>
      <c r="J63" s="381">
        <v>0</v>
      </c>
      <c r="K63" s="380">
        <f t="shared" si="1"/>
        <v>30</v>
      </c>
      <c r="L63" s="380">
        <f t="shared" si="16"/>
        <v>1400</v>
      </c>
      <c r="M63" s="380">
        <f t="shared" si="17"/>
        <v>700</v>
      </c>
      <c r="N63" s="380">
        <f t="shared" si="15"/>
        <v>1820</v>
      </c>
      <c r="O63" s="380">
        <f t="shared" si="19"/>
        <v>3430</v>
      </c>
      <c r="P63" s="380">
        <f t="shared" si="19"/>
        <v>1700</v>
      </c>
      <c r="Q63" s="380">
        <f t="shared" si="4"/>
        <v>5130</v>
      </c>
      <c r="R63" s="384"/>
    </row>
    <row r="64" spans="1:18">
      <c r="A64" s="382">
        <f>A63+500</f>
        <v>34250</v>
      </c>
      <c r="B64" s="382">
        <f t="shared" si="5"/>
        <v>34749.99</v>
      </c>
      <c r="C64" s="382">
        <f t="shared" si="11"/>
        <v>20000</v>
      </c>
      <c r="D64" s="382">
        <f t="shared" si="14"/>
        <v>14500</v>
      </c>
      <c r="E64" s="382">
        <f>E63+500</f>
        <v>34500</v>
      </c>
      <c r="F64" s="382">
        <f t="shared" si="18"/>
        <v>2000</v>
      </c>
      <c r="G64" s="382">
        <f>G63</f>
        <v>1000</v>
      </c>
      <c r="H64" s="382">
        <f t="shared" si="0"/>
        <v>3000</v>
      </c>
      <c r="I64" s="382">
        <v>30</v>
      </c>
      <c r="J64" s="383">
        <v>0</v>
      </c>
      <c r="K64" s="382">
        <f t="shared" si="1"/>
        <v>30</v>
      </c>
      <c r="L64" s="382">
        <f t="shared" si="16"/>
        <v>1450</v>
      </c>
      <c r="M64" s="382">
        <f t="shared" si="17"/>
        <v>725</v>
      </c>
      <c r="N64" s="382">
        <f>N63+70</f>
        <v>1890</v>
      </c>
      <c r="O64" s="382">
        <f t="shared" si="19"/>
        <v>3480</v>
      </c>
      <c r="P64" s="382">
        <f t="shared" si="19"/>
        <v>1725</v>
      </c>
      <c r="Q64" s="382">
        <f t="shared" si="4"/>
        <v>5205</v>
      </c>
    </row>
    <row r="65" spans="1:17">
      <c r="A65" s="378">
        <f t="shared" si="10"/>
        <v>34750</v>
      </c>
      <c r="B65" s="386" t="s">
        <v>255</v>
      </c>
      <c r="C65" s="378">
        <f t="shared" si="11"/>
        <v>20000</v>
      </c>
      <c r="D65" s="378">
        <f t="shared" si="14"/>
        <v>15000</v>
      </c>
      <c r="E65" s="378">
        <f t="shared" si="7"/>
        <v>35000</v>
      </c>
      <c r="F65" s="378">
        <f t="shared" si="18"/>
        <v>2000</v>
      </c>
      <c r="G65" s="378">
        <f t="shared" si="18"/>
        <v>1000</v>
      </c>
      <c r="H65" s="378">
        <f t="shared" si="0"/>
        <v>3000</v>
      </c>
      <c r="I65" s="378">
        <v>30</v>
      </c>
      <c r="J65" s="379">
        <v>0</v>
      </c>
      <c r="K65" s="378">
        <f t="shared" si="1"/>
        <v>30</v>
      </c>
      <c r="L65" s="378">
        <f t="shared" si="16"/>
        <v>1500</v>
      </c>
      <c r="M65" s="378">
        <f t="shared" si="17"/>
        <v>750</v>
      </c>
      <c r="N65" s="378">
        <f t="shared" si="15"/>
        <v>1960</v>
      </c>
      <c r="O65" s="378">
        <f t="shared" si="19"/>
        <v>3530</v>
      </c>
      <c r="P65" s="378">
        <f t="shared" si="19"/>
        <v>1750</v>
      </c>
      <c r="Q65" s="378">
        <f>SUM(O65:P65)</f>
        <v>5280</v>
      </c>
    </row>
  </sheetData>
  <mergeCells count="9">
    <mergeCell ref="A2:B4"/>
    <mergeCell ref="C2:E2"/>
    <mergeCell ref="F2:Q2"/>
    <mergeCell ref="D3:D4"/>
    <mergeCell ref="E3:E4"/>
    <mergeCell ref="F3:H3"/>
    <mergeCell ref="I3:K3"/>
    <mergeCell ref="L3:N3"/>
    <mergeCell ref="O3:Q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A7F5-6744-48C3-8A66-28215B4A27F2}">
  <sheetPr codeName="Sheet4">
    <tabColor theme="4" tint="0.39997558519241921"/>
  </sheetPr>
  <dimension ref="D1:O102"/>
  <sheetViews>
    <sheetView tabSelected="1" topLeftCell="A23" zoomScale="130" zoomScaleNormal="130" workbookViewId="0">
      <selection activeCell="K30" sqref="K30"/>
    </sheetView>
  </sheetViews>
  <sheetFormatPr defaultRowHeight="14.45"/>
  <cols>
    <col min="5" max="5" width="9.5703125" style="5" bestFit="1" customWidth="1"/>
    <col min="7" max="7" width="11.5703125" style="9" bestFit="1" customWidth="1"/>
    <col min="8" max="9" width="9.5703125" style="5" customWidth="1"/>
    <col min="10" max="10" width="10.5703125" bestFit="1" customWidth="1"/>
    <col min="12" max="12" width="10.5703125" bestFit="1" customWidth="1"/>
    <col min="13" max="13" width="10.42578125" bestFit="1" customWidth="1"/>
    <col min="14" max="15" width="8.5703125" customWidth="1"/>
  </cols>
  <sheetData>
    <row r="1" spans="4:15">
      <c r="D1" s="447" t="s">
        <v>256</v>
      </c>
      <c r="E1" s="447"/>
      <c r="F1" s="447"/>
      <c r="G1" s="447"/>
    </row>
    <row r="2" spans="4:15">
      <c r="D2" s="47">
        <v>1</v>
      </c>
      <c r="E2" s="49">
        <v>0</v>
      </c>
      <c r="F2" s="50">
        <v>0</v>
      </c>
      <c r="G2" s="48">
        <v>0</v>
      </c>
      <c r="J2" s="4"/>
      <c r="K2" s="2"/>
    </row>
    <row r="3" spans="4:15">
      <c r="D3" s="47">
        <v>2</v>
      </c>
      <c r="E3" s="49">
        <v>10417</v>
      </c>
      <c r="F3" s="51">
        <v>0.15</v>
      </c>
      <c r="G3" s="48">
        <v>0</v>
      </c>
      <c r="J3" s="4"/>
      <c r="K3" s="95"/>
      <c r="L3" s="52"/>
      <c r="M3" s="52"/>
      <c r="N3">
        <v>1</v>
      </c>
      <c r="O3">
        <v>3</v>
      </c>
    </row>
    <row r="4" spans="4:15">
      <c r="D4" s="47">
        <v>3</v>
      </c>
      <c r="E4" s="49">
        <v>16667</v>
      </c>
      <c r="F4" s="51">
        <v>0.2</v>
      </c>
      <c r="G4" s="48">
        <v>937.5</v>
      </c>
      <c r="J4" s="4"/>
      <c r="K4" s="95"/>
      <c r="L4" s="52"/>
      <c r="M4" s="52"/>
      <c r="N4">
        <v>2</v>
      </c>
      <c r="O4">
        <v>5</v>
      </c>
    </row>
    <row r="5" spans="4:15">
      <c r="D5" s="47">
        <v>4</v>
      </c>
      <c r="E5" s="49">
        <v>33333</v>
      </c>
      <c r="F5" s="51">
        <v>0.25</v>
      </c>
      <c r="G5" s="48">
        <v>4270.7</v>
      </c>
      <c r="J5" s="4"/>
      <c r="K5" s="95"/>
      <c r="L5" s="52"/>
      <c r="M5" s="52"/>
      <c r="N5">
        <v>3</v>
      </c>
      <c r="O5">
        <v>7</v>
      </c>
    </row>
    <row r="6" spans="4:15">
      <c r="D6" s="47">
        <v>5</v>
      </c>
      <c r="E6" s="49">
        <v>83333</v>
      </c>
      <c r="F6" s="51">
        <v>0.3</v>
      </c>
      <c r="G6" s="48">
        <v>16770.7</v>
      </c>
      <c r="J6" s="4"/>
      <c r="K6" s="95"/>
      <c r="L6" s="52"/>
      <c r="M6" s="52"/>
      <c r="N6">
        <v>4</v>
      </c>
      <c r="O6">
        <v>9</v>
      </c>
    </row>
    <row r="7" spans="4:15">
      <c r="D7" s="47">
        <v>6</v>
      </c>
      <c r="E7" s="49">
        <v>333333</v>
      </c>
      <c r="F7" s="51">
        <v>0.35</v>
      </c>
      <c r="G7" s="48">
        <v>91770</v>
      </c>
      <c r="J7" s="4"/>
      <c r="K7" s="2"/>
      <c r="N7">
        <v>5</v>
      </c>
      <c r="O7">
        <v>11</v>
      </c>
    </row>
    <row r="8" spans="4:15">
      <c r="F8" s="2"/>
      <c r="G8" s="4"/>
      <c r="J8" s="4"/>
      <c r="K8" s="2"/>
      <c r="N8">
        <v>6</v>
      </c>
      <c r="O8">
        <v>13</v>
      </c>
    </row>
    <row r="9" spans="4:15">
      <c r="F9" s="2"/>
      <c r="G9" s="4"/>
      <c r="J9" s="4"/>
      <c r="K9" s="2"/>
      <c r="N9">
        <v>7</v>
      </c>
      <c r="O9">
        <v>15</v>
      </c>
    </row>
    <row r="10" spans="4:15">
      <c r="F10" s="18"/>
      <c r="G10" s="4"/>
      <c r="J10" s="4"/>
      <c r="K10" s="2"/>
      <c r="N10">
        <v>8</v>
      </c>
      <c r="O10">
        <v>17</v>
      </c>
    </row>
    <row r="11" spans="4:15">
      <c r="F11" s="2"/>
      <c r="G11" s="4"/>
      <c r="I11" s="7"/>
      <c r="N11">
        <v>9</v>
      </c>
      <c r="O11">
        <v>19</v>
      </c>
    </row>
    <row r="12" spans="4:15">
      <c r="F12" s="2"/>
      <c r="G12" s="4"/>
      <c r="I12" s="7"/>
      <c r="N12">
        <v>10</v>
      </c>
      <c r="O12">
        <v>21</v>
      </c>
    </row>
    <row r="13" spans="4:15">
      <c r="F13" s="2"/>
      <c r="G13" s="4"/>
      <c r="N13">
        <v>11</v>
      </c>
      <c r="O13">
        <v>23</v>
      </c>
    </row>
    <row r="14" spans="4:15">
      <c r="F14" s="18"/>
      <c r="G14" s="4"/>
      <c r="N14">
        <v>12</v>
      </c>
      <c r="O14">
        <v>25</v>
      </c>
    </row>
    <row r="15" spans="4:15">
      <c r="F15" s="2"/>
      <c r="G15" s="4"/>
      <c r="N15">
        <v>13</v>
      </c>
      <c r="O15">
        <v>27</v>
      </c>
    </row>
    <row r="16" spans="4:15">
      <c r="F16" s="2"/>
      <c r="G16" s="4"/>
      <c r="N16">
        <v>14</v>
      </c>
      <c r="O16">
        <v>29</v>
      </c>
    </row>
    <row r="17" spans="6:15">
      <c r="F17" s="2"/>
      <c r="G17" s="4"/>
      <c r="N17">
        <v>15</v>
      </c>
      <c r="O17">
        <v>31</v>
      </c>
    </row>
    <row r="18" spans="6:15">
      <c r="F18" s="2"/>
      <c r="G18" s="4"/>
      <c r="N18">
        <v>16</v>
      </c>
      <c r="O18">
        <v>33</v>
      </c>
    </row>
    <row r="19" spans="6:15">
      <c r="F19" s="2"/>
      <c r="G19" s="4"/>
      <c r="N19">
        <v>17</v>
      </c>
      <c r="O19">
        <v>35</v>
      </c>
    </row>
    <row r="20" spans="6:15">
      <c r="F20" s="2"/>
      <c r="G20" s="4"/>
      <c r="N20">
        <v>18</v>
      </c>
      <c r="O20">
        <v>37</v>
      </c>
    </row>
    <row r="21" spans="6:15">
      <c r="F21" s="2"/>
      <c r="G21" s="4"/>
      <c r="N21">
        <v>19</v>
      </c>
      <c r="O21">
        <v>39</v>
      </c>
    </row>
    <row r="22" spans="6:15">
      <c r="F22" s="18"/>
      <c r="G22" s="4"/>
      <c r="N22">
        <v>20</v>
      </c>
      <c r="O22">
        <v>41</v>
      </c>
    </row>
    <row r="23" spans="6:15">
      <c r="F23" s="2"/>
      <c r="G23" s="4"/>
      <c r="I23" s="7"/>
      <c r="N23">
        <v>21</v>
      </c>
      <c r="O23">
        <v>43</v>
      </c>
    </row>
    <row r="24" spans="6:15">
      <c r="F24" s="2"/>
      <c r="G24" s="4"/>
      <c r="I24" s="7"/>
      <c r="N24">
        <v>22</v>
      </c>
      <c r="O24">
        <v>45</v>
      </c>
    </row>
    <row r="25" spans="6:15">
      <c r="F25" s="2"/>
      <c r="G25" s="4"/>
      <c r="I25" s="7"/>
      <c r="N25">
        <v>23</v>
      </c>
      <c r="O25">
        <v>47</v>
      </c>
    </row>
    <row r="26" spans="6:15">
      <c r="F26" s="2"/>
      <c r="G26" s="4"/>
      <c r="I26" s="7"/>
      <c r="N26">
        <v>24</v>
      </c>
      <c r="O26">
        <v>49</v>
      </c>
    </row>
    <row r="27" spans="6:15">
      <c r="F27" s="2"/>
      <c r="G27" s="4"/>
      <c r="I27" s="7"/>
      <c r="N27">
        <v>25</v>
      </c>
      <c r="O27">
        <v>51</v>
      </c>
    </row>
    <row r="28" spans="6:15">
      <c r="F28" s="2"/>
      <c r="G28" s="4"/>
      <c r="I28" s="7"/>
      <c r="N28">
        <v>26</v>
      </c>
      <c r="O28">
        <v>53</v>
      </c>
    </row>
    <row r="29" spans="6:15">
      <c r="F29" s="2"/>
      <c r="G29" s="4"/>
      <c r="N29">
        <v>27</v>
      </c>
      <c r="O29">
        <v>55</v>
      </c>
    </row>
    <row r="30" spans="6:15">
      <c r="F30" s="18"/>
      <c r="G30" s="4"/>
      <c r="N30">
        <v>28</v>
      </c>
      <c r="O30">
        <v>57</v>
      </c>
    </row>
    <row r="31" spans="6:15">
      <c r="F31" s="2"/>
      <c r="G31" s="4"/>
      <c r="N31">
        <v>29</v>
      </c>
      <c r="O31">
        <v>59</v>
      </c>
    </row>
    <row r="32" spans="6:15">
      <c r="F32" s="2"/>
      <c r="G32" s="4"/>
      <c r="N32">
        <v>30</v>
      </c>
      <c r="O32">
        <v>61</v>
      </c>
    </row>
    <row r="33" spans="5:15">
      <c r="F33" s="2"/>
      <c r="G33" s="4"/>
      <c r="N33">
        <v>31</v>
      </c>
      <c r="O33">
        <v>63</v>
      </c>
    </row>
    <row r="34" spans="5:15">
      <c r="F34" s="2"/>
      <c r="G34" s="4"/>
      <c r="N34">
        <v>32</v>
      </c>
      <c r="O34">
        <v>65</v>
      </c>
    </row>
    <row r="35" spans="5:15">
      <c r="F35" s="2"/>
      <c r="G35" s="4"/>
      <c r="N35">
        <v>33</v>
      </c>
      <c r="O35">
        <v>67</v>
      </c>
    </row>
    <row r="36" spans="5:15">
      <c r="F36" s="2"/>
      <c r="G36" s="4"/>
      <c r="N36">
        <v>34</v>
      </c>
      <c r="O36">
        <v>69</v>
      </c>
    </row>
    <row r="37" spans="5:15">
      <c r="F37" s="2"/>
      <c r="G37" s="4"/>
      <c r="N37">
        <v>35</v>
      </c>
      <c r="O37">
        <v>71</v>
      </c>
    </row>
    <row r="38" spans="5:15">
      <c r="F38" s="18"/>
      <c r="G38" s="4"/>
      <c r="J38" s="6"/>
      <c r="N38">
        <v>36</v>
      </c>
      <c r="O38">
        <v>73</v>
      </c>
    </row>
    <row r="39" spans="5:15">
      <c r="E39" s="7"/>
      <c r="F39" s="2"/>
      <c r="G39" s="4"/>
      <c r="I39" s="7"/>
      <c r="J39" s="6"/>
      <c r="K39" s="6"/>
      <c r="N39">
        <v>37</v>
      </c>
      <c r="O39">
        <v>75</v>
      </c>
    </row>
    <row r="40" spans="5:15">
      <c r="E40" s="7"/>
      <c r="F40" s="2"/>
      <c r="G40" s="4"/>
      <c r="I40" s="7"/>
      <c r="N40">
        <v>38</v>
      </c>
      <c r="O40">
        <v>77</v>
      </c>
    </row>
    <row r="41" spans="5:15">
      <c r="E41" s="7"/>
      <c r="F41" s="2"/>
      <c r="G41" s="4"/>
      <c r="H41" s="8"/>
      <c r="I41" s="7"/>
      <c r="N41">
        <v>39</v>
      </c>
      <c r="O41">
        <v>79</v>
      </c>
    </row>
    <row r="42" spans="5:15">
      <c r="E42" s="7"/>
      <c r="F42" s="2"/>
      <c r="G42" s="4"/>
      <c r="I42" s="7"/>
      <c r="N42">
        <v>40</v>
      </c>
      <c r="O42">
        <v>81</v>
      </c>
    </row>
    <row r="43" spans="5:15">
      <c r="E43" s="7"/>
      <c r="F43" s="2"/>
      <c r="G43" s="4"/>
      <c r="I43" s="7"/>
      <c r="N43">
        <v>41</v>
      </c>
      <c r="O43">
        <v>83</v>
      </c>
    </row>
    <row r="44" spans="5:15">
      <c r="E44" s="7"/>
      <c r="F44" s="2"/>
      <c r="G44" s="4"/>
      <c r="I44" s="7"/>
      <c r="N44">
        <v>42</v>
      </c>
      <c r="O44">
        <v>85</v>
      </c>
    </row>
    <row r="45" spans="5:15">
      <c r="E45" s="7"/>
      <c r="F45" s="2"/>
      <c r="G45" s="4"/>
      <c r="N45">
        <v>43</v>
      </c>
      <c r="O45">
        <v>87</v>
      </c>
    </row>
    <row r="46" spans="5:15">
      <c r="F46" s="18"/>
      <c r="G46" s="4"/>
      <c r="N46">
        <v>44</v>
      </c>
      <c r="O46">
        <v>89</v>
      </c>
    </row>
    <row r="47" spans="5:15">
      <c r="F47" s="2"/>
      <c r="G47" s="4"/>
      <c r="N47">
        <v>45</v>
      </c>
      <c r="O47">
        <v>91</v>
      </c>
    </row>
    <row r="48" spans="5:15">
      <c r="F48" s="2"/>
      <c r="G48" s="4"/>
      <c r="N48">
        <v>46</v>
      </c>
      <c r="O48">
        <v>93</v>
      </c>
    </row>
    <row r="49" spans="6:15">
      <c r="F49" s="2"/>
      <c r="G49" s="4"/>
      <c r="N49">
        <v>47</v>
      </c>
      <c r="O49">
        <v>95</v>
      </c>
    </row>
    <row r="50" spans="6:15">
      <c r="F50" s="2"/>
      <c r="G50" s="4"/>
      <c r="N50">
        <v>48</v>
      </c>
      <c r="O50">
        <v>97</v>
      </c>
    </row>
    <row r="51" spans="6:15">
      <c r="F51" s="2"/>
      <c r="G51" s="4"/>
      <c r="N51">
        <v>49</v>
      </c>
      <c r="O51">
        <v>99</v>
      </c>
    </row>
    <row r="52" spans="6:15">
      <c r="F52" s="2"/>
      <c r="G52" s="4"/>
      <c r="N52">
        <v>50</v>
      </c>
      <c r="O52">
        <v>101</v>
      </c>
    </row>
    <row r="53" spans="6:15">
      <c r="F53" s="2"/>
      <c r="G53" s="4"/>
      <c r="N53">
        <v>51</v>
      </c>
      <c r="O53">
        <v>103</v>
      </c>
    </row>
    <row r="54" spans="6:15">
      <c r="F54" s="18"/>
      <c r="G54" s="4"/>
      <c r="N54">
        <v>52</v>
      </c>
      <c r="O54">
        <v>105</v>
      </c>
    </row>
    <row r="55" spans="6:15">
      <c r="F55" s="2"/>
      <c r="G55" s="4"/>
      <c r="I55" s="7"/>
      <c r="N55">
        <v>53</v>
      </c>
      <c r="O55">
        <v>107</v>
      </c>
    </row>
    <row r="56" spans="6:15">
      <c r="F56" s="2"/>
      <c r="G56" s="4"/>
      <c r="I56" s="7"/>
      <c r="N56">
        <v>54</v>
      </c>
      <c r="O56">
        <v>109</v>
      </c>
    </row>
    <row r="57" spans="6:15">
      <c r="F57" s="2"/>
      <c r="G57" s="4"/>
      <c r="I57" s="7"/>
      <c r="N57">
        <v>55</v>
      </c>
      <c r="O57">
        <v>111</v>
      </c>
    </row>
    <row r="58" spans="6:15">
      <c r="F58" s="2"/>
      <c r="G58" s="4"/>
      <c r="I58" s="7"/>
      <c r="N58">
        <v>56</v>
      </c>
      <c r="O58">
        <v>113</v>
      </c>
    </row>
    <row r="59" spans="6:15">
      <c r="F59" s="2"/>
      <c r="G59" s="4"/>
      <c r="I59" s="7"/>
      <c r="N59">
        <v>57</v>
      </c>
      <c r="O59">
        <v>115</v>
      </c>
    </row>
    <row r="60" spans="6:15">
      <c r="F60" s="2"/>
      <c r="G60" s="4"/>
      <c r="I60" s="7"/>
      <c r="N60">
        <v>58</v>
      </c>
      <c r="O60">
        <v>117</v>
      </c>
    </row>
    <row r="61" spans="6:15">
      <c r="F61" s="2"/>
      <c r="G61" s="4"/>
      <c r="N61">
        <v>59</v>
      </c>
      <c r="O61">
        <v>119</v>
      </c>
    </row>
    <row r="62" spans="6:15">
      <c r="F62" s="18"/>
      <c r="G62" s="4"/>
      <c r="N62">
        <v>60</v>
      </c>
      <c r="O62">
        <v>121</v>
      </c>
    </row>
    <row r="63" spans="6:15">
      <c r="F63" s="2"/>
      <c r="G63" s="4"/>
      <c r="N63">
        <v>61</v>
      </c>
      <c r="O63">
        <v>123</v>
      </c>
    </row>
    <row r="64" spans="6:15">
      <c r="F64" s="2"/>
      <c r="G64" s="4"/>
      <c r="N64">
        <v>62</v>
      </c>
      <c r="O64">
        <v>125</v>
      </c>
    </row>
    <row r="65" spans="6:15">
      <c r="F65" s="2"/>
      <c r="G65" s="4"/>
      <c r="N65">
        <v>63</v>
      </c>
      <c r="O65">
        <v>127</v>
      </c>
    </row>
    <row r="66" spans="6:15">
      <c r="F66" s="2"/>
      <c r="G66" s="4"/>
      <c r="N66">
        <v>64</v>
      </c>
      <c r="O66">
        <v>129</v>
      </c>
    </row>
    <row r="67" spans="6:15">
      <c r="F67" s="2"/>
      <c r="G67" s="4"/>
      <c r="N67">
        <v>65</v>
      </c>
      <c r="O67">
        <v>131</v>
      </c>
    </row>
    <row r="68" spans="6:15">
      <c r="F68" s="2"/>
      <c r="G68" s="4"/>
      <c r="N68">
        <v>66</v>
      </c>
      <c r="O68">
        <v>133</v>
      </c>
    </row>
    <row r="69" spans="6:15">
      <c r="F69" s="2"/>
      <c r="G69" s="4"/>
      <c r="N69">
        <v>67</v>
      </c>
      <c r="O69">
        <v>135</v>
      </c>
    </row>
    <row r="70" spans="6:15">
      <c r="N70">
        <v>68</v>
      </c>
      <c r="O70">
        <v>137</v>
      </c>
    </row>
    <row r="71" spans="6:15">
      <c r="N71">
        <v>69</v>
      </c>
      <c r="O71">
        <v>139</v>
      </c>
    </row>
    <row r="72" spans="6:15">
      <c r="N72">
        <v>70</v>
      </c>
      <c r="O72">
        <v>141</v>
      </c>
    </row>
    <row r="73" spans="6:15">
      <c r="N73">
        <v>71</v>
      </c>
      <c r="O73">
        <v>143</v>
      </c>
    </row>
    <row r="74" spans="6:15">
      <c r="N74">
        <v>72</v>
      </c>
      <c r="O74">
        <v>145</v>
      </c>
    </row>
    <row r="75" spans="6:15">
      <c r="N75">
        <v>73</v>
      </c>
      <c r="O75">
        <v>147</v>
      </c>
    </row>
    <row r="76" spans="6:15">
      <c r="N76">
        <v>74</v>
      </c>
      <c r="O76">
        <v>149</v>
      </c>
    </row>
    <row r="77" spans="6:15">
      <c r="N77">
        <v>75</v>
      </c>
      <c r="O77">
        <v>151</v>
      </c>
    </row>
    <row r="78" spans="6:15">
      <c r="N78">
        <v>76</v>
      </c>
      <c r="O78">
        <v>153</v>
      </c>
    </row>
    <row r="79" spans="6:15">
      <c r="N79">
        <v>77</v>
      </c>
      <c r="O79">
        <v>155</v>
      </c>
    </row>
    <row r="80" spans="6:15">
      <c r="N80">
        <v>78</v>
      </c>
      <c r="O80">
        <v>157</v>
      </c>
    </row>
    <row r="81" spans="14:15">
      <c r="N81">
        <v>79</v>
      </c>
      <c r="O81">
        <v>159</v>
      </c>
    </row>
    <row r="82" spans="14:15">
      <c r="N82">
        <v>80</v>
      </c>
      <c r="O82">
        <v>161</v>
      </c>
    </row>
    <row r="83" spans="14:15">
      <c r="N83">
        <v>81</v>
      </c>
      <c r="O83">
        <v>163</v>
      </c>
    </row>
    <row r="84" spans="14:15">
      <c r="N84">
        <v>82</v>
      </c>
      <c r="O84">
        <v>165</v>
      </c>
    </row>
    <row r="85" spans="14:15">
      <c r="N85">
        <v>83</v>
      </c>
      <c r="O85">
        <v>167</v>
      </c>
    </row>
    <row r="86" spans="14:15">
      <c r="N86">
        <v>84</v>
      </c>
      <c r="O86">
        <v>169</v>
      </c>
    </row>
    <row r="87" spans="14:15">
      <c r="N87">
        <v>85</v>
      </c>
      <c r="O87">
        <v>171</v>
      </c>
    </row>
    <row r="88" spans="14:15">
      <c r="N88">
        <v>86</v>
      </c>
      <c r="O88">
        <v>173</v>
      </c>
    </row>
    <row r="89" spans="14:15">
      <c r="N89">
        <v>87</v>
      </c>
      <c r="O89">
        <v>175</v>
      </c>
    </row>
    <row r="90" spans="14:15">
      <c r="N90">
        <v>88</v>
      </c>
      <c r="O90">
        <v>177</v>
      </c>
    </row>
    <row r="91" spans="14:15">
      <c r="N91">
        <v>89</v>
      </c>
      <c r="O91">
        <v>179</v>
      </c>
    </row>
    <row r="92" spans="14:15">
      <c r="N92">
        <v>90</v>
      </c>
      <c r="O92">
        <v>181</v>
      </c>
    </row>
    <row r="93" spans="14:15">
      <c r="N93">
        <v>91</v>
      </c>
      <c r="O93">
        <v>183</v>
      </c>
    </row>
    <row r="94" spans="14:15">
      <c r="N94">
        <v>92</v>
      </c>
      <c r="O94">
        <v>185</v>
      </c>
    </row>
    <row r="95" spans="14:15">
      <c r="N95">
        <v>93</v>
      </c>
      <c r="O95">
        <v>187</v>
      </c>
    </row>
    <row r="96" spans="14:15">
      <c r="N96">
        <v>94</v>
      </c>
      <c r="O96">
        <v>189</v>
      </c>
    </row>
    <row r="97" spans="14:15">
      <c r="N97">
        <v>95</v>
      </c>
      <c r="O97">
        <v>191</v>
      </c>
    </row>
    <row r="98" spans="14:15">
      <c r="N98">
        <v>96</v>
      </c>
      <c r="O98">
        <v>193</v>
      </c>
    </row>
    <row r="99" spans="14:15">
      <c r="N99">
        <v>97</v>
      </c>
      <c r="O99">
        <v>195</v>
      </c>
    </row>
    <row r="100" spans="14:15">
      <c r="N100">
        <v>98</v>
      </c>
      <c r="O100">
        <v>197</v>
      </c>
    </row>
    <row r="101" spans="14:15">
      <c r="N101">
        <v>99</v>
      </c>
      <c r="O101">
        <v>199</v>
      </c>
    </row>
    <row r="102" spans="14:15">
      <c r="N102">
        <v>100</v>
      </c>
      <c r="O102">
        <v>201</v>
      </c>
    </row>
  </sheetData>
  <pageMargins left="0.7" right="0.7" top="0.75" bottom="0.75" header="0.3" footer="0.3"/>
  <pageSetup orientation="portrait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56F3-6A76-4105-8E06-402D2A34A760}">
  <sheetPr codeName="Sheet7"/>
  <dimension ref="C5:J34"/>
  <sheetViews>
    <sheetView workbookViewId="0">
      <selection activeCell="F1" sqref="F1"/>
    </sheetView>
  </sheetViews>
  <sheetFormatPr defaultRowHeight="14.45"/>
  <cols>
    <col min="3" max="3" width="13.5703125" bestFit="1" customWidth="1"/>
    <col min="5" max="5" width="1.5703125" customWidth="1"/>
    <col min="7" max="7" width="11.42578125" bestFit="1" customWidth="1"/>
    <col min="8" max="8" width="16.5703125" bestFit="1" customWidth="1"/>
    <col min="9" max="9" width="16.42578125" bestFit="1" customWidth="1"/>
    <col min="10" max="10" width="23.5703125" bestFit="1" customWidth="1"/>
  </cols>
  <sheetData>
    <row r="5" spans="3:10" s="15" customFormat="1">
      <c r="C5" s="15" t="s">
        <v>257</v>
      </c>
      <c r="D5" s="708" t="s">
        <v>258</v>
      </c>
      <c r="E5" s="708"/>
      <c r="F5" s="708"/>
      <c r="G5" s="15" t="s">
        <v>259</v>
      </c>
      <c r="H5" s="17" t="s">
        <v>260</v>
      </c>
      <c r="I5" s="17" t="s">
        <v>261</v>
      </c>
      <c r="J5" s="16" t="s">
        <v>262</v>
      </c>
    </row>
    <row r="6" spans="3:10">
      <c r="C6" s="11">
        <v>1</v>
      </c>
      <c r="D6" s="10"/>
      <c r="F6" s="10"/>
      <c r="G6" s="10"/>
      <c r="H6" s="13"/>
      <c r="I6" s="13"/>
      <c r="J6" s="14"/>
    </row>
    <row r="7" spans="3:10">
      <c r="C7" s="11">
        <v>2</v>
      </c>
      <c r="D7" s="10">
        <v>8999.99</v>
      </c>
      <c r="E7" t="s">
        <v>263</v>
      </c>
      <c r="F7" s="10">
        <v>8999.99</v>
      </c>
      <c r="G7" s="10">
        <v>8000</v>
      </c>
      <c r="H7" s="13">
        <v>100</v>
      </c>
      <c r="I7" s="13">
        <v>100</v>
      </c>
      <c r="J7" s="12">
        <v>200</v>
      </c>
    </row>
    <row r="8" spans="3:10">
      <c r="C8" s="11">
        <v>3</v>
      </c>
      <c r="D8" s="10">
        <v>9000</v>
      </c>
      <c r="E8" t="s">
        <v>263</v>
      </c>
      <c r="F8" s="10">
        <v>9999.99</v>
      </c>
      <c r="G8" s="10">
        <v>9000</v>
      </c>
      <c r="H8" s="13">
        <v>112.5</v>
      </c>
      <c r="I8" s="13">
        <v>112.5</v>
      </c>
      <c r="J8" s="12">
        <v>225</v>
      </c>
    </row>
    <row r="9" spans="3:10">
      <c r="C9" s="11">
        <v>4</v>
      </c>
      <c r="D9" s="10">
        <v>10000</v>
      </c>
      <c r="E9" t="s">
        <v>263</v>
      </c>
      <c r="F9" s="10">
        <v>10999.99</v>
      </c>
      <c r="G9" s="10">
        <v>10000</v>
      </c>
      <c r="H9" s="13">
        <v>125</v>
      </c>
      <c r="I9" s="13">
        <v>125</v>
      </c>
      <c r="J9" s="12">
        <v>250</v>
      </c>
    </row>
    <row r="10" spans="3:10">
      <c r="C10" s="11">
        <v>5</v>
      </c>
      <c r="D10" s="10">
        <v>11000</v>
      </c>
      <c r="E10" t="s">
        <v>263</v>
      </c>
      <c r="F10" s="10">
        <v>11999.99</v>
      </c>
      <c r="G10" s="10">
        <v>11000</v>
      </c>
      <c r="H10" s="13">
        <v>137.5</v>
      </c>
      <c r="I10" s="13">
        <v>137.5</v>
      </c>
      <c r="J10" s="12">
        <v>275</v>
      </c>
    </row>
    <row r="11" spans="3:10">
      <c r="C11" s="11">
        <v>6</v>
      </c>
      <c r="D11" s="10">
        <v>12000</v>
      </c>
      <c r="E11" t="s">
        <v>263</v>
      </c>
      <c r="F11" s="10">
        <v>12999.99</v>
      </c>
      <c r="G11" s="10">
        <v>12000</v>
      </c>
      <c r="H11" s="13">
        <v>150</v>
      </c>
      <c r="I11" s="13">
        <v>150</v>
      </c>
      <c r="J11" s="12">
        <v>300</v>
      </c>
    </row>
    <row r="12" spans="3:10">
      <c r="C12" s="11">
        <v>7</v>
      </c>
      <c r="D12" s="10">
        <v>13000</v>
      </c>
      <c r="E12" t="s">
        <v>263</v>
      </c>
      <c r="F12" s="10">
        <v>13999.99</v>
      </c>
      <c r="G12" s="10">
        <v>13000</v>
      </c>
      <c r="H12" s="13">
        <v>162.5</v>
      </c>
      <c r="I12" s="13">
        <v>162.5</v>
      </c>
      <c r="J12" s="12">
        <v>325</v>
      </c>
    </row>
    <row r="13" spans="3:10">
      <c r="C13" s="11">
        <v>8</v>
      </c>
      <c r="D13" s="10">
        <v>14000</v>
      </c>
      <c r="E13" t="s">
        <v>263</v>
      </c>
      <c r="F13" s="10">
        <v>14999.99</v>
      </c>
      <c r="G13" s="10">
        <v>14000</v>
      </c>
      <c r="H13" s="13">
        <v>175</v>
      </c>
      <c r="I13" s="13">
        <v>175</v>
      </c>
      <c r="J13" s="12">
        <v>350</v>
      </c>
    </row>
    <row r="14" spans="3:10">
      <c r="C14" s="11">
        <v>9</v>
      </c>
      <c r="D14" s="10">
        <v>15000</v>
      </c>
      <c r="E14" t="s">
        <v>263</v>
      </c>
      <c r="F14" s="10">
        <v>15999.99</v>
      </c>
      <c r="G14" s="10">
        <v>15000</v>
      </c>
      <c r="H14" s="13">
        <v>187.5</v>
      </c>
      <c r="I14" s="13">
        <v>187.5</v>
      </c>
      <c r="J14" s="12">
        <v>375</v>
      </c>
    </row>
    <row r="15" spans="3:10">
      <c r="C15" s="11">
        <v>10</v>
      </c>
      <c r="D15" s="10">
        <v>16000</v>
      </c>
      <c r="E15" t="s">
        <v>263</v>
      </c>
      <c r="F15" s="10">
        <v>16999.990000000002</v>
      </c>
      <c r="G15" s="10">
        <v>16000</v>
      </c>
      <c r="H15" s="13">
        <v>200</v>
      </c>
      <c r="I15" s="13">
        <v>200</v>
      </c>
      <c r="J15" s="12">
        <v>400</v>
      </c>
    </row>
    <row r="16" spans="3:10">
      <c r="C16" s="11">
        <v>11</v>
      </c>
      <c r="D16" s="10">
        <v>17000</v>
      </c>
      <c r="E16" t="s">
        <v>263</v>
      </c>
      <c r="F16" s="10">
        <v>17999.990000000002</v>
      </c>
      <c r="G16" s="10">
        <v>17000</v>
      </c>
      <c r="H16" s="13">
        <v>212.5</v>
      </c>
      <c r="I16" s="13">
        <v>212.5</v>
      </c>
      <c r="J16" s="12">
        <v>425</v>
      </c>
    </row>
    <row r="17" spans="3:10">
      <c r="C17" s="11">
        <v>12</v>
      </c>
      <c r="D17" s="10">
        <v>18000</v>
      </c>
      <c r="E17" t="s">
        <v>263</v>
      </c>
      <c r="F17" s="10">
        <v>18999.990000000002</v>
      </c>
      <c r="G17" s="10">
        <v>18000</v>
      </c>
      <c r="H17" s="13">
        <v>225</v>
      </c>
      <c r="I17" s="13">
        <v>225</v>
      </c>
      <c r="J17" s="12">
        <v>450</v>
      </c>
    </row>
    <row r="18" spans="3:10">
      <c r="C18" s="11">
        <v>13</v>
      </c>
      <c r="D18" s="10">
        <v>19000</v>
      </c>
      <c r="E18" t="s">
        <v>263</v>
      </c>
      <c r="F18" s="10">
        <v>19999.990000000002</v>
      </c>
      <c r="G18" s="10">
        <v>19000</v>
      </c>
      <c r="H18" s="13">
        <v>237.5</v>
      </c>
      <c r="I18" s="13">
        <v>237.5</v>
      </c>
      <c r="J18" s="12">
        <v>475</v>
      </c>
    </row>
    <row r="19" spans="3:10">
      <c r="C19" s="11">
        <v>14</v>
      </c>
      <c r="D19" s="10">
        <v>20000</v>
      </c>
      <c r="E19" t="s">
        <v>263</v>
      </c>
      <c r="F19" s="10">
        <v>20999.99</v>
      </c>
      <c r="G19" s="10">
        <v>20000</v>
      </c>
      <c r="H19" s="13">
        <v>250</v>
      </c>
      <c r="I19" s="13">
        <v>250</v>
      </c>
      <c r="J19" s="12">
        <v>500</v>
      </c>
    </row>
    <row r="20" spans="3:10">
      <c r="C20" s="11">
        <v>15</v>
      </c>
      <c r="D20" s="10">
        <v>21000</v>
      </c>
      <c r="E20" t="s">
        <v>263</v>
      </c>
      <c r="F20" s="10">
        <v>21999.99</v>
      </c>
      <c r="G20" s="10">
        <v>21000</v>
      </c>
      <c r="H20" s="13">
        <v>262.5</v>
      </c>
      <c r="I20" s="13">
        <v>262.5</v>
      </c>
      <c r="J20" s="12">
        <v>525</v>
      </c>
    </row>
    <row r="21" spans="3:10">
      <c r="C21" s="11">
        <v>16</v>
      </c>
      <c r="D21" s="10">
        <v>22000</v>
      </c>
      <c r="E21" t="s">
        <v>263</v>
      </c>
      <c r="F21" s="10">
        <v>22999.99</v>
      </c>
      <c r="G21" s="10">
        <v>22000</v>
      </c>
      <c r="H21" s="13">
        <v>275</v>
      </c>
      <c r="I21" s="13">
        <v>275</v>
      </c>
      <c r="J21" s="12">
        <v>550</v>
      </c>
    </row>
    <row r="22" spans="3:10">
      <c r="C22" s="11">
        <v>17</v>
      </c>
      <c r="D22" s="10">
        <v>23000</v>
      </c>
      <c r="E22" t="s">
        <v>263</v>
      </c>
      <c r="F22" s="10">
        <v>23999.99</v>
      </c>
      <c r="G22" s="10">
        <v>23000</v>
      </c>
      <c r="H22" s="13">
        <v>287.5</v>
      </c>
      <c r="I22" s="13">
        <v>287.5</v>
      </c>
      <c r="J22" s="12">
        <v>575</v>
      </c>
    </row>
    <row r="23" spans="3:10">
      <c r="C23" s="11">
        <v>18</v>
      </c>
      <c r="D23" s="10">
        <v>24000</v>
      </c>
      <c r="E23" t="s">
        <v>263</v>
      </c>
      <c r="F23" s="10">
        <v>24999.99</v>
      </c>
      <c r="G23" s="10">
        <v>24000</v>
      </c>
      <c r="H23" s="13">
        <v>300</v>
      </c>
      <c r="I23" s="13">
        <v>300</v>
      </c>
      <c r="J23" s="12">
        <v>600</v>
      </c>
    </row>
    <row r="24" spans="3:10">
      <c r="C24" s="11">
        <v>19</v>
      </c>
      <c r="D24" s="10">
        <v>25000</v>
      </c>
      <c r="E24" t="s">
        <v>263</v>
      </c>
      <c r="F24" s="10">
        <v>25999.99</v>
      </c>
      <c r="G24" s="10">
        <v>25000</v>
      </c>
      <c r="H24" s="13">
        <v>312.5</v>
      </c>
      <c r="I24" s="13">
        <v>312.5</v>
      </c>
      <c r="J24" s="12">
        <v>625</v>
      </c>
    </row>
    <row r="25" spans="3:10">
      <c r="C25" s="11">
        <v>20</v>
      </c>
      <c r="D25" s="10">
        <v>26000</v>
      </c>
      <c r="E25" t="s">
        <v>263</v>
      </c>
      <c r="F25" s="10">
        <v>26999.99</v>
      </c>
      <c r="G25" s="10">
        <v>26000</v>
      </c>
      <c r="H25" s="13">
        <v>325</v>
      </c>
      <c r="I25" s="13">
        <v>325</v>
      </c>
      <c r="J25" s="12">
        <v>650</v>
      </c>
    </row>
    <row r="26" spans="3:10">
      <c r="C26" s="11">
        <v>21</v>
      </c>
      <c r="D26" s="10">
        <v>27000</v>
      </c>
      <c r="E26" t="s">
        <v>263</v>
      </c>
      <c r="F26" s="10">
        <v>27999.99</v>
      </c>
      <c r="G26" s="10">
        <v>27000</v>
      </c>
      <c r="H26" s="13">
        <v>337.5</v>
      </c>
      <c r="I26" s="13">
        <v>337.5</v>
      </c>
      <c r="J26" s="12">
        <v>675</v>
      </c>
    </row>
    <row r="27" spans="3:10">
      <c r="C27" s="11">
        <v>22</v>
      </c>
      <c r="D27" s="10">
        <v>28000</v>
      </c>
      <c r="E27" t="s">
        <v>263</v>
      </c>
      <c r="F27" s="10">
        <v>28999.99</v>
      </c>
      <c r="G27" s="10">
        <v>28000</v>
      </c>
      <c r="H27" s="13">
        <v>350</v>
      </c>
      <c r="I27" s="13">
        <v>350</v>
      </c>
      <c r="J27" s="12">
        <v>700</v>
      </c>
    </row>
    <row r="28" spans="3:10">
      <c r="C28" s="11">
        <v>23</v>
      </c>
      <c r="D28" s="10">
        <v>29000</v>
      </c>
      <c r="E28" t="s">
        <v>263</v>
      </c>
      <c r="F28" s="10">
        <v>29999.99</v>
      </c>
      <c r="G28" s="10">
        <v>29000</v>
      </c>
      <c r="H28" s="13">
        <v>362.5</v>
      </c>
      <c r="I28" s="13">
        <v>362.5</v>
      </c>
      <c r="J28" s="12">
        <v>725</v>
      </c>
    </row>
    <row r="29" spans="3:10">
      <c r="C29" s="11">
        <v>24</v>
      </c>
      <c r="D29" s="10">
        <v>30000</v>
      </c>
      <c r="E29" t="s">
        <v>264</v>
      </c>
      <c r="F29" s="10">
        <v>30999.99</v>
      </c>
      <c r="G29" s="10">
        <v>30000</v>
      </c>
      <c r="H29" s="13">
        <v>375</v>
      </c>
      <c r="I29" s="13">
        <v>375</v>
      </c>
      <c r="J29" s="12">
        <v>750</v>
      </c>
    </row>
    <row r="30" spans="3:10">
      <c r="C30" s="11">
        <v>25</v>
      </c>
      <c r="D30" s="10">
        <v>31000</v>
      </c>
      <c r="E30" t="s">
        <v>263</v>
      </c>
      <c r="F30" s="10">
        <v>31999.99</v>
      </c>
      <c r="G30" s="10">
        <v>31000</v>
      </c>
      <c r="H30" s="13">
        <v>387.5</v>
      </c>
      <c r="I30" s="13">
        <v>387.5</v>
      </c>
      <c r="J30" s="12">
        <v>775</v>
      </c>
    </row>
    <row r="31" spans="3:10">
      <c r="C31" s="11">
        <v>26</v>
      </c>
      <c r="D31" s="10">
        <v>32000</v>
      </c>
      <c r="E31" t="s">
        <v>263</v>
      </c>
      <c r="F31" s="10">
        <v>32999.99</v>
      </c>
      <c r="G31" s="10">
        <v>32000</v>
      </c>
      <c r="H31" s="13">
        <v>400</v>
      </c>
      <c r="I31" s="13">
        <v>400</v>
      </c>
      <c r="J31" s="12">
        <v>800</v>
      </c>
    </row>
    <row r="32" spans="3:10">
      <c r="C32" s="11">
        <v>27</v>
      </c>
      <c r="D32" s="10">
        <v>33000</v>
      </c>
      <c r="E32" t="s">
        <v>263</v>
      </c>
      <c r="F32" s="10">
        <v>33999.99</v>
      </c>
      <c r="G32" s="10">
        <v>33000</v>
      </c>
      <c r="H32" s="13">
        <v>412.5</v>
      </c>
      <c r="I32" s="13">
        <v>412.5</v>
      </c>
      <c r="J32" s="12">
        <v>825</v>
      </c>
    </row>
    <row r="33" spans="3:10">
      <c r="C33" s="11">
        <v>28</v>
      </c>
      <c r="D33" s="10">
        <v>34000</v>
      </c>
      <c r="E33" t="s">
        <v>263</v>
      </c>
      <c r="F33" s="10">
        <v>34999.99</v>
      </c>
      <c r="G33" s="10">
        <v>34000</v>
      </c>
      <c r="H33" s="13">
        <v>425</v>
      </c>
      <c r="I33" s="13">
        <v>425</v>
      </c>
      <c r="J33" s="12">
        <v>850</v>
      </c>
    </row>
    <row r="34" spans="3:10">
      <c r="C34" s="11">
        <v>29</v>
      </c>
      <c r="D34" s="10">
        <v>35000</v>
      </c>
      <c r="E34" t="s">
        <v>263</v>
      </c>
      <c r="G34" s="10">
        <v>35000</v>
      </c>
      <c r="H34" s="12">
        <v>437.5</v>
      </c>
      <c r="I34" s="12">
        <v>437.5</v>
      </c>
      <c r="J34" s="4">
        <v>875</v>
      </c>
    </row>
  </sheetData>
  <mergeCells count="1">
    <mergeCell ref="D5:F5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8891-3388-46F0-8E90-1244F7F5E1E7}">
  <sheetPr codeName="Sheet8"/>
  <dimension ref="B3:P14"/>
  <sheetViews>
    <sheetView zoomScale="80" zoomScaleNormal="80" workbookViewId="0">
      <selection activeCell="E14" sqref="E14"/>
    </sheetView>
  </sheetViews>
  <sheetFormatPr defaultRowHeight="14.45"/>
  <cols>
    <col min="1" max="1" width="4.42578125" customWidth="1"/>
    <col min="2" max="2" width="10.42578125" bestFit="1" customWidth="1"/>
    <col min="3" max="3" width="16.42578125" bestFit="1" customWidth="1"/>
    <col min="4" max="7" width="11.42578125" style="4" bestFit="1" customWidth="1"/>
    <col min="8" max="8" width="10.5703125" style="4" bestFit="1" customWidth="1"/>
    <col min="9" max="9" width="10.42578125" style="4" bestFit="1" customWidth="1"/>
    <col min="10" max="11" width="10.42578125" bestFit="1" customWidth="1"/>
    <col min="12" max="13" width="11.42578125" bestFit="1" customWidth="1"/>
  </cols>
  <sheetData>
    <row r="3" spans="2:16">
      <c r="C3" s="138" t="s">
        <v>265</v>
      </c>
    </row>
    <row r="4" spans="2:16" ht="15" thickBot="1">
      <c r="C4" s="139"/>
      <c r="D4" s="140" t="s">
        <v>266</v>
      </c>
      <c r="E4" s="140" t="s">
        <v>267</v>
      </c>
      <c r="F4" s="140" t="s">
        <v>72</v>
      </c>
    </row>
    <row r="5" spans="2:16" ht="15" thickTop="1">
      <c r="B5" s="52"/>
      <c r="C5" t="s">
        <v>268</v>
      </c>
      <c r="D5" s="4">
        <v>12674.34</v>
      </c>
      <c r="E5" s="4">
        <v>12674.34</v>
      </c>
      <c r="F5" s="4">
        <f t="shared" ref="F5:F11" si="0">SUM(D5:E5)</f>
        <v>25348.68</v>
      </c>
      <c r="I5" s="143"/>
      <c r="J5" s="52"/>
      <c r="L5" s="52"/>
      <c r="M5" s="52"/>
      <c r="N5" s="52"/>
      <c r="O5" s="143"/>
      <c r="P5" s="52"/>
    </row>
    <row r="6" spans="2:16">
      <c r="B6" s="52"/>
      <c r="C6" t="s">
        <v>269</v>
      </c>
      <c r="D6" s="4">
        <v>4587.9629999999997</v>
      </c>
      <c r="E6" s="4">
        <v>5872.1471600000004</v>
      </c>
      <c r="F6" s="4">
        <f t="shared" si="0"/>
        <v>10460.11016</v>
      </c>
    </row>
    <row r="7" spans="2:16">
      <c r="C7" t="s">
        <v>270</v>
      </c>
      <c r="D7" s="4">
        <v>5689.165</v>
      </c>
      <c r="E7" s="4">
        <v>5689.165</v>
      </c>
      <c r="F7" s="4">
        <f t="shared" si="0"/>
        <v>11378.33</v>
      </c>
    </row>
    <row r="8" spans="2:16">
      <c r="C8" t="s">
        <v>129</v>
      </c>
      <c r="E8" s="4">
        <v>-1125</v>
      </c>
      <c r="F8" s="4">
        <f t="shared" si="0"/>
        <v>-1125</v>
      </c>
    </row>
    <row r="9" spans="2:16">
      <c r="C9" t="s">
        <v>45</v>
      </c>
      <c r="E9" s="4">
        <v>-380.23019999999997</v>
      </c>
      <c r="F9" s="4">
        <f t="shared" si="0"/>
        <v>-380.23019999999997</v>
      </c>
      <c r="H9" s="4">
        <v>875</v>
      </c>
      <c r="I9" s="4">
        <f>E9+H9</f>
        <v>494.76980000000003</v>
      </c>
    </row>
    <row r="10" spans="2:16">
      <c r="C10" t="s">
        <v>46</v>
      </c>
      <c r="E10" s="4">
        <v>-100</v>
      </c>
      <c r="F10" s="4">
        <f t="shared" si="0"/>
        <v>-100</v>
      </c>
    </row>
    <row r="11" spans="2:16">
      <c r="C11" t="s">
        <v>271</v>
      </c>
      <c r="D11" s="4">
        <v>-451.46800000000002</v>
      </c>
      <c r="E11" s="4">
        <v>-130.42196000000001</v>
      </c>
      <c r="F11" s="4">
        <f t="shared" si="0"/>
        <v>-581.88995999999997</v>
      </c>
      <c r="H11" s="4">
        <v>638.69999999999993</v>
      </c>
      <c r="I11" s="4">
        <f>E11+H11</f>
        <v>508.27803999999992</v>
      </c>
    </row>
    <row r="12" spans="2:16" ht="15" thickBot="1">
      <c r="C12" s="141" t="s">
        <v>272</v>
      </c>
      <c r="D12" s="155">
        <f>SUM(D5:D11)</f>
        <v>22500</v>
      </c>
      <c r="E12" s="155">
        <f>SUM(E5:E11)</f>
        <v>22500</v>
      </c>
      <c r="F12" s="142">
        <f>SUM(F5:F11)</f>
        <v>45000.000000000007</v>
      </c>
    </row>
    <row r="13" spans="2:16" ht="15" thickTop="1">
      <c r="E13" s="4">
        <f>D12-E12</f>
        <v>0</v>
      </c>
    </row>
    <row r="14" spans="2:16">
      <c r="E14" s="4">
        <v>8463.7000000000007</v>
      </c>
      <c r="I14" s="4">
        <f>SUM(I9:I11)</f>
        <v>1003.04784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gppcocpas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/>
  <cp:revision/>
  <dcterms:created xsi:type="dcterms:W3CDTF">2012-09-07T21:18:05Z</dcterms:created>
  <dcterms:modified xsi:type="dcterms:W3CDTF">2026-06-11T03:47:56Z</dcterms:modified>
  <cp:category/>
  <cp:contentStatus/>
</cp:coreProperties>
</file>